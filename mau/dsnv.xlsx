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1.ProjectBVDKLS\htqlbenhvien\mau\"/>
    </mc:Choice>
  </mc:AlternateContent>
  <xr:revisionPtr revIDLastSave="0" documentId="8_{0D7D1730-6A4E-43C2-B16E-89F216AFF567}" xr6:coauthVersionLast="47" xr6:coauthVersionMax="47" xr10:uidLastSave="{00000000-0000-0000-0000-000000000000}"/>
  <bookViews>
    <workbookView xWindow="-108" yWindow="-108" windowWidth="23256" windowHeight="12456" xr2:uid="{ABBE3833-4FB5-4FEB-ABF0-0104CE0E0A23}"/>
  </bookViews>
  <sheets>
    <sheet name="Sheet1" sheetId="1" r:id="rId1"/>
  </sheets>
  <externalReferences>
    <externalReference r:id="rId2"/>
    <externalReference r:id="rId3"/>
    <externalReference r:id="rId4"/>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871" i="1" l="1"/>
  <c r="Y871" i="1"/>
  <c r="W871" i="1"/>
  <c r="V871" i="1"/>
  <c r="J871" i="1"/>
  <c r="F871" i="1"/>
  <c r="AA870" i="1"/>
  <c r="Y870" i="1"/>
  <c r="W870" i="1"/>
  <c r="V870" i="1"/>
  <c r="J870" i="1"/>
  <c r="F870" i="1"/>
  <c r="AA869" i="1"/>
  <c r="Y869" i="1"/>
  <c r="W869" i="1"/>
  <c r="V869" i="1"/>
  <c r="J869" i="1"/>
  <c r="F869" i="1"/>
  <c r="AA868" i="1"/>
  <c r="Y868" i="1"/>
  <c r="W868" i="1"/>
  <c r="V868" i="1"/>
  <c r="J868" i="1"/>
  <c r="F868" i="1"/>
  <c r="AA867" i="1"/>
  <c r="Y867" i="1"/>
  <c r="W867" i="1"/>
  <c r="V867" i="1"/>
  <c r="J867" i="1"/>
  <c r="F867" i="1"/>
  <c r="AA866" i="1"/>
  <c r="Y866" i="1"/>
  <c r="W866" i="1"/>
  <c r="V866" i="1"/>
  <c r="J866" i="1"/>
  <c r="F866" i="1"/>
  <c r="AA865" i="1"/>
  <c r="Y865" i="1"/>
  <c r="W865" i="1"/>
  <c r="V865" i="1"/>
  <c r="J865" i="1"/>
  <c r="F865" i="1"/>
  <c r="AA864" i="1"/>
  <c r="Y864" i="1"/>
  <c r="W864" i="1"/>
  <c r="V864" i="1"/>
  <c r="J864" i="1"/>
  <c r="F864" i="1"/>
  <c r="AA863" i="1"/>
  <c r="Y863" i="1"/>
  <c r="W863" i="1"/>
  <c r="V863" i="1"/>
  <c r="J863" i="1"/>
  <c r="F863" i="1"/>
  <c r="AA862" i="1"/>
  <c r="Y862" i="1"/>
  <c r="W862" i="1"/>
  <c r="V862" i="1"/>
  <c r="J862" i="1"/>
  <c r="F862" i="1"/>
  <c r="AA861" i="1"/>
  <c r="Y861" i="1"/>
  <c r="W861" i="1"/>
  <c r="V861" i="1"/>
  <c r="J861" i="1"/>
  <c r="F861" i="1"/>
  <c r="AA860" i="1"/>
  <c r="Y860" i="1"/>
  <c r="W860" i="1"/>
  <c r="V860" i="1"/>
  <c r="J860" i="1"/>
  <c r="F860" i="1"/>
  <c r="AA859" i="1"/>
  <c r="Y859" i="1"/>
  <c r="W859" i="1"/>
  <c r="V859" i="1"/>
  <c r="J859" i="1"/>
  <c r="F859" i="1"/>
  <c r="AA858" i="1"/>
  <c r="Y858" i="1"/>
  <c r="W858" i="1"/>
  <c r="V858" i="1"/>
  <c r="J858" i="1"/>
  <c r="F858" i="1"/>
  <c r="AA857" i="1"/>
  <c r="Y857" i="1"/>
  <c r="W857" i="1"/>
  <c r="V857" i="1"/>
  <c r="J857" i="1"/>
  <c r="F857" i="1"/>
  <c r="AA856" i="1"/>
  <c r="Y856" i="1"/>
  <c r="W856" i="1"/>
  <c r="V856" i="1"/>
  <c r="J856" i="1"/>
  <c r="F856" i="1"/>
  <c r="AA855" i="1"/>
  <c r="Y855" i="1"/>
  <c r="W855" i="1"/>
  <c r="V855" i="1"/>
  <c r="J855" i="1"/>
  <c r="F855" i="1"/>
  <c r="AA854" i="1"/>
  <c r="Y854" i="1"/>
  <c r="W854" i="1"/>
  <c r="V854" i="1"/>
  <c r="J854" i="1"/>
  <c r="AA853" i="1"/>
  <c r="Y853" i="1"/>
  <c r="W853" i="1"/>
  <c r="V853" i="1"/>
  <c r="J853" i="1"/>
  <c r="F853" i="1"/>
  <c r="AA852" i="1"/>
  <c r="Y852" i="1"/>
  <c r="W852" i="1"/>
  <c r="V852" i="1"/>
  <c r="J852" i="1"/>
  <c r="F852" i="1"/>
  <c r="AA851" i="1"/>
  <c r="Y851" i="1"/>
  <c r="W851" i="1"/>
  <c r="V851" i="1"/>
  <c r="J851" i="1"/>
  <c r="F851" i="1"/>
  <c r="AA850" i="1"/>
  <c r="Y850" i="1"/>
  <c r="W850" i="1"/>
  <c r="V850" i="1"/>
  <c r="J850" i="1"/>
  <c r="F850" i="1"/>
  <c r="AA849" i="1"/>
  <c r="Y849" i="1"/>
  <c r="W849" i="1"/>
  <c r="V849" i="1"/>
  <c r="J849" i="1"/>
  <c r="F849" i="1"/>
  <c r="AA848" i="1"/>
  <c r="Y848" i="1"/>
  <c r="W848" i="1"/>
  <c r="V848" i="1"/>
  <c r="J848" i="1"/>
  <c r="F848" i="1"/>
  <c r="AA847" i="1"/>
  <c r="Y847" i="1"/>
  <c r="W847" i="1"/>
  <c r="V847" i="1"/>
  <c r="J847" i="1"/>
  <c r="F847" i="1"/>
  <c r="AA846" i="1"/>
  <c r="Y846" i="1"/>
  <c r="W846" i="1"/>
  <c r="V846" i="1"/>
  <c r="J846" i="1"/>
  <c r="F846" i="1"/>
  <c r="AA845" i="1"/>
  <c r="Y845" i="1"/>
  <c r="W845" i="1"/>
  <c r="V845" i="1"/>
  <c r="J845" i="1"/>
  <c r="F845" i="1"/>
  <c r="AA844" i="1"/>
  <c r="Y844" i="1"/>
  <c r="W844" i="1"/>
  <c r="V844" i="1"/>
  <c r="J844" i="1"/>
  <c r="F844" i="1"/>
  <c r="AA843" i="1"/>
  <c r="Y843" i="1"/>
  <c r="W843" i="1"/>
  <c r="V843" i="1"/>
  <c r="J843" i="1"/>
  <c r="F843" i="1"/>
  <c r="AA842" i="1"/>
  <c r="Y842" i="1"/>
  <c r="W842" i="1"/>
  <c r="V842" i="1"/>
  <c r="J842" i="1"/>
  <c r="F842" i="1"/>
  <c r="AA841" i="1"/>
  <c r="Y841" i="1"/>
  <c r="W841" i="1"/>
  <c r="V841" i="1"/>
  <c r="J841" i="1"/>
  <c r="F841" i="1"/>
  <c r="AA840" i="1"/>
  <c r="Y840" i="1"/>
  <c r="W840" i="1"/>
  <c r="V840" i="1"/>
  <c r="J840" i="1"/>
  <c r="F840" i="1"/>
  <c r="AA839" i="1"/>
  <c r="Y839" i="1"/>
  <c r="W839" i="1"/>
  <c r="V839" i="1"/>
  <c r="J839" i="1"/>
  <c r="F839" i="1"/>
  <c r="AA838" i="1"/>
  <c r="Y838" i="1"/>
  <c r="W838" i="1"/>
  <c r="V838" i="1"/>
  <c r="J838" i="1"/>
  <c r="F838" i="1"/>
  <c r="AA837" i="1"/>
  <c r="Y837" i="1"/>
  <c r="W837" i="1"/>
  <c r="V837" i="1"/>
  <c r="U837" i="1"/>
  <c r="J837" i="1"/>
  <c r="F837" i="1"/>
  <c r="AA836" i="1"/>
  <c r="Y836" i="1"/>
  <c r="W836" i="1"/>
  <c r="V836" i="1"/>
  <c r="U836" i="1"/>
  <c r="J836" i="1"/>
  <c r="F836" i="1"/>
  <c r="AA835" i="1"/>
  <c r="Y835" i="1"/>
  <c r="W835" i="1"/>
  <c r="V835" i="1"/>
  <c r="J835" i="1"/>
  <c r="F835" i="1"/>
  <c r="AA834" i="1"/>
  <c r="Y834" i="1"/>
  <c r="W834" i="1"/>
  <c r="V834" i="1"/>
  <c r="J834" i="1"/>
  <c r="F834" i="1"/>
  <c r="AA833" i="1"/>
  <c r="Y833" i="1"/>
  <c r="W833" i="1"/>
  <c r="V833" i="1"/>
  <c r="J833" i="1"/>
  <c r="F833" i="1"/>
  <c r="AA832" i="1"/>
  <c r="Y832" i="1"/>
  <c r="W832" i="1"/>
  <c r="V832" i="1"/>
  <c r="J832" i="1"/>
  <c r="F832" i="1"/>
  <c r="AA831" i="1"/>
  <c r="Y831" i="1"/>
  <c r="W831" i="1"/>
  <c r="V831" i="1"/>
  <c r="R831" i="1"/>
  <c r="P831" i="1"/>
  <c r="O831" i="1"/>
  <c r="J831" i="1"/>
  <c r="F831" i="1"/>
  <c r="AA830" i="1"/>
  <c r="Y830" i="1"/>
  <c r="W830" i="1"/>
  <c r="V830" i="1"/>
  <c r="R830" i="1"/>
  <c r="P830" i="1"/>
  <c r="O830" i="1"/>
  <c r="J830" i="1"/>
  <c r="F830" i="1"/>
  <c r="AA829" i="1"/>
  <c r="Y829" i="1"/>
  <c r="W829" i="1"/>
  <c r="V829" i="1"/>
  <c r="R829" i="1"/>
  <c r="P829" i="1"/>
  <c r="O829" i="1"/>
  <c r="J829" i="1"/>
  <c r="F829" i="1"/>
  <c r="AA828" i="1"/>
  <c r="Y828" i="1"/>
  <c r="W828" i="1"/>
  <c r="V828" i="1"/>
  <c r="R828" i="1"/>
  <c r="P828" i="1"/>
  <c r="O828" i="1"/>
  <c r="J828" i="1"/>
  <c r="F828" i="1"/>
  <c r="AA827" i="1"/>
  <c r="Y827" i="1"/>
  <c r="W827" i="1"/>
  <c r="V827" i="1"/>
  <c r="R827" i="1"/>
  <c r="P827" i="1"/>
  <c r="O827" i="1"/>
  <c r="J827" i="1"/>
  <c r="F827" i="1"/>
  <c r="AA826" i="1"/>
  <c r="Y826" i="1"/>
  <c r="W826" i="1"/>
  <c r="V826" i="1"/>
  <c r="R826" i="1"/>
  <c r="P826" i="1"/>
  <c r="O826" i="1"/>
  <c r="J826" i="1"/>
  <c r="F826" i="1"/>
  <c r="AA825" i="1"/>
  <c r="Y825" i="1"/>
  <c r="W825" i="1"/>
  <c r="V825" i="1"/>
  <c r="R825" i="1"/>
  <c r="P825" i="1"/>
  <c r="O825" i="1"/>
  <c r="J825" i="1"/>
  <c r="F825" i="1"/>
  <c r="AA824" i="1"/>
  <c r="Y824" i="1"/>
  <c r="W824" i="1"/>
  <c r="V824" i="1"/>
  <c r="R824" i="1"/>
  <c r="P824" i="1"/>
  <c r="O824" i="1"/>
  <c r="J824" i="1"/>
  <c r="F824" i="1"/>
  <c r="AA823" i="1"/>
  <c r="Y823" i="1"/>
  <c r="W823" i="1"/>
  <c r="V823" i="1"/>
  <c r="R823" i="1"/>
  <c r="P823" i="1"/>
  <c r="O823" i="1"/>
  <c r="J823" i="1"/>
  <c r="F823" i="1"/>
  <c r="AA822" i="1"/>
  <c r="Y822" i="1"/>
  <c r="W822" i="1"/>
  <c r="V822" i="1"/>
  <c r="R822" i="1"/>
  <c r="P822" i="1"/>
  <c r="O822" i="1"/>
  <c r="J822" i="1"/>
  <c r="F822" i="1"/>
  <c r="AA821" i="1"/>
  <c r="Y821" i="1"/>
  <c r="W821" i="1"/>
  <c r="V821" i="1"/>
  <c r="R821" i="1"/>
  <c r="P821" i="1"/>
  <c r="O821" i="1"/>
  <c r="J821" i="1"/>
  <c r="F821" i="1"/>
  <c r="AA820" i="1"/>
  <c r="Y820" i="1"/>
  <c r="W820" i="1"/>
  <c r="V820" i="1"/>
  <c r="R820" i="1"/>
  <c r="P820" i="1"/>
  <c r="O820" i="1"/>
  <c r="J820" i="1"/>
  <c r="F820" i="1"/>
  <c r="AA819" i="1"/>
  <c r="Y819" i="1"/>
  <c r="W819" i="1"/>
  <c r="V819" i="1"/>
  <c r="R819" i="1"/>
  <c r="P819" i="1"/>
  <c r="O819" i="1"/>
  <c r="J819" i="1"/>
  <c r="F819" i="1"/>
  <c r="AA818" i="1"/>
  <c r="Y818" i="1"/>
  <c r="W818" i="1"/>
  <c r="V818" i="1"/>
  <c r="R818" i="1"/>
  <c r="P818" i="1"/>
  <c r="O818" i="1"/>
  <c r="J818" i="1"/>
  <c r="F818" i="1"/>
  <c r="AA817" i="1"/>
  <c r="Y817" i="1"/>
  <c r="W817" i="1"/>
  <c r="V817" i="1"/>
  <c r="R817" i="1"/>
  <c r="P817" i="1"/>
  <c r="O817" i="1"/>
  <c r="J817" i="1"/>
  <c r="F817" i="1"/>
  <c r="AA816" i="1"/>
  <c r="Y816" i="1"/>
  <c r="W816" i="1"/>
  <c r="V816" i="1"/>
  <c r="R816" i="1"/>
  <c r="P816" i="1"/>
  <c r="O816" i="1"/>
  <c r="J816" i="1"/>
  <c r="F816" i="1"/>
  <c r="AA815" i="1"/>
  <c r="Y815" i="1"/>
  <c r="W815" i="1"/>
  <c r="V815" i="1"/>
  <c r="R815" i="1"/>
  <c r="P815" i="1"/>
  <c r="O815" i="1"/>
  <c r="J815" i="1"/>
  <c r="F815" i="1"/>
  <c r="AA814" i="1"/>
  <c r="Y814" i="1"/>
  <c r="W814" i="1"/>
  <c r="V814" i="1"/>
  <c r="R814" i="1"/>
  <c r="P814" i="1"/>
  <c r="O814" i="1"/>
  <c r="J814" i="1"/>
  <c r="F814" i="1"/>
  <c r="AA813" i="1"/>
  <c r="Y813" i="1"/>
  <c r="W813" i="1"/>
  <c r="V813" i="1"/>
  <c r="R813" i="1"/>
  <c r="P813" i="1"/>
  <c r="O813" i="1"/>
  <c r="J813" i="1"/>
  <c r="F813" i="1"/>
  <c r="AA812" i="1"/>
  <c r="Y812" i="1"/>
  <c r="W812" i="1"/>
  <c r="V812" i="1"/>
  <c r="R812" i="1"/>
  <c r="P812" i="1"/>
  <c r="O812" i="1"/>
  <c r="J812" i="1"/>
  <c r="F812" i="1"/>
  <c r="AA811" i="1"/>
  <c r="Y811" i="1"/>
  <c r="W811" i="1"/>
  <c r="V811" i="1"/>
  <c r="R811" i="1"/>
  <c r="P811" i="1"/>
  <c r="O811" i="1"/>
  <c r="J811" i="1"/>
  <c r="F811" i="1"/>
  <c r="AA810" i="1"/>
  <c r="Y810" i="1"/>
  <c r="W810" i="1"/>
  <c r="V810" i="1"/>
  <c r="R810" i="1"/>
  <c r="P810" i="1"/>
  <c r="O810" i="1"/>
  <c r="J810" i="1"/>
  <c r="F810" i="1"/>
  <c r="AA809" i="1"/>
  <c r="Y809" i="1"/>
  <c r="W809" i="1"/>
  <c r="V809" i="1"/>
  <c r="R809" i="1"/>
  <c r="P809" i="1"/>
  <c r="O809" i="1"/>
  <c r="J809" i="1"/>
  <c r="F809" i="1"/>
  <c r="AA808" i="1"/>
  <c r="Y808" i="1"/>
  <c r="W808" i="1"/>
  <c r="V808" i="1"/>
  <c r="R808" i="1"/>
  <c r="P808" i="1"/>
  <c r="O808" i="1"/>
  <c r="J808" i="1"/>
  <c r="F808" i="1"/>
  <c r="AA807" i="1"/>
  <c r="Y807" i="1"/>
  <c r="W807" i="1"/>
  <c r="V807" i="1"/>
  <c r="R807" i="1"/>
  <c r="P807" i="1"/>
  <c r="O807" i="1"/>
  <c r="J807" i="1"/>
  <c r="F807" i="1"/>
  <c r="AA806" i="1"/>
  <c r="Y806" i="1"/>
  <c r="W806" i="1"/>
  <c r="V806" i="1"/>
  <c r="R806" i="1"/>
  <c r="P806" i="1"/>
  <c r="O806" i="1"/>
  <c r="J806" i="1"/>
  <c r="F806" i="1"/>
  <c r="AA805" i="1"/>
  <c r="Y805" i="1"/>
  <c r="W805" i="1"/>
  <c r="V805" i="1"/>
  <c r="R805" i="1"/>
  <c r="P805" i="1"/>
  <c r="O805" i="1"/>
  <c r="J805" i="1"/>
  <c r="F805" i="1"/>
  <c r="AA804" i="1"/>
  <c r="Y804" i="1"/>
  <c r="W804" i="1"/>
  <c r="V804" i="1"/>
  <c r="R804" i="1"/>
  <c r="P804" i="1"/>
  <c r="O804" i="1"/>
  <c r="J804" i="1"/>
  <c r="F804" i="1"/>
  <c r="AA803" i="1"/>
  <c r="Y803" i="1"/>
  <c r="W803" i="1"/>
  <c r="V803" i="1"/>
  <c r="R803" i="1"/>
  <c r="P803" i="1"/>
  <c r="O803" i="1"/>
  <c r="J803" i="1"/>
  <c r="F803" i="1"/>
  <c r="AA802" i="1"/>
  <c r="Y802" i="1"/>
  <c r="W802" i="1"/>
  <c r="V802" i="1"/>
  <c r="R802" i="1"/>
  <c r="P802" i="1"/>
  <c r="O802" i="1"/>
  <c r="J802" i="1"/>
  <c r="F802" i="1"/>
  <c r="AA801" i="1"/>
  <c r="Y801" i="1"/>
  <c r="W801" i="1"/>
  <c r="V801" i="1"/>
  <c r="R801" i="1"/>
  <c r="P801" i="1"/>
  <c r="O801" i="1"/>
  <c r="J801" i="1"/>
  <c r="F801" i="1"/>
  <c r="AA800" i="1"/>
  <c r="Y800" i="1"/>
  <c r="W800" i="1"/>
  <c r="V800" i="1"/>
  <c r="R800" i="1"/>
  <c r="P800" i="1"/>
  <c r="O800" i="1"/>
  <c r="J800" i="1"/>
  <c r="F800" i="1"/>
  <c r="AA799" i="1"/>
  <c r="Y799" i="1"/>
  <c r="W799" i="1"/>
  <c r="V799" i="1"/>
  <c r="R799" i="1"/>
  <c r="P799" i="1"/>
  <c r="O799" i="1"/>
  <c r="J799" i="1"/>
  <c r="F799" i="1"/>
  <c r="AA798" i="1"/>
  <c r="Y798" i="1"/>
  <c r="W798" i="1"/>
  <c r="V798" i="1"/>
  <c r="R798" i="1"/>
  <c r="P798" i="1"/>
  <c r="O798" i="1"/>
  <c r="J798" i="1"/>
  <c r="F798" i="1"/>
  <c r="AA797" i="1"/>
  <c r="Y797" i="1"/>
  <c r="W797" i="1"/>
  <c r="V797" i="1"/>
  <c r="R797" i="1"/>
  <c r="P797" i="1"/>
  <c r="O797" i="1"/>
  <c r="J797" i="1"/>
  <c r="F797" i="1"/>
  <c r="AA796" i="1"/>
  <c r="Y796" i="1"/>
  <c r="W796" i="1"/>
  <c r="V796" i="1"/>
  <c r="R796" i="1"/>
  <c r="P796" i="1"/>
  <c r="O796" i="1"/>
  <c r="J796" i="1"/>
  <c r="F796" i="1"/>
  <c r="AA795" i="1"/>
  <c r="Y795" i="1"/>
  <c r="W795" i="1"/>
  <c r="V795" i="1"/>
  <c r="R795" i="1"/>
  <c r="P795" i="1"/>
  <c r="O795" i="1"/>
  <c r="J795" i="1"/>
  <c r="F795" i="1"/>
  <c r="AA794" i="1"/>
  <c r="Y794" i="1"/>
  <c r="W794" i="1"/>
  <c r="V794" i="1"/>
  <c r="R794" i="1"/>
  <c r="P794" i="1"/>
  <c r="O794" i="1"/>
  <c r="J794" i="1"/>
  <c r="F794" i="1"/>
  <c r="AA793" i="1"/>
  <c r="Y793" i="1"/>
  <c r="W793" i="1"/>
  <c r="V793" i="1"/>
  <c r="R793" i="1"/>
  <c r="P793" i="1"/>
  <c r="O793" i="1"/>
  <c r="J793" i="1"/>
  <c r="F793" i="1"/>
  <c r="AA792" i="1"/>
  <c r="Y792" i="1"/>
  <c r="W792" i="1"/>
  <c r="V792" i="1"/>
  <c r="R792" i="1"/>
  <c r="P792" i="1"/>
  <c r="O792" i="1"/>
  <c r="J792" i="1"/>
  <c r="F792" i="1"/>
  <c r="AA791" i="1"/>
  <c r="Y791" i="1"/>
  <c r="W791" i="1"/>
  <c r="V791" i="1"/>
  <c r="R791" i="1"/>
  <c r="P791" i="1"/>
  <c r="O791" i="1"/>
  <c r="J791" i="1"/>
  <c r="F791" i="1"/>
  <c r="AA790" i="1"/>
  <c r="Y790" i="1"/>
  <c r="W790" i="1"/>
  <c r="V790" i="1"/>
  <c r="R790" i="1"/>
  <c r="P790" i="1"/>
  <c r="O790" i="1"/>
  <c r="J790" i="1"/>
  <c r="F790" i="1"/>
  <c r="AA789" i="1"/>
  <c r="Y789" i="1"/>
  <c r="W789" i="1"/>
  <c r="V789" i="1"/>
  <c r="R789" i="1"/>
  <c r="P789" i="1"/>
  <c r="O789" i="1"/>
  <c r="J789" i="1"/>
  <c r="F789" i="1"/>
  <c r="AA788" i="1"/>
  <c r="Y788" i="1"/>
  <c r="W788" i="1"/>
  <c r="V788" i="1"/>
  <c r="R788" i="1"/>
  <c r="P788" i="1"/>
  <c r="O788" i="1"/>
  <c r="J788" i="1"/>
  <c r="F788" i="1"/>
  <c r="AA787" i="1"/>
  <c r="Y787" i="1"/>
  <c r="W787" i="1"/>
  <c r="V787" i="1"/>
  <c r="R787" i="1"/>
  <c r="P787" i="1"/>
  <c r="O787" i="1"/>
  <c r="J787" i="1"/>
  <c r="F787" i="1"/>
  <c r="AA786" i="1"/>
  <c r="Y786" i="1"/>
  <c r="W786" i="1"/>
  <c r="V786" i="1"/>
  <c r="R786" i="1"/>
  <c r="P786" i="1"/>
  <c r="O786" i="1"/>
  <c r="J786" i="1"/>
  <c r="F786" i="1"/>
  <c r="AA785" i="1"/>
  <c r="Y785" i="1"/>
  <c r="W785" i="1"/>
  <c r="V785" i="1"/>
  <c r="R785" i="1"/>
  <c r="P785" i="1"/>
  <c r="O785" i="1"/>
  <c r="J785" i="1"/>
  <c r="F785" i="1"/>
  <c r="AA784" i="1"/>
  <c r="Y784" i="1"/>
  <c r="W784" i="1"/>
  <c r="V784" i="1"/>
  <c r="R784" i="1"/>
  <c r="P784" i="1"/>
  <c r="O784" i="1"/>
  <c r="J784" i="1"/>
  <c r="F784" i="1"/>
  <c r="AA783" i="1"/>
  <c r="Y783" i="1"/>
  <c r="W783" i="1"/>
  <c r="V783" i="1"/>
  <c r="R783" i="1"/>
  <c r="P783" i="1"/>
  <c r="O783" i="1"/>
  <c r="J783" i="1"/>
  <c r="F783" i="1"/>
  <c r="AA782" i="1"/>
  <c r="Y782" i="1"/>
  <c r="W782" i="1"/>
  <c r="V782" i="1"/>
  <c r="R782" i="1"/>
  <c r="P782" i="1"/>
  <c r="O782" i="1"/>
  <c r="J782" i="1"/>
  <c r="F782" i="1"/>
  <c r="AA781" i="1"/>
  <c r="Y781" i="1"/>
  <c r="W781" i="1"/>
  <c r="V781" i="1"/>
  <c r="R781" i="1"/>
  <c r="P781" i="1"/>
  <c r="O781" i="1"/>
  <c r="N781" i="1"/>
  <c r="J781" i="1"/>
  <c r="F781" i="1"/>
  <c r="AA780" i="1"/>
  <c r="Y780" i="1"/>
  <c r="W780" i="1"/>
  <c r="V780" i="1"/>
  <c r="R780" i="1"/>
  <c r="P780" i="1"/>
  <c r="O780" i="1"/>
  <c r="J780" i="1"/>
  <c r="F780" i="1"/>
  <c r="AA779" i="1"/>
  <c r="Y779" i="1"/>
  <c r="W779" i="1"/>
  <c r="V779" i="1"/>
  <c r="R779" i="1"/>
  <c r="P779" i="1"/>
  <c r="O779" i="1"/>
  <c r="J779" i="1"/>
  <c r="F779" i="1"/>
  <c r="AA778" i="1"/>
  <c r="Y778" i="1"/>
  <c r="W778" i="1"/>
  <c r="V778" i="1"/>
  <c r="R778" i="1"/>
  <c r="P778" i="1"/>
  <c r="O778" i="1"/>
  <c r="J778" i="1"/>
  <c r="F778" i="1"/>
  <c r="AA777" i="1"/>
  <c r="Y777" i="1"/>
  <c r="W777" i="1"/>
  <c r="V777" i="1"/>
  <c r="R777" i="1"/>
  <c r="P777" i="1"/>
  <c r="O777" i="1"/>
  <c r="J777" i="1"/>
  <c r="F777" i="1"/>
  <c r="AA776" i="1"/>
  <c r="Y776" i="1"/>
  <c r="W776" i="1"/>
  <c r="V776" i="1"/>
  <c r="R776" i="1"/>
  <c r="P776" i="1"/>
  <c r="O776" i="1"/>
  <c r="J776" i="1"/>
  <c r="F776" i="1"/>
  <c r="AA775" i="1"/>
  <c r="Y775" i="1"/>
  <c r="W775" i="1"/>
  <c r="V775" i="1"/>
  <c r="R775" i="1"/>
  <c r="P775" i="1"/>
  <c r="O775" i="1"/>
  <c r="J775" i="1"/>
  <c r="F775" i="1"/>
  <c r="AA774" i="1"/>
  <c r="Y774" i="1"/>
  <c r="W774" i="1"/>
  <c r="V774" i="1"/>
  <c r="R774" i="1"/>
  <c r="P774" i="1"/>
  <c r="O774" i="1"/>
  <c r="J774" i="1"/>
  <c r="F774" i="1"/>
  <c r="AA773" i="1"/>
  <c r="Y773" i="1"/>
  <c r="W773" i="1"/>
  <c r="V773" i="1"/>
  <c r="R773" i="1"/>
  <c r="P773" i="1"/>
  <c r="O773" i="1"/>
  <c r="J773" i="1"/>
  <c r="F773" i="1"/>
  <c r="AA772" i="1"/>
  <c r="Y772" i="1"/>
  <c r="W772" i="1"/>
  <c r="V772" i="1"/>
  <c r="R772" i="1"/>
  <c r="P772" i="1"/>
  <c r="O772" i="1"/>
  <c r="J772" i="1"/>
  <c r="F772" i="1"/>
  <c r="AA771" i="1"/>
  <c r="Y771" i="1"/>
  <c r="W771" i="1"/>
  <c r="V771" i="1"/>
  <c r="R771" i="1"/>
  <c r="P771" i="1"/>
  <c r="O771" i="1"/>
  <c r="J771" i="1"/>
  <c r="F771" i="1"/>
  <c r="AA770" i="1"/>
  <c r="Y770" i="1"/>
  <c r="W770" i="1"/>
  <c r="V770" i="1"/>
  <c r="R770" i="1"/>
  <c r="P770" i="1"/>
  <c r="O770" i="1"/>
  <c r="J770" i="1"/>
  <c r="F770" i="1"/>
  <c r="AA769" i="1"/>
  <c r="Y769" i="1"/>
  <c r="W769" i="1"/>
  <c r="V769" i="1"/>
  <c r="R769" i="1"/>
  <c r="P769" i="1"/>
  <c r="O769" i="1"/>
  <c r="J769" i="1"/>
  <c r="F769" i="1"/>
  <c r="AA768" i="1"/>
  <c r="Y768" i="1"/>
  <c r="W768" i="1"/>
  <c r="V768" i="1"/>
  <c r="R768" i="1"/>
  <c r="P768" i="1"/>
  <c r="O768" i="1"/>
  <c r="J768" i="1"/>
  <c r="F768" i="1"/>
  <c r="AA767" i="1"/>
  <c r="Y767" i="1"/>
  <c r="W767" i="1"/>
  <c r="V767" i="1"/>
  <c r="R767" i="1"/>
  <c r="P767" i="1"/>
  <c r="O767" i="1"/>
  <c r="J767" i="1"/>
  <c r="F767" i="1"/>
  <c r="AA766" i="1"/>
  <c r="Y766" i="1"/>
  <c r="W766" i="1"/>
  <c r="V766" i="1"/>
  <c r="R766" i="1"/>
  <c r="P766" i="1"/>
  <c r="O766" i="1"/>
  <c r="J766" i="1"/>
  <c r="F766" i="1"/>
  <c r="AA765" i="1"/>
  <c r="Y765" i="1"/>
  <c r="W765" i="1"/>
  <c r="V765" i="1"/>
  <c r="R765" i="1"/>
  <c r="P765" i="1"/>
  <c r="O765" i="1"/>
  <c r="J765" i="1"/>
  <c r="F765" i="1"/>
  <c r="AA764" i="1"/>
  <c r="Y764" i="1"/>
  <c r="W764" i="1"/>
  <c r="V764" i="1"/>
  <c r="R764" i="1"/>
  <c r="P764" i="1"/>
  <c r="O764" i="1"/>
  <c r="J764" i="1"/>
  <c r="F764" i="1"/>
  <c r="AA763" i="1"/>
  <c r="Y763" i="1"/>
  <c r="W763" i="1"/>
  <c r="V763" i="1"/>
  <c r="R763" i="1"/>
  <c r="P763" i="1"/>
  <c r="O763" i="1"/>
  <c r="J763" i="1"/>
  <c r="F763" i="1"/>
  <c r="AA762" i="1"/>
  <c r="Y762" i="1"/>
  <c r="W762" i="1"/>
  <c r="V762" i="1"/>
  <c r="R762" i="1"/>
  <c r="P762" i="1"/>
  <c r="O762" i="1"/>
  <c r="J762" i="1"/>
  <c r="F762" i="1"/>
  <c r="AA761" i="1"/>
  <c r="Y761" i="1"/>
  <c r="W761" i="1"/>
  <c r="V761" i="1"/>
  <c r="R761" i="1"/>
  <c r="P761" i="1"/>
  <c r="O761" i="1"/>
  <c r="J761" i="1"/>
  <c r="F761" i="1"/>
  <c r="AA760" i="1"/>
  <c r="Y760" i="1"/>
  <c r="W760" i="1"/>
  <c r="V760" i="1"/>
  <c r="R760" i="1"/>
  <c r="P760" i="1"/>
  <c r="O760" i="1"/>
  <c r="J760" i="1"/>
  <c r="F760" i="1"/>
  <c r="AA759" i="1"/>
  <c r="Y759" i="1"/>
  <c r="W759" i="1"/>
  <c r="V759" i="1"/>
  <c r="R759" i="1"/>
  <c r="P759" i="1"/>
  <c r="O759" i="1"/>
  <c r="J759" i="1"/>
  <c r="F759" i="1"/>
  <c r="AA758" i="1"/>
  <c r="Y758" i="1"/>
  <c r="W758" i="1"/>
  <c r="V758" i="1"/>
  <c r="R758" i="1"/>
  <c r="P758" i="1"/>
  <c r="O758" i="1"/>
  <c r="J758" i="1"/>
  <c r="F758" i="1"/>
  <c r="AA757" i="1"/>
  <c r="Y757" i="1"/>
  <c r="W757" i="1"/>
  <c r="V757" i="1"/>
  <c r="R757" i="1"/>
  <c r="P757" i="1"/>
  <c r="O757" i="1"/>
  <c r="J757" i="1"/>
  <c r="F757" i="1"/>
  <c r="AA756" i="1"/>
  <c r="Y756" i="1"/>
  <c r="W756" i="1"/>
  <c r="V756" i="1"/>
  <c r="R756" i="1"/>
  <c r="P756" i="1"/>
  <c r="O756" i="1"/>
  <c r="J756" i="1"/>
  <c r="F756" i="1"/>
  <c r="AA755" i="1"/>
  <c r="Y755" i="1"/>
  <c r="W755" i="1"/>
  <c r="V755" i="1"/>
  <c r="R755" i="1"/>
  <c r="P755" i="1"/>
  <c r="O755" i="1"/>
  <c r="J755" i="1"/>
  <c r="F755" i="1"/>
  <c r="AA754" i="1"/>
  <c r="Y754" i="1"/>
  <c r="W754" i="1"/>
  <c r="V754" i="1"/>
  <c r="R754" i="1"/>
  <c r="P754" i="1"/>
  <c r="O754" i="1"/>
  <c r="J754" i="1"/>
  <c r="F754" i="1"/>
  <c r="AA753" i="1"/>
  <c r="Y753" i="1"/>
  <c r="W753" i="1"/>
  <c r="V753" i="1"/>
  <c r="R753" i="1"/>
  <c r="P753" i="1"/>
  <c r="O753" i="1"/>
  <c r="J753" i="1"/>
  <c r="F753" i="1"/>
  <c r="AA752" i="1"/>
  <c r="Y752" i="1"/>
  <c r="W752" i="1"/>
  <c r="V752" i="1"/>
  <c r="R752" i="1"/>
  <c r="P752" i="1"/>
  <c r="O752" i="1"/>
  <c r="J752" i="1"/>
  <c r="F752" i="1"/>
  <c r="AA751" i="1"/>
  <c r="Y751" i="1"/>
  <c r="W751" i="1"/>
  <c r="V751" i="1"/>
  <c r="R751" i="1"/>
  <c r="P751" i="1"/>
  <c r="O751" i="1"/>
  <c r="J751" i="1"/>
  <c r="F751" i="1"/>
  <c r="AA750" i="1"/>
  <c r="Y750" i="1"/>
  <c r="W750" i="1"/>
  <c r="V750" i="1"/>
  <c r="R750" i="1"/>
  <c r="P750" i="1"/>
  <c r="O750" i="1"/>
  <c r="J750" i="1"/>
  <c r="F750" i="1"/>
  <c r="AA749" i="1"/>
  <c r="Y749" i="1"/>
  <c r="W749" i="1"/>
  <c r="V749" i="1"/>
  <c r="R749" i="1"/>
  <c r="P749" i="1"/>
  <c r="O749" i="1"/>
  <c r="J749" i="1"/>
  <c r="F749" i="1"/>
  <c r="AA748" i="1"/>
  <c r="Y748" i="1"/>
  <c r="W748" i="1"/>
  <c r="V748" i="1"/>
  <c r="R748" i="1"/>
  <c r="P748" i="1"/>
  <c r="O748" i="1"/>
  <c r="J748" i="1"/>
  <c r="F748" i="1"/>
  <c r="AA747" i="1"/>
  <c r="Y747" i="1"/>
  <c r="W747" i="1"/>
  <c r="V747" i="1"/>
  <c r="R747" i="1"/>
  <c r="P747" i="1"/>
  <c r="O747" i="1"/>
  <c r="J747" i="1"/>
  <c r="F747" i="1"/>
  <c r="AA746" i="1"/>
  <c r="Y746" i="1"/>
  <c r="W746" i="1"/>
  <c r="V746" i="1"/>
  <c r="R746" i="1"/>
  <c r="P746" i="1"/>
  <c r="O746" i="1"/>
  <c r="J746" i="1"/>
  <c r="F746" i="1"/>
  <c r="AA745" i="1"/>
  <c r="Y745" i="1"/>
  <c r="W745" i="1"/>
  <c r="V745" i="1"/>
  <c r="R745" i="1"/>
  <c r="P745" i="1"/>
  <c r="O745" i="1"/>
  <c r="J745" i="1"/>
  <c r="F745" i="1"/>
  <c r="AA744" i="1"/>
  <c r="Y744" i="1"/>
  <c r="W744" i="1"/>
  <c r="V744" i="1"/>
  <c r="R744" i="1"/>
  <c r="P744" i="1"/>
  <c r="O744" i="1"/>
  <c r="J744" i="1"/>
  <c r="F744" i="1"/>
  <c r="AA743" i="1"/>
  <c r="Y743" i="1"/>
  <c r="W743" i="1"/>
  <c r="V743" i="1"/>
  <c r="R743" i="1"/>
  <c r="P743" i="1"/>
  <c r="O743" i="1"/>
  <c r="J743" i="1"/>
  <c r="F743" i="1"/>
  <c r="AA742" i="1"/>
  <c r="Y742" i="1"/>
  <c r="W742" i="1"/>
  <c r="V742" i="1"/>
  <c r="R742" i="1"/>
  <c r="P742" i="1"/>
  <c r="O742" i="1"/>
  <c r="J742" i="1"/>
  <c r="F742" i="1"/>
  <c r="AA741" i="1"/>
  <c r="Y741" i="1"/>
  <c r="W741" i="1"/>
  <c r="V741" i="1"/>
  <c r="R741" i="1"/>
  <c r="P741" i="1"/>
  <c r="O741" i="1"/>
  <c r="J741" i="1"/>
  <c r="F741" i="1"/>
  <c r="AA740" i="1"/>
  <c r="Y740" i="1"/>
  <c r="W740" i="1"/>
  <c r="V740" i="1"/>
  <c r="R740" i="1"/>
  <c r="P740" i="1"/>
  <c r="O740" i="1"/>
  <c r="J740" i="1"/>
  <c r="F740" i="1"/>
  <c r="AA739" i="1"/>
  <c r="Y739" i="1"/>
  <c r="W739" i="1"/>
  <c r="V739" i="1"/>
  <c r="R739" i="1"/>
  <c r="P739" i="1"/>
  <c r="O739" i="1"/>
  <c r="J739" i="1"/>
  <c r="F739" i="1"/>
  <c r="AA738" i="1"/>
  <c r="Y738" i="1"/>
  <c r="W738" i="1"/>
  <c r="V738" i="1"/>
  <c r="R738" i="1"/>
  <c r="P738" i="1"/>
  <c r="O738" i="1"/>
  <c r="J738" i="1"/>
  <c r="F738" i="1"/>
  <c r="AA737" i="1"/>
  <c r="Y737" i="1"/>
  <c r="W737" i="1"/>
  <c r="V737" i="1"/>
  <c r="R737" i="1"/>
  <c r="P737" i="1"/>
  <c r="O737" i="1"/>
  <c r="J737" i="1"/>
  <c r="F737" i="1"/>
  <c r="AA736" i="1"/>
  <c r="Y736" i="1"/>
  <c r="W736" i="1"/>
  <c r="V736" i="1"/>
  <c r="R736" i="1"/>
  <c r="P736" i="1"/>
  <c r="O736" i="1"/>
  <c r="J736" i="1"/>
  <c r="F736" i="1"/>
  <c r="AA735" i="1"/>
  <c r="Y735" i="1"/>
  <c r="W735" i="1"/>
  <c r="V735" i="1"/>
  <c r="R735" i="1"/>
  <c r="P735" i="1"/>
  <c r="O735" i="1"/>
  <c r="J735" i="1"/>
  <c r="F735" i="1"/>
  <c r="AA734" i="1"/>
  <c r="Y734" i="1"/>
  <c r="W734" i="1"/>
  <c r="V734" i="1"/>
  <c r="R734" i="1"/>
  <c r="P734" i="1"/>
  <c r="O734" i="1"/>
  <c r="J734" i="1"/>
  <c r="F734" i="1"/>
  <c r="AA733" i="1"/>
  <c r="Y733" i="1"/>
  <c r="W733" i="1"/>
  <c r="V733" i="1"/>
  <c r="R733" i="1"/>
  <c r="P733" i="1"/>
  <c r="O733" i="1"/>
  <c r="J733" i="1"/>
  <c r="F733" i="1"/>
  <c r="AA732" i="1"/>
  <c r="Y732" i="1"/>
  <c r="W732" i="1"/>
  <c r="V732" i="1"/>
  <c r="R732" i="1"/>
  <c r="P732" i="1"/>
  <c r="O732" i="1"/>
  <c r="J732" i="1"/>
  <c r="F732" i="1"/>
  <c r="AA731" i="1"/>
  <c r="Y731" i="1"/>
  <c r="W731" i="1"/>
  <c r="V731" i="1"/>
  <c r="R731" i="1"/>
  <c r="P731" i="1"/>
  <c r="O731" i="1"/>
  <c r="J731" i="1"/>
  <c r="F731" i="1"/>
  <c r="AA730" i="1"/>
  <c r="Y730" i="1"/>
  <c r="W730" i="1"/>
  <c r="V730" i="1"/>
  <c r="R730" i="1"/>
  <c r="P730" i="1"/>
  <c r="O730" i="1"/>
  <c r="J730" i="1"/>
  <c r="F730" i="1"/>
  <c r="AA729" i="1"/>
  <c r="Y729" i="1"/>
  <c r="W729" i="1"/>
  <c r="V729" i="1"/>
  <c r="R729" i="1"/>
  <c r="P729" i="1"/>
  <c r="O729" i="1"/>
  <c r="J729" i="1"/>
  <c r="F729" i="1"/>
  <c r="AA728" i="1"/>
  <c r="Y728" i="1"/>
  <c r="W728" i="1"/>
  <c r="V728" i="1"/>
  <c r="R728" i="1"/>
  <c r="P728" i="1"/>
  <c r="O728" i="1"/>
  <c r="J728" i="1"/>
  <c r="F728" i="1"/>
  <c r="AA727" i="1"/>
  <c r="Y727" i="1"/>
  <c r="W727" i="1"/>
  <c r="V727" i="1"/>
  <c r="R727" i="1"/>
  <c r="P727" i="1"/>
  <c r="O727" i="1"/>
  <c r="J727" i="1"/>
  <c r="F727" i="1"/>
  <c r="AA726" i="1"/>
  <c r="Y726" i="1"/>
  <c r="W726" i="1"/>
  <c r="V726" i="1"/>
  <c r="R726" i="1"/>
  <c r="P726" i="1"/>
  <c r="O726" i="1"/>
  <c r="J726" i="1"/>
  <c r="F726" i="1"/>
  <c r="AA725" i="1"/>
  <c r="Y725" i="1"/>
  <c r="W725" i="1"/>
  <c r="V725" i="1"/>
  <c r="R725" i="1"/>
  <c r="P725" i="1"/>
  <c r="O725" i="1"/>
  <c r="J725" i="1"/>
  <c r="F725" i="1"/>
  <c r="AA724" i="1"/>
  <c r="Y724" i="1"/>
  <c r="W724" i="1"/>
  <c r="V724" i="1"/>
  <c r="R724" i="1"/>
  <c r="P724" i="1"/>
  <c r="O724" i="1"/>
  <c r="J724" i="1"/>
  <c r="F724" i="1"/>
  <c r="AA723" i="1"/>
  <c r="Y723" i="1"/>
  <c r="W723" i="1"/>
  <c r="V723" i="1"/>
  <c r="R723" i="1"/>
  <c r="P723" i="1"/>
  <c r="O723" i="1"/>
  <c r="J723" i="1"/>
  <c r="F723" i="1"/>
  <c r="AA722" i="1"/>
  <c r="Y722" i="1"/>
  <c r="W722" i="1"/>
  <c r="V722" i="1"/>
  <c r="R722" i="1"/>
  <c r="P722" i="1"/>
  <c r="O722" i="1"/>
  <c r="J722" i="1"/>
  <c r="F722" i="1"/>
  <c r="AA721" i="1"/>
  <c r="Y721" i="1"/>
  <c r="W721" i="1"/>
  <c r="V721" i="1"/>
  <c r="R721" i="1"/>
  <c r="P721" i="1"/>
  <c r="O721" i="1"/>
  <c r="J721" i="1"/>
  <c r="F721" i="1"/>
  <c r="AA720" i="1"/>
  <c r="Y720" i="1"/>
  <c r="W720" i="1"/>
  <c r="V720" i="1"/>
  <c r="R720" i="1"/>
  <c r="P720" i="1"/>
  <c r="O720" i="1"/>
  <c r="J720" i="1"/>
  <c r="F720" i="1"/>
  <c r="AA719" i="1"/>
  <c r="Y719" i="1"/>
  <c r="W719" i="1"/>
  <c r="V719" i="1"/>
  <c r="R719" i="1"/>
  <c r="P719" i="1"/>
  <c r="O719" i="1"/>
  <c r="J719" i="1"/>
  <c r="F719" i="1"/>
  <c r="AA718" i="1"/>
  <c r="Y718" i="1"/>
  <c r="W718" i="1"/>
  <c r="V718" i="1"/>
  <c r="R718" i="1"/>
  <c r="P718" i="1"/>
  <c r="O718" i="1"/>
  <c r="J718" i="1"/>
  <c r="F718" i="1"/>
  <c r="AA717" i="1"/>
  <c r="Y717" i="1"/>
  <c r="W717" i="1"/>
  <c r="V717" i="1"/>
  <c r="R717" i="1"/>
  <c r="P717" i="1"/>
  <c r="O717" i="1"/>
  <c r="J717" i="1"/>
  <c r="F717" i="1"/>
  <c r="AA716" i="1"/>
  <c r="Y716" i="1"/>
  <c r="W716" i="1"/>
  <c r="V716" i="1"/>
  <c r="R716" i="1"/>
  <c r="P716" i="1"/>
  <c r="O716" i="1"/>
  <c r="J716" i="1"/>
  <c r="F716" i="1"/>
  <c r="AA715" i="1"/>
  <c r="Y715" i="1"/>
  <c r="W715" i="1"/>
  <c r="V715" i="1"/>
  <c r="R715" i="1"/>
  <c r="P715" i="1"/>
  <c r="O715" i="1"/>
  <c r="J715" i="1"/>
  <c r="F715" i="1"/>
  <c r="AA714" i="1"/>
  <c r="Y714" i="1"/>
  <c r="W714" i="1"/>
  <c r="V714" i="1"/>
  <c r="R714" i="1"/>
  <c r="P714" i="1"/>
  <c r="O714" i="1"/>
  <c r="J714" i="1"/>
  <c r="F714" i="1"/>
  <c r="AA713" i="1"/>
  <c r="Y713" i="1"/>
  <c r="W713" i="1"/>
  <c r="V713" i="1"/>
  <c r="R713" i="1"/>
  <c r="P713" i="1"/>
  <c r="O713" i="1"/>
  <c r="J713" i="1"/>
  <c r="F713" i="1"/>
  <c r="AA712" i="1"/>
  <c r="Y712" i="1"/>
  <c r="W712" i="1"/>
  <c r="V712" i="1"/>
  <c r="R712" i="1"/>
  <c r="P712" i="1"/>
  <c r="O712" i="1"/>
  <c r="J712" i="1"/>
  <c r="F712" i="1"/>
  <c r="AA711" i="1"/>
  <c r="Y711" i="1"/>
  <c r="W711" i="1"/>
  <c r="V711" i="1"/>
  <c r="R711" i="1"/>
  <c r="P711" i="1"/>
  <c r="O711" i="1"/>
  <c r="J711" i="1"/>
  <c r="F711" i="1"/>
  <c r="AA710" i="1"/>
  <c r="Y710" i="1"/>
  <c r="W710" i="1"/>
  <c r="V710" i="1"/>
  <c r="R710" i="1"/>
  <c r="P710" i="1"/>
  <c r="O710" i="1"/>
  <c r="J710" i="1"/>
  <c r="F710" i="1"/>
  <c r="AA709" i="1"/>
  <c r="Y709" i="1"/>
  <c r="W709" i="1"/>
  <c r="V709" i="1"/>
  <c r="R709" i="1"/>
  <c r="P709" i="1"/>
  <c r="O709" i="1"/>
  <c r="J709" i="1"/>
  <c r="F709" i="1"/>
  <c r="AA708" i="1"/>
  <c r="Y708" i="1"/>
  <c r="W708" i="1"/>
  <c r="V708" i="1"/>
  <c r="R708" i="1"/>
  <c r="P708" i="1"/>
  <c r="O708" i="1"/>
  <c r="J708" i="1"/>
  <c r="F708" i="1"/>
  <c r="AA707" i="1"/>
  <c r="Y707" i="1"/>
  <c r="W707" i="1"/>
  <c r="V707" i="1"/>
  <c r="R707" i="1"/>
  <c r="P707" i="1"/>
  <c r="O707" i="1"/>
  <c r="J707" i="1"/>
  <c r="F707" i="1"/>
  <c r="AA706" i="1"/>
  <c r="Y706" i="1"/>
  <c r="W706" i="1"/>
  <c r="V706" i="1"/>
  <c r="R706" i="1"/>
  <c r="P706" i="1"/>
  <c r="O706" i="1"/>
  <c r="J706" i="1"/>
  <c r="F706" i="1"/>
  <c r="AA705" i="1"/>
  <c r="Y705" i="1"/>
  <c r="W705" i="1"/>
  <c r="V705" i="1"/>
  <c r="R705" i="1"/>
  <c r="P705" i="1"/>
  <c r="O705" i="1"/>
  <c r="J705" i="1"/>
  <c r="F705" i="1"/>
  <c r="AA704" i="1"/>
  <c r="Y704" i="1"/>
  <c r="W704" i="1"/>
  <c r="V704" i="1"/>
  <c r="R704" i="1"/>
  <c r="P704" i="1"/>
  <c r="O704" i="1"/>
  <c r="J704" i="1"/>
  <c r="F704" i="1"/>
  <c r="AA703" i="1"/>
  <c r="Y703" i="1"/>
  <c r="W703" i="1"/>
  <c r="V703" i="1"/>
  <c r="R703" i="1"/>
  <c r="P703" i="1"/>
  <c r="O703" i="1"/>
  <c r="J703" i="1"/>
  <c r="F703" i="1"/>
  <c r="AA702" i="1"/>
  <c r="Y702" i="1"/>
  <c r="W702" i="1"/>
  <c r="V702" i="1"/>
  <c r="R702" i="1"/>
  <c r="P702" i="1"/>
  <c r="O702" i="1"/>
  <c r="J702" i="1"/>
  <c r="F702" i="1"/>
  <c r="AA701" i="1"/>
  <c r="Y701" i="1"/>
  <c r="W701" i="1"/>
  <c r="V701" i="1"/>
  <c r="R701" i="1"/>
  <c r="P701" i="1"/>
  <c r="O701" i="1"/>
  <c r="J701" i="1"/>
  <c r="F701" i="1"/>
  <c r="AA700" i="1"/>
  <c r="Y700" i="1"/>
  <c r="W700" i="1"/>
  <c r="V700" i="1"/>
  <c r="R700" i="1"/>
  <c r="P700" i="1"/>
  <c r="O700" i="1"/>
  <c r="J700" i="1"/>
  <c r="F700" i="1"/>
  <c r="AA699" i="1"/>
  <c r="Y699" i="1"/>
  <c r="W699" i="1"/>
  <c r="V699" i="1"/>
  <c r="R699" i="1"/>
  <c r="P699" i="1"/>
  <c r="O699" i="1"/>
  <c r="J699" i="1"/>
  <c r="F699" i="1"/>
  <c r="AA698" i="1"/>
  <c r="Y698" i="1"/>
  <c r="W698" i="1"/>
  <c r="V698" i="1"/>
  <c r="R698" i="1"/>
  <c r="P698" i="1"/>
  <c r="O698" i="1"/>
  <c r="J698" i="1"/>
  <c r="F698" i="1"/>
  <c r="AA697" i="1"/>
  <c r="Y697" i="1"/>
  <c r="W697" i="1"/>
  <c r="V697" i="1"/>
  <c r="R697" i="1"/>
  <c r="P697" i="1"/>
  <c r="O697" i="1"/>
  <c r="J697" i="1"/>
  <c r="F697" i="1"/>
  <c r="AA696" i="1"/>
  <c r="Y696" i="1"/>
  <c r="W696" i="1"/>
  <c r="V696" i="1"/>
  <c r="R696" i="1"/>
  <c r="P696" i="1"/>
  <c r="O696" i="1"/>
  <c r="J696" i="1"/>
  <c r="F696" i="1"/>
  <c r="AA695" i="1"/>
  <c r="Y695" i="1"/>
  <c r="W695" i="1"/>
  <c r="V695" i="1"/>
  <c r="R695" i="1"/>
  <c r="P695" i="1"/>
  <c r="O695" i="1"/>
  <c r="J695" i="1"/>
  <c r="F695" i="1"/>
  <c r="AA694" i="1"/>
  <c r="Y694" i="1"/>
  <c r="W694" i="1"/>
  <c r="V694" i="1"/>
  <c r="R694" i="1"/>
  <c r="P694" i="1"/>
  <c r="O694" i="1"/>
  <c r="J694" i="1"/>
  <c r="F694" i="1"/>
  <c r="AA693" i="1"/>
  <c r="Y693" i="1"/>
  <c r="W693" i="1"/>
  <c r="V693" i="1"/>
  <c r="R693" i="1"/>
  <c r="P693" i="1"/>
  <c r="O693" i="1"/>
  <c r="J693" i="1"/>
  <c r="F693" i="1"/>
  <c r="AA692" i="1"/>
  <c r="Y692" i="1"/>
  <c r="W692" i="1"/>
  <c r="V692" i="1"/>
  <c r="R692" i="1"/>
  <c r="P692" i="1"/>
  <c r="O692" i="1"/>
  <c r="J692" i="1"/>
  <c r="F692" i="1"/>
  <c r="AA691" i="1"/>
  <c r="Y691" i="1"/>
  <c r="W691" i="1"/>
  <c r="V691" i="1"/>
  <c r="R691" i="1"/>
  <c r="P691" i="1"/>
  <c r="O691" i="1"/>
  <c r="J691" i="1"/>
  <c r="F691" i="1"/>
  <c r="AA690" i="1"/>
  <c r="Y690" i="1"/>
  <c r="W690" i="1"/>
  <c r="V690" i="1"/>
  <c r="R690" i="1"/>
  <c r="P690" i="1"/>
  <c r="O690" i="1"/>
  <c r="J690" i="1"/>
  <c r="F690" i="1"/>
  <c r="AA689" i="1"/>
  <c r="Y689" i="1"/>
  <c r="W689" i="1"/>
  <c r="V689" i="1"/>
  <c r="R689" i="1"/>
  <c r="P689" i="1"/>
  <c r="O689" i="1"/>
  <c r="J689" i="1"/>
  <c r="F689" i="1"/>
  <c r="AA688" i="1"/>
  <c r="Y688" i="1"/>
  <c r="W688" i="1"/>
  <c r="V688" i="1"/>
  <c r="R688" i="1"/>
  <c r="P688" i="1"/>
  <c r="O688" i="1"/>
  <c r="J688" i="1"/>
  <c r="F688" i="1"/>
  <c r="AA687" i="1"/>
  <c r="Y687" i="1"/>
  <c r="W687" i="1"/>
  <c r="V687" i="1"/>
  <c r="R687" i="1"/>
  <c r="P687" i="1"/>
  <c r="O687" i="1"/>
  <c r="J687" i="1"/>
  <c r="F687" i="1"/>
  <c r="AA686" i="1"/>
  <c r="Y686" i="1"/>
  <c r="W686" i="1"/>
  <c r="V686" i="1"/>
  <c r="R686" i="1"/>
  <c r="P686" i="1"/>
  <c r="O686" i="1"/>
  <c r="J686" i="1"/>
  <c r="F686" i="1"/>
  <c r="AA685" i="1"/>
  <c r="Y685" i="1"/>
  <c r="W685" i="1"/>
  <c r="V685" i="1"/>
  <c r="R685" i="1"/>
  <c r="P685" i="1"/>
  <c r="O685" i="1"/>
  <c r="J685" i="1"/>
  <c r="F685" i="1"/>
  <c r="AA684" i="1"/>
  <c r="Y684" i="1"/>
  <c r="W684" i="1"/>
  <c r="V684" i="1"/>
  <c r="R684" i="1"/>
  <c r="P684" i="1"/>
  <c r="O684" i="1"/>
  <c r="J684" i="1"/>
  <c r="F684" i="1"/>
  <c r="AA683" i="1"/>
  <c r="Y683" i="1"/>
  <c r="W683" i="1"/>
  <c r="V683" i="1"/>
  <c r="R683" i="1"/>
  <c r="P683" i="1"/>
  <c r="O683" i="1"/>
  <c r="J683" i="1"/>
  <c r="F683" i="1"/>
  <c r="AA682" i="1"/>
  <c r="Y682" i="1"/>
  <c r="W682" i="1"/>
  <c r="V682" i="1"/>
  <c r="R682" i="1"/>
  <c r="P682" i="1"/>
  <c r="O682" i="1"/>
  <c r="J682" i="1"/>
  <c r="F682" i="1"/>
  <c r="AA681" i="1"/>
  <c r="Y681" i="1"/>
  <c r="W681" i="1"/>
  <c r="V681" i="1"/>
  <c r="R681" i="1"/>
  <c r="P681" i="1"/>
  <c r="O681" i="1"/>
  <c r="J681" i="1"/>
  <c r="F681" i="1"/>
  <c r="AA680" i="1"/>
  <c r="Y680" i="1"/>
  <c r="W680" i="1"/>
  <c r="V680" i="1"/>
  <c r="R680" i="1"/>
  <c r="P680" i="1"/>
  <c r="O680" i="1"/>
  <c r="J680" i="1"/>
  <c r="F680" i="1"/>
  <c r="AA679" i="1"/>
  <c r="Y679" i="1"/>
  <c r="W679" i="1"/>
  <c r="V679" i="1"/>
  <c r="R679" i="1"/>
  <c r="P679" i="1"/>
  <c r="O679" i="1"/>
  <c r="J679" i="1"/>
  <c r="F679" i="1"/>
  <c r="AA678" i="1"/>
  <c r="Y678" i="1"/>
  <c r="W678" i="1"/>
  <c r="V678" i="1"/>
  <c r="R678" i="1"/>
  <c r="P678" i="1"/>
  <c r="O678" i="1"/>
  <c r="J678" i="1"/>
  <c r="F678" i="1"/>
  <c r="AA677" i="1"/>
  <c r="Y677" i="1"/>
  <c r="W677" i="1"/>
  <c r="V677" i="1"/>
  <c r="R677" i="1"/>
  <c r="P677" i="1"/>
  <c r="O677" i="1"/>
  <c r="J677" i="1"/>
  <c r="F677" i="1"/>
  <c r="AA676" i="1"/>
  <c r="Y676" i="1"/>
  <c r="W676" i="1"/>
  <c r="V676" i="1"/>
  <c r="R676" i="1"/>
  <c r="P676" i="1"/>
  <c r="O676" i="1"/>
  <c r="J676" i="1"/>
  <c r="F676" i="1"/>
  <c r="AA675" i="1"/>
  <c r="Y675" i="1"/>
  <c r="W675" i="1"/>
  <c r="V675" i="1"/>
  <c r="R675" i="1"/>
  <c r="P675" i="1"/>
  <c r="O675" i="1"/>
  <c r="J675" i="1"/>
  <c r="F675" i="1"/>
  <c r="AA674" i="1"/>
  <c r="Y674" i="1"/>
  <c r="W674" i="1"/>
  <c r="V674" i="1"/>
  <c r="R674" i="1"/>
  <c r="P674" i="1"/>
  <c r="O674" i="1"/>
  <c r="J674" i="1"/>
  <c r="F674" i="1"/>
  <c r="AA673" i="1"/>
  <c r="Y673" i="1"/>
  <c r="W673" i="1"/>
  <c r="V673" i="1"/>
  <c r="R673" i="1"/>
  <c r="P673" i="1"/>
  <c r="O673" i="1"/>
  <c r="J673" i="1"/>
  <c r="F673" i="1"/>
  <c r="AA672" i="1"/>
  <c r="Y672" i="1"/>
  <c r="W672" i="1"/>
  <c r="V672" i="1"/>
  <c r="R672" i="1"/>
  <c r="P672" i="1"/>
  <c r="O672" i="1"/>
  <c r="J672" i="1"/>
  <c r="F672" i="1"/>
  <c r="AA671" i="1"/>
  <c r="Y671" i="1"/>
  <c r="W671" i="1"/>
  <c r="V671" i="1"/>
  <c r="R671" i="1"/>
  <c r="P671" i="1"/>
  <c r="O671" i="1"/>
  <c r="J671" i="1"/>
  <c r="F671" i="1"/>
  <c r="AA670" i="1"/>
  <c r="Y670" i="1"/>
  <c r="W670" i="1"/>
  <c r="V670" i="1"/>
  <c r="R670" i="1"/>
  <c r="P670" i="1"/>
  <c r="O670" i="1"/>
  <c r="J670" i="1"/>
  <c r="F670" i="1"/>
  <c r="AA669" i="1"/>
  <c r="Y669" i="1"/>
  <c r="W669" i="1"/>
  <c r="V669" i="1"/>
  <c r="R669" i="1"/>
  <c r="P669" i="1"/>
  <c r="O669" i="1"/>
  <c r="J669" i="1"/>
  <c r="F669" i="1"/>
  <c r="AA668" i="1"/>
  <c r="Y668" i="1"/>
  <c r="W668" i="1"/>
  <c r="V668" i="1"/>
  <c r="R668" i="1"/>
  <c r="P668" i="1"/>
  <c r="O668" i="1"/>
  <c r="J668" i="1"/>
  <c r="F668" i="1"/>
  <c r="AA667" i="1"/>
  <c r="Y667" i="1"/>
  <c r="W667" i="1"/>
  <c r="V667" i="1"/>
  <c r="R667" i="1"/>
  <c r="P667" i="1"/>
  <c r="O667" i="1"/>
  <c r="J667" i="1"/>
  <c r="F667" i="1"/>
  <c r="AA666" i="1"/>
  <c r="Y666" i="1"/>
  <c r="W666" i="1"/>
  <c r="V666" i="1"/>
  <c r="R666" i="1"/>
  <c r="P666" i="1"/>
  <c r="O666" i="1"/>
  <c r="J666" i="1"/>
  <c r="F666" i="1"/>
  <c r="AA665" i="1"/>
  <c r="Y665" i="1"/>
  <c r="W665" i="1"/>
  <c r="V665" i="1"/>
  <c r="R665" i="1"/>
  <c r="P665" i="1"/>
  <c r="O665" i="1"/>
  <c r="J665" i="1"/>
  <c r="F665" i="1"/>
  <c r="AA664" i="1"/>
  <c r="Y664" i="1"/>
  <c r="W664" i="1"/>
  <c r="V664" i="1"/>
  <c r="R664" i="1"/>
  <c r="P664" i="1"/>
  <c r="O664" i="1"/>
  <c r="J664" i="1"/>
  <c r="F664" i="1"/>
  <c r="AA663" i="1"/>
  <c r="Y663" i="1"/>
  <c r="W663" i="1"/>
  <c r="V663" i="1"/>
  <c r="R663" i="1"/>
  <c r="P663" i="1"/>
  <c r="O663" i="1"/>
  <c r="J663" i="1"/>
  <c r="F663" i="1"/>
  <c r="AA662" i="1"/>
  <c r="Y662" i="1"/>
  <c r="W662" i="1"/>
  <c r="V662" i="1"/>
  <c r="R662" i="1"/>
  <c r="P662" i="1"/>
  <c r="O662" i="1"/>
  <c r="J662" i="1"/>
  <c r="F662" i="1"/>
  <c r="AA661" i="1"/>
  <c r="Y661" i="1"/>
  <c r="W661" i="1"/>
  <c r="V661" i="1"/>
  <c r="R661" i="1"/>
  <c r="P661" i="1"/>
  <c r="O661" i="1"/>
  <c r="J661" i="1"/>
  <c r="F661" i="1"/>
  <c r="AA660" i="1"/>
  <c r="Y660" i="1"/>
  <c r="W660" i="1"/>
  <c r="V660" i="1"/>
  <c r="R660" i="1"/>
  <c r="P660" i="1"/>
  <c r="O660" i="1"/>
  <c r="J660" i="1"/>
  <c r="F660" i="1"/>
  <c r="AA659" i="1"/>
  <c r="Y659" i="1"/>
  <c r="W659" i="1"/>
  <c r="V659" i="1"/>
  <c r="R659" i="1"/>
  <c r="P659" i="1"/>
  <c r="O659" i="1"/>
  <c r="J659" i="1"/>
  <c r="F659" i="1"/>
  <c r="AA658" i="1"/>
  <c r="Y658" i="1"/>
  <c r="W658" i="1"/>
  <c r="V658" i="1"/>
  <c r="R658" i="1"/>
  <c r="P658" i="1"/>
  <c r="O658" i="1"/>
  <c r="J658" i="1"/>
  <c r="F658" i="1"/>
  <c r="AA657" i="1"/>
  <c r="Y657" i="1"/>
  <c r="W657" i="1"/>
  <c r="V657" i="1"/>
  <c r="R657" i="1"/>
  <c r="P657" i="1"/>
  <c r="O657" i="1"/>
  <c r="J657" i="1"/>
  <c r="F657" i="1"/>
  <c r="AA656" i="1"/>
  <c r="Y656" i="1"/>
  <c r="W656" i="1"/>
  <c r="V656" i="1"/>
  <c r="R656" i="1"/>
  <c r="P656" i="1"/>
  <c r="O656" i="1"/>
  <c r="J656" i="1"/>
  <c r="F656" i="1"/>
  <c r="AA655" i="1"/>
  <c r="Y655" i="1"/>
  <c r="W655" i="1"/>
  <c r="V655" i="1"/>
  <c r="R655" i="1"/>
  <c r="P655" i="1"/>
  <c r="O655" i="1"/>
  <c r="J655" i="1"/>
  <c r="F655" i="1"/>
  <c r="AA654" i="1"/>
  <c r="Y654" i="1"/>
  <c r="W654" i="1"/>
  <c r="V654" i="1"/>
  <c r="R654" i="1"/>
  <c r="P654" i="1"/>
  <c r="O654" i="1"/>
  <c r="J654" i="1"/>
  <c r="F654" i="1"/>
  <c r="AA653" i="1"/>
  <c r="Y653" i="1"/>
  <c r="W653" i="1"/>
  <c r="V653" i="1"/>
  <c r="R653" i="1"/>
  <c r="P653" i="1"/>
  <c r="O653" i="1"/>
  <c r="J653" i="1"/>
  <c r="F653" i="1"/>
  <c r="AA652" i="1"/>
  <c r="Y652" i="1"/>
  <c r="W652" i="1"/>
  <c r="V652" i="1"/>
  <c r="R652" i="1"/>
  <c r="P652" i="1"/>
  <c r="O652" i="1"/>
  <c r="J652" i="1"/>
  <c r="F652" i="1"/>
  <c r="AA651" i="1"/>
  <c r="Y651" i="1"/>
  <c r="W651" i="1"/>
  <c r="V651" i="1"/>
  <c r="R651" i="1"/>
  <c r="P651" i="1"/>
  <c r="O651" i="1"/>
  <c r="J651" i="1"/>
  <c r="F651" i="1"/>
  <c r="AA650" i="1"/>
  <c r="Y650" i="1"/>
  <c r="W650" i="1"/>
  <c r="V650" i="1"/>
  <c r="R650" i="1"/>
  <c r="P650" i="1"/>
  <c r="O650" i="1"/>
  <c r="J650" i="1"/>
  <c r="F650" i="1"/>
  <c r="AA649" i="1"/>
  <c r="Y649" i="1"/>
  <c r="W649" i="1"/>
  <c r="V649" i="1"/>
  <c r="R649" i="1"/>
  <c r="P649" i="1"/>
  <c r="O649" i="1"/>
  <c r="J649" i="1"/>
  <c r="F649" i="1"/>
  <c r="AA648" i="1"/>
  <c r="Y648" i="1"/>
  <c r="W648" i="1"/>
  <c r="V648" i="1"/>
  <c r="R648" i="1"/>
  <c r="P648" i="1"/>
  <c r="O648" i="1"/>
  <c r="J648" i="1"/>
  <c r="F648" i="1"/>
  <c r="AA647" i="1"/>
  <c r="Y647" i="1"/>
  <c r="W647" i="1"/>
  <c r="V647" i="1"/>
  <c r="R647" i="1"/>
  <c r="P647" i="1"/>
  <c r="O647" i="1"/>
  <c r="J647" i="1"/>
  <c r="F647" i="1"/>
  <c r="AA646" i="1"/>
  <c r="Y646" i="1"/>
  <c r="W646" i="1"/>
  <c r="V646" i="1"/>
  <c r="R646" i="1"/>
  <c r="P646" i="1"/>
  <c r="O646" i="1"/>
  <c r="J646" i="1"/>
  <c r="F646" i="1"/>
  <c r="AA645" i="1"/>
  <c r="Y645" i="1"/>
  <c r="W645" i="1"/>
  <c r="V645" i="1"/>
  <c r="R645" i="1"/>
  <c r="P645" i="1"/>
  <c r="O645" i="1"/>
  <c r="J645" i="1"/>
  <c r="F645" i="1"/>
  <c r="AA644" i="1"/>
  <c r="Y644" i="1"/>
  <c r="W644" i="1"/>
  <c r="V644" i="1"/>
  <c r="R644" i="1"/>
  <c r="P644" i="1"/>
  <c r="O644" i="1"/>
  <c r="J644" i="1"/>
  <c r="F644" i="1"/>
  <c r="AA643" i="1"/>
  <c r="Y643" i="1"/>
  <c r="W643" i="1"/>
  <c r="V643" i="1"/>
  <c r="R643" i="1"/>
  <c r="P643" i="1"/>
  <c r="O643" i="1"/>
  <c r="J643" i="1"/>
  <c r="F643" i="1"/>
  <c r="AA642" i="1"/>
  <c r="Y642" i="1"/>
  <c r="W642" i="1"/>
  <c r="V642" i="1"/>
  <c r="R642" i="1"/>
  <c r="P642" i="1"/>
  <c r="O642" i="1"/>
  <c r="J642" i="1"/>
  <c r="F642" i="1"/>
  <c r="AA641" i="1"/>
  <c r="Y641" i="1"/>
  <c r="W641" i="1"/>
  <c r="V641" i="1"/>
  <c r="R641" i="1"/>
  <c r="P641" i="1"/>
  <c r="O641" i="1"/>
  <c r="J641" i="1"/>
  <c r="F641" i="1"/>
  <c r="AA640" i="1"/>
  <c r="Y640" i="1"/>
  <c r="W640" i="1"/>
  <c r="V640" i="1"/>
  <c r="R640" i="1"/>
  <c r="P640" i="1"/>
  <c r="O640" i="1"/>
  <c r="J640" i="1"/>
  <c r="F640" i="1"/>
  <c r="AA639" i="1"/>
  <c r="Y639" i="1"/>
  <c r="W639" i="1"/>
  <c r="V639" i="1"/>
  <c r="R639" i="1"/>
  <c r="P639" i="1"/>
  <c r="O639" i="1"/>
  <c r="J639" i="1"/>
  <c r="F639" i="1"/>
  <c r="AA638" i="1"/>
  <c r="Y638" i="1"/>
  <c r="W638" i="1"/>
  <c r="V638" i="1"/>
  <c r="R638" i="1"/>
  <c r="P638" i="1"/>
  <c r="O638" i="1"/>
  <c r="J638" i="1"/>
  <c r="F638" i="1"/>
  <c r="AA637" i="1"/>
  <c r="Y637" i="1"/>
  <c r="W637" i="1"/>
  <c r="V637" i="1"/>
  <c r="R637" i="1"/>
  <c r="P637" i="1"/>
  <c r="O637" i="1"/>
  <c r="J637" i="1"/>
  <c r="F637" i="1"/>
  <c r="AA636" i="1"/>
  <c r="Y636" i="1"/>
  <c r="W636" i="1"/>
  <c r="V636" i="1"/>
  <c r="R636" i="1"/>
  <c r="P636" i="1"/>
  <c r="O636" i="1"/>
  <c r="J636" i="1"/>
  <c r="F636" i="1"/>
  <c r="AA635" i="1"/>
  <c r="Y635" i="1"/>
  <c r="W635" i="1"/>
  <c r="V635" i="1"/>
  <c r="R635" i="1"/>
  <c r="P635" i="1"/>
  <c r="O635" i="1"/>
  <c r="J635" i="1"/>
  <c r="F635" i="1"/>
  <c r="AA634" i="1"/>
  <c r="Y634" i="1"/>
  <c r="W634" i="1"/>
  <c r="V634" i="1"/>
  <c r="R634" i="1"/>
  <c r="P634" i="1"/>
  <c r="O634" i="1"/>
  <c r="J634" i="1"/>
  <c r="F634" i="1"/>
  <c r="AA633" i="1"/>
  <c r="Y633" i="1"/>
  <c r="W633" i="1"/>
  <c r="V633" i="1"/>
  <c r="R633" i="1"/>
  <c r="P633" i="1"/>
  <c r="O633" i="1"/>
  <c r="J633" i="1"/>
  <c r="F633" i="1"/>
  <c r="AA632" i="1"/>
  <c r="Y632" i="1"/>
  <c r="W632" i="1"/>
  <c r="V632" i="1"/>
  <c r="R632" i="1"/>
  <c r="P632" i="1"/>
  <c r="O632" i="1"/>
  <c r="J632" i="1"/>
  <c r="F632" i="1"/>
  <c r="AA631" i="1"/>
  <c r="Y631" i="1"/>
  <c r="W631" i="1"/>
  <c r="V631" i="1"/>
  <c r="R631" i="1"/>
  <c r="P631" i="1"/>
  <c r="O631" i="1"/>
  <c r="J631" i="1"/>
  <c r="F631" i="1"/>
  <c r="AA630" i="1"/>
  <c r="Y630" i="1"/>
  <c r="W630" i="1"/>
  <c r="V630" i="1"/>
  <c r="R630" i="1"/>
  <c r="P630" i="1"/>
  <c r="O630" i="1"/>
  <c r="J630" i="1"/>
  <c r="F630" i="1"/>
  <c r="AA629" i="1"/>
  <c r="Y629" i="1"/>
  <c r="W629" i="1"/>
  <c r="V629" i="1"/>
  <c r="R629" i="1"/>
  <c r="P629" i="1"/>
  <c r="O629" i="1"/>
  <c r="J629" i="1"/>
  <c r="F629" i="1"/>
  <c r="AA628" i="1"/>
  <c r="Y628" i="1"/>
  <c r="W628" i="1"/>
  <c r="V628" i="1"/>
  <c r="R628" i="1"/>
  <c r="P628" i="1"/>
  <c r="O628" i="1"/>
  <c r="J628" i="1"/>
  <c r="F628" i="1"/>
  <c r="AA627" i="1"/>
  <c r="Y627" i="1"/>
  <c r="W627" i="1"/>
  <c r="V627" i="1"/>
  <c r="R627" i="1"/>
  <c r="P627" i="1"/>
  <c r="O627" i="1"/>
  <c r="J627" i="1"/>
  <c r="F627" i="1"/>
  <c r="AA626" i="1"/>
  <c r="Y626" i="1"/>
  <c r="W626" i="1"/>
  <c r="V626" i="1"/>
  <c r="R626" i="1"/>
  <c r="P626" i="1"/>
  <c r="O626" i="1"/>
  <c r="J626" i="1"/>
  <c r="F626" i="1"/>
  <c r="AA625" i="1"/>
  <c r="Y625" i="1"/>
  <c r="W625" i="1"/>
  <c r="V625" i="1"/>
  <c r="R625" i="1"/>
  <c r="U625" i="1" s="1"/>
  <c r="P625" i="1"/>
  <c r="O625" i="1"/>
  <c r="J625" i="1"/>
  <c r="F625" i="1"/>
  <c r="AA624" i="1"/>
  <c r="Y624" i="1"/>
  <c r="W624" i="1"/>
  <c r="V624" i="1"/>
  <c r="R624" i="1"/>
  <c r="P624" i="1"/>
  <c r="O624" i="1"/>
  <c r="J624" i="1"/>
  <c r="F624" i="1"/>
  <c r="AA623" i="1"/>
  <c r="Y623" i="1"/>
  <c r="W623" i="1"/>
  <c r="V623" i="1"/>
  <c r="R623" i="1"/>
  <c r="P623" i="1"/>
  <c r="O623" i="1"/>
  <c r="J623" i="1"/>
  <c r="F623" i="1"/>
  <c r="AA622" i="1"/>
  <c r="Y622" i="1"/>
  <c r="W622" i="1"/>
  <c r="V622" i="1"/>
  <c r="R622" i="1"/>
  <c r="P622" i="1"/>
  <c r="O622" i="1"/>
  <c r="J622" i="1"/>
  <c r="F622" i="1"/>
  <c r="AA621" i="1"/>
  <c r="Y621" i="1"/>
  <c r="W621" i="1"/>
  <c r="V621" i="1"/>
  <c r="R621" i="1"/>
  <c r="P621" i="1"/>
  <c r="O621" i="1"/>
  <c r="J621" i="1"/>
  <c r="F621" i="1"/>
  <c r="AA620" i="1"/>
  <c r="Y620" i="1"/>
  <c r="W620" i="1"/>
  <c r="V620" i="1"/>
  <c r="R620" i="1"/>
  <c r="P620" i="1"/>
  <c r="O620" i="1"/>
  <c r="J620" i="1"/>
  <c r="F620" i="1"/>
  <c r="AA619" i="1"/>
  <c r="Y619" i="1"/>
  <c r="W619" i="1"/>
  <c r="V619" i="1"/>
  <c r="R619" i="1"/>
  <c r="P619" i="1"/>
  <c r="O619" i="1"/>
  <c r="J619" i="1"/>
  <c r="F619" i="1"/>
  <c r="AA618" i="1"/>
  <c r="Y618" i="1"/>
  <c r="W618" i="1"/>
  <c r="V618" i="1"/>
  <c r="R618" i="1"/>
  <c r="P618" i="1"/>
  <c r="O618" i="1"/>
  <c r="J618" i="1"/>
  <c r="F618" i="1"/>
  <c r="AA617" i="1"/>
  <c r="Y617" i="1"/>
  <c r="W617" i="1"/>
  <c r="V617" i="1"/>
  <c r="R617" i="1"/>
  <c r="P617" i="1"/>
  <c r="O617" i="1"/>
  <c r="J617" i="1"/>
  <c r="F617" i="1"/>
  <c r="AA616" i="1"/>
  <c r="Y616" i="1"/>
  <c r="W616" i="1"/>
  <c r="V616" i="1"/>
  <c r="R616" i="1"/>
  <c r="P616" i="1"/>
  <c r="O616" i="1"/>
  <c r="J616" i="1"/>
  <c r="F616" i="1"/>
  <c r="AA615" i="1"/>
  <c r="Y615" i="1"/>
  <c r="W615" i="1"/>
  <c r="V615" i="1"/>
  <c r="R615" i="1"/>
  <c r="P615" i="1"/>
  <c r="O615" i="1"/>
  <c r="J615" i="1"/>
  <c r="F615" i="1"/>
  <c r="AA614" i="1"/>
  <c r="Y614" i="1"/>
  <c r="W614" i="1"/>
  <c r="V614" i="1"/>
  <c r="R614" i="1"/>
  <c r="P614" i="1"/>
  <c r="O614" i="1"/>
  <c r="J614" i="1"/>
  <c r="F614" i="1"/>
  <c r="AA613" i="1"/>
  <c r="Y613" i="1"/>
  <c r="W613" i="1"/>
  <c r="V613" i="1"/>
  <c r="R613" i="1"/>
  <c r="P613" i="1"/>
  <c r="O613" i="1"/>
  <c r="J613" i="1"/>
  <c r="F613" i="1"/>
  <c r="AA612" i="1"/>
  <c r="Y612" i="1"/>
  <c r="W612" i="1"/>
  <c r="V612" i="1"/>
  <c r="R612" i="1"/>
  <c r="P612" i="1"/>
  <c r="O612" i="1"/>
  <c r="J612" i="1"/>
  <c r="F612" i="1"/>
  <c r="AA611" i="1"/>
  <c r="Y611" i="1"/>
  <c r="W611" i="1"/>
  <c r="V611" i="1"/>
  <c r="R611" i="1"/>
  <c r="P611" i="1"/>
  <c r="O611" i="1"/>
  <c r="J611" i="1"/>
  <c r="F611" i="1"/>
  <c r="AA610" i="1"/>
  <c r="Y610" i="1"/>
  <c r="W610" i="1"/>
  <c r="V610" i="1"/>
  <c r="R610" i="1"/>
  <c r="P610" i="1"/>
  <c r="O610" i="1"/>
  <c r="J610" i="1"/>
  <c r="F610" i="1"/>
  <c r="AA609" i="1"/>
  <c r="Y609" i="1"/>
  <c r="W609" i="1"/>
  <c r="V609" i="1"/>
  <c r="R609" i="1"/>
  <c r="P609" i="1"/>
  <c r="O609" i="1"/>
  <c r="J609" i="1"/>
  <c r="F609" i="1"/>
  <c r="AA608" i="1"/>
  <c r="Y608" i="1"/>
  <c r="W608" i="1"/>
  <c r="V608" i="1"/>
  <c r="R608" i="1"/>
  <c r="P608" i="1"/>
  <c r="O608" i="1"/>
  <c r="J608" i="1"/>
  <c r="F608" i="1"/>
  <c r="AA607" i="1"/>
  <c r="Y607" i="1"/>
  <c r="W607" i="1"/>
  <c r="V607" i="1"/>
  <c r="R607" i="1"/>
  <c r="P607" i="1"/>
  <c r="O607" i="1"/>
  <c r="J607" i="1"/>
  <c r="F607" i="1"/>
  <c r="AA606" i="1"/>
  <c r="Y606" i="1"/>
  <c r="W606" i="1"/>
  <c r="V606" i="1"/>
  <c r="R606" i="1"/>
  <c r="P606" i="1"/>
  <c r="O606" i="1"/>
  <c r="J606" i="1"/>
  <c r="F606" i="1"/>
  <c r="AA605" i="1"/>
  <c r="Y605" i="1"/>
  <c r="W605" i="1"/>
  <c r="V605" i="1"/>
  <c r="R605" i="1"/>
  <c r="P605" i="1"/>
  <c r="O605" i="1"/>
  <c r="J605" i="1"/>
  <c r="F605" i="1"/>
  <c r="AA604" i="1"/>
  <c r="Y604" i="1"/>
  <c r="W604" i="1"/>
  <c r="V604" i="1"/>
  <c r="R604" i="1"/>
  <c r="U604" i="1" s="1"/>
  <c r="P604" i="1"/>
  <c r="O604" i="1"/>
  <c r="J604" i="1"/>
  <c r="F604" i="1"/>
  <c r="AA603" i="1"/>
  <c r="Y603" i="1"/>
  <c r="W603" i="1"/>
  <c r="V603" i="1"/>
  <c r="R603" i="1"/>
  <c r="P603" i="1"/>
  <c r="O603" i="1"/>
  <c r="J603" i="1"/>
  <c r="F603" i="1"/>
  <c r="AA602" i="1"/>
  <c r="Y602" i="1"/>
  <c r="W602" i="1"/>
  <c r="V602" i="1"/>
  <c r="R602" i="1"/>
  <c r="P602" i="1"/>
  <c r="O602" i="1"/>
  <c r="J602" i="1"/>
  <c r="F602" i="1"/>
  <c r="AA601" i="1"/>
  <c r="Y601" i="1"/>
  <c r="W601" i="1"/>
  <c r="V601" i="1"/>
  <c r="R601" i="1"/>
  <c r="P601" i="1"/>
  <c r="O601" i="1"/>
  <c r="J601" i="1"/>
  <c r="F601" i="1"/>
  <c r="AA600" i="1"/>
  <c r="Y600" i="1"/>
  <c r="W600" i="1"/>
  <c r="V600" i="1"/>
  <c r="R600" i="1"/>
  <c r="P600" i="1"/>
  <c r="O600" i="1"/>
  <c r="J600" i="1"/>
  <c r="F600" i="1"/>
  <c r="AA599" i="1"/>
  <c r="Y599" i="1"/>
  <c r="W599" i="1"/>
  <c r="V599" i="1"/>
  <c r="R599" i="1"/>
  <c r="U599" i="1" s="1"/>
  <c r="P599" i="1"/>
  <c r="O599" i="1"/>
  <c r="J599" i="1"/>
  <c r="F599" i="1"/>
  <c r="AA598" i="1"/>
  <c r="Y598" i="1"/>
  <c r="W598" i="1"/>
  <c r="V598" i="1"/>
  <c r="R598" i="1"/>
  <c r="P598" i="1"/>
  <c r="O598" i="1"/>
  <c r="J598" i="1"/>
  <c r="F598" i="1"/>
  <c r="AA597" i="1"/>
  <c r="Y597" i="1"/>
  <c r="W597" i="1"/>
  <c r="V597" i="1"/>
  <c r="R597" i="1"/>
  <c r="P597" i="1"/>
  <c r="O597" i="1"/>
  <c r="J597" i="1"/>
  <c r="F597" i="1"/>
  <c r="AA596" i="1"/>
  <c r="Y596" i="1"/>
  <c r="W596" i="1"/>
  <c r="V596" i="1"/>
  <c r="R596" i="1"/>
  <c r="P596" i="1"/>
  <c r="O596" i="1"/>
  <c r="J596" i="1"/>
  <c r="F596" i="1"/>
  <c r="AA595" i="1"/>
  <c r="Y595" i="1"/>
  <c r="W595" i="1"/>
  <c r="V595" i="1"/>
  <c r="R595" i="1"/>
  <c r="P595" i="1"/>
  <c r="O595" i="1"/>
  <c r="J595" i="1"/>
  <c r="F595" i="1"/>
  <c r="AA594" i="1"/>
  <c r="Y594" i="1"/>
  <c r="W594" i="1"/>
  <c r="V594" i="1"/>
  <c r="R594" i="1"/>
  <c r="P594" i="1"/>
  <c r="O594" i="1"/>
  <c r="J594" i="1"/>
  <c r="F594" i="1"/>
  <c r="AA593" i="1"/>
  <c r="Y593" i="1"/>
  <c r="W593" i="1"/>
  <c r="V593" i="1"/>
  <c r="R593" i="1"/>
  <c r="U593" i="1" s="1"/>
  <c r="P593" i="1"/>
  <c r="O593" i="1"/>
  <c r="J593" i="1"/>
  <c r="F593" i="1"/>
  <c r="AA592" i="1"/>
  <c r="Y592" i="1"/>
  <c r="W592" i="1"/>
  <c r="V592" i="1"/>
  <c r="R592" i="1"/>
  <c r="P592" i="1"/>
  <c r="O592" i="1"/>
  <c r="J592" i="1"/>
  <c r="F592" i="1"/>
  <c r="AA591" i="1"/>
  <c r="Y591" i="1"/>
  <c r="W591" i="1"/>
  <c r="V591" i="1"/>
  <c r="R591" i="1"/>
  <c r="P591" i="1"/>
  <c r="O591" i="1"/>
  <c r="J591" i="1"/>
  <c r="F591" i="1"/>
  <c r="AA590" i="1"/>
  <c r="Y590" i="1"/>
  <c r="W590" i="1"/>
  <c r="V590" i="1"/>
  <c r="R590" i="1"/>
  <c r="P590" i="1"/>
  <c r="O590" i="1"/>
  <c r="J590" i="1"/>
  <c r="F590" i="1"/>
  <c r="AA589" i="1"/>
  <c r="Y589" i="1"/>
  <c r="W589" i="1"/>
  <c r="V589" i="1"/>
  <c r="R589" i="1"/>
  <c r="P589" i="1"/>
  <c r="O589" i="1"/>
  <c r="J589" i="1"/>
  <c r="F589" i="1"/>
  <c r="AA588" i="1"/>
  <c r="Y588" i="1"/>
  <c r="W588" i="1"/>
  <c r="V588" i="1"/>
  <c r="R588" i="1"/>
  <c r="P588" i="1"/>
  <c r="O588" i="1"/>
  <c r="J588" i="1"/>
  <c r="F588" i="1"/>
  <c r="AA587" i="1"/>
  <c r="Y587" i="1"/>
  <c r="W587" i="1"/>
  <c r="V587" i="1"/>
  <c r="R587" i="1"/>
  <c r="P587" i="1"/>
  <c r="O587" i="1"/>
  <c r="J587" i="1"/>
  <c r="F587" i="1"/>
  <c r="AA586" i="1"/>
  <c r="Y586" i="1"/>
  <c r="W586" i="1"/>
  <c r="V586" i="1"/>
  <c r="R586" i="1"/>
  <c r="P586" i="1"/>
  <c r="O586" i="1"/>
  <c r="J586" i="1"/>
  <c r="F586" i="1"/>
  <c r="AA585" i="1"/>
  <c r="Y585" i="1"/>
  <c r="W585" i="1"/>
  <c r="V585" i="1"/>
  <c r="R585" i="1"/>
  <c r="P585" i="1"/>
  <c r="O585" i="1"/>
  <c r="J585" i="1"/>
  <c r="F585" i="1"/>
  <c r="AA584" i="1"/>
  <c r="Y584" i="1"/>
  <c r="W584" i="1"/>
  <c r="V584" i="1"/>
  <c r="R584" i="1"/>
  <c r="P584" i="1"/>
  <c r="O584" i="1"/>
  <c r="J584" i="1"/>
  <c r="F584" i="1"/>
  <c r="AA583" i="1"/>
  <c r="Y583" i="1"/>
  <c r="W583" i="1"/>
  <c r="V583" i="1"/>
  <c r="R583" i="1"/>
  <c r="P583" i="1"/>
  <c r="O583" i="1"/>
  <c r="J583" i="1"/>
  <c r="F583" i="1"/>
  <c r="AA582" i="1"/>
  <c r="Y582" i="1"/>
  <c r="W582" i="1"/>
  <c r="V582" i="1"/>
  <c r="R582" i="1"/>
  <c r="P582" i="1"/>
  <c r="O582" i="1"/>
  <c r="J582" i="1"/>
  <c r="F582" i="1"/>
  <c r="AA581" i="1"/>
  <c r="Y581" i="1"/>
  <c r="W581" i="1"/>
  <c r="V581" i="1"/>
  <c r="R581" i="1"/>
  <c r="P581" i="1"/>
  <c r="O581" i="1"/>
  <c r="J581" i="1"/>
  <c r="F581" i="1"/>
  <c r="AA580" i="1"/>
  <c r="Y580" i="1"/>
  <c r="W580" i="1"/>
  <c r="V580" i="1"/>
  <c r="R580" i="1"/>
  <c r="P580" i="1"/>
  <c r="O580" i="1"/>
  <c r="J580" i="1"/>
  <c r="F580" i="1"/>
  <c r="AA579" i="1"/>
  <c r="Y579" i="1"/>
  <c r="W579" i="1"/>
  <c r="V579" i="1"/>
  <c r="R579" i="1"/>
  <c r="P579" i="1"/>
  <c r="O579" i="1"/>
  <c r="J579" i="1"/>
  <c r="F579" i="1"/>
  <c r="AA578" i="1"/>
  <c r="Y578" i="1"/>
  <c r="W578" i="1"/>
  <c r="V578" i="1"/>
  <c r="R578" i="1"/>
  <c r="P578" i="1"/>
  <c r="O578" i="1"/>
  <c r="J578" i="1"/>
  <c r="F578" i="1"/>
  <c r="AA577" i="1"/>
  <c r="Y577" i="1"/>
  <c r="W577" i="1"/>
  <c r="V577" i="1"/>
  <c r="R577" i="1"/>
  <c r="P577" i="1"/>
  <c r="O577" i="1"/>
  <c r="J577" i="1"/>
  <c r="F577" i="1"/>
  <c r="AA576" i="1"/>
  <c r="Y576" i="1"/>
  <c r="W576" i="1"/>
  <c r="V576" i="1"/>
  <c r="R576" i="1"/>
  <c r="P576" i="1"/>
  <c r="O576" i="1"/>
  <c r="J576" i="1"/>
  <c r="F576" i="1"/>
  <c r="AA575" i="1"/>
  <c r="Y575" i="1"/>
  <c r="W575" i="1"/>
  <c r="V575" i="1"/>
  <c r="R575" i="1"/>
  <c r="P575" i="1"/>
  <c r="O575" i="1"/>
  <c r="J575" i="1"/>
  <c r="F575" i="1"/>
  <c r="AA574" i="1"/>
  <c r="Y574" i="1"/>
  <c r="W574" i="1"/>
  <c r="V574" i="1"/>
  <c r="R574" i="1"/>
  <c r="P574" i="1"/>
  <c r="O574" i="1"/>
  <c r="J574" i="1"/>
  <c r="F574" i="1"/>
  <c r="AA573" i="1"/>
  <c r="Y573" i="1"/>
  <c r="W573" i="1"/>
  <c r="V573" i="1"/>
  <c r="R573" i="1"/>
  <c r="P573" i="1"/>
  <c r="O573" i="1"/>
  <c r="J573" i="1"/>
  <c r="F573" i="1"/>
  <c r="AA572" i="1"/>
  <c r="Y572" i="1"/>
  <c r="W572" i="1"/>
  <c r="V572" i="1"/>
  <c r="R572" i="1"/>
  <c r="P572" i="1"/>
  <c r="O572" i="1"/>
  <c r="J572" i="1"/>
  <c r="F572" i="1"/>
  <c r="AA571" i="1"/>
  <c r="Y571" i="1"/>
  <c r="W571" i="1"/>
  <c r="V571" i="1"/>
  <c r="R571" i="1"/>
  <c r="P571" i="1"/>
  <c r="O571" i="1"/>
  <c r="J571" i="1"/>
  <c r="F571" i="1"/>
  <c r="AA570" i="1"/>
  <c r="Y570" i="1"/>
  <c r="W570" i="1"/>
  <c r="V570" i="1"/>
  <c r="R570" i="1"/>
  <c r="P570" i="1"/>
  <c r="O570" i="1"/>
  <c r="J570" i="1"/>
  <c r="F570" i="1"/>
  <c r="AA569" i="1"/>
  <c r="Y569" i="1"/>
  <c r="W569" i="1"/>
  <c r="V569" i="1"/>
  <c r="R569" i="1"/>
  <c r="P569" i="1"/>
  <c r="O569" i="1"/>
  <c r="J569" i="1"/>
  <c r="F569" i="1"/>
  <c r="AA568" i="1"/>
  <c r="Y568" i="1"/>
  <c r="W568" i="1"/>
  <c r="V568" i="1"/>
  <c r="R568" i="1"/>
  <c r="P568" i="1"/>
  <c r="O568" i="1"/>
  <c r="J568" i="1"/>
  <c r="F568" i="1"/>
  <c r="AA567" i="1"/>
  <c r="Y567" i="1"/>
  <c r="W567" i="1"/>
  <c r="V567" i="1"/>
  <c r="R567" i="1"/>
  <c r="P567" i="1"/>
  <c r="O567" i="1"/>
  <c r="J567" i="1"/>
  <c r="F567" i="1"/>
  <c r="AA566" i="1"/>
  <c r="Y566" i="1"/>
  <c r="W566" i="1"/>
  <c r="V566" i="1"/>
  <c r="R566" i="1"/>
  <c r="P566" i="1"/>
  <c r="O566" i="1"/>
  <c r="J566" i="1"/>
  <c r="F566" i="1"/>
  <c r="AA565" i="1"/>
  <c r="Y565" i="1"/>
  <c r="W565" i="1"/>
  <c r="V565" i="1"/>
  <c r="R565" i="1"/>
  <c r="P565" i="1"/>
  <c r="O565" i="1"/>
  <c r="J565" i="1"/>
  <c r="F565" i="1"/>
  <c r="AA564" i="1"/>
  <c r="Y564" i="1"/>
  <c r="W564" i="1"/>
  <c r="V564" i="1"/>
  <c r="R564" i="1"/>
  <c r="P564" i="1"/>
  <c r="O564" i="1"/>
  <c r="J564" i="1"/>
  <c r="F564" i="1"/>
  <c r="AA563" i="1"/>
  <c r="Y563" i="1"/>
  <c r="W563" i="1"/>
  <c r="V563" i="1"/>
  <c r="R563" i="1"/>
  <c r="P563" i="1"/>
  <c r="O563" i="1"/>
  <c r="J563" i="1"/>
  <c r="F563" i="1"/>
  <c r="AA562" i="1"/>
  <c r="Y562" i="1"/>
  <c r="W562" i="1"/>
  <c r="V562" i="1"/>
  <c r="R562" i="1"/>
  <c r="P562" i="1"/>
  <c r="O562" i="1"/>
  <c r="J562" i="1"/>
  <c r="F562" i="1"/>
  <c r="AA561" i="1"/>
  <c r="Y561" i="1"/>
  <c r="W561" i="1"/>
  <c r="V561" i="1"/>
  <c r="R561" i="1"/>
  <c r="P561" i="1"/>
  <c r="O561" i="1"/>
  <c r="J561" i="1"/>
  <c r="F561" i="1"/>
  <c r="AA560" i="1"/>
  <c r="Y560" i="1"/>
  <c r="W560" i="1"/>
  <c r="V560" i="1"/>
  <c r="R560" i="1"/>
  <c r="P560" i="1"/>
  <c r="O560" i="1"/>
  <c r="J560" i="1"/>
  <c r="F560" i="1"/>
  <c r="AA559" i="1"/>
  <c r="Y559" i="1"/>
  <c r="W559" i="1"/>
  <c r="V559" i="1"/>
  <c r="R559" i="1"/>
  <c r="P559" i="1"/>
  <c r="O559" i="1"/>
  <c r="J559" i="1"/>
  <c r="F559" i="1"/>
  <c r="AA558" i="1"/>
  <c r="Y558" i="1"/>
  <c r="W558" i="1"/>
  <c r="V558" i="1"/>
  <c r="R558" i="1"/>
  <c r="P558" i="1"/>
  <c r="O558" i="1"/>
  <c r="J558" i="1"/>
  <c r="F558" i="1"/>
  <c r="AA557" i="1"/>
  <c r="Y557" i="1"/>
  <c r="W557" i="1"/>
  <c r="V557" i="1"/>
  <c r="R557" i="1"/>
  <c r="P557" i="1"/>
  <c r="O557" i="1"/>
  <c r="J557" i="1"/>
  <c r="F557" i="1"/>
  <c r="AA556" i="1"/>
  <c r="Y556" i="1"/>
  <c r="W556" i="1"/>
  <c r="V556" i="1"/>
  <c r="R556" i="1"/>
  <c r="P556" i="1"/>
  <c r="O556" i="1"/>
  <c r="J556" i="1"/>
  <c r="F556" i="1"/>
  <c r="AA555" i="1"/>
  <c r="Y555" i="1"/>
  <c r="W555" i="1"/>
  <c r="V555" i="1"/>
  <c r="R555" i="1"/>
  <c r="P555" i="1"/>
  <c r="O555" i="1"/>
  <c r="J555" i="1"/>
  <c r="F555" i="1"/>
  <c r="AA554" i="1"/>
  <c r="Y554" i="1"/>
  <c r="W554" i="1"/>
  <c r="V554" i="1"/>
  <c r="R554" i="1"/>
  <c r="P554" i="1"/>
  <c r="O554" i="1"/>
  <c r="J554" i="1"/>
  <c r="F554" i="1"/>
  <c r="AA553" i="1"/>
  <c r="Y553" i="1"/>
  <c r="W553" i="1"/>
  <c r="V553" i="1"/>
  <c r="R553" i="1"/>
  <c r="P553" i="1"/>
  <c r="O553" i="1"/>
  <c r="J553" i="1"/>
  <c r="F553" i="1"/>
  <c r="AA552" i="1"/>
  <c r="Y552" i="1"/>
  <c r="W552" i="1"/>
  <c r="V552" i="1"/>
  <c r="R552" i="1"/>
  <c r="P552" i="1"/>
  <c r="O552" i="1"/>
  <c r="J552" i="1"/>
  <c r="F552" i="1"/>
  <c r="AA551" i="1"/>
  <c r="Y551" i="1"/>
  <c r="W551" i="1"/>
  <c r="V551" i="1"/>
  <c r="R551" i="1"/>
  <c r="P551" i="1"/>
  <c r="O551" i="1"/>
  <c r="J551" i="1"/>
  <c r="F551" i="1"/>
  <c r="AA550" i="1"/>
  <c r="Y550" i="1"/>
  <c r="W550" i="1"/>
  <c r="V550" i="1"/>
  <c r="R550" i="1"/>
  <c r="P550" i="1"/>
  <c r="O550" i="1"/>
  <c r="J550" i="1"/>
  <c r="F550" i="1"/>
  <c r="AA549" i="1"/>
  <c r="Y549" i="1"/>
  <c r="W549" i="1"/>
  <c r="V549" i="1"/>
  <c r="R549" i="1"/>
  <c r="P549" i="1"/>
  <c r="O549" i="1"/>
  <c r="J549" i="1"/>
  <c r="F549" i="1"/>
  <c r="AA548" i="1"/>
  <c r="Y548" i="1"/>
  <c r="W548" i="1"/>
  <c r="V548" i="1"/>
  <c r="R548" i="1"/>
  <c r="P548" i="1"/>
  <c r="O548" i="1"/>
  <c r="J548" i="1"/>
  <c r="F548" i="1"/>
  <c r="AA547" i="1"/>
  <c r="Y547" i="1"/>
  <c r="W547" i="1"/>
  <c r="V547" i="1"/>
  <c r="R547" i="1"/>
  <c r="P547" i="1"/>
  <c r="O547" i="1"/>
  <c r="J547" i="1"/>
  <c r="F547" i="1"/>
  <c r="AA546" i="1"/>
  <c r="Y546" i="1"/>
  <c r="W546" i="1"/>
  <c r="V546" i="1"/>
  <c r="R546" i="1"/>
  <c r="P546" i="1"/>
  <c r="O546" i="1"/>
  <c r="J546" i="1"/>
  <c r="F546" i="1"/>
  <c r="AA545" i="1"/>
  <c r="Y545" i="1"/>
  <c r="W545" i="1"/>
  <c r="V545" i="1"/>
  <c r="R545" i="1"/>
  <c r="P545" i="1"/>
  <c r="O545" i="1"/>
  <c r="J545" i="1"/>
  <c r="F545" i="1"/>
  <c r="AA544" i="1"/>
  <c r="Y544" i="1"/>
  <c r="W544" i="1"/>
  <c r="V544" i="1"/>
  <c r="R544" i="1"/>
  <c r="P544" i="1"/>
  <c r="O544" i="1"/>
  <c r="J544" i="1"/>
  <c r="F544" i="1"/>
  <c r="AA543" i="1"/>
  <c r="Y543" i="1"/>
  <c r="W543" i="1"/>
  <c r="V543" i="1"/>
  <c r="R543" i="1"/>
  <c r="P543" i="1"/>
  <c r="O543" i="1"/>
  <c r="J543" i="1"/>
  <c r="F543" i="1"/>
  <c r="AA542" i="1"/>
  <c r="Y542" i="1"/>
  <c r="W542" i="1"/>
  <c r="V542" i="1"/>
  <c r="R542" i="1"/>
  <c r="P542" i="1"/>
  <c r="O542" i="1"/>
  <c r="J542" i="1"/>
  <c r="F542" i="1"/>
  <c r="AA541" i="1"/>
  <c r="Y541" i="1"/>
  <c r="W541" i="1"/>
  <c r="V541" i="1"/>
  <c r="R541" i="1"/>
  <c r="P541" i="1"/>
  <c r="O541" i="1"/>
  <c r="J541" i="1"/>
  <c r="F541" i="1"/>
  <c r="AA540" i="1"/>
  <c r="Y540" i="1"/>
  <c r="W540" i="1"/>
  <c r="V540" i="1"/>
  <c r="R540" i="1"/>
  <c r="P540" i="1"/>
  <c r="O540" i="1"/>
  <c r="J540" i="1"/>
  <c r="F540" i="1"/>
  <c r="AA539" i="1"/>
  <c r="Y539" i="1"/>
  <c r="W539" i="1"/>
  <c r="V539" i="1"/>
  <c r="R539" i="1"/>
  <c r="P539" i="1"/>
  <c r="O539" i="1"/>
  <c r="J539" i="1"/>
  <c r="F539" i="1"/>
  <c r="AA538" i="1"/>
  <c r="Y538" i="1"/>
  <c r="W538" i="1"/>
  <c r="V538" i="1"/>
  <c r="R538" i="1"/>
  <c r="P538" i="1"/>
  <c r="O538" i="1"/>
  <c r="J538" i="1"/>
  <c r="F538" i="1"/>
  <c r="AA537" i="1"/>
  <c r="Y537" i="1"/>
  <c r="W537" i="1"/>
  <c r="V537" i="1"/>
  <c r="R537" i="1"/>
  <c r="P537" i="1"/>
  <c r="O537" i="1"/>
  <c r="J537" i="1"/>
  <c r="F537" i="1"/>
  <c r="AA536" i="1"/>
  <c r="Y536" i="1"/>
  <c r="W536" i="1"/>
  <c r="V536" i="1"/>
  <c r="R536" i="1"/>
  <c r="P536" i="1"/>
  <c r="O536" i="1"/>
  <c r="J536" i="1"/>
  <c r="F536" i="1"/>
  <c r="AA535" i="1"/>
  <c r="Y535" i="1"/>
  <c r="W535" i="1"/>
  <c r="V535" i="1"/>
  <c r="R535" i="1"/>
  <c r="P535" i="1"/>
  <c r="O535" i="1"/>
  <c r="J535" i="1"/>
  <c r="F535" i="1"/>
  <c r="AA534" i="1"/>
  <c r="Y534" i="1"/>
  <c r="W534" i="1"/>
  <c r="V534" i="1"/>
  <c r="R534" i="1"/>
  <c r="P534" i="1"/>
  <c r="O534" i="1"/>
  <c r="J534" i="1"/>
  <c r="F534" i="1"/>
  <c r="AA533" i="1"/>
  <c r="Y533" i="1"/>
  <c r="W533" i="1"/>
  <c r="V533" i="1"/>
  <c r="R533" i="1"/>
  <c r="P533" i="1"/>
  <c r="O533" i="1"/>
  <c r="J533" i="1"/>
  <c r="F533" i="1"/>
  <c r="AA532" i="1"/>
  <c r="Y532" i="1"/>
  <c r="W532" i="1"/>
  <c r="V532" i="1"/>
  <c r="R532" i="1"/>
  <c r="P532" i="1"/>
  <c r="O532" i="1"/>
  <c r="J532" i="1"/>
  <c r="F532" i="1"/>
  <c r="AA531" i="1"/>
  <c r="Y531" i="1"/>
  <c r="W531" i="1"/>
  <c r="V531" i="1"/>
  <c r="R531" i="1"/>
  <c r="P531" i="1"/>
  <c r="O531" i="1"/>
  <c r="J531" i="1"/>
  <c r="F531" i="1"/>
  <c r="AA530" i="1"/>
  <c r="Y530" i="1"/>
  <c r="W530" i="1"/>
  <c r="V530" i="1"/>
  <c r="R530" i="1"/>
  <c r="P530" i="1"/>
  <c r="O530" i="1"/>
  <c r="J530" i="1"/>
  <c r="F530" i="1"/>
  <c r="AA529" i="1"/>
  <c r="Y529" i="1"/>
  <c r="W529" i="1"/>
  <c r="V529" i="1"/>
  <c r="R529" i="1"/>
  <c r="P529" i="1"/>
  <c r="O529" i="1"/>
  <c r="J529" i="1"/>
  <c r="F529" i="1"/>
  <c r="AA528" i="1"/>
  <c r="Y528" i="1"/>
  <c r="W528" i="1"/>
  <c r="V528" i="1"/>
  <c r="R528" i="1"/>
  <c r="P528" i="1"/>
  <c r="O528" i="1"/>
  <c r="J528" i="1"/>
  <c r="F528" i="1"/>
  <c r="AA527" i="1"/>
  <c r="Y527" i="1"/>
  <c r="W527" i="1"/>
  <c r="V527" i="1"/>
  <c r="R527" i="1"/>
  <c r="P527" i="1"/>
  <c r="O527" i="1"/>
  <c r="J527" i="1"/>
  <c r="F527" i="1"/>
  <c r="AA526" i="1"/>
  <c r="Y526" i="1"/>
  <c r="W526" i="1"/>
  <c r="V526" i="1"/>
  <c r="R526" i="1"/>
  <c r="P526" i="1"/>
  <c r="O526" i="1"/>
  <c r="J526" i="1"/>
  <c r="F526" i="1"/>
  <c r="AA525" i="1"/>
  <c r="Y525" i="1"/>
  <c r="W525" i="1"/>
  <c r="V525" i="1"/>
  <c r="R525" i="1"/>
  <c r="P525" i="1"/>
  <c r="O525" i="1"/>
  <c r="J525" i="1"/>
  <c r="F525" i="1"/>
  <c r="AA524" i="1"/>
  <c r="Y524" i="1"/>
  <c r="W524" i="1"/>
  <c r="V524" i="1"/>
  <c r="R524" i="1"/>
  <c r="P524" i="1"/>
  <c r="O524" i="1"/>
  <c r="J524" i="1"/>
  <c r="F524" i="1"/>
  <c r="AA523" i="1"/>
  <c r="Y523" i="1"/>
  <c r="W523" i="1"/>
  <c r="V523" i="1"/>
  <c r="R523" i="1"/>
  <c r="P523" i="1"/>
  <c r="O523" i="1"/>
  <c r="J523" i="1"/>
  <c r="F523" i="1"/>
  <c r="AA522" i="1"/>
  <c r="Y522" i="1"/>
  <c r="W522" i="1"/>
  <c r="V522" i="1"/>
  <c r="R522" i="1"/>
  <c r="P522" i="1"/>
  <c r="O522" i="1"/>
  <c r="J522" i="1"/>
  <c r="F522" i="1"/>
  <c r="AA521" i="1"/>
  <c r="Y521" i="1"/>
  <c r="W521" i="1"/>
  <c r="V521" i="1"/>
  <c r="R521" i="1"/>
  <c r="P521" i="1"/>
  <c r="O521" i="1"/>
  <c r="J521" i="1"/>
  <c r="F521" i="1"/>
  <c r="AA520" i="1"/>
  <c r="Y520" i="1"/>
  <c r="W520" i="1"/>
  <c r="V520" i="1"/>
  <c r="R520" i="1"/>
  <c r="P520" i="1"/>
  <c r="O520" i="1"/>
  <c r="J520" i="1"/>
  <c r="F520" i="1"/>
  <c r="AA519" i="1"/>
  <c r="Y519" i="1"/>
  <c r="W519" i="1"/>
  <c r="V519" i="1"/>
  <c r="R519" i="1"/>
  <c r="P519" i="1"/>
  <c r="O519" i="1"/>
  <c r="J519" i="1"/>
  <c r="F519" i="1"/>
  <c r="AA518" i="1"/>
  <c r="Y518" i="1"/>
  <c r="W518" i="1"/>
  <c r="V518" i="1"/>
  <c r="R518" i="1"/>
  <c r="P518" i="1"/>
  <c r="O518" i="1"/>
  <c r="J518" i="1"/>
  <c r="F518" i="1"/>
  <c r="AA517" i="1"/>
  <c r="Y517" i="1"/>
  <c r="W517" i="1"/>
  <c r="V517" i="1"/>
  <c r="R517" i="1"/>
  <c r="P517" i="1"/>
  <c r="O517" i="1"/>
  <c r="J517" i="1"/>
  <c r="F517" i="1"/>
  <c r="AA516" i="1"/>
  <c r="Y516" i="1"/>
  <c r="W516" i="1"/>
  <c r="V516" i="1"/>
  <c r="R516" i="1"/>
  <c r="P516" i="1"/>
  <c r="O516" i="1"/>
  <c r="J516" i="1"/>
  <c r="F516" i="1"/>
  <c r="AA515" i="1"/>
  <c r="Y515" i="1"/>
  <c r="W515" i="1"/>
  <c r="V515" i="1"/>
  <c r="R515" i="1"/>
  <c r="P515" i="1"/>
  <c r="O515" i="1"/>
  <c r="J515" i="1"/>
  <c r="F515" i="1"/>
  <c r="AA514" i="1"/>
  <c r="Y514" i="1"/>
  <c r="W514" i="1"/>
  <c r="V514" i="1"/>
  <c r="R514" i="1"/>
  <c r="P514" i="1"/>
  <c r="O514" i="1"/>
  <c r="J514" i="1"/>
  <c r="F514" i="1"/>
  <c r="AA513" i="1"/>
  <c r="Y513" i="1"/>
  <c r="W513" i="1"/>
  <c r="V513" i="1"/>
  <c r="R513" i="1"/>
  <c r="P513" i="1"/>
  <c r="O513" i="1"/>
  <c r="J513" i="1"/>
  <c r="F513" i="1"/>
  <c r="AA512" i="1"/>
  <c r="Y512" i="1"/>
  <c r="W512" i="1"/>
  <c r="V512" i="1"/>
  <c r="R512" i="1"/>
  <c r="P512" i="1"/>
  <c r="O512" i="1"/>
  <c r="J512" i="1"/>
  <c r="F512" i="1"/>
  <c r="AA511" i="1"/>
  <c r="Y511" i="1"/>
  <c r="W511" i="1"/>
  <c r="V511" i="1"/>
  <c r="R511" i="1"/>
  <c r="P511" i="1"/>
  <c r="O511" i="1"/>
  <c r="J511" i="1"/>
  <c r="F511" i="1"/>
  <c r="AA510" i="1"/>
  <c r="Y510" i="1"/>
  <c r="W510" i="1"/>
  <c r="V510" i="1"/>
  <c r="R510" i="1"/>
  <c r="P510" i="1"/>
  <c r="O510" i="1"/>
  <c r="J510" i="1"/>
  <c r="F510" i="1"/>
  <c r="AA509" i="1"/>
  <c r="Y509" i="1"/>
  <c r="W509" i="1"/>
  <c r="V509" i="1"/>
  <c r="R509" i="1"/>
  <c r="P509" i="1"/>
  <c r="O509" i="1"/>
  <c r="J509" i="1"/>
  <c r="F509" i="1"/>
  <c r="AA508" i="1"/>
  <c r="Y508" i="1"/>
  <c r="W508" i="1"/>
  <c r="V508" i="1"/>
  <c r="R508" i="1"/>
  <c r="P508" i="1"/>
  <c r="O508" i="1"/>
  <c r="J508" i="1"/>
  <c r="F508" i="1"/>
  <c r="AA507" i="1"/>
  <c r="Y507" i="1"/>
  <c r="W507" i="1"/>
  <c r="V507" i="1"/>
  <c r="R507" i="1"/>
  <c r="U507" i="1" s="1"/>
  <c r="P507" i="1"/>
  <c r="O507" i="1"/>
  <c r="J507" i="1"/>
  <c r="F507" i="1"/>
  <c r="AA506" i="1"/>
  <c r="Y506" i="1"/>
  <c r="W506" i="1"/>
  <c r="V506" i="1"/>
  <c r="R506" i="1"/>
  <c r="P506" i="1"/>
  <c r="O506" i="1"/>
  <c r="J506" i="1"/>
  <c r="F506" i="1"/>
  <c r="AA505" i="1"/>
  <c r="Y505" i="1"/>
  <c r="W505" i="1"/>
  <c r="V505" i="1"/>
  <c r="R505" i="1"/>
  <c r="P505" i="1"/>
  <c r="O505" i="1"/>
  <c r="J505" i="1"/>
  <c r="F505" i="1"/>
  <c r="AA504" i="1"/>
  <c r="Y504" i="1"/>
  <c r="W504" i="1"/>
  <c r="V504" i="1"/>
  <c r="R504" i="1"/>
  <c r="P504" i="1"/>
  <c r="O504" i="1"/>
  <c r="J504" i="1"/>
  <c r="F504" i="1"/>
  <c r="AA503" i="1"/>
  <c r="Y503" i="1"/>
  <c r="W503" i="1"/>
  <c r="V503" i="1"/>
  <c r="R503" i="1"/>
  <c r="P503" i="1"/>
  <c r="O503" i="1"/>
  <c r="J503" i="1"/>
  <c r="F503" i="1"/>
  <c r="AA502" i="1"/>
  <c r="Y502" i="1"/>
  <c r="W502" i="1"/>
  <c r="V502" i="1"/>
  <c r="R502" i="1"/>
  <c r="P502" i="1"/>
  <c r="O502" i="1"/>
  <c r="J502" i="1"/>
  <c r="F502" i="1"/>
  <c r="AA501" i="1"/>
  <c r="Y501" i="1"/>
  <c r="W501" i="1"/>
  <c r="V501" i="1"/>
  <c r="R501" i="1"/>
  <c r="P501" i="1"/>
  <c r="O501" i="1"/>
  <c r="J501" i="1"/>
  <c r="F501" i="1"/>
  <c r="AA500" i="1"/>
  <c r="Y500" i="1"/>
  <c r="W500" i="1"/>
  <c r="V500" i="1"/>
  <c r="R500" i="1"/>
  <c r="P500" i="1"/>
  <c r="O500" i="1"/>
  <c r="J500" i="1"/>
  <c r="F500" i="1"/>
  <c r="AA499" i="1"/>
  <c r="Y499" i="1"/>
  <c r="W499" i="1"/>
  <c r="V499" i="1"/>
  <c r="R499" i="1"/>
  <c r="P499" i="1"/>
  <c r="O499" i="1"/>
  <c r="J499" i="1"/>
  <c r="F499" i="1"/>
  <c r="AA498" i="1"/>
  <c r="Y498" i="1"/>
  <c r="W498" i="1"/>
  <c r="V498" i="1"/>
  <c r="R498" i="1"/>
  <c r="P498" i="1"/>
  <c r="O498" i="1"/>
  <c r="J498" i="1"/>
  <c r="F498" i="1"/>
  <c r="AA497" i="1"/>
  <c r="Y497" i="1"/>
  <c r="W497" i="1"/>
  <c r="V497" i="1"/>
  <c r="R497" i="1"/>
  <c r="P497" i="1"/>
  <c r="O497" i="1"/>
  <c r="J497" i="1"/>
  <c r="F497" i="1"/>
  <c r="AA496" i="1"/>
  <c r="Y496" i="1"/>
  <c r="W496" i="1"/>
  <c r="V496" i="1"/>
  <c r="R496" i="1"/>
  <c r="P496" i="1"/>
  <c r="O496" i="1"/>
  <c r="J496" i="1"/>
  <c r="F496" i="1"/>
  <c r="AA495" i="1"/>
  <c r="Y495" i="1"/>
  <c r="W495" i="1"/>
  <c r="V495" i="1"/>
  <c r="R495" i="1"/>
  <c r="P495" i="1"/>
  <c r="O495" i="1"/>
  <c r="J495" i="1"/>
  <c r="F495" i="1"/>
  <c r="AA494" i="1"/>
  <c r="Y494" i="1"/>
  <c r="W494" i="1"/>
  <c r="V494" i="1"/>
  <c r="R494" i="1"/>
  <c r="P494" i="1"/>
  <c r="O494" i="1"/>
  <c r="J494" i="1"/>
  <c r="F494" i="1"/>
  <c r="AA493" i="1"/>
  <c r="Y493" i="1"/>
  <c r="W493" i="1"/>
  <c r="V493" i="1"/>
  <c r="R493" i="1"/>
  <c r="P493" i="1"/>
  <c r="O493" i="1"/>
  <c r="J493" i="1"/>
  <c r="F493" i="1"/>
  <c r="AA492" i="1"/>
  <c r="Y492" i="1"/>
  <c r="W492" i="1"/>
  <c r="V492" i="1"/>
  <c r="R492" i="1"/>
  <c r="P492" i="1"/>
  <c r="O492" i="1"/>
  <c r="J492" i="1"/>
  <c r="F492" i="1"/>
  <c r="AA491" i="1"/>
  <c r="Y491" i="1"/>
  <c r="W491" i="1"/>
  <c r="V491" i="1"/>
  <c r="R491" i="1"/>
  <c r="P491" i="1"/>
  <c r="O491" i="1"/>
  <c r="J491" i="1"/>
  <c r="F491" i="1"/>
  <c r="AA490" i="1"/>
  <c r="Y490" i="1"/>
  <c r="W490" i="1"/>
  <c r="V490" i="1"/>
  <c r="R490" i="1"/>
  <c r="P490" i="1"/>
  <c r="O490" i="1"/>
  <c r="J490" i="1"/>
  <c r="F490" i="1"/>
  <c r="AA489" i="1"/>
  <c r="Y489" i="1"/>
  <c r="W489" i="1"/>
  <c r="V489" i="1"/>
  <c r="R489" i="1"/>
  <c r="P489" i="1"/>
  <c r="O489" i="1"/>
  <c r="J489" i="1"/>
  <c r="F489" i="1"/>
  <c r="AA488" i="1"/>
  <c r="Y488" i="1"/>
  <c r="W488" i="1"/>
  <c r="V488" i="1"/>
  <c r="R488" i="1"/>
  <c r="P488" i="1"/>
  <c r="O488" i="1"/>
  <c r="J488" i="1"/>
  <c r="F488" i="1"/>
  <c r="AA487" i="1"/>
  <c r="Y487" i="1"/>
  <c r="W487" i="1"/>
  <c r="V487" i="1"/>
  <c r="R487" i="1"/>
  <c r="P487" i="1"/>
  <c r="O487" i="1"/>
  <c r="J487" i="1"/>
  <c r="F487" i="1"/>
  <c r="AA486" i="1"/>
  <c r="Y486" i="1"/>
  <c r="W486" i="1"/>
  <c r="V486" i="1"/>
  <c r="R486" i="1"/>
  <c r="P486" i="1"/>
  <c r="O486" i="1"/>
  <c r="J486" i="1"/>
  <c r="F486" i="1"/>
  <c r="AA485" i="1"/>
  <c r="Y485" i="1"/>
  <c r="W485" i="1"/>
  <c r="V485" i="1"/>
  <c r="R485" i="1"/>
  <c r="U485" i="1" s="1"/>
  <c r="P485" i="1"/>
  <c r="O485" i="1"/>
  <c r="J485" i="1"/>
  <c r="F485" i="1"/>
  <c r="AA484" i="1"/>
  <c r="Y484" i="1"/>
  <c r="W484" i="1"/>
  <c r="V484" i="1"/>
  <c r="R484" i="1"/>
  <c r="P484" i="1"/>
  <c r="O484" i="1"/>
  <c r="J484" i="1"/>
  <c r="F484" i="1"/>
  <c r="AA483" i="1"/>
  <c r="Y483" i="1"/>
  <c r="W483" i="1"/>
  <c r="V483" i="1"/>
  <c r="R483" i="1"/>
  <c r="P483" i="1"/>
  <c r="O483" i="1"/>
  <c r="J483" i="1"/>
  <c r="F483" i="1"/>
  <c r="AA482" i="1"/>
  <c r="Y482" i="1"/>
  <c r="W482" i="1"/>
  <c r="V482" i="1"/>
  <c r="R482" i="1"/>
  <c r="P482" i="1"/>
  <c r="O482" i="1"/>
  <c r="J482" i="1"/>
  <c r="F482" i="1"/>
  <c r="AA481" i="1"/>
  <c r="Y481" i="1"/>
  <c r="W481" i="1"/>
  <c r="V481" i="1"/>
  <c r="R481" i="1"/>
  <c r="P481" i="1"/>
  <c r="O481" i="1"/>
  <c r="J481" i="1"/>
  <c r="F481" i="1"/>
  <c r="AA480" i="1"/>
  <c r="Y480" i="1"/>
  <c r="W480" i="1"/>
  <c r="V480" i="1"/>
  <c r="R480" i="1"/>
  <c r="P480" i="1"/>
  <c r="O480" i="1"/>
  <c r="J480" i="1"/>
  <c r="F480" i="1"/>
  <c r="AA479" i="1"/>
  <c r="Y479" i="1"/>
  <c r="W479" i="1"/>
  <c r="V479" i="1"/>
  <c r="R479" i="1"/>
  <c r="P479" i="1"/>
  <c r="O479" i="1"/>
  <c r="J479" i="1"/>
  <c r="F479" i="1"/>
  <c r="AA478" i="1"/>
  <c r="Y478" i="1"/>
  <c r="W478" i="1"/>
  <c r="V478" i="1"/>
  <c r="R478" i="1"/>
  <c r="P478" i="1"/>
  <c r="O478" i="1"/>
  <c r="J478" i="1"/>
  <c r="F478" i="1"/>
  <c r="AA477" i="1"/>
  <c r="Y477" i="1"/>
  <c r="W477" i="1"/>
  <c r="V477" i="1"/>
  <c r="R477" i="1"/>
  <c r="P477" i="1"/>
  <c r="O477" i="1"/>
  <c r="J477" i="1"/>
  <c r="F477" i="1"/>
  <c r="AA476" i="1"/>
  <c r="Y476" i="1"/>
  <c r="W476" i="1"/>
  <c r="V476" i="1"/>
  <c r="R476" i="1"/>
  <c r="P476" i="1"/>
  <c r="O476" i="1"/>
  <c r="J476" i="1"/>
  <c r="F476" i="1"/>
  <c r="AA475" i="1"/>
  <c r="Y475" i="1"/>
  <c r="W475" i="1"/>
  <c r="V475" i="1"/>
  <c r="R475" i="1"/>
  <c r="P475" i="1"/>
  <c r="O475" i="1"/>
  <c r="J475" i="1"/>
  <c r="F475" i="1"/>
  <c r="AA474" i="1"/>
  <c r="Y474" i="1"/>
  <c r="W474" i="1"/>
  <c r="V474" i="1"/>
  <c r="R474" i="1"/>
  <c r="P474" i="1"/>
  <c r="O474" i="1"/>
  <c r="J474" i="1"/>
  <c r="F474" i="1"/>
  <c r="AA473" i="1"/>
  <c r="Y473" i="1"/>
  <c r="W473" i="1"/>
  <c r="V473" i="1"/>
  <c r="R473" i="1"/>
  <c r="P473" i="1"/>
  <c r="O473" i="1"/>
  <c r="J473" i="1"/>
  <c r="F473" i="1"/>
  <c r="AA472" i="1"/>
  <c r="Y472" i="1"/>
  <c r="W472" i="1"/>
  <c r="V472" i="1"/>
  <c r="R472" i="1"/>
  <c r="P472" i="1"/>
  <c r="O472" i="1"/>
  <c r="J472" i="1"/>
  <c r="F472" i="1"/>
  <c r="AA471" i="1"/>
  <c r="Y471" i="1"/>
  <c r="W471" i="1"/>
  <c r="V471" i="1"/>
  <c r="R471" i="1"/>
  <c r="P471" i="1"/>
  <c r="O471" i="1"/>
  <c r="J471" i="1"/>
  <c r="F471" i="1"/>
  <c r="AA470" i="1"/>
  <c r="Y470" i="1"/>
  <c r="W470" i="1"/>
  <c r="V470" i="1"/>
  <c r="R470" i="1"/>
  <c r="P470" i="1"/>
  <c r="O470" i="1"/>
  <c r="J470" i="1"/>
  <c r="F470" i="1"/>
  <c r="AA469" i="1"/>
  <c r="Y469" i="1"/>
  <c r="W469" i="1"/>
  <c r="V469" i="1"/>
  <c r="R469" i="1"/>
  <c r="P469" i="1"/>
  <c r="O469" i="1"/>
  <c r="J469" i="1"/>
  <c r="F469" i="1"/>
  <c r="AA468" i="1"/>
  <c r="Y468" i="1"/>
  <c r="W468" i="1"/>
  <c r="V468" i="1"/>
  <c r="R468" i="1"/>
  <c r="P468" i="1"/>
  <c r="O468" i="1"/>
  <c r="J468" i="1"/>
  <c r="F468" i="1"/>
  <c r="AA467" i="1"/>
  <c r="Y467" i="1"/>
  <c r="W467" i="1"/>
  <c r="V467" i="1"/>
  <c r="R467" i="1"/>
  <c r="P467" i="1"/>
  <c r="O467" i="1"/>
  <c r="J467" i="1"/>
  <c r="F467" i="1"/>
  <c r="AA466" i="1"/>
  <c r="Y466" i="1"/>
  <c r="W466" i="1"/>
  <c r="V466" i="1"/>
  <c r="R466" i="1"/>
  <c r="P466" i="1"/>
  <c r="O466" i="1"/>
  <c r="J466" i="1"/>
  <c r="F466" i="1"/>
  <c r="AA465" i="1"/>
  <c r="Y465" i="1"/>
  <c r="W465" i="1"/>
  <c r="V465" i="1"/>
  <c r="R465" i="1"/>
  <c r="P465" i="1"/>
  <c r="O465" i="1"/>
  <c r="J465" i="1"/>
  <c r="F465" i="1"/>
  <c r="AA464" i="1"/>
  <c r="Y464" i="1"/>
  <c r="W464" i="1"/>
  <c r="V464" i="1"/>
  <c r="R464" i="1"/>
  <c r="P464" i="1"/>
  <c r="O464" i="1"/>
  <c r="J464" i="1"/>
  <c r="F464" i="1"/>
  <c r="AA463" i="1"/>
  <c r="Y463" i="1"/>
  <c r="W463" i="1"/>
  <c r="V463" i="1"/>
  <c r="R463" i="1"/>
  <c r="P463" i="1"/>
  <c r="O463" i="1"/>
  <c r="J463" i="1"/>
  <c r="F463" i="1"/>
  <c r="AA462" i="1"/>
  <c r="Y462" i="1"/>
  <c r="W462" i="1"/>
  <c r="V462" i="1"/>
  <c r="R462" i="1"/>
  <c r="P462" i="1"/>
  <c r="O462" i="1"/>
  <c r="J462" i="1"/>
  <c r="F462" i="1"/>
  <c r="AA461" i="1"/>
  <c r="Y461" i="1"/>
  <c r="W461" i="1"/>
  <c r="V461" i="1"/>
  <c r="R461" i="1"/>
  <c r="P461" i="1"/>
  <c r="O461" i="1"/>
  <c r="J461" i="1"/>
  <c r="F461" i="1"/>
  <c r="AA460" i="1"/>
  <c r="Y460" i="1"/>
  <c r="W460" i="1"/>
  <c r="V460" i="1"/>
  <c r="R460" i="1"/>
  <c r="P460" i="1"/>
  <c r="O460" i="1"/>
  <c r="J460" i="1"/>
  <c r="F460" i="1"/>
  <c r="AA459" i="1"/>
  <c r="Y459" i="1"/>
  <c r="W459" i="1"/>
  <c r="V459" i="1"/>
  <c r="R459" i="1"/>
  <c r="P459" i="1"/>
  <c r="O459" i="1"/>
  <c r="J459" i="1"/>
  <c r="F459" i="1"/>
  <c r="AA458" i="1"/>
  <c r="Y458" i="1"/>
  <c r="W458" i="1"/>
  <c r="V458" i="1"/>
  <c r="R458" i="1"/>
  <c r="P458" i="1"/>
  <c r="O458" i="1"/>
  <c r="J458" i="1"/>
  <c r="F458" i="1"/>
  <c r="AA457" i="1"/>
  <c r="Y457" i="1"/>
  <c r="W457" i="1"/>
  <c r="V457" i="1"/>
  <c r="R457" i="1"/>
  <c r="P457" i="1"/>
  <c r="O457" i="1"/>
  <c r="J457" i="1"/>
  <c r="F457" i="1"/>
  <c r="AA456" i="1"/>
  <c r="Y456" i="1"/>
  <c r="W456" i="1"/>
  <c r="V456" i="1"/>
  <c r="R456" i="1"/>
  <c r="P456" i="1"/>
  <c r="O456" i="1"/>
  <c r="J456" i="1"/>
  <c r="F456" i="1"/>
  <c r="AA455" i="1"/>
  <c r="Y455" i="1"/>
  <c r="W455" i="1"/>
  <c r="V455" i="1"/>
  <c r="R455" i="1"/>
  <c r="P455" i="1"/>
  <c r="O455" i="1"/>
  <c r="N455" i="1"/>
  <c r="J455" i="1"/>
  <c r="F455" i="1"/>
  <c r="AA454" i="1"/>
  <c r="Y454" i="1"/>
  <c r="W454" i="1"/>
  <c r="V454" i="1"/>
  <c r="R454" i="1"/>
  <c r="P454" i="1"/>
  <c r="O454" i="1"/>
  <c r="J454" i="1"/>
  <c r="F454" i="1"/>
  <c r="AA453" i="1"/>
  <c r="Y453" i="1"/>
  <c r="W453" i="1"/>
  <c r="V453" i="1"/>
  <c r="R453" i="1"/>
  <c r="P453" i="1"/>
  <c r="O453" i="1"/>
  <c r="J453" i="1"/>
  <c r="F453" i="1"/>
  <c r="AA452" i="1"/>
  <c r="Y452" i="1"/>
  <c r="W452" i="1"/>
  <c r="V452" i="1"/>
  <c r="R452" i="1"/>
  <c r="P452" i="1"/>
  <c r="O452" i="1"/>
  <c r="J452" i="1"/>
  <c r="F452" i="1"/>
  <c r="AA451" i="1"/>
  <c r="Y451" i="1"/>
  <c r="W451" i="1"/>
  <c r="V451" i="1"/>
  <c r="R451" i="1"/>
  <c r="P451" i="1"/>
  <c r="O451" i="1"/>
  <c r="J451" i="1"/>
  <c r="F451" i="1"/>
  <c r="AA450" i="1"/>
  <c r="Y450" i="1"/>
  <c r="W450" i="1"/>
  <c r="V450" i="1"/>
  <c r="R450" i="1"/>
  <c r="P450" i="1"/>
  <c r="O450" i="1"/>
  <c r="J450" i="1"/>
  <c r="F450" i="1"/>
  <c r="AA449" i="1"/>
  <c r="Y449" i="1"/>
  <c r="W449" i="1"/>
  <c r="V449" i="1"/>
  <c r="R449" i="1"/>
  <c r="P449" i="1"/>
  <c r="O449" i="1"/>
  <c r="J449" i="1"/>
  <c r="F449" i="1"/>
  <c r="AA448" i="1"/>
  <c r="Y448" i="1"/>
  <c r="W448" i="1"/>
  <c r="V448" i="1"/>
  <c r="R448" i="1"/>
  <c r="P448" i="1"/>
  <c r="O448" i="1"/>
  <c r="J448" i="1"/>
  <c r="F448" i="1"/>
  <c r="AA447" i="1"/>
  <c r="Y447" i="1"/>
  <c r="W447" i="1"/>
  <c r="V447" i="1"/>
  <c r="R447" i="1"/>
  <c r="P447" i="1"/>
  <c r="O447" i="1"/>
  <c r="J447" i="1"/>
  <c r="F447" i="1"/>
  <c r="AA446" i="1"/>
  <c r="Y446" i="1"/>
  <c r="W446" i="1"/>
  <c r="V446" i="1"/>
  <c r="R446" i="1"/>
  <c r="P446" i="1"/>
  <c r="O446" i="1"/>
  <c r="J446" i="1"/>
  <c r="F446" i="1"/>
  <c r="AA445" i="1"/>
  <c r="Y445" i="1"/>
  <c r="W445" i="1"/>
  <c r="V445" i="1"/>
  <c r="R445" i="1"/>
  <c r="P445" i="1"/>
  <c r="O445" i="1"/>
  <c r="J445" i="1"/>
  <c r="F445" i="1"/>
  <c r="AA444" i="1"/>
  <c r="Y444" i="1"/>
  <c r="W444" i="1"/>
  <c r="V444" i="1"/>
  <c r="R444" i="1"/>
  <c r="P444" i="1"/>
  <c r="O444" i="1"/>
  <c r="J444" i="1"/>
  <c r="F444" i="1"/>
  <c r="AA443" i="1"/>
  <c r="Y443" i="1"/>
  <c r="W443" i="1"/>
  <c r="V443" i="1"/>
  <c r="R443" i="1"/>
  <c r="P443" i="1"/>
  <c r="O443" i="1"/>
  <c r="J443" i="1"/>
  <c r="F443" i="1"/>
  <c r="AA442" i="1"/>
  <c r="Y442" i="1"/>
  <c r="W442" i="1"/>
  <c r="V442" i="1"/>
  <c r="R442" i="1"/>
  <c r="P442" i="1"/>
  <c r="O442" i="1"/>
  <c r="J442" i="1"/>
  <c r="F442" i="1"/>
  <c r="AA441" i="1"/>
  <c r="Y441" i="1"/>
  <c r="W441" i="1"/>
  <c r="V441" i="1"/>
  <c r="R441" i="1"/>
  <c r="P441" i="1"/>
  <c r="O441" i="1"/>
  <c r="J441" i="1"/>
  <c r="F441" i="1"/>
  <c r="AA440" i="1"/>
  <c r="Y440" i="1"/>
  <c r="W440" i="1"/>
  <c r="V440" i="1"/>
  <c r="R440" i="1"/>
  <c r="P440" i="1"/>
  <c r="O440" i="1"/>
  <c r="J440" i="1"/>
  <c r="F440" i="1"/>
  <c r="AA439" i="1"/>
  <c r="Y439" i="1"/>
  <c r="W439" i="1"/>
  <c r="V439" i="1"/>
  <c r="R439" i="1"/>
  <c r="P439" i="1"/>
  <c r="O439" i="1"/>
  <c r="J439" i="1"/>
  <c r="F439" i="1"/>
  <c r="AA438" i="1"/>
  <c r="Y438" i="1"/>
  <c r="W438" i="1"/>
  <c r="V438" i="1"/>
  <c r="R438" i="1"/>
  <c r="P438" i="1"/>
  <c r="O438" i="1"/>
  <c r="J438" i="1"/>
  <c r="F438" i="1"/>
  <c r="AA437" i="1"/>
  <c r="Y437" i="1"/>
  <c r="W437" i="1"/>
  <c r="V437" i="1"/>
  <c r="R437" i="1"/>
  <c r="P437" i="1"/>
  <c r="O437" i="1"/>
  <c r="J437" i="1"/>
  <c r="F437" i="1"/>
  <c r="AA436" i="1"/>
  <c r="Y436" i="1"/>
  <c r="W436" i="1"/>
  <c r="V436" i="1"/>
  <c r="R436" i="1"/>
  <c r="P436" i="1"/>
  <c r="O436" i="1"/>
  <c r="J436" i="1"/>
  <c r="F436" i="1"/>
  <c r="AA435" i="1"/>
  <c r="Y435" i="1"/>
  <c r="W435" i="1"/>
  <c r="V435" i="1"/>
  <c r="R435" i="1"/>
  <c r="P435" i="1"/>
  <c r="O435" i="1"/>
  <c r="J435" i="1"/>
  <c r="F435" i="1"/>
  <c r="AA434" i="1"/>
  <c r="Y434" i="1"/>
  <c r="W434" i="1"/>
  <c r="V434" i="1"/>
  <c r="R434" i="1"/>
  <c r="P434" i="1"/>
  <c r="O434" i="1"/>
  <c r="J434" i="1"/>
  <c r="F434" i="1"/>
  <c r="AA433" i="1"/>
  <c r="Y433" i="1"/>
  <c r="W433" i="1"/>
  <c r="V433" i="1"/>
  <c r="R433" i="1"/>
  <c r="P433" i="1"/>
  <c r="O433" i="1"/>
  <c r="J433" i="1"/>
  <c r="F433" i="1"/>
  <c r="AA432" i="1"/>
  <c r="Y432" i="1"/>
  <c r="W432" i="1"/>
  <c r="V432" i="1"/>
  <c r="R432" i="1"/>
  <c r="P432" i="1"/>
  <c r="O432" i="1"/>
  <c r="J432" i="1"/>
  <c r="F432" i="1"/>
  <c r="AA431" i="1"/>
  <c r="Y431" i="1"/>
  <c r="W431" i="1"/>
  <c r="V431" i="1"/>
  <c r="R431" i="1"/>
  <c r="P431" i="1"/>
  <c r="O431" i="1"/>
  <c r="J431" i="1"/>
  <c r="F431" i="1"/>
  <c r="AA430" i="1"/>
  <c r="Y430" i="1"/>
  <c r="W430" i="1"/>
  <c r="V430" i="1"/>
  <c r="R430" i="1"/>
  <c r="P430" i="1"/>
  <c r="O430" i="1"/>
  <c r="J430" i="1"/>
  <c r="F430" i="1"/>
  <c r="AA429" i="1"/>
  <c r="Y429" i="1"/>
  <c r="W429" i="1"/>
  <c r="V429" i="1"/>
  <c r="R429" i="1"/>
  <c r="P429" i="1"/>
  <c r="O429" i="1"/>
  <c r="J429" i="1"/>
  <c r="F429" i="1"/>
  <c r="AA428" i="1"/>
  <c r="Y428" i="1"/>
  <c r="W428" i="1"/>
  <c r="V428" i="1"/>
  <c r="R428" i="1"/>
  <c r="P428" i="1"/>
  <c r="O428" i="1"/>
  <c r="J428" i="1"/>
  <c r="F428" i="1"/>
  <c r="AA427" i="1"/>
  <c r="Y427" i="1"/>
  <c r="W427" i="1"/>
  <c r="V427" i="1"/>
  <c r="U427" i="1"/>
  <c r="R427" i="1"/>
  <c r="P427" i="1"/>
  <c r="O427" i="1"/>
  <c r="J427" i="1"/>
  <c r="F427" i="1"/>
  <c r="AA426" i="1"/>
  <c r="Y426" i="1"/>
  <c r="W426" i="1"/>
  <c r="V426" i="1"/>
  <c r="R426" i="1"/>
  <c r="P426" i="1"/>
  <c r="O426" i="1"/>
  <c r="J426" i="1"/>
  <c r="F426" i="1"/>
  <c r="AA425" i="1"/>
  <c r="Y425" i="1"/>
  <c r="W425" i="1"/>
  <c r="V425" i="1"/>
  <c r="R425" i="1"/>
  <c r="P425" i="1"/>
  <c r="O425" i="1"/>
  <c r="J425" i="1"/>
  <c r="F425" i="1"/>
  <c r="AA424" i="1"/>
  <c r="Y424" i="1"/>
  <c r="W424" i="1"/>
  <c r="V424" i="1"/>
  <c r="R424" i="1"/>
  <c r="P424" i="1"/>
  <c r="O424" i="1"/>
  <c r="J424" i="1"/>
  <c r="F424" i="1"/>
  <c r="AA423" i="1"/>
  <c r="Y423" i="1"/>
  <c r="W423" i="1"/>
  <c r="V423" i="1"/>
  <c r="R423" i="1"/>
  <c r="P423" i="1"/>
  <c r="O423" i="1"/>
  <c r="J423" i="1"/>
  <c r="F423" i="1"/>
  <c r="AA422" i="1"/>
  <c r="Y422" i="1"/>
  <c r="W422" i="1"/>
  <c r="V422" i="1"/>
  <c r="R422" i="1"/>
  <c r="P422" i="1"/>
  <c r="O422" i="1"/>
  <c r="J422" i="1"/>
  <c r="F422" i="1"/>
  <c r="AA421" i="1"/>
  <c r="Y421" i="1"/>
  <c r="W421" i="1"/>
  <c r="V421" i="1"/>
  <c r="R421" i="1"/>
  <c r="P421" i="1"/>
  <c r="O421" i="1"/>
  <c r="J421" i="1"/>
  <c r="F421" i="1"/>
  <c r="AA420" i="1"/>
  <c r="Y420" i="1"/>
  <c r="W420" i="1"/>
  <c r="V420" i="1"/>
  <c r="R420" i="1"/>
  <c r="P420" i="1"/>
  <c r="O420" i="1"/>
  <c r="J420" i="1"/>
  <c r="F420" i="1"/>
  <c r="AA419" i="1"/>
  <c r="Y419" i="1"/>
  <c r="W419" i="1"/>
  <c r="V419" i="1"/>
  <c r="R419" i="1"/>
  <c r="P419" i="1"/>
  <c r="O419" i="1"/>
  <c r="J419" i="1"/>
  <c r="F419" i="1"/>
  <c r="AA418" i="1"/>
  <c r="Y418" i="1"/>
  <c r="W418" i="1"/>
  <c r="V418" i="1"/>
  <c r="R418" i="1"/>
  <c r="P418" i="1"/>
  <c r="O418" i="1"/>
  <c r="J418" i="1"/>
  <c r="F418" i="1"/>
  <c r="AA417" i="1"/>
  <c r="Y417" i="1"/>
  <c r="W417" i="1"/>
  <c r="V417" i="1"/>
  <c r="R417" i="1"/>
  <c r="P417" i="1"/>
  <c r="O417" i="1"/>
  <c r="J417" i="1"/>
  <c r="F417" i="1"/>
  <c r="AA416" i="1"/>
  <c r="Y416" i="1"/>
  <c r="W416" i="1"/>
  <c r="V416" i="1"/>
  <c r="R416" i="1"/>
  <c r="P416" i="1"/>
  <c r="O416" i="1"/>
  <c r="J416" i="1"/>
  <c r="F416" i="1"/>
  <c r="AA415" i="1"/>
  <c r="Y415" i="1"/>
  <c r="W415" i="1"/>
  <c r="V415" i="1"/>
  <c r="R415" i="1"/>
  <c r="P415" i="1"/>
  <c r="O415" i="1"/>
  <c r="J415" i="1"/>
  <c r="F415" i="1"/>
  <c r="AA414" i="1"/>
  <c r="Y414" i="1"/>
  <c r="W414" i="1"/>
  <c r="V414" i="1"/>
  <c r="R414" i="1"/>
  <c r="P414" i="1"/>
  <c r="O414" i="1"/>
  <c r="J414" i="1"/>
  <c r="F414" i="1"/>
  <c r="AA413" i="1"/>
  <c r="Y413" i="1"/>
  <c r="W413" i="1"/>
  <c r="V413" i="1"/>
  <c r="R413" i="1"/>
  <c r="P413" i="1"/>
  <c r="O413" i="1"/>
  <c r="J413" i="1"/>
  <c r="F413" i="1"/>
  <c r="AA412" i="1"/>
  <c r="Y412" i="1"/>
  <c r="W412" i="1"/>
  <c r="V412" i="1"/>
  <c r="R412" i="1"/>
  <c r="P412" i="1"/>
  <c r="O412" i="1"/>
  <c r="J412" i="1"/>
  <c r="F412" i="1"/>
  <c r="AA411" i="1"/>
  <c r="Y411" i="1"/>
  <c r="W411" i="1"/>
  <c r="V411" i="1"/>
  <c r="R411" i="1"/>
  <c r="P411" i="1"/>
  <c r="O411" i="1"/>
  <c r="J411" i="1"/>
  <c r="F411" i="1"/>
  <c r="AA410" i="1"/>
  <c r="Y410" i="1"/>
  <c r="W410" i="1"/>
  <c r="V410" i="1"/>
  <c r="R410" i="1"/>
  <c r="P410" i="1"/>
  <c r="O410" i="1"/>
  <c r="J410" i="1"/>
  <c r="F410" i="1"/>
  <c r="AA409" i="1"/>
  <c r="Y409" i="1"/>
  <c r="W409" i="1"/>
  <c r="V409" i="1"/>
  <c r="R409" i="1"/>
  <c r="P409" i="1"/>
  <c r="O409" i="1"/>
  <c r="J409" i="1"/>
  <c r="F409" i="1"/>
  <c r="AA408" i="1"/>
  <c r="Y408" i="1"/>
  <c r="W408" i="1"/>
  <c r="V408" i="1"/>
  <c r="R408" i="1"/>
  <c r="P408" i="1"/>
  <c r="O408" i="1"/>
  <c r="J408" i="1"/>
  <c r="F408" i="1"/>
  <c r="AA407" i="1"/>
  <c r="Y407" i="1"/>
  <c r="W407" i="1"/>
  <c r="V407" i="1"/>
  <c r="R407" i="1"/>
  <c r="P407" i="1"/>
  <c r="O407" i="1"/>
  <c r="J407" i="1"/>
  <c r="F407" i="1"/>
  <c r="AA406" i="1"/>
  <c r="Y406" i="1"/>
  <c r="W406" i="1"/>
  <c r="V406" i="1"/>
  <c r="R406" i="1"/>
  <c r="P406" i="1"/>
  <c r="O406" i="1"/>
  <c r="J406" i="1"/>
  <c r="F406" i="1"/>
  <c r="AA405" i="1"/>
  <c r="Y405" i="1"/>
  <c r="W405" i="1"/>
  <c r="V405" i="1"/>
  <c r="R405" i="1"/>
  <c r="P405" i="1"/>
  <c r="O405" i="1"/>
  <c r="J405" i="1"/>
  <c r="F405" i="1"/>
  <c r="AA404" i="1"/>
  <c r="Y404" i="1"/>
  <c r="W404" i="1"/>
  <c r="V404" i="1"/>
  <c r="R404" i="1"/>
  <c r="P404" i="1"/>
  <c r="O404" i="1"/>
  <c r="J404" i="1"/>
  <c r="F404" i="1"/>
  <c r="AA403" i="1"/>
  <c r="Y403" i="1"/>
  <c r="W403" i="1"/>
  <c r="V403" i="1"/>
  <c r="R403" i="1"/>
  <c r="P403" i="1"/>
  <c r="O403" i="1"/>
  <c r="J403" i="1"/>
  <c r="F403" i="1"/>
  <c r="AA402" i="1"/>
  <c r="Y402" i="1"/>
  <c r="W402" i="1"/>
  <c r="V402" i="1"/>
  <c r="R402" i="1"/>
  <c r="P402" i="1"/>
  <c r="O402" i="1"/>
  <c r="J402" i="1"/>
  <c r="F402" i="1"/>
  <c r="AA401" i="1"/>
  <c r="Y401" i="1"/>
  <c r="W401" i="1"/>
  <c r="V401" i="1"/>
  <c r="R401" i="1"/>
  <c r="P401" i="1"/>
  <c r="O401" i="1"/>
  <c r="J401" i="1"/>
  <c r="F401" i="1"/>
  <c r="AA400" i="1"/>
  <c r="Y400" i="1"/>
  <c r="W400" i="1"/>
  <c r="V400" i="1"/>
  <c r="R400" i="1"/>
  <c r="P400" i="1"/>
  <c r="O400" i="1"/>
  <c r="J400" i="1"/>
  <c r="F400" i="1"/>
  <c r="AA399" i="1"/>
  <c r="Y399" i="1"/>
  <c r="W399" i="1"/>
  <c r="V399" i="1"/>
  <c r="R399" i="1"/>
  <c r="P399" i="1"/>
  <c r="O399" i="1"/>
  <c r="J399" i="1"/>
  <c r="F399" i="1"/>
  <c r="AA398" i="1"/>
  <c r="Y398" i="1"/>
  <c r="W398" i="1"/>
  <c r="V398" i="1"/>
  <c r="R398" i="1"/>
  <c r="P398" i="1"/>
  <c r="O398" i="1"/>
  <c r="J398" i="1"/>
  <c r="F398" i="1"/>
  <c r="AA397" i="1"/>
  <c r="Y397" i="1"/>
  <c r="W397" i="1"/>
  <c r="V397" i="1"/>
  <c r="R397" i="1"/>
  <c r="P397" i="1"/>
  <c r="O397" i="1"/>
  <c r="J397" i="1"/>
  <c r="F397" i="1"/>
  <c r="AA396" i="1"/>
  <c r="Y396" i="1"/>
  <c r="W396" i="1"/>
  <c r="V396" i="1"/>
  <c r="R396" i="1"/>
  <c r="P396" i="1"/>
  <c r="O396" i="1"/>
  <c r="J396" i="1"/>
  <c r="F396" i="1"/>
  <c r="AA395" i="1"/>
  <c r="Y395" i="1"/>
  <c r="W395" i="1"/>
  <c r="V395" i="1"/>
  <c r="R395" i="1"/>
  <c r="P395" i="1"/>
  <c r="O395" i="1"/>
  <c r="J395" i="1"/>
  <c r="F395" i="1"/>
  <c r="AA394" i="1"/>
  <c r="Y394" i="1"/>
  <c r="W394" i="1"/>
  <c r="V394" i="1"/>
  <c r="R394" i="1"/>
  <c r="P394" i="1"/>
  <c r="O394" i="1"/>
  <c r="J394" i="1"/>
  <c r="F394" i="1"/>
  <c r="AA393" i="1"/>
  <c r="Y393" i="1"/>
  <c r="W393" i="1"/>
  <c r="V393" i="1"/>
  <c r="R393" i="1"/>
  <c r="P393" i="1"/>
  <c r="O393" i="1"/>
  <c r="J393" i="1"/>
  <c r="F393" i="1"/>
  <c r="AA392" i="1"/>
  <c r="Y392" i="1"/>
  <c r="W392" i="1"/>
  <c r="V392" i="1"/>
  <c r="R392" i="1"/>
  <c r="P392" i="1"/>
  <c r="O392" i="1"/>
  <c r="J392" i="1"/>
  <c r="F392" i="1"/>
  <c r="AA391" i="1"/>
  <c r="Y391" i="1"/>
  <c r="W391" i="1"/>
  <c r="V391" i="1"/>
  <c r="R391" i="1"/>
  <c r="P391" i="1"/>
  <c r="O391" i="1"/>
  <c r="J391" i="1"/>
  <c r="F391" i="1"/>
  <c r="AA390" i="1"/>
  <c r="Y390" i="1"/>
  <c r="W390" i="1"/>
  <c r="V390" i="1"/>
  <c r="R390" i="1"/>
  <c r="P390" i="1"/>
  <c r="O390" i="1"/>
  <c r="J390" i="1"/>
  <c r="F390" i="1"/>
  <c r="AA389" i="1"/>
  <c r="Y389" i="1"/>
  <c r="W389" i="1"/>
  <c r="V389" i="1"/>
  <c r="R389" i="1"/>
  <c r="P389" i="1"/>
  <c r="O389" i="1"/>
  <c r="J389" i="1"/>
  <c r="F389" i="1"/>
  <c r="AA388" i="1"/>
  <c r="Y388" i="1"/>
  <c r="W388" i="1"/>
  <c r="V388" i="1"/>
  <c r="R388" i="1"/>
  <c r="U388" i="1" s="1"/>
  <c r="P388" i="1"/>
  <c r="O388" i="1"/>
  <c r="J388" i="1"/>
  <c r="F388" i="1"/>
  <c r="AA387" i="1"/>
  <c r="Y387" i="1"/>
  <c r="W387" i="1"/>
  <c r="V387" i="1"/>
  <c r="R387" i="1"/>
  <c r="U387" i="1" s="1"/>
  <c r="P387" i="1"/>
  <c r="O387" i="1"/>
  <c r="J387" i="1"/>
  <c r="F387" i="1"/>
  <c r="AA386" i="1"/>
  <c r="Y386" i="1"/>
  <c r="W386" i="1"/>
  <c r="V386" i="1"/>
  <c r="R386" i="1"/>
  <c r="P386" i="1"/>
  <c r="O386" i="1"/>
  <c r="J386" i="1"/>
  <c r="F386" i="1"/>
  <c r="AA385" i="1"/>
  <c r="Y385" i="1"/>
  <c r="W385" i="1"/>
  <c r="V385" i="1"/>
  <c r="R385" i="1"/>
  <c r="P385" i="1"/>
  <c r="O385" i="1"/>
  <c r="J385" i="1"/>
  <c r="F385" i="1"/>
  <c r="AA384" i="1"/>
  <c r="Y384" i="1"/>
  <c r="W384" i="1"/>
  <c r="V384" i="1"/>
  <c r="R384" i="1"/>
  <c r="P384" i="1"/>
  <c r="O384" i="1"/>
  <c r="J384" i="1"/>
  <c r="F384" i="1"/>
  <c r="AA383" i="1"/>
  <c r="Y383" i="1"/>
  <c r="W383" i="1"/>
  <c r="V383" i="1"/>
  <c r="R383" i="1"/>
  <c r="P383" i="1"/>
  <c r="O383" i="1"/>
  <c r="J383" i="1"/>
  <c r="F383" i="1"/>
  <c r="AA382" i="1"/>
  <c r="Y382" i="1"/>
  <c r="W382" i="1"/>
  <c r="V382" i="1"/>
  <c r="R382" i="1"/>
  <c r="P382" i="1"/>
  <c r="O382" i="1"/>
  <c r="J382" i="1"/>
  <c r="F382" i="1"/>
  <c r="AA381" i="1"/>
  <c r="Y381" i="1"/>
  <c r="W381" i="1"/>
  <c r="V381" i="1"/>
  <c r="R381" i="1"/>
  <c r="P381" i="1"/>
  <c r="O381" i="1"/>
  <c r="J381" i="1"/>
  <c r="F381" i="1"/>
  <c r="AA380" i="1"/>
  <c r="Y380" i="1"/>
  <c r="W380" i="1"/>
  <c r="V380" i="1"/>
  <c r="R380" i="1"/>
  <c r="P380" i="1"/>
  <c r="O380" i="1"/>
  <c r="J380" i="1"/>
  <c r="F380" i="1"/>
  <c r="AA379" i="1"/>
  <c r="Y379" i="1"/>
  <c r="W379" i="1"/>
  <c r="V379" i="1"/>
  <c r="R379" i="1"/>
  <c r="P379" i="1"/>
  <c r="O379" i="1"/>
  <c r="J379" i="1"/>
  <c r="F379" i="1"/>
  <c r="AA378" i="1"/>
  <c r="Y378" i="1"/>
  <c r="W378" i="1"/>
  <c r="V378" i="1"/>
  <c r="R378" i="1"/>
  <c r="P378" i="1"/>
  <c r="O378" i="1"/>
  <c r="J378" i="1"/>
  <c r="F378" i="1"/>
  <c r="AA377" i="1"/>
  <c r="Y377" i="1"/>
  <c r="W377" i="1"/>
  <c r="V377" i="1"/>
  <c r="R377" i="1"/>
  <c r="P377" i="1"/>
  <c r="O377" i="1"/>
  <c r="J377" i="1"/>
  <c r="F377" i="1"/>
  <c r="AA376" i="1"/>
  <c r="Y376" i="1"/>
  <c r="W376" i="1"/>
  <c r="V376" i="1"/>
  <c r="R376" i="1"/>
  <c r="P376" i="1"/>
  <c r="O376" i="1"/>
  <c r="J376" i="1"/>
  <c r="F376" i="1"/>
  <c r="AA375" i="1"/>
  <c r="Y375" i="1"/>
  <c r="W375" i="1"/>
  <c r="V375" i="1"/>
  <c r="R375" i="1"/>
  <c r="P375" i="1"/>
  <c r="O375" i="1"/>
  <c r="J375" i="1"/>
  <c r="F375" i="1"/>
  <c r="AA374" i="1"/>
  <c r="Y374" i="1"/>
  <c r="W374" i="1"/>
  <c r="V374" i="1"/>
  <c r="R374" i="1"/>
  <c r="P374" i="1"/>
  <c r="O374" i="1"/>
  <c r="J374" i="1"/>
  <c r="F374" i="1"/>
  <c r="AA373" i="1"/>
  <c r="Y373" i="1"/>
  <c r="W373" i="1"/>
  <c r="V373" i="1"/>
  <c r="R373" i="1"/>
  <c r="P373" i="1"/>
  <c r="O373" i="1"/>
  <c r="J373" i="1"/>
  <c r="F373" i="1"/>
  <c r="AA372" i="1"/>
  <c r="Y372" i="1"/>
  <c r="W372" i="1"/>
  <c r="V372" i="1"/>
  <c r="R372" i="1"/>
  <c r="P372" i="1"/>
  <c r="O372" i="1"/>
  <c r="J372" i="1"/>
  <c r="F372" i="1"/>
  <c r="AA371" i="1"/>
  <c r="Y371" i="1"/>
  <c r="W371" i="1"/>
  <c r="V371" i="1"/>
  <c r="R371" i="1"/>
  <c r="P371" i="1"/>
  <c r="O371" i="1"/>
  <c r="J371" i="1"/>
  <c r="F371" i="1"/>
  <c r="AA370" i="1"/>
  <c r="Y370" i="1"/>
  <c r="W370" i="1"/>
  <c r="V370" i="1"/>
  <c r="R370" i="1"/>
  <c r="P370" i="1"/>
  <c r="O370" i="1"/>
  <c r="J370" i="1"/>
  <c r="F370" i="1"/>
  <c r="AA369" i="1"/>
  <c r="Y369" i="1"/>
  <c r="W369" i="1"/>
  <c r="V369" i="1"/>
  <c r="R369" i="1"/>
  <c r="P369" i="1"/>
  <c r="O369" i="1"/>
  <c r="J369" i="1"/>
  <c r="F369" i="1"/>
  <c r="AA368" i="1"/>
  <c r="Y368" i="1"/>
  <c r="W368" i="1"/>
  <c r="V368" i="1"/>
  <c r="R368" i="1"/>
  <c r="P368" i="1"/>
  <c r="O368" i="1"/>
  <c r="J368" i="1"/>
  <c r="F368" i="1"/>
  <c r="AA367" i="1"/>
  <c r="Y367" i="1"/>
  <c r="W367" i="1"/>
  <c r="V367" i="1"/>
  <c r="R367" i="1"/>
  <c r="P367" i="1"/>
  <c r="O367" i="1"/>
  <c r="J367" i="1"/>
  <c r="F367" i="1"/>
  <c r="AA366" i="1"/>
  <c r="Y366" i="1"/>
  <c r="W366" i="1"/>
  <c r="V366" i="1"/>
  <c r="R366" i="1"/>
  <c r="P366" i="1"/>
  <c r="O366" i="1"/>
  <c r="J366" i="1"/>
  <c r="F366" i="1"/>
  <c r="AA365" i="1"/>
  <c r="Y365" i="1"/>
  <c r="W365" i="1"/>
  <c r="V365" i="1"/>
  <c r="R365" i="1"/>
  <c r="P365" i="1"/>
  <c r="O365" i="1"/>
  <c r="J365" i="1"/>
  <c r="F365" i="1"/>
  <c r="AA364" i="1"/>
  <c r="Y364" i="1"/>
  <c r="W364" i="1"/>
  <c r="V364" i="1"/>
  <c r="R364" i="1"/>
  <c r="P364" i="1"/>
  <c r="O364" i="1"/>
  <c r="J364" i="1"/>
  <c r="F364" i="1"/>
  <c r="AA363" i="1"/>
  <c r="Y363" i="1"/>
  <c r="W363" i="1"/>
  <c r="V363" i="1"/>
  <c r="R363" i="1"/>
  <c r="P363" i="1"/>
  <c r="O363" i="1"/>
  <c r="J363" i="1"/>
  <c r="F363" i="1"/>
  <c r="AA362" i="1"/>
  <c r="Y362" i="1"/>
  <c r="W362" i="1"/>
  <c r="V362" i="1"/>
  <c r="R362" i="1"/>
  <c r="P362" i="1"/>
  <c r="O362" i="1"/>
  <c r="J362" i="1"/>
  <c r="F362" i="1"/>
  <c r="AA361" i="1"/>
  <c r="Y361" i="1"/>
  <c r="W361" i="1"/>
  <c r="V361" i="1"/>
  <c r="R361" i="1"/>
  <c r="P361" i="1"/>
  <c r="O361" i="1"/>
  <c r="J361" i="1"/>
  <c r="F361" i="1"/>
  <c r="AA360" i="1"/>
  <c r="Y360" i="1"/>
  <c r="W360" i="1"/>
  <c r="V360" i="1"/>
  <c r="R360" i="1"/>
  <c r="P360" i="1"/>
  <c r="O360" i="1"/>
  <c r="J360" i="1"/>
  <c r="F360" i="1"/>
  <c r="AA359" i="1"/>
  <c r="Y359" i="1"/>
  <c r="W359" i="1"/>
  <c r="V359" i="1"/>
  <c r="R359" i="1"/>
  <c r="P359" i="1"/>
  <c r="O359" i="1"/>
  <c r="J359" i="1"/>
  <c r="F359" i="1"/>
  <c r="AA358" i="1"/>
  <c r="Y358" i="1"/>
  <c r="W358" i="1"/>
  <c r="V358" i="1"/>
  <c r="R358" i="1"/>
  <c r="P358" i="1"/>
  <c r="O358" i="1"/>
  <c r="J358" i="1"/>
  <c r="F358" i="1"/>
  <c r="AA357" i="1"/>
  <c r="Y357" i="1"/>
  <c r="W357" i="1"/>
  <c r="V357" i="1"/>
  <c r="R357" i="1"/>
  <c r="P357" i="1"/>
  <c r="O357" i="1"/>
  <c r="J357" i="1"/>
  <c r="F357" i="1"/>
  <c r="AA356" i="1"/>
  <c r="Y356" i="1"/>
  <c r="W356" i="1"/>
  <c r="V356" i="1"/>
  <c r="R356" i="1"/>
  <c r="P356" i="1"/>
  <c r="O356" i="1"/>
  <c r="J356" i="1"/>
  <c r="F356" i="1"/>
  <c r="AA355" i="1"/>
  <c r="Y355" i="1"/>
  <c r="W355" i="1"/>
  <c r="V355" i="1"/>
  <c r="R355" i="1"/>
  <c r="P355" i="1"/>
  <c r="O355" i="1"/>
  <c r="J355" i="1"/>
  <c r="F355" i="1"/>
  <c r="AA354" i="1"/>
  <c r="Y354" i="1"/>
  <c r="W354" i="1"/>
  <c r="V354" i="1"/>
  <c r="R354" i="1"/>
  <c r="P354" i="1"/>
  <c r="O354" i="1"/>
  <c r="J354" i="1"/>
  <c r="F354" i="1"/>
  <c r="AA353" i="1"/>
  <c r="Y353" i="1"/>
  <c r="W353" i="1"/>
  <c r="V353" i="1"/>
  <c r="R353" i="1"/>
  <c r="P353" i="1"/>
  <c r="O353" i="1"/>
  <c r="J353" i="1"/>
  <c r="F353" i="1"/>
  <c r="AA352" i="1"/>
  <c r="Y352" i="1"/>
  <c r="W352" i="1"/>
  <c r="V352" i="1"/>
  <c r="R352" i="1"/>
  <c r="P352" i="1"/>
  <c r="O352" i="1"/>
  <c r="J352" i="1"/>
  <c r="F352" i="1"/>
  <c r="AA351" i="1"/>
  <c r="Y351" i="1"/>
  <c r="W351" i="1"/>
  <c r="V351" i="1"/>
  <c r="R351" i="1"/>
  <c r="U351" i="1" s="1"/>
  <c r="P351" i="1"/>
  <c r="O351" i="1"/>
  <c r="J351" i="1"/>
  <c r="F351" i="1"/>
  <c r="AA350" i="1"/>
  <c r="Y350" i="1"/>
  <c r="W350" i="1"/>
  <c r="V350" i="1"/>
  <c r="R350" i="1"/>
  <c r="P350" i="1"/>
  <c r="O350" i="1"/>
  <c r="J350" i="1"/>
  <c r="F350" i="1"/>
  <c r="AA349" i="1"/>
  <c r="Y349" i="1"/>
  <c r="W349" i="1"/>
  <c r="V349" i="1"/>
  <c r="R349" i="1"/>
  <c r="P349" i="1"/>
  <c r="O349" i="1"/>
  <c r="J349" i="1"/>
  <c r="F349" i="1"/>
  <c r="AA348" i="1"/>
  <c r="Y348" i="1"/>
  <c r="W348" i="1"/>
  <c r="V348" i="1"/>
  <c r="R348" i="1"/>
  <c r="P348" i="1"/>
  <c r="O348" i="1"/>
  <c r="J348" i="1"/>
  <c r="F348" i="1"/>
  <c r="AA347" i="1"/>
  <c r="Y347" i="1"/>
  <c r="W347" i="1"/>
  <c r="V347" i="1"/>
  <c r="R347" i="1"/>
  <c r="P347" i="1"/>
  <c r="O347" i="1"/>
  <c r="J347" i="1"/>
  <c r="F347" i="1"/>
  <c r="AA346" i="1"/>
  <c r="Y346" i="1"/>
  <c r="W346" i="1"/>
  <c r="V346" i="1"/>
  <c r="R346" i="1"/>
  <c r="P346" i="1"/>
  <c r="O346" i="1"/>
  <c r="J346" i="1"/>
  <c r="F346" i="1"/>
  <c r="AA345" i="1"/>
  <c r="Y345" i="1"/>
  <c r="W345" i="1"/>
  <c r="V345" i="1"/>
  <c r="R345" i="1"/>
  <c r="P345" i="1"/>
  <c r="O345" i="1"/>
  <c r="J345" i="1"/>
  <c r="F345" i="1"/>
  <c r="AA344" i="1"/>
  <c r="Y344" i="1"/>
  <c r="W344" i="1"/>
  <c r="V344" i="1"/>
  <c r="R344" i="1"/>
  <c r="P344" i="1"/>
  <c r="O344" i="1"/>
  <c r="J344" i="1"/>
  <c r="F344" i="1"/>
  <c r="AA343" i="1"/>
  <c r="Y343" i="1"/>
  <c r="W343" i="1"/>
  <c r="V343" i="1"/>
  <c r="R343" i="1"/>
  <c r="P343" i="1"/>
  <c r="O343" i="1"/>
  <c r="J343" i="1"/>
  <c r="F343" i="1"/>
  <c r="AA342" i="1"/>
  <c r="Y342" i="1"/>
  <c r="W342" i="1"/>
  <c r="V342" i="1"/>
  <c r="R342" i="1"/>
  <c r="P342" i="1"/>
  <c r="O342" i="1"/>
  <c r="J342" i="1"/>
  <c r="F342" i="1"/>
  <c r="AA341" i="1"/>
  <c r="Y341" i="1"/>
  <c r="W341" i="1"/>
  <c r="V341" i="1"/>
  <c r="R341" i="1"/>
  <c r="P341" i="1"/>
  <c r="O341" i="1"/>
  <c r="J341" i="1"/>
  <c r="F341" i="1"/>
  <c r="AA340" i="1"/>
  <c r="Y340" i="1"/>
  <c r="W340" i="1"/>
  <c r="V340" i="1"/>
  <c r="R340" i="1"/>
  <c r="P340" i="1"/>
  <c r="O340" i="1"/>
  <c r="J340" i="1"/>
  <c r="F340" i="1"/>
  <c r="AA339" i="1"/>
  <c r="Y339" i="1"/>
  <c r="W339" i="1"/>
  <c r="V339" i="1"/>
  <c r="R339" i="1"/>
  <c r="P339" i="1"/>
  <c r="O339" i="1"/>
  <c r="J339" i="1"/>
  <c r="F339" i="1"/>
  <c r="AA338" i="1"/>
  <c r="Y338" i="1"/>
  <c r="W338" i="1"/>
  <c r="V338" i="1"/>
  <c r="R338" i="1"/>
  <c r="P338" i="1"/>
  <c r="O338" i="1"/>
  <c r="J338" i="1"/>
  <c r="F338" i="1"/>
  <c r="AA337" i="1"/>
  <c r="Y337" i="1"/>
  <c r="W337" i="1"/>
  <c r="V337" i="1"/>
  <c r="R337" i="1"/>
  <c r="P337" i="1"/>
  <c r="O337" i="1"/>
  <c r="J337" i="1"/>
  <c r="F337" i="1"/>
  <c r="AA336" i="1"/>
  <c r="Y336" i="1"/>
  <c r="W336" i="1"/>
  <c r="V336" i="1"/>
  <c r="R336" i="1"/>
  <c r="P336" i="1"/>
  <c r="O336" i="1"/>
  <c r="J336" i="1"/>
  <c r="F336" i="1"/>
  <c r="AA335" i="1"/>
  <c r="Y335" i="1"/>
  <c r="W335" i="1"/>
  <c r="V335" i="1"/>
  <c r="R335" i="1"/>
  <c r="P335" i="1"/>
  <c r="O335" i="1"/>
  <c r="J335" i="1"/>
  <c r="F335" i="1"/>
  <c r="AA334" i="1"/>
  <c r="Y334" i="1"/>
  <c r="W334" i="1"/>
  <c r="V334" i="1"/>
  <c r="R334" i="1"/>
  <c r="P334" i="1"/>
  <c r="O334" i="1"/>
  <c r="J334" i="1"/>
  <c r="F334" i="1"/>
  <c r="AA333" i="1"/>
  <c r="Y333" i="1"/>
  <c r="W333" i="1"/>
  <c r="V333" i="1"/>
  <c r="R333" i="1"/>
  <c r="P333" i="1"/>
  <c r="O333" i="1"/>
  <c r="J333" i="1"/>
  <c r="F333" i="1"/>
  <c r="AA332" i="1"/>
  <c r="Y332" i="1"/>
  <c r="W332" i="1"/>
  <c r="V332" i="1"/>
  <c r="R332" i="1"/>
  <c r="P332" i="1"/>
  <c r="O332" i="1"/>
  <c r="J332" i="1"/>
  <c r="F332" i="1"/>
  <c r="AA331" i="1"/>
  <c r="Y331" i="1"/>
  <c r="W331" i="1"/>
  <c r="V331" i="1"/>
  <c r="R331" i="1"/>
  <c r="P331" i="1"/>
  <c r="O331" i="1"/>
  <c r="J331" i="1"/>
  <c r="F331" i="1"/>
  <c r="AA330" i="1"/>
  <c r="Y330" i="1"/>
  <c r="W330" i="1"/>
  <c r="V330" i="1"/>
  <c r="R330" i="1"/>
  <c r="P330" i="1"/>
  <c r="O330" i="1"/>
  <c r="J330" i="1"/>
  <c r="F330" i="1"/>
  <c r="AA329" i="1"/>
  <c r="Y329" i="1"/>
  <c r="W329" i="1"/>
  <c r="V329" i="1"/>
  <c r="R329" i="1"/>
  <c r="P329" i="1"/>
  <c r="O329" i="1"/>
  <c r="J329" i="1"/>
  <c r="F329" i="1"/>
  <c r="AA328" i="1"/>
  <c r="Y328" i="1"/>
  <c r="W328" i="1"/>
  <c r="V328" i="1"/>
  <c r="R328" i="1"/>
  <c r="P328" i="1"/>
  <c r="O328" i="1"/>
  <c r="J328" i="1"/>
  <c r="F328" i="1"/>
  <c r="AA327" i="1"/>
  <c r="Y327" i="1"/>
  <c r="W327" i="1"/>
  <c r="V327" i="1"/>
  <c r="R327" i="1"/>
  <c r="P327" i="1"/>
  <c r="O327" i="1"/>
  <c r="J327" i="1"/>
  <c r="F327" i="1"/>
  <c r="AA326" i="1"/>
  <c r="Y326" i="1"/>
  <c r="W326" i="1"/>
  <c r="V326" i="1"/>
  <c r="R326" i="1"/>
  <c r="P326" i="1"/>
  <c r="O326" i="1"/>
  <c r="J326" i="1"/>
  <c r="F326" i="1"/>
  <c r="AA325" i="1"/>
  <c r="Y325" i="1"/>
  <c r="W325" i="1"/>
  <c r="V325" i="1"/>
  <c r="R325" i="1"/>
  <c r="O325" i="1"/>
  <c r="J325" i="1"/>
  <c r="F325" i="1"/>
  <c r="AA324" i="1"/>
  <c r="Y324" i="1"/>
  <c r="W324" i="1"/>
  <c r="V324" i="1"/>
  <c r="R324" i="1"/>
  <c r="P324" i="1"/>
  <c r="O324" i="1"/>
  <c r="J324" i="1"/>
  <c r="F324" i="1"/>
  <c r="AA323" i="1"/>
  <c r="Y323" i="1"/>
  <c r="W323" i="1"/>
  <c r="V323" i="1"/>
  <c r="R323" i="1"/>
  <c r="P323" i="1"/>
  <c r="O323" i="1"/>
  <c r="J323" i="1"/>
  <c r="F323" i="1"/>
  <c r="AA322" i="1"/>
  <c r="Y322" i="1"/>
  <c r="W322" i="1"/>
  <c r="V322" i="1"/>
  <c r="R322" i="1"/>
  <c r="P322" i="1"/>
  <c r="O322" i="1"/>
  <c r="J322" i="1"/>
  <c r="F322" i="1"/>
  <c r="AA321" i="1"/>
  <c r="Y321" i="1"/>
  <c r="W321" i="1"/>
  <c r="V321" i="1"/>
  <c r="R321" i="1"/>
  <c r="P321" i="1"/>
  <c r="O321" i="1"/>
  <c r="J321" i="1"/>
  <c r="F321" i="1"/>
  <c r="AA320" i="1"/>
  <c r="Y320" i="1"/>
  <c r="W320" i="1"/>
  <c r="V320" i="1"/>
  <c r="R320" i="1"/>
  <c r="P320" i="1"/>
  <c r="O320" i="1"/>
  <c r="J320" i="1"/>
  <c r="F320" i="1"/>
  <c r="AA319" i="1"/>
  <c r="Y319" i="1"/>
  <c r="W319" i="1"/>
  <c r="V319" i="1"/>
  <c r="R319" i="1"/>
  <c r="P319" i="1"/>
  <c r="O319" i="1"/>
  <c r="J319" i="1"/>
  <c r="F319" i="1"/>
  <c r="AA318" i="1"/>
  <c r="Y318" i="1"/>
  <c r="W318" i="1"/>
  <c r="V318" i="1"/>
  <c r="R318" i="1"/>
  <c r="P318" i="1"/>
  <c r="O318" i="1"/>
  <c r="J318" i="1"/>
  <c r="F318" i="1"/>
  <c r="AA317" i="1"/>
  <c r="Y317" i="1"/>
  <c r="W317" i="1"/>
  <c r="V317" i="1"/>
  <c r="R317" i="1"/>
  <c r="P317" i="1"/>
  <c r="O317" i="1"/>
  <c r="J317" i="1"/>
  <c r="F317" i="1"/>
  <c r="AA316" i="1"/>
  <c r="Y316" i="1"/>
  <c r="W316" i="1"/>
  <c r="V316" i="1"/>
  <c r="R316" i="1"/>
  <c r="P316" i="1"/>
  <c r="O316" i="1"/>
  <c r="J316" i="1"/>
  <c r="F316" i="1"/>
  <c r="AA315" i="1"/>
  <c r="Y315" i="1"/>
  <c r="W315" i="1"/>
  <c r="V315" i="1"/>
  <c r="R315" i="1"/>
  <c r="P315" i="1"/>
  <c r="O315" i="1"/>
  <c r="J315" i="1"/>
  <c r="F315" i="1"/>
  <c r="AA314" i="1"/>
  <c r="Y314" i="1"/>
  <c r="W314" i="1"/>
  <c r="V314" i="1"/>
  <c r="R314" i="1"/>
  <c r="P314" i="1"/>
  <c r="O314" i="1"/>
  <c r="J314" i="1"/>
  <c r="F314" i="1"/>
  <c r="AA313" i="1"/>
  <c r="Y313" i="1"/>
  <c r="W313" i="1"/>
  <c r="V313" i="1"/>
  <c r="R313" i="1"/>
  <c r="P313" i="1"/>
  <c r="O313" i="1"/>
  <c r="J313" i="1"/>
  <c r="F313" i="1"/>
  <c r="AA312" i="1"/>
  <c r="Y312" i="1"/>
  <c r="W312" i="1"/>
  <c r="V312" i="1"/>
  <c r="R312" i="1"/>
  <c r="P312" i="1"/>
  <c r="O312" i="1"/>
  <c r="J312" i="1"/>
  <c r="F312" i="1"/>
  <c r="AA311" i="1"/>
  <c r="Y311" i="1"/>
  <c r="W311" i="1"/>
  <c r="V311" i="1"/>
  <c r="R311" i="1"/>
  <c r="P311" i="1"/>
  <c r="O311" i="1"/>
  <c r="J311" i="1"/>
  <c r="F311" i="1"/>
  <c r="AA310" i="1"/>
  <c r="Y310" i="1"/>
  <c r="W310" i="1"/>
  <c r="V310" i="1"/>
  <c r="R310" i="1"/>
  <c r="P310" i="1"/>
  <c r="O310" i="1"/>
  <c r="J310" i="1"/>
  <c r="F310" i="1"/>
  <c r="AA309" i="1"/>
  <c r="Y309" i="1"/>
  <c r="W309" i="1"/>
  <c r="V309" i="1"/>
  <c r="R309" i="1"/>
  <c r="U309" i="1" s="1"/>
  <c r="P309" i="1"/>
  <c r="O309" i="1"/>
  <c r="J309" i="1"/>
  <c r="F309" i="1"/>
  <c r="AA308" i="1"/>
  <c r="Y308" i="1"/>
  <c r="W308" i="1"/>
  <c r="V308" i="1"/>
  <c r="R308" i="1"/>
  <c r="U308" i="1" s="1"/>
  <c r="P308" i="1"/>
  <c r="O308" i="1"/>
  <c r="J308" i="1"/>
  <c r="F308" i="1"/>
  <c r="AA307" i="1"/>
  <c r="Y307" i="1"/>
  <c r="W307" i="1"/>
  <c r="V307" i="1"/>
  <c r="R307" i="1"/>
  <c r="P307" i="1"/>
  <c r="O307" i="1"/>
  <c r="J307" i="1"/>
  <c r="F307" i="1"/>
  <c r="AA306" i="1"/>
  <c r="Y306" i="1"/>
  <c r="W306" i="1"/>
  <c r="V306" i="1"/>
  <c r="R306" i="1"/>
  <c r="P306" i="1"/>
  <c r="O306" i="1"/>
  <c r="N306" i="1"/>
  <c r="J306" i="1"/>
  <c r="F306" i="1"/>
  <c r="AA305" i="1"/>
  <c r="Y305" i="1"/>
  <c r="W305" i="1"/>
  <c r="V305" i="1"/>
  <c r="R305" i="1"/>
  <c r="P305" i="1"/>
  <c r="O305" i="1"/>
  <c r="J305" i="1"/>
  <c r="F305" i="1"/>
  <c r="AA304" i="1"/>
  <c r="Y304" i="1"/>
  <c r="W304" i="1"/>
  <c r="V304" i="1"/>
  <c r="R304" i="1"/>
  <c r="P304" i="1"/>
  <c r="O304" i="1"/>
  <c r="J304" i="1"/>
  <c r="F304" i="1"/>
  <c r="AA303" i="1"/>
  <c r="Y303" i="1"/>
  <c r="W303" i="1"/>
  <c r="V303" i="1"/>
  <c r="R303" i="1"/>
  <c r="P303" i="1"/>
  <c r="O303" i="1"/>
  <c r="J303" i="1"/>
  <c r="F303" i="1"/>
  <c r="AA302" i="1"/>
  <c r="Y302" i="1"/>
  <c r="W302" i="1"/>
  <c r="V302" i="1"/>
  <c r="R302" i="1"/>
  <c r="P302" i="1"/>
  <c r="O302" i="1"/>
  <c r="J302" i="1"/>
  <c r="F302" i="1"/>
  <c r="AA301" i="1"/>
  <c r="Y301" i="1"/>
  <c r="W301" i="1"/>
  <c r="V301" i="1"/>
  <c r="R301" i="1"/>
  <c r="P301" i="1"/>
  <c r="O301" i="1"/>
  <c r="J301" i="1"/>
  <c r="F301" i="1"/>
  <c r="AA300" i="1"/>
  <c r="Y300" i="1"/>
  <c r="W300" i="1"/>
  <c r="V300" i="1"/>
  <c r="R300" i="1"/>
  <c r="P300" i="1"/>
  <c r="O300" i="1"/>
  <c r="J300" i="1"/>
  <c r="F300" i="1"/>
  <c r="AA299" i="1"/>
  <c r="Y299" i="1"/>
  <c r="W299" i="1"/>
  <c r="V299" i="1"/>
  <c r="R299" i="1"/>
  <c r="P299" i="1"/>
  <c r="O299" i="1"/>
  <c r="J299" i="1"/>
  <c r="F299" i="1"/>
  <c r="AA298" i="1"/>
  <c r="Y298" i="1"/>
  <c r="W298" i="1"/>
  <c r="V298" i="1"/>
  <c r="R298" i="1"/>
  <c r="P298" i="1"/>
  <c r="O298" i="1"/>
  <c r="J298" i="1"/>
  <c r="F298" i="1"/>
  <c r="AA297" i="1"/>
  <c r="Y297" i="1"/>
  <c r="W297" i="1"/>
  <c r="V297" i="1"/>
  <c r="R297" i="1"/>
  <c r="P297" i="1"/>
  <c r="O297" i="1"/>
  <c r="J297" i="1"/>
  <c r="F297" i="1"/>
  <c r="AA296" i="1"/>
  <c r="Y296" i="1"/>
  <c r="W296" i="1"/>
  <c r="V296" i="1"/>
  <c r="R296" i="1"/>
  <c r="P296" i="1"/>
  <c r="O296" i="1"/>
  <c r="J296" i="1"/>
  <c r="F296" i="1"/>
  <c r="AA295" i="1"/>
  <c r="Y295" i="1"/>
  <c r="W295" i="1"/>
  <c r="V295" i="1"/>
  <c r="R295" i="1"/>
  <c r="P295" i="1"/>
  <c r="O295" i="1"/>
  <c r="J295" i="1"/>
  <c r="F295" i="1"/>
  <c r="AA294" i="1"/>
  <c r="Y294" i="1"/>
  <c r="W294" i="1"/>
  <c r="V294" i="1"/>
  <c r="R294" i="1"/>
  <c r="P294" i="1"/>
  <c r="O294" i="1"/>
  <c r="J294" i="1"/>
  <c r="F294" i="1"/>
  <c r="AA293" i="1"/>
  <c r="Y293" i="1"/>
  <c r="W293" i="1"/>
  <c r="V293" i="1"/>
  <c r="R293" i="1"/>
  <c r="P293" i="1"/>
  <c r="O293" i="1"/>
  <c r="J293" i="1"/>
  <c r="F293" i="1"/>
  <c r="AA292" i="1"/>
  <c r="Y292" i="1"/>
  <c r="W292" i="1"/>
  <c r="V292" i="1"/>
  <c r="U292" i="1"/>
  <c r="R292" i="1"/>
  <c r="P292" i="1"/>
  <c r="O292" i="1"/>
  <c r="J292" i="1"/>
  <c r="F292" i="1"/>
  <c r="AA291" i="1"/>
  <c r="Y291" i="1"/>
  <c r="W291" i="1"/>
  <c r="V291" i="1"/>
  <c r="R291" i="1"/>
  <c r="P291" i="1"/>
  <c r="O291" i="1"/>
  <c r="J291" i="1"/>
  <c r="F291" i="1"/>
  <c r="AA290" i="1"/>
  <c r="Y290" i="1"/>
  <c r="W290" i="1"/>
  <c r="V290" i="1"/>
  <c r="R290" i="1"/>
  <c r="P290" i="1"/>
  <c r="O290" i="1"/>
  <c r="J290" i="1"/>
  <c r="F290" i="1"/>
  <c r="AA289" i="1"/>
  <c r="Y289" i="1"/>
  <c r="W289" i="1"/>
  <c r="V289" i="1"/>
  <c r="R289" i="1"/>
  <c r="P289" i="1"/>
  <c r="O289" i="1"/>
  <c r="J289" i="1"/>
  <c r="F289" i="1"/>
  <c r="AA288" i="1"/>
  <c r="Y288" i="1"/>
  <c r="W288" i="1"/>
  <c r="V288" i="1"/>
  <c r="R288" i="1"/>
  <c r="P288" i="1"/>
  <c r="O288" i="1"/>
  <c r="J288" i="1"/>
  <c r="F288" i="1"/>
  <c r="AA287" i="1"/>
  <c r="Y287" i="1"/>
  <c r="W287" i="1"/>
  <c r="V287" i="1"/>
  <c r="R287" i="1"/>
  <c r="P287" i="1"/>
  <c r="O287" i="1"/>
  <c r="J287" i="1"/>
  <c r="F287" i="1"/>
  <c r="AA286" i="1"/>
  <c r="Y286" i="1"/>
  <c r="W286" i="1"/>
  <c r="V286" i="1"/>
  <c r="R286" i="1"/>
  <c r="P286" i="1"/>
  <c r="O286" i="1"/>
  <c r="J286" i="1"/>
  <c r="F286" i="1"/>
  <c r="AA285" i="1"/>
  <c r="Y285" i="1"/>
  <c r="W285" i="1"/>
  <c r="V285" i="1"/>
  <c r="R285" i="1"/>
  <c r="P285" i="1"/>
  <c r="O285" i="1"/>
  <c r="J285" i="1"/>
  <c r="F285" i="1"/>
  <c r="AA284" i="1"/>
  <c r="Y284" i="1"/>
  <c r="W284" i="1"/>
  <c r="V284" i="1"/>
  <c r="R284" i="1"/>
  <c r="P284" i="1"/>
  <c r="O284" i="1"/>
  <c r="J284" i="1"/>
  <c r="F284" i="1"/>
  <c r="AA283" i="1"/>
  <c r="Y283" i="1"/>
  <c r="W283" i="1"/>
  <c r="V283" i="1"/>
  <c r="R283" i="1"/>
  <c r="P283" i="1"/>
  <c r="O283" i="1"/>
  <c r="J283" i="1"/>
  <c r="F283" i="1"/>
  <c r="AA282" i="1"/>
  <c r="Y282" i="1"/>
  <c r="W282" i="1"/>
  <c r="V282" i="1"/>
  <c r="R282" i="1"/>
  <c r="P282" i="1"/>
  <c r="O282" i="1"/>
  <c r="J282" i="1"/>
  <c r="F282" i="1"/>
  <c r="AA281" i="1"/>
  <c r="Y281" i="1"/>
  <c r="W281" i="1"/>
  <c r="V281" i="1"/>
  <c r="R281" i="1"/>
  <c r="U281" i="1" s="1"/>
  <c r="P281" i="1"/>
  <c r="O281" i="1"/>
  <c r="J281" i="1"/>
  <c r="F281" i="1"/>
  <c r="AA280" i="1"/>
  <c r="Y280" i="1"/>
  <c r="W280" i="1"/>
  <c r="V280" i="1"/>
  <c r="R280" i="1"/>
  <c r="U280" i="1" s="1"/>
  <c r="P280" i="1"/>
  <c r="O280" i="1"/>
  <c r="J280" i="1"/>
  <c r="F280" i="1"/>
  <c r="AA279" i="1"/>
  <c r="Y279" i="1"/>
  <c r="W279" i="1"/>
  <c r="V279" i="1"/>
  <c r="R279" i="1"/>
  <c r="U279" i="1" s="1"/>
  <c r="P279" i="1"/>
  <c r="O279" i="1"/>
  <c r="J279" i="1"/>
  <c r="F279" i="1"/>
  <c r="AA278" i="1"/>
  <c r="Y278" i="1"/>
  <c r="W278" i="1"/>
  <c r="V278" i="1"/>
  <c r="R278" i="1"/>
  <c r="U278" i="1" s="1"/>
  <c r="P278" i="1"/>
  <c r="O278" i="1"/>
  <c r="J278" i="1"/>
  <c r="F278" i="1"/>
  <c r="AA277" i="1"/>
  <c r="Y277" i="1"/>
  <c r="W277" i="1"/>
  <c r="V277" i="1"/>
  <c r="R277" i="1"/>
  <c r="P277" i="1"/>
  <c r="O277" i="1"/>
  <c r="J277" i="1"/>
  <c r="F277" i="1"/>
  <c r="AA276" i="1"/>
  <c r="Y276" i="1"/>
  <c r="W276" i="1"/>
  <c r="V276" i="1"/>
  <c r="R276" i="1"/>
  <c r="P276" i="1"/>
  <c r="O276" i="1"/>
  <c r="J276" i="1"/>
  <c r="F276" i="1"/>
  <c r="AA275" i="1"/>
  <c r="Y275" i="1"/>
  <c r="W275" i="1"/>
  <c r="V275" i="1"/>
  <c r="U275" i="1"/>
  <c r="R275" i="1"/>
  <c r="P275" i="1"/>
  <c r="O275" i="1"/>
  <c r="J275" i="1"/>
  <c r="F275" i="1"/>
  <c r="AA274" i="1"/>
  <c r="Y274" i="1"/>
  <c r="W274" i="1"/>
  <c r="V274" i="1"/>
  <c r="R274" i="1"/>
  <c r="P274" i="1"/>
  <c r="O274" i="1"/>
  <c r="J274" i="1"/>
  <c r="F274" i="1"/>
  <c r="AA273" i="1"/>
  <c r="Y273" i="1"/>
  <c r="W273" i="1"/>
  <c r="V273" i="1"/>
  <c r="R273" i="1"/>
  <c r="P273" i="1"/>
  <c r="O273" i="1"/>
  <c r="J273" i="1"/>
  <c r="F273" i="1"/>
  <c r="AA272" i="1"/>
  <c r="Y272" i="1"/>
  <c r="W272" i="1"/>
  <c r="V272" i="1"/>
  <c r="R272" i="1"/>
  <c r="P272" i="1"/>
  <c r="O272" i="1"/>
  <c r="J272" i="1"/>
  <c r="F272" i="1"/>
  <c r="AA271" i="1"/>
  <c r="Y271" i="1"/>
  <c r="W271" i="1"/>
  <c r="V271" i="1"/>
  <c r="R271" i="1"/>
  <c r="P271" i="1"/>
  <c r="O271" i="1"/>
  <c r="J271" i="1"/>
  <c r="F271" i="1"/>
  <c r="AA270" i="1"/>
  <c r="Y270" i="1"/>
  <c r="W270" i="1"/>
  <c r="V270" i="1"/>
  <c r="R270" i="1"/>
  <c r="P270" i="1"/>
  <c r="O270" i="1"/>
  <c r="J270" i="1"/>
  <c r="F270" i="1"/>
  <c r="AA269" i="1"/>
  <c r="Y269" i="1"/>
  <c r="W269" i="1"/>
  <c r="V269" i="1"/>
  <c r="R269" i="1"/>
  <c r="P269" i="1"/>
  <c r="O269" i="1"/>
  <c r="J269" i="1"/>
  <c r="F269" i="1"/>
  <c r="AA268" i="1"/>
  <c r="Y268" i="1"/>
  <c r="W268" i="1"/>
  <c r="V268" i="1"/>
  <c r="R268" i="1"/>
  <c r="P268" i="1"/>
  <c r="O268" i="1"/>
  <c r="J268" i="1"/>
  <c r="F268" i="1"/>
  <c r="AA267" i="1"/>
  <c r="Y267" i="1"/>
  <c r="W267" i="1"/>
  <c r="V267" i="1"/>
  <c r="R267" i="1"/>
  <c r="P267" i="1"/>
  <c r="O267" i="1"/>
  <c r="J267" i="1"/>
  <c r="F267" i="1"/>
  <c r="AA266" i="1"/>
  <c r="Y266" i="1"/>
  <c r="W266" i="1"/>
  <c r="V266" i="1"/>
  <c r="R266" i="1"/>
  <c r="P266" i="1"/>
  <c r="O266" i="1"/>
  <c r="J266" i="1"/>
  <c r="F266" i="1"/>
  <c r="AA265" i="1"/>
  <c r="Y265" i="1"/>
  <c r="W265" i="1"/>
  <c r="V265" i="1"/>
  <c r="R265" i="1"/>
  <c r="P265" i="1"/>
  <c r="O265" i="1"/>
  <c r="J265" i="1"/>
  <c r="F265" i="1"/>
  <c r="AA264" i="1"/>
  <c r="Y264" i="1"/>
  <c r="W264" i="1"/>
  <c r="V264" i="1"/>
  <c r="R264" i="1"/>
  <c r="P264" i="1"/>
  <c r="O264" i="1"/>
  <c r="J264" i="1"/>
  <c r="F264" i="1"/>
  <c r="AA263" i="1"/>
  <c r="Y263" i="1"/>
  <c r="W263" i="1"/>
  <c r="V263" i="1"/>
  <c r="R263" i="1"/>
  <c r="P263" i="1"/>
  <c r="O263" i="1"/>
  <c r="J263" i="1"/>
  <c r="F263" i="1"/>
  <c r="AA262" i="1"/>
  <c r="Y262" i="1"/>
  <c r="W262" i="1"/>
  <c r="V262" i="1"/>
  <c r="R262" i="1"/>
  <c r="P262" i="1"/>
  <c r="O262" i="1"/>
  <c r="J262" i="1"/>
  <c r="F262" i="1"/>
  <c r="AA261" i="1"/>
  <c r="Y261" i="1"/>
  <c r="W261" i="1"/>
  <c r="V261" i="1"/>
  <c r="R261" i="1"/>
  <c r="P261" i="1"/>
  <c r="O261" i="1"/>
  <c r="J261" i="1"/>
  <c r="F261" i="1"/>
  <c r="AA260" i="1"/>
  <c r="Y260" i="1"/>
  <c r="W260" i="1"/>
  <c r="V260" i="1"/>
  <c r="R260" i="1"/>
  <c r="P260" i="1"/>
  <c r="O260" i="1"/>
  <c r="J260" i="1"/>
  <c r="F260" i="1"/>
  <c r="AA259" i="1"/>
  <c r="Y259" i="1"/>
  <c r="W259" i="1"/>
  <c r="V259" i="1"/>
  <c r="R259" i="1"/>
  <c r="P259" i="1"/>
  <c r="O259" i="1"/>
  <c r="J259" i="1"/>
  <c r="F259" i="1"/>
  <c r="AA258" i="1"/>
  <c r="Y258" i="1"/>
  <c r="W258" i="1"/>
  <c r="V258" i="1"/>
  <c r="R258" i="1"/>
  <c r="P258" i="1"/>
  <c r="O258" i="1"/>
  <c r="J258" i="1"/>
  <c r="F258" i="1"/>
  <c r="AA257" i="1"/>
  <c r="Y257" i="1"/>
  <c r="W257" i="1"/>
  <c r="V257" i="1"/>
  <c r="R257" i="1"/>
  <c r="P257" i="1"/>
  <c r="O257" i="1"/>
  <c r="J257" i="1"/>
  <c r="F257" i="1"/>
  <c r="AA256" i="1"/>
  <c r="Y256" i="1"/>
  <c r="W256" i="1"/>
  <c r="V256" i="1"/>
  <c r="R256" i="1"/>
  <c r="P256" i="1"/>
  <c r="O256" i="1"/>
  <c r="J256" i="1"/>
  <c r="F256" i="1"/>
  <c r="AA255" i="1"/>
  <c r="Y255" i="1"/>
  <c r="W255" i="1"/>
  <c r="V255" i="1"/>
  <c r="R255" i="1"/>
  <c r="P255" i="1"/>
  <c r="O255" i="1"/>
  <c r="J255" i="1"/>
  <c r="F255" i="1"/>
  <c r="AA254" i="1"/>
  <c r="Y254" i="1"/>
  <c r="W254" i="1"/>
  <c r="V254" i="1"/>
  <c r="R254" i="1"/>
  <c r="U254" i="1" s="1"/>
  <c r="P254" i="1"/>
  <c r="O254" i="1"/>
  <c r="J254" i="1"/>
  <c r="F254" i="1"/>
  <c r="AA253" i="1"/>
  <c r="Y253" i="1"/>
  <c r="W253" i="1"/>
  <c r="V253" i="1"/>
  <c r="R253" i="1"/>
  <c r="P253" i="1"/>
  <c r="O253" i="1"/>
  <c r="J253" i="1"/>
  <c r="F253" i="1"/>
  <c r="AA252" i="1"/>
  <c r="Y252" i="1"/>
  <c r="W252" i="1"/>
  <c r="V252" i="1"/>
  <c r="R252" i="1"/>
  <c r="P252" i="1"/>
  <c r="O252" i="1"/>
  <c r="J252" i="1"/>
  <c r="F252" i="1"/>
  <c r="AA251" i="1"/>
  <c r="Y251" i="1"/>
  <c r="W251" i="1"/>
  <c r="V251" i="1"/>
  <c r="R251" i="1"/>
  <c r="P251" i="1"/>
  <c r="O251" i="1"/>
  <c r="J251" i="1"/>
  <c r="F251" i="1"/>
  <c r="AA250" i="1"/>
  <c r="Y250" i="1"/>
  <c r="W250" i="1"/>
  <c r="V250" i="1"/>
  <c r="R250" i="1"/>
  <c r="P250" i="1"/>
  <c r="O250" i="1"/>
  <c r="J250" i="1"/>
  <c r="F250" i="1"/>
  <c r="AA249" i="1"/>
  <c r="Y249" i="1"/>
  <c r="W249" i="1"/>
  <c r="V249" i="1"/>
  <c r="R249" i="1"/>
  <c r="P249" i="1"/>
  <c r="O249" i="1"/>
  <c r="J249" i="1"/>
  <c r="F249" i="1"/>
  <c r="AA248" i="1"/>
  <c r="Y248" i="1"/>
  <c r="W248" i="1"/>
  <c r="V248" i="1"/>
  <c r="R248" i="1"/>
  <c r="P248" i="1"/>
  <c r="O248" i="1"/>
  <c r="J248" i="1"/>
  <c r="F248" i="1"/>
  <c r="AA247" i="1"/>
  <c r="Y247" i="1"/>
  <c r="W247" i="1"/>
  <c r="V247" i="1"/>
  <c r="R247" i="1"/>
  <c r="P247" i="1"/>
  <c r="O247" i="1"/>
  <c r="J247" i="1"/>
  <c r="F247" i="1"/>
  <c r="AA246" i="1"/>
  <c r="Y246" i="1"/>
  <c r="W246" i="1"/>
  <c r="V246" i="1"/>
  <c r="R246" i="1"/>
  <c r="P246" i="1"/>
  <c r="O246" i="1"/>
  <c r="J246" i="1"/>
  <c r="F246" i="1"/>
  <c r="AA245" i="1"/>
  <c r="Y245" i="1"/>
  <c r="W245" i="1"/>
  <c r="V245" i="1"/>
  <c r="R245" i="1"/>
  <c r="P245" i="1"/>
  <c r="O245" i="1"/>
  <c r="J245" i="1"/>
  <c r="F245" i="1"/>
  <c r="AA244" i="1"/>
  <c r="Y244" i="1"/>
  <c r="W244" i="1"/>
  <c r="V244" i="1"/>
  <c r="R244" i="1"/>
  <c r="P244" i="1"/>
  <c r="O244" i="1"/>
  <c r="J244" i="1"/>
  <c r="F244" i="1"/>
  <c r="AA243" i="1"/>
  <c r="Y243" i="1"/>
  <c r="W243" i="1"/>
  <c r="V243" i="1"/>
  <c r="R243" i="1"/>
  <c r="P243" i="1"/>
  <c r="O243" i="1"/>
  <c r="J243" i="1"/>
  <c r="F243" i="1"/>
  <c r="AA242" i="1"/>
  <c r="Y242" i="1"/>
  <c r="W242" i="1"/>
  <c r="V242" i="1"/>
  <c r="R242" i="1"/>
  <c r="P242" i="1"/>
  <c r="O242" i="1"/>
  <c r="J242" i="1"/>
  <c r="F242" i="1"/>
  <c r="AA241" i="1"/>
  <c r="Y241" i="1"/>
  <c r="W241" i="1"/>
  <c r="V241" i="1"/>
  <c r="R241" i="1"/>
  <c r="P241" i="1"/>
  <c r="O241" i="1"/>
  <c r="J241" i="1"/>
  <c r="F241" i="1"/>
  <c r="AA240" i="1"/>
  <c r="Y240" i="1"/>
  <c r="W240" i="1"/>
  <c r="V240" i="1"/>
  <c r="R240" i="1"/>
  <c r="P240" i="1"/>
  <c r="O240" i="1"/>
  <c r="J240" i="1"/>
  <c r="F240" i="1"/>
  <c r="AA239" i="1"/>
  <c r="Y239" i="1"/>
  <c r="W239" i="1"/>
  <c r="V239" i="1"/>
  <c r="R239" i="1"/>
  <c r="P239" i="1"/>
  <c r="O239" i="1"/>
  <c r="J239" i="1"/>
  <c r="F239" i="1"/>
  <c r="AA238" i="1"/>
  <c r="Y238" i="1"/>
  <c r="W238" i="1"/>
  <c r="V238" i="1"/>
  <c r="R238" i="1"/>
  <c r="P238" i="1"/>
  <c r="O238" i="1"/>
  <c r="J238" i="1"/>
  <c r="F238" i="1"/>
  <c r="AA237" i="1"/>
  <c r="Y237" i="1"/>
  <c r="W237" i="1"/>
  <c r="V237" i="1"/>
  <c r="R237" i="1"/>
  <c r="P237" i="1"/>
  <c r="O237" i="1"/>
  <c r="J237" i="1"/>
  <c r="F237" i="1"/>
  <c r="AA236" i="1"/>
  <c r="Y236" i="1"/>
  <c r="W236" i="1"/>
  <c r="V236" i="1"/>
  <c r="R236" i="1"/>
  <c r="P236" i="1"/>
  <c r="O236" i="1"/>
  <c r="J236" i="1"/>
  <c r="F236" i="1"/>
  <c r="AA235" i="1"/>
  <c r="Y235" i="1"/>
  <c r="W235" i="1"/>
  <c r="V235" i="1"/>
  <c r="R235" i="1"/>
  <c r="U235" i="1" s="1"/>
  <c r="P235" i="1"/>
  <c r="O235" i="1"/>
  <c r="J235" i="1"/>
  <c r="F235" i="1"/>
  <c r="AA234" i="1"/>
  <c r="Y234" i="1"/>
  <c r="W234" i="1"/>
  <c r="V234" i="1"/>
  <c r="R234" i="1"/>
  <c r="P234" i="1"/>
  <c r="O234" i="1"/>
  <c r="J234" i="1"/>
  <c r="F234" i="1"/>
  <c r="AA233" i="1"/>
  <c r="Y233" i="1"/>
  <c r="W233" i="1"/>
  <c r="V233" i="1"/>
  <c r="R233" i="1"/>
  <c r="P233" i="1"/>
  <c r="O233" i="1"/>
  <c r="J233" i="1"/>
  <c r="F233" i="1"/>
  <c r="AA232" i="1"/>
  <c r="Y232" i="1"/>
  <c r="W232" i="1"/>
  <c r="V232" i="1"/>
  <c r="R232" i="1"/>
  <c r="P232" i="1"/>
  <c r="O232" i="1"/>
  <c r="J232" i="1"/>
  <c r="F232" i="1"/>
  <c r="AA231" i="1"/>
  <c r="Y231" i="1"/>
  <c r="W231" i="1"/>
  <c r="V231" i="1"/>
  <c r="R231" i="1"/>
  <c r="U231" i="1" s="1"/>
  <c r="P231" i="1"/>
  <c r="O231" i="1"/>
  <c r="J231" i="1"/>
  <c r="F231" i="1"/>
  <c r="AA230" i="1"/>
  <c r="Y230" i="1"/>
  <c r="W230" i="1"/>
  <c r="V230" i="1"/>
  <c r="R230" i="1"/>
  <c r="P230" i="1"/>
  <c r="O230" i="1"/>
  <c r="J230" i="1"/>
  <c r="F230" i="1"/>
  <c r="AA229" i="1"/>
  <c r="Y229" i="1"/>
  <c r="W229" i="1"/>
  <c r="V229" i="1"/>
  <c r="R229" i="1"/>
  <c r="P229" i="1"/>
  <c r="O229" i="1"/>
  <c r="J229" i="1"/>
  <c r="F229" i="1"/>
  <c r="AA228" i="1"/>
  <c r="Y228" i="1"/>
  <c r="W228" i="1"/>
  <c r="V228" i="1"/>
  <c r="R228" i="1"/>
  <c r="P228" i="1"/>
  <c r="O228" i="1"/>
  <c r="J228" i="1"/>
  <c r="F228" i="1"/>
  <c r="AA227" i="1"/>
  <c r="Y227" i="1"/>
  <c r="W227" i="1"/>
  <c r="V227" i="1"/>
  <c r="R227" i="1"/>
  <c r="P227" i="1"/>
  <c r="O227" i="1"/>
  <c r="J227" i="1"/>
  <c r="F227" i="1"/>
  <c r="AA226" i="1"/>
  <c r="Y226" i="1"/>
  <c r="W226" i="1"/>
  <c r="V226" i="1"/>
  <c r="R226" i="1"/>
  <c r="P226" i="1"/>
  <c r="O226" i="1"/>
  <c r="J226" i="1"/>
  <c r="F226" i="1"/>
  <c r="AA225" i="1"/>
  <c r="Y225" i="1"/>
  <c r="W225" i="1"/>
  <c r="V225" i="1"/>
  <c r="R225" i="1"/>
  <c r="P225" i="1"/>
  <c r="O225" i="1"/>
  <c r="J225" i="1"/>
  <c r="F225" i="1"/>
  <c r="AA224" i="1"/>
  <c r="Y224" i="1"/>
  <c r="W224" i="1"/>
  <c r="V224" i="1"/>
  <c r="R224" i="1"/>
  <c r="P224" i="1"/>
  <c r="O224" i="1"/>
  <c r="J224" i="1"/>
  <c r="F224" i="1"/>
  <c r="AA223" i="1"/>
  <c r="Y223" i="1"/>
  <c r="W223" i="1"/>
  <c r="V223" i="1"/>
  <c r="R223" i="1"/>
  <c r="P223" i="1"/>
  <c r="O223" i="1"/>
  <c r="J223" i="1"/>
  <c r="F223" i="1"/>
  <c r="AA222" i="1"/>
  <c r="Y222" i="1"/>
  <c r="W222" i="1"/>
  <c r="V222" i="1"/>
  <c r="R222" i="1"/>
  <c r="P222" i="1"/>
  <c r="O222" i="1"/>
  <c r="J222" i="1"/>
  <c r="F222" i="1"/>
  <c r="AA221" i="1"/>
  <c r="Y221" i="1"/>
  <c r="W221" i="1"/>
  <c r="V221" i="1"/>
  <c r="R221" i="1"/>
  <c r="P221" i="1"/>
  <c r="O221" i="1"/>
  <c r="J221" i="1"/>
  <c r="F221" i="1"/>
  <c r="AA220" i="1"/>
  <c r="Y220" i="1"/>
  <c r="W220" i="1"/>
  <c r="V220" i="1"/>
  <c r="R220" i="1"/>
  <c r="P220" i="1"/>
  <c r="O220" i="1"/>
  <c r="J220" i="1"/>
  <c r="F220" i="1"/>
  <c r="AA219" i="1"/>
  <c r="Y219" i="1"/>
  <c r="W219" i="1"/>
  <c r="V219" i="1"/>
  <c r="R219" i="1"/>
  <c r="P219" i="1"/>
  <c r="O219" i="1"/>
  <c r="J219" i="1"/>
  <c r="F219" i="1"/>
  <c r="AA218" i="1"/>
  <c r="Y218" i="1"/>
  <c r="W218" i="1"/>
  <c r="V218" i="1"/>
  <c r="R218" i="1"/>
  <c r="P218" i="1"/>
  <c r="O218" i="1"/>
  <c r="J218" i="1"/>
  <c r="F218" i="1"/>
  <c r="AA217" i="1"/>
  <c r="Y217" i="1"/>
  <c r="W217" i="1"/>
  <c r="V217" i="1"/>
  <c r="R217" i="1"/>
  <c r="P217" i="1"/>
  <c r="O217" i="1"/>
  <c r="J217" i="1"/>
  <c r="F217" i="1"/>
  <c r="AA216" i="1"/>
  <c r="Y216" i="1"/>
  <c r="W216" i="1"/>
  <c r="V216" i="1"/>
  <c r="R216" i="1"/>
  <c r="P216" i="1"/>
  <c r="O216" i="1"/>
  <c r="J216" i="1"/>
  <c r="F216" i="1"/>
  <c r="AA215" i="1"/>
  <c r="Y215" i="1"/>
  <c r="W215" i="1"/>
  <c r="V215" i="1"/>
  <c r="R215" i="1"/>
  <c r="P215" i="1"/>
  <c r="O215" i="1"/>
  <c r="J215" i="1"/>
  <c r="F215" i="1"/>
  <c r="AA214" i="1"/>
  <c r="Y214" i="1"/>
  <c r="W214" i="1"/>
  <c r="V214" i="1"/>
  <c r="R214" i="1"/>
  <c r="P214" i="1"/>
  <c r="O214" i="1"/>
  <c r="J214" i="1"/>
  <c r="F214" i="1"/>
  <c r="AA213" i="1"/>
  <c r="Y213" i="1"/>
  <c r="W213" i="1"/>
  <c r="V213" i="1"/>
  <c r="R213" i="1"/>
  <c r="P213" i="1"/>
  <c r="O213" i="1"/>
  <c r="J213" i="1"/>
  <c r="F213" i="1"/>
  <c r="AA212" i="1"/>
  <c r="Y212" i="1"/>
  <c r="W212" i="1"/>
  <c r="V212" i="1"/>
  <c r="R212" i="1"/>
  <c r="P212" i="1"/>
  <c r="O212" i="1"/>
  <c r="J212" i="1"/>
  <c r="F212" i="1"/>
  <c r="AA211" i="1"/>
  <c r="Y211" i="1"/>
  <c r="W211" i="1"/>
  <c r="V211" i="1"/>
  <c r="R211" i="1"/>
  <c r="P211" i="1"/>
  <c r="O211" i="1"/>
  <c r="J211" i="1"/>
  <c r="F211" i="1"/>
  <c r="AA210" i="1"/>
  <c r="Y210" i="1"/>
  <c r="W210" i="1"/>
  <c r="V210" i="1"/>
  <c r="R210" i="1"/>
  <c r="P210" i="1"/>
  <c r="O210" i="1"/>
  <c r="J210" i="1"/>
  <c r="F210" i="1"/>
  <c r="AA209" i="1"/>
  <c r="Y209" i="1"/>
  <c r="W209" i="1"/>
  <c r="V209" i="1"/>
  <c r="R209" i="1"/>
  <c r="P209" i="1"/>
  <c r="O209" i="1"/>
  <c r="J209" i="1"/>
  <c r="F209" i="1"/>
  <c r="AA208" i="1"/>
  <c r="Y208" i="1"/>
  <c r="W208" i="1"/>
  <c r="V208" i="1"/>
  <c r="R208" i="1"/>
  <c r="P208" i="1"/>
  <c r="O208" i="1"/>
  <c r="J208" i="1"/>
  <c r="F208" i="1"/>
  <c r="AA207" i="1"/>
  <c r="Y207" i="1"/>
  <c r="W207" i="1"/>
  <c r="V207" i="1"/>
  <c r="R207" i="1"/>
  <c r="P207" i="1"/>
  <c r="O207" i="1"/>
  <c r="N207" i="1"/>
  <c r="J207" i="1"/>
  <c r="F207" i="1"/>
  <c r="AA206" i="1"/>
  <c r="Y206" i="1"/>
  <c r="W206" i="1"/>
  <c r="V206" i="1"/>
  <c r="R206" i="1"/>
  <c r="P206" i="1"/>
  <c r="O206" i="1"/>
  <c r="J206" i="1"/>
  <c r="F206" i="1"/>
  <c r="AA205" i="1"/>
  <c r="Y205" i="1"/>
  <c r="W205" i="1"/>
  <c r="V205" i="1"/>
  <c r="R205" i="1"/>
  <c r="P205" i="1"/>
  <c r="O205" i="1"/>
  <c r="J205" i="1"/>
  <c r="F205" i="1"/>
  <c r="AA204" i="1"/>
  <c r="Y204" i="1"/>
  <c r="W204" i="1"/>
  <c r="V204" i="1"/>
  <c r="R204" i="1"/>
  <c r="P204" i="1"/>
  <c r="O204" i="1"/>
  <c r="J204" i="1"/>
  <c r="F204" i="1"/>
  <c r="AA203" i="1"/>
  <c r="Y203" i="1"/>
  <c r="W203" i="1"/>
  <c r="V203" i="1"/>
  <c r="R203" i="1"/>
  <c r="P203" i="1"/>
  <c r="O203" i="1"/>
  <c r="J203" i="1"/>
  <c r="F203" i="1"/>
  <c r="AA202" i="1"/>
  <c r="Y202" i="1"/>
  <c r="W202" i="1"/>
  <c r="V202" i="1"/>
  <c r="R202" i="1"/>
  <c r="P202" i="1"/>
  <c r="O202" i="1"/>
  <c r="J202" i="1"/>
  <c r="F202" i="1"/>
  <c r="AA201" i="1"/>
  <c r="Y201" i="1"/>
  <c r="W201" i="1"/>
  <c r="V201" i="1"/>
  <c r="R201" i="1"/>
  <c r="P201" i="1"/>
  <c r="O201" i="1"/>
  <c r="J201" i="1"/>
  <c r="F201" i="1"/>
  <c r="AA200" i="1"/>
  <c r="Y200" i="1"/>
  <c r="W200" i="1"/>
  <c r="V200" i="1"/>
  <c r="R200" i="1"/>
  <c r="P200" i="1"/>
  <c r="O200" i="1"/>
  <c r="J200" i="1"/>
  <c r="F200" i="1"/>
  <c r="AA199" i="1"/>
  <c r="Y199" i="1"/>
  <c r="W199" i="1"/>
  <c r="V199" i="1"/>
  <c r="R199" i="1"/>
  <c r="P199" i="1"/>
  <c r="O199" i="1"/>
  <c r="J199" i="1"/>
  <c r="F199" i="1"/>
  <c r="AA198" i="1"/>
  <c r="Y198" i="1"/>
  <c r="W198" i="1"/>
  <c r="V198" i="1"/>
  <c r="R198" i="1"/>
  <c r="P198" i="1"/>
  <c r="O198" i="1"/>
  <c r="J198" i="1"/>
  <c r="F198" i="1"/>
  <c r="AA197" i="1"/>
  <c r="Y197" i="1"/>
  <c r="W197" i="1"/>
  <c r="V197" i="1"/>
  <c r="R197" i="1"/>
  <c r="P197" i="1"/>
  <c r="O197" i="1"/>
  <c r="J197" i="1"/>
  <c r="F197" i="1"/>
  <c r="AA196" i="1"/>
  <c r="Y196" i="1"/>
  <c r="W196" i="1"/>
  <c r="V196" i="1"/>
  <c r="R196" i="1"/>
  <c r="P196" i="1"/>
  <c r="O196" i="1"/>
  <c r="J196" i="1"/>
  <c r="F196" i="1"/>
  <c r="AA195" i="1"/>
  <c r="Y195" i="1"/>
  <c r="W195" i="1"/>
  <c r="V195" i="1"/>
  <c r="R195" i="1"/>
  <c r="P195" i="1"/>
  <c r="O195" i="1"/>
  <c r="J195" i="1"/>
  <c r="F195" i="1"/>
  <c r="AA194" i="1"/>
  <c r="Y194" i="1"/>
  <c r="W194" i="1"/>
  <c r="V194" i="1"/>
  <c r="R194" i="1"/>
  <c r="P194" i="1"/>
  <c r="O194" i="1"/>
  <c r="J194" i="1"/>
  <c r="F194" i="1"/>
  <c r="AA193" i="1"/>
  <c r="Y193" i="1"/>
  <c r="W193" i="1"/>
  <c r="V193" i="1"/>
  <c r="R193" i="1"/>
  <c r="P193" i="1"/>
  <c r="O193" i="1"/>
  <c r="J193" i="1"/>
  <c r="F193" i="1"/>
  <c r="AA192" i="1"/>
  <c r="Y192" i="1"/>
  <c r="W192" i="1"/>
  <c r="V192" i="1"/>
  <c r="R192" i="1"/>
  <c r="P192" i="1"/>
  <c r="O192" i="1"/>
  <c r="J192" i="1"/>
  <c r="F192" i="1"/>
  <c r="AA191" i="1"/>
  <c r="Y191" i="1"/>
  <c r="W191" i="1"/>
  <c r="V191" i="1"/>
  <c r="R191" i="1"/>
  <c r="P191" i="1"/>
  <c r="O191" i="1"/>
  <c r="J191" i="1"/>
  <c r="F191" i="1"/>
  <c r="AA190" i="1"/>
  <c r="Y190" i="1"/>
  <c r="W190" i="1"/>
  <c r="V190" i="1"/>
  <c r="R190" i="1"/>
  <c r="P190" i="1"/>
  <c r="O190" i="1"/>
  <c r="J190" i="1"/>
  <c r="F190" i="1"/>
  <c r="AA189" i="1"/>
  <c r="Y189" i="1"/>
  <c r="W189" i="1"/>
  <c r="V189" i="1"/>
  <c r="R189" i="1"/>
  <c r="P189" i="1"/>
  <c r="O189" i="1"/>
  <c r="J189" i="1"/>
  <c r="F189" i="1"/>
  <c r="AA188" i="1"/>
  <c r="Y188" i="1"/>
  <c r="W188" i="1"/>
  <c r="V188" i="1"/>
  <c r="R188" i="1"/>
  <c r="P188" i="1"/>
  <c r="O188" i="1"/>
  <c r="J188" i="1"/>
  <c r="F188" i="1"/>
  <c r="AA187" i="1"/>
  <c r="Y187" i="1"/>
  <c r="W187" i="1"/>
  <c r="V187" i="1"/>
  <c r="R187" i="1"/>
  <c r="P187" i="1"/>
  <c r="O187" i="1"/>
  <c r="J187" i="1"/>
  <c r="F187" i="1"/>
  <c r="AA186" i="1"/>
  <c r="Y186" i="1"/>
  <c r="W186" i="1"/>
  <c r="V186" i="1"/>
  <c r="R186" i="1"/>
  <c r="P186" i="1"/>
  <c r="O186" i="1"/>
  <c r="J186" i="1"/>
  <c r="F186" i="1"/>
  <c r="AA185" i="1"/>
  <c r="Y185" i="1"/>
  <c r="W185" i="1"/>
  <c r="V185" i="1"/>
  <c r="R185" i="1"/>
  <c r="P185" i="1"/>
  <c r="O185" i="1"/>
  <c r="J185" i="1"/>
  <c r="F185" i="1"/>
  <c r="AA184" i="1"/>
  <c r="Y184" i="1"/>
  <c r="W184" i="1"/>
  <c r="V184" i="1"/>
  <c r="R184" i="1"/>
  <c r="P184" i="1"/>
  <c r="O184" i="1"/>
  <c r="J184" i="1"/>
  <c r="F184" i="1"/>
  <c r="AA183" i="1"/>
  <c r="Y183" i="1"/>
  <c r="W183" i="1"/>
  <c r="V183" i="1"/>
  <c r="R183" i="1"/>
  <c r="P183" i="1"/>
  <c r="O183" i="1"/>
  <c r="J183" i="1"/>
  <c r="F183" i="1"/>
  <c r="AA182" i="1"/>
  <c r="Y182" i="1"/>
  <c r="W182" i="1"/>
  <c r="V182" i="1"/>
  <c r="R182" i="1"/>
  <c r="P182" i="1"/>
  <c r="O182" i="1"/>
  <c r="J182" i="1"/>
  <c r="F182" i="1"/>
  <c r="AA181" i="1"/>
  <c r="Y181" i="1"/>
  <c r="W181" i="1"/>
  <c r="V181" i="1"/>
  <c r="R181" i="1"/>
  <c r="P181" i="1"/>
  <c r="O181" i="1"/>
  <c r="J181" i="1"/>
  <c r="F181" i="1"/>
  <c r="AA180" i="1"/>
  <c r="Y180" i="1"/>
  <c r="W180" i="1"/>
  <c r="V180" i="1"/>
  <c r="R180" i="1"/>
  <c r="P180" i="1"/>
  <c r="O180" i="1"/>
  <c r="J180" i="1"/>
  <c r="F180" i="1"/>
  <c r="AA179" i="1"/>
  <c r="Y179" i="1"/>
  <c r="W179" i="1"/>
  <c r="V179" i="1"/>
  <c r="R179" i="1"/>
  <c r="P179" i="1"/>
  <c r="O179" i="1"/>
  <c r="J179" i="1"/>
  <c r="F179" i="1"/>
  <c r="AA178" i="1"/>
  <c r="Y178" i="1"/>
  <c r="W178" i="1"/>
  <c r="V178" i="1"/>
  <c r="R178" i="1"/>
  <c r="P178" i="1"/>
  <c r="O178" i="1"/>
  <c r="J178" i="1"/>
  <c r="F178" i="1"/>
  <c r="AA177" i="1"/>
  <c r="Y177" i="1"/>
  <c r="W177" i="1"/>
  <c r="V177" i="1"/>
  <c r="R177" i="1"/>
  <c r="P177" i="1"/>
  <c r="O177" i="1"/>
  <c r="J177" i="1"/>
  <c r="F177" i="1"/>
  <c r="AA176" i="1"/>
  <c r="Y176" i="1"/>
  <c r="W176" i="1"/>
  <c r="V176" i="1"/>
  <c r="R176" i="1"/>
  <c r="P176" i="1"/>
  <c r="O176" i="1"/>
  <c r="J176" i="1"/>
  <c r="F176" i="1"/>
  <c r="AA175" i="1"/>
  <c r="Y175" i="1"/>
  <c r="W175" i="1"/>
  <c r="V175" i="1"/>
  <c r="R175" i="1"/>
  <c r="P175" i="1"/>
  <c r="O175" i="1"/>
  <c r="J175" i="1"/>
  <c r="F175" i="1"/>
  <c r="AA174" i="1"/>
  <c r="Y174" i="1"/>
  <c r="W174" i="1"/>
  <c r="V174" i="1"/>
  <c r="R174" i="1"/>
  <c r="P174" i="1"/>
  <c r="O174" i="1"/>
  <c r="J174" i="1"/>
  <c r="F174" i="1"/>
  <c r="AA173" i="1"/>
  <c r="Y173" i="1"/>
  <c r="W173" i="1"/>
  <c r="V173" i="1"/>
  <c r="R173" i="1"/>
  <c r="P173" i="1"/>
  <c r="O173" i="1"/>
  <c r="J173" i="1"/>
  <c r="F173" i="1"/>
  <c r="AA172" i="1"/>
  <c r="Y172" i="1"/>
  <c r="W172" i="1"/>
  <c r="V172" i="1"/>
  <c r="R172" i="1"/>
  <c r="P172" i="1"/>
  <c r="O172" i="1"/>
  <c r="J172" i="1"/>
  <c r="F172" i="1"/>
  <c r="AA171" i="1"/>
  <c r="Y171" i="1"/>
  <c r="W171" i="1"/>
  <c r="V171" i="1"/>
  <c r="R171" i="1"/>
  <c r="P171" i="1"/>
  <c r="O171" i="1"/>
  <c r="J171" i="1"/>
  <c r="F171" i="1"/>
  <c r="AA170" i="1"/>
  <c r="Y170" i="1"/>
  <c r="W170" i="1"/>
  <c r="V170" i="1"/>
  <c r="R170" i="1"/>
  <c r="P170" i="1"/>
  <c r="O170" i="1"/>
  <c r="J170" i="1"/>
  <c r="F170" i="1"/>
  <c r="AA169" i="1"/>
  <c r="Y169" i="1"/>
  <c r="W169" i="1"/>
  <c r="V169" i="1"/>
  <c r="R169" i="1"/>
  <c r="P169" i="1"/>
  <c r="O169" i="1"/>
  <c r="J169" i="1"/>
  <c r="F169" i="1"/>
  <c r="AA168" i="1"/>
  <c r="Y168" i="1"/>
  <c r="W168" i="1"/>
  <c r="V168" i="1"/>
  <c r="R168" i="1"/>
  <c r="P168" i="1"/>
  <c r="O168" i="1"/>
  <c r="J168" i="1"/>
  <c r="F168" i="1"/>
  <c r="AA167" i="1"/>
  <c r="Y167" i="1"/>
  <c r="W167" i="1"/>
  <c r="V167" i="1"/>
  <c r="R167" i="1"/>
  <c r="P167" i="1"/>
  <c r="O167" i="1"/>
  <c r="J167" i="1"/>
  <c r="F167" i="1"/>
  <c r="AA166" i="1"/>
  <c r="Y166" i="1"/>
  <c r="W166" i="1"/>
  <c r="V166" i="1"/>
  <c r="R166" i="1"/>
  <c r="P166" i="1"/>
  <c r="O166" i="1"/>
  <c r="J166" i="1"/>
  <c r="F166" i="1"/>
  <c r="AA165" i="1"/>
  <c r="Y165" i="1"/>
  <c r="W165" i="1"/>
  <c r="V165" i="1"/>
  <c r="R165" i="1"/>
  <c r="P165" i="1"/>
  <c r="O165" i="1"/>
  <c r="J165" i="1"/>
  <c r="F165" i="1"/>
  <c r="AA164" i="1"/>
  <c r="Y164" i="1"/>
  <c r="W164" i="1"/>
  <c r="V164" i="1"/>
  <c r="R164" i="1"/>
  <c r="P164" i="1"/>
  <c r="O164" i="1"/>
  <c r="J164" i="1"/>
  <c r="F164" i="1"/>
  <c r="AA163" i="1"/>
  <c r="Y163" i="1"/>
  <c r="W163" i="1"/>
  <c r="V163" i="1"/>
  <c r="R163" i="1"/>
  <c r="P163" i="1"/>
  <c r="O163" i="1"/>
  <c r="J163" i="1"/>
  <c r="F163" i="1"/>
  <c r="AA162" i="1"/>
  <c r="Y162" i="1"/>
  <c r="W162" i="1"/>
  <c r="V162" i="1"/>
  <c r="R162" i="1"/>
  <c r="P162" i="1"/>
  <c r="O162" i="1"/>
  <c r="J162" i="1"/>
  <c r="F162" i="1"/>
  <c r="AA161" i="1"/>
  <c r="Y161" i="1"/>
  <c r="W161" i="1"/>
  <c r="V161" i="1"/>
  <c r="R161" i="1"/>
  <c r="U161" i="1" s="1"/>
  <c r="P161" i="1"/>
  <c r="O161" i="1"/>
  <c r="J161" i="1"/>
  <c r="F161" i="1"/>
  <c r="AA160" i="1"/>
  <c r="Y160" i="1"/>
  <c r="W160" i="1"/>
  <c r="V160" i="1"/>
  <c r="R160" i="1"/>
  <c r="P160" i="1"/>
  <c r="O160" i="1"/>
  <c r="J160" i="1"/>
  <c r="F160" i="1"/>
  <c r="AA159" i="1"/>
  <c r="Y159" i="1"/>
  <c r="W159" i="1"/>
  <c r="V159" i="1"/>
  <c r="R159" i="1"/>
  <c r="U159" i="1" s="1"/>
  <c r="P159" i="1"/>
  <c r="O159" i="1"/>
  <c r="J159" i="1"/>
  <c r="F159" i="1"/>
  <c r="AA158" i="1"/>
  <c r="Y158" i="1"/>
  <c r="W158" i="1"/>
  <c r="V158" i="1"/>
  <c r="R158" i="1"/>
  <c r="P158" i="1"/>
  <c r="O158" i="1"/>
  <c r="J158" i="1"/>
  <c r="F158" i="1"/>
  <c r="AA157" i="1"/>
  <c r="Y157" i="1"/>
  <c r="W157" i="1"/>
  <c r="V157" i="1"/>
  <c r="R157" i="1"/>
  <c r="P157" i="1"/>
  <c r="O157" i="1"/>
  <c r="J157" i="1"/>
  <c r="F157" i="1"/>
  <c r="AA156" i="1"/>
  <c r="Y156" i="1"/>
  <c r="W156" i="1"/>
  <c r="V156" i="1"/>
  <c r="R156" i="1"/>
  <c r="P156" i="1"/>
  <c r="O156" i="1"/>
  <c r="J156" i="1"/>
  <c r="F156" i="1"/>
  <c r="AA155" i="1"/>
  <c r="Y155" i="1"/>
  <c r="W155" i="1"/>
  <c r="V155" i="1"/>
  <c r="R155" i="1"/>
  <c r="P155" i="1"/>
  <c r="O155" i="1"/>
  <c r="J155" i="1"/>
  <c r="F155" i="1"/>
  <c r="AA154" i="1"/>
  <c r="Y154" i="1"/>
  <c r="W154" i="1"/>
  <c r="V154" i="1"/>
  <c r="R154" i="1"/>
  <c r="P154" i="1"/>
  <c r="O154" i="1"/>
  <c r="J154" i="1"/>
  <c r="F154" i="1"/>
  <c r="AA153" i="1"/>
  <c r="Y153" i="1"/>
  <c r="W153" i="1"/>
  <c r="V153" i="1"/>
  <c r="R153" i="1"/>
  <c r="P153" i="1"/>
  <c r="O153" i="1"/>
  <c r="J153" i="1"/>
  <c r="F153" i="1"/>
  <c r="AA152" i="1"/>
  <c r="Y152" i="1"/>
  <c r="W152" i="1"/>
  <c r="V152" i="1"/>
  <c r="R152" i="1"/>
  <c r="P152" i="1"/>
  <c r="O152" i="1"/>
  <c r="J152" i="1"/>
  <c r="F152" i="1"/>
  <c r="AA151" i="1"/>
  <c r="Y151" i="1"/>
  <c r="W151" i="1"/>
  <c r="V151" i="1"/>
  <c r="R151" i="1"/>
  <c r="P151" i="1"/>
  <c r="O151" i="1"/>
  <c r="J151" i="1"/>
  <c r="F151" i="1"/>
  <c r="AA150" i="1"/>
  <c r="Y150" i="1"/>
  <c r="W150" i="1"/>
  <c r="V150" i="1"/>
  <c r="R150" i="1"/>
  <c r="P150" i="1"/>
  <c r="O150" i="1"/>
  <c r="J150" i="1"/>
  <c r="F150" i="1"/>
  <c r="AA149" i="1"/>
  <c r="Y149" i="1"/>
  <c r="W149" i="1"/>
  <c r="V149" i="1"/>
  <c r="R149" i="1"/>
  <c r="P149" i="1"/>
  <c r="O149" i="1"/>
  <c r="J149" i="1"/>
  <c r="F149" i="1"/>
  <c r="AA148" i="1"/>
  <c r="Y148" i="1"/>
  <c r="W148" i="1"/>
  <c r="V148" i="1"/>
  <c r="R148" i="1"/>
  <c r="P148" i="1"/>
  <c r="O148" i="1"/>
  <c r="J148" i="1"/>
  <c r="F148" i="1"/>
  <c r="AA147" i="1"/>
  <c r="Y147" i="1"/>
  <c r="W147" i="1"/>
  <c r="V147" i="1"/>
  <c r="R147" i="1"/>
  <c r="P147" i="1"/>
  <c r="O147" i="1"/>
  <c r="J147" i="1"/>
  <c r="F147" i="1"/>
  <c r="AA146" i="1"/>
  <c r="Y146" i="1"/>
  <c r="W146" i="1"/>
  <c r="V146" i="1"/>
  <c r="R146" i="1"/>
  <c r="P146" i="1"/>
  <c r="O146" i="1"/>
  <c r="J146" i="1"/>
  <c r="F146" i="1"/>
  <c r="AA145" i="1"/>
  <c r="Y145" i="1"/>
  <c r="W145" i="1"/>
  <c r="V145" i="1"/>
  <c r="R145" i="1"/>
  <c r="P145" i="1"/>
  <c r="O145" i="1"/>
  <c r="J145" i="1"/>
  <c r="F145" i="1"/>
  <c r="AA144" i="1"/>
  <c r="Y144" i="1"/>
  <c r="W144" i="1"/>
  <c r="V144" i="1"/>
  <c r="R144" i="1"/>
  <c r="P144" i="1"/>
  <c r="O144" i="1"/>
  <c r="J144" i="1"/>
  <c r="F144" i="1"/>
  <c r="AA143" i="1"/>
  <c r="Y143" i="1"/>
  <c r="W143" i="1"/>
  <c r="V143" i="1"/>
  <c r="R143" i="1"/>
  <c r="P143" i="1"/>
  <c r="O143" i="1"/>
  <c r="J143" i="1"/>
  <c r="F143" i="1"/>
  <c r="AA142" i="1"/>
  <c r="Y142" i="1"/>
  <c r="W142" i="1"/>
  <c r="V142" i="1"/>
  <c r="R142" i="1"/>
  <c r="P142" i="1"/>
  <c r="O142" i="1"/>
  <c r="J142" i="1"/>
  <c r="F142" i="1"/>
  <c r="AA141" i="1"/>
  <c r="Y141" i="1"/>
  <c r="W141" i="1"/>
  <c r="V141" i="1"/>
  <c r="R141" i="1"/>
  <c r="P141" i="1"/>
  <c r="O141" i="1"/>
  <c r="J141" i="1"/>
  <c r="F141" i="1"/>
  <c r="AA140" i="1"/>
  <c r="Y140" i="1"/>
  <c r="W140" i="1"/>
  <c r="V140" i="1"/>
  <c r="R140" i="1"/>
  <c r="P140" i="1"/>
  <c r="O140" i="1"/>
  <c r="J140" i="1"/>
  <c r="F140" i="1"/>
  <c r="AA139" i="1"/>
  <c r="Y139" i="1"/>
  <c r="W139" i="1"/>
  <c r="V139" i="1"/>
  <c r="R139" i="1"/>
  <c r="P139" i="1"/>
  <c r="O139" i="1"/>
  <c r="J139" i="1"/>
  <c r="F139" i="1"/>
  <c r="AA138" i="1"/>
  <c r="Y138" i="1"/>
  <c r="W138" i="1"/>
  <c r="V138" i="1"/>
  <c r="R138" i="1"/>
  <c r="U138" i="1" s="1"/>
  <c r="P138" i="1"/>
  <c r="O138" i="1"/>
  <c r="J138" i="1"/>
  <c r="F138" i="1"/>
  <c r="AA137" i="1"/>
  <c r="Y137" i="1"/>
  <c r="W137" i="1"/>
  <c r="V137" i="1"/>
  <c r="R137" i="1"/>
  <c r="P137" i="1"/>
  <c r="O137" i="1"/>
  <c r="J137" i="1"/>
  <c r="F137" i="1"/>
  <c r="AA136" i="1"/>
  <c r="Y136" i="1"/>
  <c r="W136" i="1"/>
  <c r="V136" i="1"/>
  <c r="R136" i="1"/>
  <c r="P136" i="1"/>
  <c r="O136" i="1"/>
  <c r="J136" i="1"/>
  <c r="F136" i="1"/>
  <c r="AA135" i="1"/>
  <c r="Y135" i="1"/>
  <c r="W135" i="1"/>
  <c r="V135" i="1"/>
  <c r="R135" i="1"/>
  <c r="P135" i="1"/>
  <c r="O135" i="1"/>
  <c r="J135" i="1"/>
  <c r="F135" i="1"/>
  <c r="AA134" i="1"/>
  <c r="Y134" i="1"/>
  <c r="W134" i="1"/>
  <c r="V134" i="1"/>
  <c r="R134" i="1"/>
  <c r="P134" i="1"/>
  <c r="O134" i="1"/>
  <c r="J134" i="1"/>
  <c r="F134" i="1"/>
  <c r="AA133" i="1"/>
  <c r="Y133" i="1"/>
  <c r="W133" i="1"/>
  <c r="V133" i="1"/>
  <c r="R133" i="1"/>
  <c r="P133" i="1"/>
  <c r="O133" i="1"/>
  <c r="J133" i="1"/>
  <c r="F133" i="1"/>
  <c r="AA132" i="1"/>
  <c r="Y132" i="1"/>
  <c r="W132" i="1"/>
  <c r="V132" i="1"/>
  <c r="R132" i="1"/>
  <c r="P132" i="1"/>
  <c r="O132" i="1"/>
  <c r="J132" i="1"/>
  <c r="F132" i="1"/>
  <c r="AA131" i="1"/>
  <c r="Y131" i="1"/>
  <c r="W131" i="1"/>
  <c r="V131" i="1"/>
  <c r="R131" i="1"/>
  <c r="P131" i="1"/>
  <c r="O131" i="1"/>
  <c r="J131" i="1"/>
  <c r="F131" i="1"/>
  <c r="AA130" i="1"/>
  <c r="Y130" i="1"/>
  <c r="W130" i="1"/>
  <c r="V130" i="1"/>
  <c r="R130" i="1"/>
  <c r="P130" i="1"/>
  <c r="O130" i="1"/>
  <c r="J130" i="1"/>
  <c r="F130" i="1"/>
  <c r="AA129" i="1"/>
  <c r="Y129" i="1"/>
  <c r="W129" i="1"/>
  <c r="V129" i="1"/>
  <c r="R129" i="1"/>
  <c r="P129" i="1"/>
  <c r="O129" i="1"/>
  <c r="J129" i="1"/>
  <c r="F129" i="1"/>
  <c r="AA128" i="1"/>
  <c r="Y128" i="1"/>
  <c r="W128" i="1"/>
  <c r="V128" i="1"/>
  <c r="R128" i="1"/>
  <c r="P128" i="1"/>
  <c r="O128" i="1"/>
  <c r="J128" i="1"/>
  <c r="F128" i="1"/>
  <c r="AA127" i="1"/>
  <c r="Y127" i="1"/>
  <c r="W127" i="1"/>
  <c r="V127" i="1"/>
  <c r="R127" i="1"/>
  <c r="P127" i="1"/>
  <c r="O127" i="1"/>
  <c r="J127" i="1"/>
  <c r="F127" i="1"/>
  <c r="AA126" i="1"/>
  <c r="Y126" i="1"/>
  <c r="W126" i="1"/>
  <c r="V126" i="1"/>
  <c r="R126" i="1"/>
  <c r="P126" i="1"/>
  <c r="O126" i="1"/>
  <c r="J126" i="1"/>
  <c r="F126" i="1"/>
  <c r="AA125" i="1"/>
  <c r="Y125" i="1"/>
  <c r="W125" i="1"/>
  <c r="V125" i="1"/>
  <c r="R125" i="1"/>
  <c r="P125" i="1"/>
  <c r="O125" i="1"/>
  <c r="J125" i="1"/>
  <c r="F125" i="1"/>
  <c r="AA124" i="1"/>
  <c r="Y124" i="1"/>
  <c r="W124" i="1"/>
  <c r="V124" i="1"/>
  <c r="R124" i="1"/>
  <c r="P124" i="1"/>
  <c r="O124" i="1"/>
  <c r="J124" i="1"/>
  <c r="F124" i="1"/>
  <c r="AA123" i="1"/>
  <c r="Y123" i="1"/>
  <c r="W123" i="1"/>
  <c r="V123" i="1"/>
  <c r="R123" i="1"/>
  <c r="P123" i="1"/>
  <c r="O123" i="1"/>
  <c r="J123" i="1"/>
  <c r="F123" i="1"/>
  <c r="AA122" i="1"/>
  <c r="Y122" i="1"/>
  <c r="W122" i="1"/>
  <c r="V122" i="1"/>
  <c r="R122" i="1"/>
  <c r="P122" i="1"/>
  <c r="O122" i="1"/>
  <c r="J122" i="1"/>
  <c r="F122" i="1"/>
  <c r="AA121" i="1"/>
  <c r="Y121" i="1"/>
  <c r="W121" i="1"/>
  <c r="V121" i="1"/>
  <c r="R121" i="1"/>
  <c r="P121" i="1"/>
  <c r="O121" i="1"/>
  <c r="J121" i="1"/>
  <c r="F121" i="1"/>
  <c r="AA120" i="1"/>
  <c r="Y120" i="1"/>
  <c r="W120" i="1"/>
  <c r="V120" i="1"/>
  <c r="R120" i="1"/>
  <c r="P120" i="1"/>
  <c r="O120" i="1"/>
  <c r="J120" i="1"/>
  <c r="F120" i="1"/>
  <c r="AA119" i="1"/>
  <c r="Y119" i="1"/>
  <c r="W119" i="1"/>
  <c r="V119" i="1"/>
  <c r="R119" i="1"/>
  <c r="U119" i="1" s="1"/>
  <c r="P119" i="1"/>
  <c r="O119" i="1"/>
  <c r="J119" i="1"/>
  <c r="F119" i="1"/>
  <c r="AA118" i="1"/>
  <c r="Y118" i="1"/>
  <c r="W118" i="1"/>
  <c r="V118" i="1"/>
  <c r="R118" i="1"/>
  <c r="P118" i="1"/>
  <c r="O118" i="1"/>
  <c r="J118" i="1"/>
  <c r="F118" i="1"/>
  <c r="AA117" i="1"/>
  <c r="Y117" i="1"/>
  <c r="W117" i="1"/>
  <c r="V117" i="1"/>
  <c r="R117" i="1"/>
  <c r="P117" i="1"/>
  <c r="O117" i="1"/>
  <c r="J117" i="1"/>
  <c r="F117" i="1"/>
  <c r="AA116" i="1"/>
  <c r="Y116" i="1"/>
  <c r="W116" i="1"/>
  <c r="V116" i="1"/>
  <c r="R116" i="1"/>
  <c r="P116" i="1"/>
  <c r="O116" i="1"/>
  <c r="J116" i="1"/>
  <c r="F116" i="1"/>
  <c r="AA115" i="1"/>
  <c r="Y115" i="1"/>
  <c r="W115" i="1"/>
  <c r="V115" i="1"/>
  <c r="R115" i="1"/>
  <c r="P115" i="1"/>
  <c r="O115" i="1"/>
  <c r="J115" i="1"/>
  <c r="F115" i="1"/>
  <c r="AA114" i="1"/>
  <c r="Y114" i="1"/>
  <c r="W114" i="1"/>
  <c r="V114" i="1"/>
  <c r="R114" i="1"/>
  <c r="P114" i="1"/>
  <c r="O114" i="1"/>
  <c r="J114" i="1"/>
  <c r="F114" i="1"/>
  <c r="AA113" i="1"/>
  <c r="Y113" i="1"/>
  <c r="W113" i="1"/>
  <c r="V113" i="1"/>
  <c r="R113" i="1"/>
  <c r="P113" i="1"/>
  <c r="O113" i="1"/>
  <c r="J113" i="1"/>
  <c r="F113" i="1"/>
  <c r="AA112" i="1"/>
  <c r="Y112" i="1"/>
  <c r="W112" i="1"/>
  <c r="V112" i="1"/>
  <c r="R112" i="1"/>
  <c r="P112" i="1"/>
  <c r="O112" i="1"/>
  <c r="J112" i="1"/>
  <c r="F112" i="1"/>
  <c r="AA111" i="1"/>
  <c r="Y111" i="1"/>
  <c r="W111" i="1"/>
  <c r="V111" i="1"/>
  <c r="R111" i="1"/>
  <c r="P111" i="1"/>
  <c r="O111" i="1"/>
  <c r="J111" i="1"/>
  <c r="F111" i="1"/>
  <c r="AA110" i="1"/>
  <c r="Y110" i="1"/>
  <c r="W110" i="1"/>
  <c r="V110" i="1"/>
  <c r="R110" i="1"/>
  <c r="P110" i="1"/>
  <c r="O110" i="1"/>
  <c r="J110" i="1"/>
  <c r="F110" i="1"/>
  <c r="AA109" i="1"/>
  <c r="Y109" i="1"/>
  <c r="W109" i="1"/>
  <c r="V109" i="1"/>
  <c r="R109" i="1"/>
  <c r="P109" i="1"/>
  <c r="O109" i="1"/>
  <c r="J109" i="1"/>
  <c r="F109" i="1"/>
  <c r="AA108" i="1"/>
  <c r="Y108" i="1"/>
  <c r="W108" i="1"/>
  <c r="V108" i="1"/>
  <c r="R108" i="1"/>
  <c r="P108" i="1"/>
  <c r="O108" i="1"/>
  <c r="J108" i="1"/>
  <c r="F108" i="1"/>
  <c r="AA107" i="1"/>
  <c r="Y107" i="1"/>
  <c r="W107" i="1"/>
  <c r="V107" i="1"/>
  <c r="R107" i="1"/>
  <c r="P107" i="1"/>
  <c r="O107" i="1"/>
  <c r="J107" i="1"/>
  <c r="F107" i="1"/>
  <c r="AA106" i="1"/>
  <c r="Y106" i="1"/>
  <c r="W106" i="1"/>
  <c r="V106" i="1"/>
  <c r="R106" i="1"/>
  <c r="P106" i="1"/>
  <c r="O106" i="1"/>
  <c r="J106" i="1"/>
  <c r="F106" i="1"/>
  <c r="AA105" i="1"/>
  <c r="Y105" i="1"/>
  <c r="W105" i="1"/>
  <c r="V105" i="1"/>
  <c r="R105" i="1"/>
  <c r="P105" i="1"/>
  <c r="O105" i="1"/>
  <c r="J105" i="1"/>
  <c r="F105" i="1"/>
  <c r="AA104" i="1"/>
  <c r="Y104" i="1"/>
  <c r="W104" i="1"/>
  <c r="V104" i="1"/>
  <c r="R104" i="1"/>
  <c r="P104" i="1"/>
  <c r="O104" i="1"/>
  <c r="J104" i="1"/>
  <c r="F104" i="1"/>
  <c r="AA103" i="1"/>
  <c r="Y103" i="1"/>
  <c r="W103" i="1"/>
  <c r="V103" i="1"/>
  <c r="R103" i="1"/>
  <c r="P103" i="1"/>
  <c r="O103" i="1"/>
  <c r="J103" i="1"/>
  <c r="F103" i="1"/>
  <c r="AA102" i="1"/>
  <c r="Y102" i="1"/>
  <c r="W102" i="1"/>
  <c r="V102" i="1"/>
  <c r="R102" i="1"/>
  <c r="P102" i="1"/>
  <c r="O102" i="1"/>
  <c r="J102" i="1"/>
  <c r="F102" i="1"/>
  <c r="AA101" i="1"/>
  <c r="Y101" i="1"/>
  <c r="W101" i="1"/>
  <c r="V101" i="1"/>
  <c r="R101" i="1"/>
  <c r="U101" i="1" s="1"/>
  <c r="P101" i="1"/>
  <c r="O101" i="1"/>
  <c r="J101" i="1"/>
  <c r="F101" i="1"/>
  <c r="AA100" i="1"/>
  <c r="Y100" i="1"/>
  <c r="W100" i="1"/>
  <c r="V100" i="1"/>
  <c r="R100" i="1"/>
  <c r="P100" i="1"/>
  <c r="O100" i="1"/>
  <c r="J100" i="1"/>
  <c r="F100" i="1"/>
  <c r="AA99" i="1"/>
  <c r="Y99" i="1"/>
  <c r="W99" i="1"/>
  <c r="V99" i="1"/>
  <c r="R99" i="1"/>
  <c r="P99" i="1"/>
  <c r="O99" i="1"/>
  <c r="J99" i="1"/>
  <c r="F99" i="1"/>
  <c r="AA98" i="1"/>
  <c r="Y98" i="1"/>
  <c r="W98" i="1"/>
  <c r="V98" i="1"/>
  <c r="R98" i="1"/>
  <c r="P98" i="1"/>
  <c r="O98" i="1"/>
  <c r="J98" i="1"/>
  <c r="F98" i="1"/>
  <c r="AA97" i="1"/>
  <c r="Y97" i="1"/>
  <c r="W97" i="1"/>
  <c r="V97" i="1"/>
  <c r="R97" i="1"/>
  <c r="P97" i="1"/>
  <c r="O97" i="1"/>
  <c r="J97" i="1"/>
  <c r="F97" i="1"/>
  <c r="AA96" i="1"/>
  <c r="Y96" i="1"/>
  <c r="W96" i="1"/>
  <c r="V96" i="1"/>
  <c r="R96" i="1"/>
  <c r="P96" i="1"/>
  <c r="O96" i="1"/>
  <c r="J96" i="1"/>
  <c r="F96" i="1"/>
  <c r="AA95" i="1"/>
  <c r="Y95" i="1"/>
  <c r="W95" i="1"/>
  <c r="V95" i="1"/>
  <c r="R95" i="1"/>
  <c r="P95" i="1"/>
  <c r="O95" i="1"/>
  <c r="J95" i="1"/>
  <c r="F95" i="1"/>
  <c r="AA94" i="1"/>
  <c r="Y94" i="1"/>
  <c r="W94" i="1"/>
  <c r="V94" i="1"/>
  <c r="R94" i="1"/>
  <c r="P94" i="1"/>
  <c r="O94" i="1"/>
  <c r="J94" i="1"/>
  <c r="F94" i="1"/>
  <c r="AA93" i="1"/>
  <c r="Y93" i="1"/>
  <c r="W93" i="1"/>
  <c r="V93" i="1"/>
  <c r="R93" i="1"/>
  <c r="P93" i="1"/>
  <c r="O93" i="1"/>
  <c r="J93" i="1"/>
  <c r="F93" i="1"/>
  <c r="AA92" i="1"/>
  <c r="Y92" i="1"/>
  <c r="W92" i="1"/>
  <c r="V92" i="1"/>
  <c r="R92" i="1"/>
  <c r="P92" i="1"/>
  <c r="O92" i="1"/>
  <c r="J92" i="1"/>
  <c r="F92" i="1"/>
  <c r="AA91" i="1"/>
  <c r="Y91" i="1"/>
  <c r="W91" i="1"/>
  <c r="V91" i="1"/>
  <c r="R91" i="1"/>
  <c r="P91" i="1"/>
  <c r="O91" i="1"/>
  <c r="J91" i="1"/>
  <c r="F91" i="1"/>
  <c r="AA90" i="1"/>
  <c r="Y90" i="1"/>
  <c r="W90" i="1"/>
  <c r="V90" i="1"/>
  <c r="R90" i="1"/>
  <c r="P90" i="1"/>
  <c r="O90" i="1"/>
  <c r="J90" i="1"/>
  <c r="F90" i="1"/>
  <c r="AA89" i="1"/>
  <c r="Y89" i="1"/>
  <c r="W89" i="1"/>
  <c r="V89" i="1"/>
  <c r="R89" i="1"/>
  <c r="P89" i="1"/>
  <c r="O89" i="1"/>
  <c r="J89" i="1"/>
  <c r="F89" i="1"/>
  <c r="AA88" i="1"/>
  <c r="Y88" i="1"/>
  <c r="W88" i="1"/>
  <c r="V88" i="1"/>
  <c r="R88" i="1"/>
  <c r="P88" i="1"/>
  <c r="O88" i="1"/>
  <c r="J88" i="1"/>
  <c r="F88" i="1"/>
  <c r="AA87" i="1"/>
  <c r="Y87" i="1"/>
  <c r="W87" i="1"/>
  <c r="V87" i="1"/>
  <c r="R87" i="1"/>
  <c r="P87" i="1"/>
  <c r="O87" i="1"/>
  <c r="J87" i="1"/>
  <c r="F87" i="1"/>
  <c r="AA86" i="1"/>
  <c r="Y86" i="1"/>
  <c r="W86" i="1"/>
  <c r="V86" i="1"/>
  <c r="R86" i="1"/>
  <c r="P86" i="1"/>
  <c r="O86" i="1"/>
  <c r="J86" i="1"/>
  <c r="F86" i="1"/>
  <c r="AA85" i="1"/>
  <c r="Y85" i="1"/>
  <c r="W85" i="1"/>
  <c r="V85" i="1"/>
  <c r="R85" i="1"/>
  <c r="P85" i="1"/>
  <c r="O85" i="1"/>
  <c r="J85" i="1"/>
  <c r="F85" i="1"/>
  <c r="AA84" i="1"/>
  <c r="Y84" i="1"/>
  <c r="W84" i="1"/>
  <c r="V84" i="1"/>
  <c r="R84" i="1"/>
  <c r="P84" i="1"/>
  <c r="O84" i="1"/>
  <c r="J84" i="1"/>
  <c r="F84" i="1"/>
  <c r="AA83" i="1"/>
  <c r="Y83" i="1"/>
  <c r="W83" i="1"/>
  <c r="V83" i="1"/>
  <c r="R83" i="1"/>
  <c r="P83" i="1"/>
  <c r="O83" i="1"/>
  <c r="J83" i="1"/>
  <c r="F83" i="1"/>
  <c r="AA82" i="1"/>
  <c r="Y82" i="1"/>
  <c r="W82" i="1"/>
  <c r="V82" i="1"/>
  <c r="R82" i="1"/>
  <c r="P82" i="1"/>
  <c r="O82" i="1"/>
  <c r="J82" i="1"/>
  <c r="F82" i="1"/>
  <c r="AA81" i="1"/>
  <c r="Y81" i="1"/>
  <c r="W81" i="1"/>
  <c r="V81" i="1"/>
  <c r="R81" i="1"/>
  <c r="P81" i="1"/>
  <c r="O81" i="1"/>
  <c r="J81" i="1"/>
  <c r="F81" i="1"/>
  <c r="AA80" i="1"/>
  <c r="Y80" i="1"/>
  <c r="W80" i="1"/>
  <c r="V80" i="1"/>
  <c r="R80" i="1"/>
  <c r="P80" i="1"/>
  <c r="O80" i="1"/>
  <c r="J80" i="1"/>
  <c r="F80" i="1"/>
  <c r="AA79" i="1"/>
  <c r="Y79" i="1"/>
  <c r="W79" i="1"/>
  <c r="V79" i="1"/>
  <c r="R79" i="1"/>
  <c r="U79" i="1" s="1"/>
  <c r="P79" i="1"/>
  <c r="O79" i="1"/>
  <c r="J79" i="1"/>
  <c r="F79" i="1"/>
  <c r="AA78" i="1"/>
  <c r="Y78" i="1"/>
  <c r="W78" i="1"/>
  <c r="V78" i="1"/>
  <c r="R78" i="1"/>
  <c r="P78" i="1"/>
  <c r="O78" i="1"/>
  <c r="J78" i="1"/>
  <c r="F78" i="1"/>
  <c r="AA77" i="1"/>
  <c r="Y77" i="1"/>
  <c r="W77" i="1"/>
  <c r="V77" i="1"/>
  <c r="R77" i="1"/>
  <c r="P77" i="1"/>
  <c r="O77" i="1"/>
  <c r="J77" i="1"/>
  <c r="F77" i="1"/>
  <c r="AA76" i="1"/>
  <c r="Y76" i="1"/>
  <c r="W76" i="1"/>
  <c r="V76" i="1"/>
  <c r="R76" i="1"/>
  <c r="P76" i="1"/>
  <c r="O76" i="1"/>
  <c r="J76" i="1"/>
  <c r="F76" i="1"/>
  <c r="AA75" i="1"/>
  <c r="Y75" i="1"/>
  <c r="W75" i="1"/>
  <c r="V75" i="1"/>
  <c r="R75" i="1"/>
  <c r="P75" i="1"/>
  <c r="O75" i="1"/>
  <c r="J75" i="1"/>
  <c r="F75" i="1"/>
  <c r="AA74" i="1"/>
  <c r="Y74" i="1"/>
  <c r="W74" i="1"/>
  <c r="V74" i="1"/>
  <c r="R74" i="1"/>
  <c r="P74" i="1"/>
  <c r="O74" i="1"/>
  <c r="J74" i="1"/>
  <c r="F74" i="1"/>
  <c r="AA73" i="1"/>
  <c r="Y73" i="1"/>
  <c r="W73" i="1"/>
  <c r="V73" i="1"/>
  <c r="R73" i="1"/>
  <c r="P73" i="1"/>
  <c r="O73" i="1"/>
  <c r="J73" i="1"/>
  <c r="F73" i="1"/>
  <c r="AA72" i="1"/>
  <c r="Y72" i="1"/>
  <c r="W72" i="1"/>
  <c r="V72" i="1"/>
  <c r="R72" i="1"/>
  <c r="P72" i="1"/>
  <c r="O72" i="1"/>
  <c r="J72" i="1"/>
  <c r="F72" i="1"/>
  <c r="AA71" i="1"/>
  <c r="Y71" i="1"/>
  <c r="W71" i="1"/>
  <c r="V71" i="1"/>
  <c r="R71" i="1"/>
  <c r="P71" i="1"/>
  <c r="O71" i="1"/>
  <c r="J71" i="1"/>
  <c r="F71" i="1"/>
  <c r="AA70" i="1"/>
  <c r="Y70" i="1"/>
  <c r="W70" i="1"/>
  <c r="V70" i="1"/>
  <c r="R70" i="1"/>
  <c r="P70" i="1"/>
  <c r="O70" i="1"/>
  <c r="J70" i="1"/>
  <c r="F70" i="1"/>
  <c r="AA69" i="1"/>
  <c r="Y69" i="1"/>
  <c r="W69" i="1"/>
  <c r="V69" i="1"/>
  <c r="R69" i="1"/>
  <c r="P69" i="1"/>
  <c r="O69" i="1"/>
  <c r="J69" i="1"/>
  <c r="F69" i="1"/>
  <c r="AA68" i="1"/>
  <c r="Y68" i="1"/>
  <c r="W68" i="1"/>
  <c r="V68" i="1"/>
  <c r="R68" i="1"/>
  <c r="P68" i="1"/>
  <c r="O68" i="1"/>
  <c r="J68" i="1"/>
  <c r="F68" i="1"/>
  <c r="AA67" i="1"/>
  <c r="Y67" i="1"/>
  <c r="W67" i="1"/>
  <c r="V67" i="1"/>
  <c r="R67" i="1"/>
  <c r="P67" i="1"/>
  <c r="O67" i="1"/>
  <c r="J67" i="1"/>
  <c r="F67" i="1"/>
  <c r="AA66" i="1"/>
  <c r="Y66" i="1"/>
  <c r="W66" i="1"/>
  <c r="V66" i="1"/>
  <c r="R66" i="1"/>
  <c r="P66" i="1"/>
  <c r="O66" i="1"/>
  <c r="J66" i="1"/>
  <c r="F66" i="1"/>
  <c r="AA65" i="1"/>
  <c r="Y65" i="1"/>
  <c r="W65" i="1"/>
  <c r="V65" i="1"/>
  <c r="R65" i="1"/>
  <c r="P65" i="1"/>
  <c r="O65" i="1"/>
  <c r="J65" i="1"/>
  <c r="F65" i="1"/>
  <c r="AA64" i="1"/>
  <c r="Y64" i="1"/>
  <c r="W64" i="1"/>
  <c r="V64" i="1"/>
  <c r="R64" i="1"/>
  <c r="P64" i="1"/>
  <c r="O64" i="1"/>
  <c r="J64" i="1"/>
  <c r="F64" i="1"/>
  <c r="AA63" i="1"/>
  <c r="Y63" i="1"/>
  <c r="W63" i="1"/>
  <c r="V63" i="1"/>
  <c r="R63" i="1"/>
  <c r="P63" i="1"/>
  <c r="O63" i="1"/>
  <c r="J63" i="1"/>
  <c r="F63" i="1"/>
  <c r="AA62" i="1"/>
  <c r="Y62" i="1"/>
  <c r="W62" i="1"/>
  <c r="V62" i="1"/>
  <c r="R62" i="1"/>
  <c r="P62" i="1"/>
  <c r="O62" i="1"/>
  <c r="J62" i="1"/>
  <c r="F62" i="1"/>
  <c r="AA61" i="1"/>
  <c r="Y61" i="1"/>
  <c r="W61" i="1"/>
  <c r="V61" i="1"/>
  <c r="R61" i="1"/>
  <c r="P61" i="1"/>
  <c r="O61" i="1"/>
  <c r="J61" i="1"/>
  <c r="F61" i="1"/>
  <c r="AA60" i="1"/>
  <c r="Y60" i="1"/>
  <c r="W60" i="1"/>
  <c r="V60" i="1"/>
  <c r="R60" i="1"/>
  <c r="P60" i="1"/>
  <c r="O60" i="1"/>
  <c r="J60" i="1"/>
  <c r="F60" i="1"/>
  <c r="AA59" i="1"/>
  <c r="Y59" i="1"/>
  <c r="W59" i="1"/>
  <c r="V59" i="1"/>
  <c r="R59" i="1"/>
  <c r="P59" i="1"/>
  <c r="O59" i="1"/>
  <c r="J59" i="1"/>
  <c r="F59" i="1"/>
  <c r="AA58" i="1"/>
  <c r="Y58" i="1"/>
  <c r="W58" i="1"/>
  <c r="V58" i="1"/>
  <c r="R58" i="1"/>
  <c r="U58" i="1" s="1"/>
  <c r="P58" i="1"/>
  <c r="O58" i="1"/>
  <c r="J58" i="1"/>
  <c r="F58" i="1"/>
  <c r="AA57" i="1"/>
  <c r="Y57" i="1"/>
  <c r="W57" i="1"/>
  <c r="V57" i="1"/>
  <c r="R57" i="1"/>
  <c r="P57" i="1"/>
  <c r="O57" i="1"/>
  <c r="J57" i="1"/>
  <c r="F57" i="1"/>
  <c r="AA56" i="1"/>
  <c r="Y56" i="1"/>
  <c r="W56" i="1"/>
  <c r="V56" i="1"/>
  <c r="R56" i="1"/>
  <c r="P56" i="1"/>
  <c r="O56" i="1"/>
  <c r="J56" i="1"/>
  <c r="F56" i="1"/>
  <c r="AA55" i="1"/>
  <c r="Y55" i="1"/>
  <c r="W55" i="1"/>
  <c r="V55" i="1"/>
  <c r="R55" i="1"/>
  <c r="P55" i="1"/>
  <c r="O55" i="1"/>
  <c r="J55" i="1"/>
  <c r="F55" i="1"/>
  <c r="AA54" i="1"/>
  <c r="Y54" i="1"/>
  <c r="W54" i="1"/>
  <c r="V54" i="1"/>
  <c r="R54" i="1"/>
  <c r="P54" i="1"/>
  <c r="O54" i="1"/>
  <c r="J54" i="1"/>
  <c r="F54" i="1"/>
  <c r="AA53" i="1"/>
  <c r="Y53" i="1"/>
  <c r="W53" i="1"/>
  <c r="V53" i="1"/>
  <c r="R53" i="1"/>
  <c r="P53" i="1"/>
  <c r="O53" i="1"/>
  <c r="J53" i="1"/>
  <c r="F53" i="1"/>
  <c r="AA52" i="1"/>
  <c r="Y52" i="1"/>
  <c r="W52" i="1"/>
  <c r="V52" i="1"/>
  <c r="R52" i="1"/>
  <c r="P52" i="1"/>
  <c r="O52" i="1"/>
  <c r="J52" i="1"/>
  <c r="F52" i="1"/>
  <c r="AA51" i="1"/>
  <c r="Y51" i="1"/>
  <c r="W51" i="1"/>
  <c r="V51" i="1"/>
  <c r="R51" i="1"/>
  <c r="P51" i="1"/>
  <c r="O51" i="1"/>
  <c r="J51" i="1"/>
  <c r="F51" i="1"/>
  <c r="AA50" i="1"/>
  <c r="Y50" i="1"/>
  <c r="W50" i="1"/>
  <c r="V50" i="1"/>
  <c r="R50" i="1"/>
  <c r="P50" i="1"/>
  <c r="O50" i="1"/>
  <c r="J50" i="1"/>
  <c r="F50" i="1"/>
  <c r="AA49" i="1"/>
  <c r="Y49" i="1"/>
  <c r="W49" i="1"/>
  <c r="V49" i="1"/>
  <c r="R49" i="1"/>
  <c r="P49" i="1"/>
  <c r="O49" i="1"/>
  <c r="J49" i="1"/>
  <c r="F49" i="1"/>
  <c r="AA48" i="1"/>
  <c r="Y48" i="1"/>
  <c r="W48" i="1"/>
  <c r="V48" i="1"/>
  <c r="R48" i="1"/>
  <c r="P48" i="1"/>
  <c r="O48" i="1"/>
  <c r="J48" i="1"/>
  <c r="F48" i="1"/>
  <c r="AA47" i="1"/>
  <c r="Y47" i="1"/>
  <c r="W47" i="1"/>
  <c r="V47" i="1"/>
  <c r="R47" i="1"/>
  <c r="P47" i="1"/>
  <c r="O47" i="1"/>
  <c r="J47" i="1"/>
  <c r="F47" i="1"/>
  <c r="AA46" i="1"/>
  <c r="Y46" i="1"/>
  <c r="W46" i="1"/>
  <c r="V46" i="1"/>
  <c r="R46" i="1"/>
  <c r="P46" i="1"/>
  <c r="O46" i="1"/>
  <c r="J46" i="1"/>
  <c r="F46" i="1"/>
  <c r="AA45" i="1"/>
  <c r="Y45" i="1"/>
  <c r="W45" i="1"/>
  <c r="V45" i="1"/>
  <c r="R45" i="1"/>
  <c r="P45" i="1"/>
  <c r="O45" i="1"/>
  <c r="J45" i="1"/>
  <c r="F45" i="1"/>
  <c r="AA44" i="1"/>
  <c r="Y44" i="1"/>
  <c r="W44" i="1"/>
  <c r="V44" i="1"/>
  <c r="R44" i="1"/>
  <c r="P44" i="1"/>
  <c r="O44" i="1"/>
  <c r="J44" i="1"/>
  <c r="F44" i="1"/>
  <c r="AA43" i="1"/>
  <c r="Y43" i="1"/>
  <c r="W43" i="1"/>
  <c r="V43" i="1"/>
  <c r="R43" i="1"/>
  <c r="P43" i="1"/>
  <c r="O43" i="1"/>
  <c r="J43" i="1"/>
  <c r="F43" i="1"/>
  <c r="AA42" i="1"/>
  <c r="Y42" i="1"/>
  <c r="W42" i="1"/>
  <c r="V42" i="1"/>
  <c r="R42" i="1"/>
  <c r="P42" i="1"/>
  <c r="O42" i="1"/>
  <c r="J42" i="1"/>
  <c r="F42" i="1"/>
  <c r="AA41" i="1"/>
  <c r="Y41" i="1"/>
  <c r="W41" i="1"/>
  <c r="V41" i="1"/>
  <c r="R41" i="1"/>
  <c r="P41" i="1"/>
  <c r="O41" i="1"/>
  <c r="J41" i="1"/>
  <c r="F41" i="1"/>
  <c r="AA40" i="1"/>
  <c r="Y40" i="1"/>
  <c r="W40" i="1"/>
  <c r="V40" i="1"/>
  <c r="R40" i="1"/>
  <c r="P40" i="1"/>
  <c r="O40" i="1"/>
  <c r="J40" i="1"/>
  <c r="F40" i="1"/>
  <c r="AA39" i="1"/>
  <c r="Y39" i="1"/>
  <c r="W39" i="1"/>
  <c r="V39" i="1"/>
  <c r="R39" i="1"/>
  <c r="P39" i="1"/>
  <c r="O39" i="1"/>
  <c r="J39" i="1"/>
  <c r="F39" i="1"/>
  <c r="AA38" i="1"/>
  <c r="Y38" i="1"/>
  <c r="W38" i="1"/>
  <c r="V38" i="1"/>
  <c r="R38" i="1"/>
  <c r="P38" i="1"/>
  <c r="O38" i="1"/>
  <c r="J38" i="1"/>
  <c r="F38" i="1"/>
  <c r="AA37" i="1"/>
  <c r="Y37" i="1"/>
  <c r="W37" i="1"/>
  <c r="V37" i="1"/>
  <c r="R37" i="1"/>
  <c r="P37" i="1"/>
  <c r="O37" i="1"/>
  <c r="J37" i="1"/>
  <c r="F37" i="1"/>
  <c r="AA36" i="1"/>
  <c r="Y36" i="1"/>
  <c r="W36" i="1"/>
  <c r="V36" i="1"/>
  <c r="R36" i="1"/>
  <c r="P36" i="1"/>
  <c r="O36" i="1"/>
  <c r="J36" i="1"/>
  <c r="F36" i="1"/>
  <c r="AA35" i="1"/>
  <c r="Y35" i="1"/>
  <c r="W35" i="1"/>
  <c r="V35" i="1"/>
  <c r="R35" i="1"/>
  <c r="P35" i="1"/>
  <c r="O35" i="1"/>
  <c r="J35" i="1"/>
  <c r="F35" i="1"/>
  <c r="AA34" i="1"/>
  <c r="Y34" i="1"/>
  <c r="W34" i="1"/>
  <c r="V34" i="1"/>
  <c r="R34" i="1"/>
  <c r="P34" i="1"/>
  <c r="O34" i="1"/>
  <c r="J34" i="1"/>
  <c r="F34" i="1"/>
  <c r="AA33" i="1"/>
  <c r="Y33" i="1"/>
  <c r="W33" i="1"/>
  <c r="V33" i="1"/>
  <c r="R33" i="1"/>
  <c r="U33" i="1" s="1"/>
  <c r="P33" i="1"/>
  <c r="O33" i="1"/>
  <c r="J33" i="1"/>
  <c r="F33" i="1"/>
  <c r="AA32" i="1"/>
  <c r="Y32" i="1"/>
  <c r="W32" i="1"/>
  <c r="V32" i="1"/>
  <c r="R32" i="1"/>
  <c r="P32" i="1"/>
  <c r="O32" i="1"/>
  <c r="J32" i="1"/>
  <c r="F32" i="1"/>
  <c r="AA31" i="1"/>
  <c r="Y31" i="1"/>
  <c r="W31" i="1"/>
  <c r="V31" i="1"/>
  <c r="R31" i="1"/>
  <c r="P31" i="1"/>
  <c r="O31" i="1"/>
  <c r="J31" i="1"/>
  <c r="F31" i="1"/>
  <c r="AA30" i="1"/>
  <c r="Y30" i="1"/>
  <c r="W30" i="1"/>
  <c r="V30" i="1"/>
  <c r="R30" i="1"/>
  <c r="P30" i="1"/>
  <c r="O30" i="1"/>
  <c r="J30" i="1"/>
  <c r="F30" i="1"/>
  <c r="AA29" i="1"/>
  <c r="Y29" i="1"/>
  <c r="W29" i="1"/>
  <c r="V29" i="1"/>
  <c r="R29" i="1"/>
  <c r="P29" i="1"/>
  <c r="O29" i="1"/>
  <c r="J29" i="1"/>
  <c r="F29" i="1"/>
  <c r="AA28" i="1"/>
  <c r="Y28" i="1"/>
  <c r="W28" i="1"/>
  <c r="V28" i="1"/>
  <c r="R28" i="1"/>
  <c r="P28" i="1"/>
  <c r="O28" i="1"/>
  <c r="J28" i="1"/>
  <c r="F28" i="1"/>
  <c r="AA27" i="1"/>
  <c r="Y27" i="1"/>
  <c r="W27" i="1"/>
  <c r="V27" i="1"/>
  <c r="R27" i="1"/>
  <c r="P27" i="1"/>
  <c r="O27" i="1"/>
  <c r="J27" i="1"/>
  <c r="F27" i="1"/>
  <c r="AA26" i="1"/>
  <c r="Y26" i="1"/>
  <c r="W26" i="1"/>
  <c r="V26" i="1"/>
  <c r="R26" i="1"/>
  <c r="P26" i="1"/>
  <c r="O26" i="1"/>
  <c r="J26" i="1"/>
  <c r="F26" i="1"/>
  <c r="AA25" i="1"/>
  <c r="Y25" i="1"/>
  <c r="W25" i="1"/>
  <c r="V25" i="1"/>
  <c r="R25" i="1"/>
  <c r="P25" i="1"/>
  <c r="O25" i="1"/>
  <c r="J25" i="1"/>
  <c r="F25" i="1"/>
  <c r="AA24" i="1"/>
  <c r="Y24" i="1"/>
  <c r="W24" i="1"/>
  <c r="V24" i="1"/>
  <c r="R24" i="1"/>
  <c r="P24" i="1"/>
  <c r="O24" i="1"/>
  <c r="J24" i="1"/>
  <c r="F24" i="1"/>
  <c r="AA23" i="1"/>
  <c r="Y23" i="1"/>
  <c r="W23" i="1"/>
  <c r="V23" i="1"/>
  <c r="R23" i="1"/>
  <c r="P23" i="1"/>
  <c r="O23" i="1"/>
  <c r="J23" i="1"/>
  <c r="F23" i="1"/>
  <c r="AA22" i="1"/>
  <c r="Y22" i="1"/>
  <c r="W22" i="1"/>
  <c r="V22" i="1"/>
  <c r="R22" i="1"/>
  <c r="P22" i="1"/>
  <c r="O22" i="1"/>
  <c r="J22" i="1"/>
  <c r="F22" i="1"/>
  <c r="AA21" i="1"/>
  <c r="Y21" i="1"/>
  <c r="W21" i="1"/>
  <c r="V21" i="1"/>
  <c r="R21" i="1"/>
  <c r="P21" i="1"/>
  <c r="O21" i="1"/>
  <c r="J21" i="1"/>
  <c r="F21" i="1"/>
  <c r="AA20" i="1"/>
  <c r="Y20" i="1"/>
  <c r="W20" i="1"/>
  <c r="V20" i="1"/>
  <c r="R20" i="1"/>
  <c r="P20" i="1"/>
  <c r="O20" i="1"/>
  <c r="J20" i="1"/>
  <c r="F20" i="1"/>
  <c r="AA19" i="1"/>
  <c r="Y19" i="1"/>
  <c r="W19" i="1"/>
  <c r="V19" i="1"/>
  <c r="R19" i="1"/>
  <c r="P19" i="1"/>
  <c r="O19" i="1"/>
  <c r="J19" i="1"/>
  <c r="F19" i="1"/>
  <c r="AA18" i="1"/>
  <c r="Y18" i="1"/>
  <c r="W18" i="1"/>
  <c r="V18" i="1"/>
  <c r="R18" i="1"/>
  <c r="P18" i="1"/>
  <c r="O18" i="1"/>
  <c r="J18" i="1"/>
  <c r="F18" i="1"/>
  <c r="AA17" i="1"/>
  <c r="Y17" i="1"/>
  <c r="W17" i="1"/>
  <c r="V17" i="1"/>
  <c r="R17" i="1"/>
  <c r="P17" i="1"/>
  <c r="O17" i="1"/>
  <c r="J17" i="1"/>
  <c r="F17" i="1"/>
  <c r="AA16" i="1"/>
  <c r="Y16" i="1"/>
  <c r="W16" i="1"/>
  <c r="V16" i="1"/>
  <c r="R16" i="1"/>
  <c r="P16" i="1"/>
  <c r="O16" i="1"/>
  <c r="J16" i="1"/>
  <c r="F16" i="1"/>
  <c r="AA15" i="1"/>
  <c r="Y15" i="1"/>
  <c r="W15" i="1"/>
  <c r="V15" i="1"/>
  <c r="R15" i="1"/>
  <c r="P15" i="1"/>
  <c r="O15" i="1"/>
  <c r="J15" i="1"/>
  <c r="F15" i="1"/>
  <c r="AA14" i="1"/>
  <c r="Y14" i="1"/>
  <c r="W14" i="1"/>
  <c r="V14" i="1"/>
  <c r="R14" i="1"/>
  <c r="P14" i="1"/>
  <c r="O14" i="1"/>
  <c r="J14" i="1"/>
  <c r="F14" i="1"/>
  <c r="AA13" i="1"/>
  <c r="Y13" i="1"/>
  <c r="W13" i="1"/>
  <c r="V13" i="1"/>
  <c r="R13" i="1"/>
  <c r="P13" i="1"/>
  <c r="O13" i="1"/>
  <c r="J13" i="1"/>
  <c r="F13" i="1"/>
  <c r="AA12" i="1"/>
  <c r="Y12" i="1"/>
  <c r="W12" i="1"/>
  <c r="V12" i="1"/>
  <c r="R12" i="1"/>
  <c r="P12" i="1"/>
  <c r="O12" i="1"/>
  <c r="J12" i="1"/>
  <c r="F12" i="1"/>
  <c r="AA11" i="1"/>
  <c r="Y11" i="1"/>
  <c r="W11" i="1"/>
  <c r="V11" i="1"/>
  <c r="R11" i="1"/>
  <c r="P11" i="1"/>
  <c r="O11" i="1"/>
  <c r="J11" i="1"/>
  <c r="F11" i="1"/>
  <c r="AA10" i="1"/>
  <c r="Y10" i="1"/>
  <c r="W10" i="1"/>
  <c r="V10" i="1"/>
  <c r="R10" i="1"/>
  <c r="P10" i="1"/>
  <c r="O10" i="1"/>
  <c r="J10" i="1"/>
  <c r="F10" i="1"/>
  <c r="AA9" i="1"/>
  <c r="Y9" i="1"/>
  <c r="W9" i="1"/>
  <c r="V9" i="1"/>
  <c r="R9" i="1"/>
  <c r="P9" i="1"/>
  <c r="O9" i="1"/>
  <c r="J9" i="1"/>
  <c r="F9" i="1"/>
  <c r="AA8" i="1"/>
  <c r="Y8" i="1"/>
  <c r="W8" i="1"/>
  <c r="V8" i="1"/>
  <c r="R8" i="1"/>
  <c r="P8" i="1"/>
  <c r="O8" i="1"/>
  <c r="J8" i="1"/>
  <c r="F8" i="1"/>
  <c r="AA7" i="1"/>
  <c r="Y7" i="1"/>
  <c r="W7" i="1"/>
  <c r="V7" i="1"/>
  <c r="R7" i="1"/>
  <c r="P7" i="1"/>
  <c r="O7" i="1"/>
  <c r="J7" i="1"/>
  <c r="F7" i="1"/>
  <c r="AA6" i="1"/>
  <c r="Y6" i="1"/>
  <c r="W6" i="1"/>
  <c r="V6" i="1"/>
  <c r="R6" i="1"/>
  <c r="P6" i="1"/>
  <c r="O6" i="1"/>
  <c r="J6" i="1"/>
  <c r="F6" i="1"/>
  <c r="AA5" i="1"/>
  <c r="Y5" i="1"/>
  <c r="W5" i="1"/>
  <c r="V5" i="1"/>
  <c r="R5" i="1"/>
  <c r="P5" i="1"/>
  <c r="O5" i="1"/>
  <c r="J5" i="1"/>
  <c r="F5" i="1"/>
  <c r="AA4" i="1"/>
  <c r="Y4" i="1"/>
  <c r="W4" i="1"/>
  <c r="V4" i="1"/>
  <c r="R4" i="1"/>
  <c r="P4" i="1"/>
  <c r="O4" i="1"/>
  <c r="J4" i="1"/>
  <c r="F4" i="1"/>
  <c r="AA3" i="1"/>
  <c r="Y3" i="1"/>
  <c r="W3" i="1"/>
  <c r="V3" i="1"/>
  <c r="R3" i="1"/>
  <c r="P3" i="1"/>
  <c r="O3" i="1"/>
  <c r="J3" i="1"/>
  <c r="F3" i="1"/>
  <c r="U246" i="1" l="1"/>
  <c r="U293" i="1"/>
  <c r="U432" i="1"/>
  <c r="N805" i="1" l="1"/>
  <c r="N678" i="1"/>
  <c r="N131" i="1"/>
  <c r="N151" i="1"/>
  <c r="N263" i="1"/>
  <c r="N300" i="1"/>
  <c r="N80" i="1"/>
  <c r="N236" i="1"/>
  <c r="N225" i="1"/>
  <c r="N86" i="1"/>
  <c r="N389" i="1"/>
  <c r="N59" i="1"/>
  <c r="N247" i="1"/>
  <c r="N646" i="1"/>
  <c r="N30" i="1"/>
  <c r="N262" i="1"/>
  <c r="N626" i="1"/>
  <c r="N87" i="1"/>
  <c r="N130" i="1"/>
  <c r="N560" i="1"/>
  <c r="N313" i="1"/>
  <c r="N672" i="1"/>
  <c r="N223" i="1"/>
  <c r="N747" i="1"/>
  <c r="N741" i="1"/>
  <c r="N740" i="1"/>
  <c r="N386" i="1"/>
  <c r="N281" i="1"/>
  <c r="N161" i="1"/>
  <c r="N79" i="1"/>
  <c r="N235" i="1"/>
  <c r="N33" i="1"/>
  <c r="N29" i="1"/>
  <c r="N388" i="1"/>
  <c r="N387" i="1"/>
  <c r="N309" i="1"/>
  <c r="N119" i="1"/>
  <c r="N138" i="1"/>
  <c r="N280" i="1"/>
  <c r="N160" i="1"/>
  <c r="N681" i="1"/>
  <c r="N739" i="1"/>
  <c r="N279" i="1"/>
  <c r="N299" i="1"/>
  <c r="N548" i="1"/>
  <c r="N159" i="1"/>
  <c r="N101" i="1"/>
  <c r="N485" i="1"/>
  <c r="N58" i="1"/>
  <c r="N625" i="1"/>
  <c r="N507" i="1"/>
  <c r="N738" i="1"/>
  <c r="N624" i="1"/>
  <c r="N559" i="1"/>
  <c r="N737" i="1"/>
  <c r="N520" i="1"/>
  <c r="N558" i="1"/>
  <c r="N275" i="1"/>
  <c r="N308" i="1"/>
  <c r="N246" i="1"/>
  <c r="N736" i="1"/>
  <c r="N421" i="1"/>
  <c r="N408" i="1"/>
  <c r="N78" i="1"/>
  <c r="N293" i="1"/>
  <c r="N432" i="1"/>
  <c r="N231" i="1"/>
  <c r="N48" i="1"/>
  <c r="N230" i="1"/>
  <c r="N557" i="1"/>
  <c r="N556" i="1"/>
  <c r="N442" i="1"/>
  <c r="N573" i="1"/>
  <c r="N324" i="1"/>
  <c r="N568" i="1"/>
  <c r="N735" i="1"/>
  <c r="N695" i="1"/>
  <c r="N663" i="1"/>
  <c r="N379" i="1"/>
  <c r="N734" i="1"/>
  <c r="N733" i="1"/>
  <c r="N668" i="1"/>
  <c r="N680" i="1"/>
  <c r="N100" i="1"/>
  <c r="N188" i="1"/>
  <c r="N426" i="1"/>
  <c r="N111" i="1"/>
  <c r="N407" i="1"/>
  <c r="N259" i="1"/>
  <c r="N175" i="1"/>
  <c r="N278" i="1"/>
  <c r="N292" i="1"/>
  <c r="N696" i="1"/>
  <c r="N786" i="1"/>
  <c r="N775" i="1"/>
  <c r="N791" i="1"/>
  <c r="N479" i="1"/>
  <c r="N777" i="1"/>
  <c r="N675" i="1"/>
  <c r="N701" i="1"/>
  <c r="N378" i="1"/>
  <c r="N94" i="1"/>
  <c r="N20" i="1"/>
  <c r="N21" i="1"/>
  <c r="N671" i="1"/>
  <c r="N667" i="1"/>
  <c r="N82" i="1"/>
  <c r="N727" i="1"/>
  <c r="N465" i="1"/>
  <c r="N480" i="1"/>
  <c r="N50" i="1"/>
  <c r="N745" i="1"/>
  <c r="N726" i="1"/>
  <c r="N694" i="1"/>
  <c r="N593" i="1"/>
  <c r="N592" i="1"/>
  <c r="N591" i="1"/>
  <c r="N599" i="1"/>
  <c r="N596" i="1"/>
  <c r="N583" i="1"/>
  <c r="N642" i="1"/>
  <c r="N713" i="1"/>
  <c r="N792" i="1"/>
  <c r="N755" i="1"/>
  <c r="N712" i="1"/>
  <c r="N441" i="1"/>
  <c r="N113" i="1"/>
  <c r="N513" i="1"/>
  <c r="N377" i="1"/>
  <c r="N376" i="1"/>
  <c r="N375" i="1"/>
  <c r="N419" i="1"/>
  <c r="N52" i="1"/>
  <c r="N266" i="1"/>
  <c r="N265" i="1"/>
  <c r="N303" i="1"/>
  <c r="N302" i="1"/>
  <c r="N180" i="1"/>
  <c r="N132" i="1"/>
  <c r="N201" i="1"/>
  <c r="N133" i="1"/>
  <c r="N153" i="1"/>
  <c r="N83" i="1"/>
  <c r="N218" i="1"/>
  <c r="N453" i="1"/>
  <c r="N420" i="1"/>
  <c r="N411" i="1"/>
  <c r="N129" i="1"/>
  <c r="N217" i="1"/>
  <c r="N102" i="1"/>
  <c r="N335" i="1"/>
  <c r="N392" i="1"/>
  <c r="N248" i="1"/>
  <c r="N277" i="1"/>
  <c r="N615" i="1"/>
  <c r="N108" i="1"/>
  <c r="N107" i="1"/>
  <c r="N106" i="1"/>
  <c r="N105" i="1"/>
  <c r="N406" i="1"/>
  <c r="N405" i="1"/>
  <c r="N403" i="1"/>
  <c r="N402" i="1"/>
  <c r="N401" i="1"/>
  <c r="N396" i="1"/>
  <c r="N400" i="1"/>
  <c r="N399" i="1"/>
  <c r="N398" i="1"/>
  <c r="N319" i="1"/>
  <c r="N317" i="1"/>
  <c r="N258" i="1"/>
  <c r="N257" i="1"/>
  <c r="N256" i="1"/>
  <c r="N255" i="1"/>
  <c r="N254" i="1"/>
  <c r="N253" i="1"/>
  <c r="N229" i="1"/>
  <c r="N228" i="1"/>
  <c r="N212" i="1"/>
  <c r="N291" i="1"/>
  <c r="N288" i="1"/>
  <c r="N287" i="1"/>
  <c r="N286" i="1"/>
  <c r="N284" i="1"/>
  <c r="N285" i="1"/>
  <c r="N289" i="1"/>
  <c r="N283" i="1"/>
  <c r="N290" i="1"/>
  <c r="N172" i="1"/>
  <c r="N150" i="1"/>
  <c r="N171" i="1"/>
  <c r="N169" i="1"/>
  <c r="N168" i="1"/>
  <c r="N167" i="1"/>
  <c r="N166" i="1"/>
  <c r="N123" i="1"/>
  <c r="N198" i="1"/>
  <c r="N195" i="1"/>
  <c r="N196" i="1"/>
  <c r="N194" i="1"/>
  <c r="N197" i="1"/>
  <c r="N193" i="1"/>
  <c r="N192" i="1"/>
  <c r="N126" i="1"/>
  <c r="N252" i="1"/>
  <c r="N148" i="1"/>
  <c r="N147" i="1"/>
  <c r="N146" i="1"/>
  <c r="N260" i="1"/>
  <c r="N125" i="1"/>
  <c r="N145" i="1"/>
  <c r="N282" i="1"/>
  <c r="N92" i="1"/>
  <c r="N13" i="1"/>
  <c r="N12" i="1"/>
  <c r="N11" i="1"/>
  <c r="N659" i="1"/>
  <c r="N74" i="1"/>
  <c r="N73" i="1"/>
  <c r="N72" i="1"/>
  <c r="N70" i="1"/>
  <c r="N69" i="1"/>
  <c r="N68" i="1"/>
  <c r="N63" i="1"/>
  <c r="N67" i="1"/>
  <c r="N66" i="1"/>
  <c r="N44" i="1"/>
  <c r="N43" i="1"/>
  <c r="N42" i="1"/>
  <c r="N41" i="1"/>
  <c r="N40" i="1"/>
  <c r="N35" i="1"/>
  <c r="N39" i="1"/>
  <c r="N38" i="1"/>
  <c r="N37" i="1"/>
  <c r="N34" i="1"/>
  <c r="N554" i="1"/>
  <c r="N553" i="1"/>
  <c r="N689" i="1"/>
  <c r="N566" i="1"/>
  <c r="N565" i="1"/>
  <c r="N561" i="1"/>
  <c r="N766" i="1"/>
  <c r="N765" i="1"/>
  <c r="N708" i="1"/>
  <c r="N709" i="1"/>
  <c r="N707" i="1"/>
  <c r="N732" i="1"/>
  <c r="N731" i="1"/>
  <c r="N730" i="1"/>
  <c r="N729" i="1"/>
  <c r="N99" i="1"/>
  <c r="N484" i="1"/>
  <c r="N505" i="1"/>
  <c r="N504" i="1"/>
  <c r="N384" i="1"/>
  <c r="N310" i="1"/>
  <c r="N245" i="1"/>
  <c r="N244" i="1"/>
  <c r="N606" i="1"/>
  <c r="N222" i="1"/>
  <c r="N273" i="1"/>
  <c r="N158" i="1"/>
  <c r="N333" i="1"/>
  <c r="N117" i="1"/>
  <c r="N187" i="1"/>
  <c r="N185" i="1"/>
  <c r="N137" i="1"/>
  <c r="N135" i="1"/>
  <c r="N56" i="1"/>
  <c r="N424" i="1"/>
  <c r="N55" i="1"/>
  <c r="N28" i="1"/>
  <c r="N26" i="1"/>
  <c r="N304" i="1"/>
  <c r="N669" i="1"/>
  <c r="N670" i="1"/>
  <c r="N587" i="1"/>
  <c r="N656" i="1"/>
  <c r="N51" i="1"/>
  <c r="N699" i="1"/>
  <c r="N700" i="1"/>
  <c r="N744" i="1"/>
  <c r="N743" i="1"/>
  <c r="N722" i="1"/>
  <c r="N721" i="1"/>
  <c r="N724" i="1"/>
  <c r="N723" i="1"/>
  <c r="N720" i="1"/>
  <c r="N725" i="1"/>
  <c r="N603" i="1"/>
  <c r="N374" i="1"/>
  <c r="N618" i="1"/>
  <c r="N19" i="1"/>
  <c r="N666" i="1"/>
  <c r="N665" i="1"/>
  <c r="N546" i="1"/>
  <c r="N545" i="1"/>
  <c r="N648" i="1"/>
  <c r="N746" i="1"/>
  <c r="N728" i="1"/>
  <c r="N234" i="1"/>
  <c r="N139" i="1"/>
  <c r="N6" i="1"/>
  <c r="N534" i="1"/>
  <c r="N769" i="1"/>
  <c r="N555" i="1"/>
  <c r="N456" i="1"/>
  <c r="N445" i="1"/>
  <c r="N797" i="1"/>
  <c r="N798" i="1"/>
  <c r="N796" i="1"/>
  <c r="N793" i="1"/>
  <c r="N795" i="1"/>
  <c r="N794" i="1"/>
  <c r="N799" i="1"/>
  <c r="N790" i="1"/>
  <c r="N787" i="1"/>
  <c r="N789" i="1"/>
  <c r="N776" i="1"/>
  <c r="N785" i="1"/>
  <c r="N783" i="1"/>
  <c r="N782" i="1"/>
  <c r="N780" i="1"/>
  <c r="N779" i="1"/>
  <c r="N778" i="1"/>
  <c r="N788" i="1"/>
  <c r="N774" i="1"/>
  <c r="N773" i="1"/>
  <c r="N772" i="1"/>
  <c r="N771" i="1"/>
  <c r="N770" i="1"/>
  <c r="N767" i="1"/>
  <c r="N764" i="1"/>
  <c r="N763" i="1"/>
  <c r="N760" i="1"/>
  <c r="N761" i="1"/>
  <c r="N759" i="1"/>
  <c r="N762" i="1"/>
  <c r="N756" i="1"/>
  <c r="N757" i="1"/>
  <c r="N758" i="1"/>
  <c r="N754" i="1"/>
  <c r="N751" i="1"/>
  <c r="N748" i="1"/>
  <c r="N752" i="1"/>
  <c r="N750" i="1"/>
  <c r="N753" i="1"/>
  <c r="N749" i="1"/>
  <c r="N768" i="1"/>
  <c r="N719" i="1"/>
  <c r="N718" i="1"/>
  <c r="N716" i="1"/>
  <c r="N717" i="1"/>
  <c r="N715" i="1"/>
  <c r="N714" i="1"/>
  <c r="N711" i="1"/>
  <c r="N706" i="1"/>
  <c r="N705" i="1"/>
  <c r="N704" i="1"/>
  <c r="N703" i="1"/>
  <c r="N702" i="1"/>
  <c r="N698" i="1"/>
  <c r="N697" i="1"/>
  <c r="N692" i="1"/>
  <c r="N693" i="1"/>
  <c r="N690" i="1"/>
  <c r="N691" i="1"/>
  <c r="N686" i="1"/>
  <c r="N684" i="1"/>
  <c r="N103" i="1"/>
  <c r="N682" i="1"/>
  <c r="N662" i="1"/>
  <c r="N661" i="1"/>
  <c r="N677" i="1"/>
  <c r="N676" i="1"/>
  <c r="N657" i="1"/>
  <c r="N655" i="1"/>
  <c r="N654" i="1"/>
  <c r="N651" i="1"/>
  <c r="N653" i="1"/>
  <c r="N652" i="1"/>
  <c r="N650" i="1"/>
  <c r="N205" i="1"/>
  <c r="N649" i="1"/>
  <c r="N647" i="1"/>
  <c r="N645" i="1"/>
  <c r="N640" i="1"/>
  <c r="N644" i="1"/>
  <c r="N643" i="1"/>
  <c r="N641" i="1"/>
  <c r="N639" i="1"/>
  <c r="N636" i="1"/>
  <c r="N637" i="1"/>
  <c r="N638" i="1"/>
  <c r="N635" i="1"/>
  <c r="N629" i="1"/>
  <c r="N630" i="1"/>
  <c r="N631" i="1"/>
  <c r="N634" i="1"/>
  <c r="N633" i="1"/>
  <c r="N628" i="1"/>
  <c r="N632" i="1"/>
  <c r="N206" i="1"/>
  <c r="N621" i="1"/>
  <c r="N623" i="1"/>
  <c r="N622" i="1"/>
  <c r="N620" i="1"/>
  <c r="N619" i="1"/>
  <c r="N298" i="1"/>
  <c r="N616" i="1"/>
  <c r="N612" i="1"/>
  <c r="N614" i="1"/>
  <c r="N613" i="1"/>
  <c r="N611" i="1"/>
  <c r="N608" i="1"/>
  <c r="N609" i="1"/>
  <c r="N607" i="1"/>
  <c r="N605" i="1"/>
  <c r="N604" i="1"/>
  <c r="N600" i="1"/>
  <c r="N595" i="1"/>
  <c r="N594" i="1"/>
  <c r="N602" i="1"/>
  <c r="N601" i="1"/>
  <c r="N598" i="1"/>
  <c r="N597" i="1"/>
  <c r="N590" i="1"/>
  <c r="N589" i="1"/>
  <c r="N588" i="1"/>
  <c r="N585" i="1"/>
  <c r="N586" i="1"/>
  <c r="N584" i="1"/>
  <c r="N580" i="1"/>
  <c r="N582" i="1"/>
  <c r="N578" i="1"/>
  <c r="N579" i="1"/>
  <c r="N577" i="1"/>
  <c r="N576" i="1"/>
  <c r="N575" i="1"/>
  <c r="N574" i="1"/>
  <c r="N567" i="1"/>
  <c r="N569" i="1"/>
  <c r="N688" i="1"/>
  <c r="N571" i="1"/>
  <c r="N687" i="1"/>
  <c r="N570" i="1"/>
  <c r="N564" i="1"/>
  <c r="N562" i="1"/>
  <c r="N563" i="1"/>
  <c r="N552" i="1"/>
  <c r="N685" i="1"/>
  <c r="N549" i="1"/>
  <c r="N550" i="1"/>
  <c r="N551" i="1"/>
  <c r="N547" i="1"/>
  <c r="N544" i="1"/>
  <c r="N543" i="1"/>
  <c r="N542" i="1"/>
  <c r="N523" i="1"/>
  <c r="N533" i="1"/>
  <c r="N536" i="1"/>
  <c r="N541" i="1"/>
  <c r="N540" i="1"/>
  <c r="N538" i="1"/>
  <c r="N522" i="1"/>
  <c r="N530" i="1"/>
  <c r="N539" i="1"/>
  <c r="N537" i="1"/>
  <c r="N531" i="1"/>
  <c r="N532" i="1"/>
  <c r="N529" i="1"/>
  <c r="N535" i="1"/>
  <c r="N528" i="1"/>
  <c r="N527" i="1"/>
  <c r="N526" i="1"/>
  <c r="N525" i="1"/>
  <c r="N521" i="1"/>
  <c r="N516" i="1"/>
  <c r="N519" i="1"/>
  <c r="N517" i="1"/>
  <c r="N515" i="1"/>
  <c r="N514" i="1"/>
  <c r="N524" i="1"/>
  <c r="N511" i="1"/>
  <c r="N510" i="1"/>
  <c r="N512" i="1"/>
  <c r="N509" i="1"/>
  <c r="N617" i="1"/>
  <c r="N508" i="1"/>
  <c r="N503" i="1"/>
  <c r="N518" i="1"/>
  <c r="N506" i="1"/>
  <c r="N502" i="1"/>
  <c r="N500" i="1"/>
  <c r="N499" i="1"/>
  <c r="N497" i="1"/>
  <c r="N498" i="1"/>
  <c r="N496" i="1"/>
  <c r="N494" i="1"/>
  <c r="N495" i="1"/>
  <c r="N493" i="1"/>
  <c r="N492" i="1"/>
  <c r="N491" i="1"/>
  <c r="N488" i="1"/>
  <c r="N489" i="1"/>
  <c r="N490" i="1"/>
  <c r="N487" i="1"/>
  <c r="N486" i="1"/>
  <c r="N483" i="1"/>
  <c r="N482" i="1"/>
  <c r="N481" i="1"/>
  <c r="N478" i="1"/>
  <c r="N118" i="1"/>
  <c r="N476" i="1"/>
  <c r="N477" i="1"/>
  <c r="N475" i="1"/>
  <c r="N474" i="1"/>
  <c r="N473" i="1"/>
  <c r="N472" i="1"/>
  <c r="N471" i="1"/>
  <c r="N468" i="1"/>
  <c r="N466" i="1"/>
  <c r="N467" i="1"/>
  <c r="N470" i="1"/>
  <c r="N469" i="1"/>
  <c r="N463" i="1"/>
  <c r="N462" i="1"/>
  <c r="N464" i="1"/>
  <c r="N459" i="1"/>
  <c r="N458" i="1"/>
  <c r="N460" i="1"/>
  <c r="N461" i="1"/>
  <c r="N457" i="1"/>
  <c r="N454" i="1"/>
  <c r="N450" i="1"/>
  <c r="N448" i="1"/>
  <c r="N451" i="1"/>
  <c r="N452" i="1"/>
  <c r="N449" i="1"/>
  <c r="N447" i="1"/>
  <c r="N446" i="1"/>
  <c r="N443" i="1"/>
  <c r="N444" i="1"/>
  <c r="N435" i="1"/>
  <c r="N438" i="1"/>
  <c r="N437" i="1"/>
  <c r="N430" i="1"/>
  <c r="N440" i="1"/>
  <c r="N436" i="1"/>
  <c r="N433" i="1"/>
  <c r="N429" i="1"/>
  <c r="N431" i="1"/>
  <c r="N425" i="1"/>
  <c r="N423" i="1"/>
  <c r="N422" i="1"/>
  <c r="N98" i="1"/>
  <c r="N417" i="1"/>
  <c r="N412" i="1"/>
  <c r="N416" i="1"/>
  <c r="N414" i="1"/>
  <c r="N415" i="1"/>
  <c r="N394" i="1"/>
  <c r="N418" i="1"/>
  <c r="N393" i="1"/>
  <c r="N410" i="1"/>
  <c r="N395" i="1"/>
  <c r="N413" i="1"/>
  <c r="N409" i="1"/>
  <c r="N404" i="1"/>
  <c r="N397" i="1"/>
  <c r="N391" i="1"/>
  <c r="N390" i="1"/>
  <c r="N385" i="1"/>
  <c r="N382" i="1"/>
  <c r="N383" i="1"/>
  <c r="N381" i="1"/>
  <c r="N380" i="1"/>
  <c r="N354" i="1"/>
  <c r="N350" i="1"/>
  <c r="N351" i="1"/>
  <c r="N348" i="1"/>
  <c r="N368" i="1"/>
  <c r="N357" i="1"/>
  <c r="N18" i="1"/>
  <c r="N353" i="1"/>
  <c r="N370" i="1"/>
  <c r="N364" i="1"/>
  <c r="N356" i="1"/>
  <c r="N361" i="1"/>
  <c r="N359" i="1"/>
  <c r="N363" i="1"/>
  <c r="N347" i="1"/>
  <c r="N349" i="1"/>
  <c r="N366" i="1"/>
  <c r="N360" i="1"/>
  <c r="N369" i="1"/>
  <c r="N352" i="1"/>
  <c r="N365" i="1"/>
  <c r="N358" i="1"/>
  <c r="N373" i="1"/>
  <c r="N367" i="1"/>
  <c r="N372" i="1"/>
  <c r="N362" i="1"/>
  <c r="N371" i="1"/>
  <c r="N345" i="1"/>
  <c r="N344" i="1"/>
  <c r="N346" i="1"/>
  <c r="N355" i="1"/>
  <c r="N343" i="1"/>
  <c r="N339" i="1"/>
  <c r="N341" i="1"/>
  <c r="N338" i="1"/>
  <c r="N340" i="1"/>
  <c r="N342" i="1"/>
  <c r="N337" i="1"/>
  <c r="N336" i="1"/>
  <c r="N330" i="1"/>
  <c r="N334" i="1"/>
  <c r="N329" i="1"/>
  <c r="N331" i="1"/>
  <c r="N325" i="1"/>
  <c r="N332" i="1"/>
  <c r="N328" i="1"/>
  <c r="N327" i="1"/>
  <c r="N326" i="1"/>
  <c r="N323" i="1"/>
  <c r="N610" i="1"/>
  <c r="N320" i="1"/>
  <c r="N321" i="1"/>
  <c r="N316" i="1"/>
  <c r="N318" i="1"/>
  <c r="N315" i="1"/>
  <c r="N314" i="1"/>
  <c r="N312" i="1"/>
  <c r="N311" i="1"/>
  <c r="N784" i="1"/>
  <c r="N307" i="1"/>
  <c r="N305" i="1"/>
  <c r="N271" i="1"/>
  <c r="N274" i="1"/>
  <c r="N295" i="1"/>
  <c r="N296" i="1"/>
  <c r="N294" i="1"/>
  <c r="N165" i="1"/>
  <c r="N297" i="1"/>
  <c r="N683" i="1"/>
  <c r="N269" i="1"/>
  <c r="N270" i="1"/>
  <c r="N272" i="1"/>
  <c r="N268" i="1"/>
  <c r="N267" i="1"/>
  <c r="N501" i="1"/>
  <c r="N249" i="1"/>
  <c r="N660" i="1"/>
  <c r="N261" i="1"/>
  <c r="N243" i="1"/>
  <c r="N241" i="1"/>
  <c r="N242" i="1"/>
  <c r="N239" i="1"/>
  <c r="N250" i="1"/>
  <c r="N233" i="1"/>
  <c r="N232" i="1"/>
  <c r="N227" i="1"/>
  <c r="N224" i="1"/>
  <c r="N221" i="1"/>
  <c r="N220" i="1"/>
  <c r="N219" i="1"/>
  <c r="N216" i="1"/>
  <c r="N214" i="1"/>
  <c r="N215" i="1"/>
  <c r="N213" i="1"/>
  <c r="N211" i="1"/>
  <c r="N209" i="1"/>
  <c r="N210" i="1"/>
  <c r="N203" i="1"/>
  <c r="N204" i="1"/>
  <c r="N202" i="1"/>
  <c r="N200" i="1"/>
  <c r="N191" i="1"/>
  <c r="N199" i="1"/>
  <c r="N190" i="1"/>
  <c r="N189" i="1"/>
  <c r="N186" i="1"/>
  <c r="N183" i="1"/>
  <c r="N184" i="1"/>
  <c r="N181" i="1"/>
  <c r="N182" i="1"/>
  <c r="N179" i="1"/>
  <c r="N178" i="1"/>
  <c r="N174" i="1"/>
  <c r="N173" i="1"/>
  <c r="N176" i="1"/>
  <c r="N177" i="1"/>
  <c r="N170" i="1"/>
  <c r="N163" i="1"/>
  <c r="N164" i="1"/>
  <c r="N710" i="1"/>
  <c r="N162" i="1"/>
  <c r="N156" i="1"/>
  <c r="N157" i="1"/>
  <c r="N155" i="1"/>
  <c r="N154" i="1"/>
  <c r="N149" i="1"/>
  <c r="N128" i="1"/>
  <c r="N142" i="1"/>
  <c r="N127" i="1"/>
  <c r="N141" i="1"/>
  <c r="N434" i="1"/>
  <c r="N143" i="1"/>
  <c r="N144" i="1"/>
  <c r="N121" i="1"/>
  <c r="N115" i="1"/>
  <c r="N136" i="1"/>
  <c r="N116" i="1"/>
  <c r="N134" i="1"/>
  <c r="N124" i="1"/>
  <c r="N122" i="1"/>
  <c r="N679" i="1"/>
  <c r="N140" i="1"/>
  <c r="N120" i="1"/>
  <c r="N112" i="1"/>
  <c r="N110" i="1"/>
  <c r="N109" i="1"/>
  <c r="N104" i="1"/>
  <c r="N97" i="1"/>
  <c r="N96" i="1"/>
  <c r="N93" i="1"/>
  <c r="N91" i="1"/>
  <c r="N90" i="1"/>
  <c r="N88" i="1"/>
  <c r="N89" i="1"/>
  <c r="N85" i="1"/>
  <c r="N84" i="1"/>
  <c r="N75" i="1"/>
  <c r="N77" i="1"/>
  <c r="N208" i="1"/>
  <c r="N76" i="1"/>
  <c r="N71" i="1"/>
  <c r="N65" i="1"/>
  <c r="N64" i="1"/>
  <c r="N60" i="1"/>
  <c r="N62" i="1"/>
  <c r="N57" i="1"/>
  <c r="N54" i="1"/>
  <c r="N114" i="1"/>
  <c r="N47" i="1"/>
  <c r="N46" i="1"/>
  <c r="N45" i="1"/>
  <c r="N31" i="1"/>
  <c r="N32" i="1"/>
  <c r="N36" i="1"/>
  <c r="N27" i="1"/>
  <c r="N25" i="1"/>
  <c r="N24" i="1"/>
  <c r="N23" i="1"/>
  <c r="N22" i="1"/>
  <c r="N16" i="1"/>
  <c r="N5" i="1"/>
  <c r="N7" i="1"/>
  <c r="N15" i="1"/>
  <c r="N226" i="1"/>
  <c r="N17" i="1"/>
  <c r="N8" i="1"/>
  <c r="N14" i="1"/>
  <c r="N10" i="1"/>
  <c r="N658" i="1"/>
  <c r="N9" i="1"/>
  <c r="N4" i="1"/>
  <c r="N3" i="1"/>
  <c r="N240" i="1"/>
  <c r="N95" i="1"/>
  <c r="N53" i="1"/>
  <c r="N800" i="1"/>
  <c r="N801" i="1"/>
  <c r="N802" i="1"/>
  <c r="N803" i="1"/>
  <c r="N804"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49" i="1"/>
  <c r="N61" i="1"/>
  <c r="N81" i="1"/>
  <c r="N152" i="1"/>
  <c r="N237" i="1"/>
  <c r="N238" i="1"/>
  <c r="N251" i="1"/>
  <c r="N264" i="1"/>
  <c r="N276" i="1"/>
  <c r="N301" i="1"/>
  <c r="N322" i="1"/>
  <c r="N427" i="1"/>
  <c r="N428" i="1"/>
  <c r="N439" i="1"/>
  <c r="N572" i="1"/>
  <c r="N581" i="1"/>
  <c r="N627" i="1"/>
  <c r="N664" i="1"/>
  <c r="N673" i="1"/>
  <c r="N674" i="1"/>
  <c r="N74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DoanTrungTuan</author>
  </authors>
  <commentList>
    <comment ref="X1" authorId="0" shapeId="0" xr:uid="{9A3C78C8-2194-4AD9-9367-CB81710DE97D}">
      <text>
        <r>
          <rPr>
            <sz val="10"/>
            <color rgb="FF000000"/>
            <rFont val="Calibri"/>
            <family val="2"/>
            <scheme val="minor"/>
          </rPr>
          <t>======
ID#AAAA3BDBHe8
DoanTrungTuan    (2023-08-16 00:38:52)
1 Bác sĩ 
2 Y sĩ
3 Điều dưỡng
4 Hộ sinh
5 Kỹ thuật viên
6 Cử nhân X-Quang
7 Dược sĩ đại học
8 Dược sĩ trung cấp
9 Lương y
10 cử nhân xét nghiệm</t>
        </r>
      </text>
    </comment>
    <comment ref="Y1" authorId="0" shapeId="0" xr:uid="{5583C955-5C22-41B0-9E9A-D509679E8E72}">
      <text>
        <r>
          <rPr>
            <sz val="10"/>
            <color rgb="FF000000"/>
            <rFont val="Calibri"/>
            <family val="2"/>
            <scheme val="minor"/>
          </rPr>
          <t>======
ID#AAABC8AGmkQ
DoanTrungTuan    (2024-01-11 14:52:35)
Tên chuyên khoa Mã phạm vi
Hồi sức cấp cứu và Chống độc 1
Nội khoa 2
Nhi khoa 3
Lao 4
Da liễu 5
Tâm thần 6
Nội tiết 7
Y học cổ truyền 8
Gây mê hồi sức 9
Ngoại khoa 10
Bỏng 11
Ung bướu 12
Phụ sản 13
Mắt 14
Tai - Mũi - Họng 15
Răng - Hàm - Mặt 16
Phục hồi chức năng 17
Chẩn đoán hình ảnh 18
Y học hạt nhân 19
Nội soi chẩn đoán, can thiệp 20
Thăm dò chức năng 21
Huyết học - Truyền máu 22
Hóa sinh 23
Vi sinh, ký sinh trùng 24
Giải phẫu bệnh và Tế bào bệnh học 25
Vi phẫu 26
Phẫu thuật nội soi 27
Tạo hình - Thẩm mỹ 28
Đa khoa 29</t>
        </r>
      </text>
    </comment>
    <comment ref="E165" authorId="0" shapeId="0" xr:uid="{FC0FF338-26E0-44F1-B4EE-4CC9A80EF19D}">
      <text>
        <r>
          <rPr>
            <sz val="10"/>
            <color rgb="FF000000"/>
            <rFont val="Calibri"/>
            <family val="2"/>
            <scheme val="minor"/>
          </rPr>
          <t>======
ID#AAABbkmw0mU
DoanTrungTuan    (2025-01-13 07:38:37)
bổ sung 2025</t>
        </r>
      </text>
    </comment>
    <comment ref="U207" authorId="0" shapeId="0" xr:uid="{AE40A7E0-3987-4563-8BB4-F73A17F7D224}">
      <text>
        <r>
          <rPr>
            <sz val="10"/>
            <color rgb="FF000000"/>
            <rFont val="Calibri"/>
            <family val="2"/>
            <scheme val="minor"/>
          </rPr>
          <t>======
ID#AAABR-Lk0-w
DoanTrungTuan    (2024-07-18 00:49:38)
Do thời gian làm tại CDC ko dc công nhận thời gian thực hành</t>
        </r>
      </text>
    </comment>
    <comment ref="AC223" authorId="0" shapeId="0" xr:uid="{CB35CF5E-B408-4152-96CB-1BE7292B25F2}">
      <text>
        <r>
          <rPr>
            <sz val="10"/>
            <color rgb="FF000000"/>
            <rFont val="Calibri"/>
            <family val="2"/>
            <scheme val="minor"/>
          </rPr>
          <t>======
ID#AAABsgy9i4A
HĐ    (2025-10-16 01:13:45)
Thử việc 15/11/2021; nghỉ 31/3/2023;</t>
        </r>
      </text>
    </comment>
    <comment ref="E341" authorId="0" shapeId="0" xr:uid="{6950552D-6998-4374-8531-C34CD9A79D36}">
      <text>
        <r>
          <rPr>
            <sz val="10"/>
            <color rgb="FF000000"/>
            <rFont val="Calibri"/>
            <family val="2"/>
            <scheme val="minor"/>
          </rPr>
          <t>======
ID#AAABSqNgpO4
DoanTrungTuan    (2024-07-29 09:19:14)
Điều dưỡng chuyên ngành PS</t>
        </r>
      </text>
    </comment>
    <comment ref="E345" authorId="0" shapeId="0" xr:uid="{7EFF8791-A715-42B2-92AB-38BF9C0EE461}">
      <text>
        <r>
          <rPr>
            <sz val="10"/>
            <color rgb="FF000000"/>
            <rFont val="Calibri"/>
            <family val="2"/>
            <scheme val="minor"/>
          </rPr>
          <t>======
ID#AAAAmrYFHBw
Phòng Tổ chức Cán bộ     (2023-01-04 21:10:41)
Bằng CN Điều dưỡng chuyên ngành PS</t>
        </r>
      </text>
    </comment>
    <comment ref="E346" authorId="0" shapeId="0" xr:uid="{5DA9A5CD-E7EA-4705-A9D5-20B2BDE3475E}">
      <text>
        <r>
          <rPr>
            <sz val="10"/>
            <color rgb="FF000000"/>
            <rFont val="Calibri"/>
            <family val="2"/>
            <scheme val="minor"/>
          </rPr>
          <t>======
ID#AAAAjG-Osi8
Phòng Tổ chức Cán bộ     (2022-10-31 02:36:16)
Bằng CN Điều dưỡng chuyên ngành PS</t>
        </r>
      </text>
    </comment>
    <comment ref="E347" authorId="0" shapeId="0" xr:uid="{78BF929D-E3AF-4CF2-B28B-787F5E0A6ABE}">
      <text>
        <r>
          <rPr>
            <sz val="10"/>
            <color rgb="FF000000"/>
            <rFont val="Calibri"/>
            <family val="2"/>
            <scheme val="minor"/>
          </rPr>
          <t>======
ID#AAAAmrYFHCA
Phòng Tổ chức Cán bộ     (2023-01-04 21:10:41)
Bằng CN Điều dưỡng chuyên ngành PS</t>
        </r>
      </text>
    </comment>
    <comment ref="E348" authorId="0" shapeId="0" xr:uid="{BD272A62-DE69-4897-A08D-644D3ACDBECC}">
      <text>
        <r>
          <rPr>
            <sz val="10"/>
            <color rgb="FF000000"/>
            <rFont val="Calibri"/>
            <family val="2"/>
            <scheme val="minor"/>
          </rPr>
          <t>======
ID#AAAAmrYFHB4
Phòng Tổ chức Cán bộ     (2023-01-04 21:10:41)
Bằng CN Điều dưỡng chuyên ngành PS</t>
        </r>
      </text>
    </comment>
    <comment ref="E349" authorId="0" shapeId="0" xr:uid="{6ABB3F79-8DE9-4862-990C-188BB79A2177}">
      <text>
        <r>
          <rPr>
            <sz val="10"/>
            <color rgb="FF000000"/>
            <rFont val="Calibri"/>
            <family val="2"/>
            <scheme val="minor"/>
          </rPr>
          <t>======
ID#AAAAsbO0qw0
Phòng Tổ chức Cán bộ     (2023-03-03 12:31:42)
Bằng CN Điều dưỡng chuyên ngành PS</t>
        </r>
      </text>
    </comment>
    <comment ref="E350" authorId="0" shapeId="0" xr:uid="{A99A97B7-CF3E-4FDF-BC07-824BA95A2DCB}">
      <text>
        <r>
          <rPr>
            <sz val="10"/>
            <color rgb="FF000000"/>
            <rFont val="Calibri"/>
            <family val="2"/>
            <scheme val="minor"/>
          </rPr>
          <t>======
ID#AAAAmrYFHBs
Phòng Tổ chức Cán bộ     (2023-01-04 21:10:41)
Bằng CN Điều dưỡng chuyên ngành PS</t>
        </r>
      </text>
    </comment>
    <comment ref="E351" authorId="0" shapeId="0" xr:uid="{3BF90CFB-0DA2-489E-AFFF-242BDF78011B}">
      <text>
        <r>
          <rPr>
            <sz val="10"/>
            <color rgb="FF000000"/>
            <rFont val="Calibri"/>
            <family val="2"/>
            <scheme val="minor"/>
          </rPr>
          <t>======
ID#AAAAmrYFHCE
Phòng Tổ chức Cán bộ     (2023-01-04 21:10:41)
Bằng CN Điều dưỡng chuyên ngành PS</t>
        </r>
      </text>
    </comment>
    <comment ref="E352" authorId="0" shapeId="0" xr:uid="{57EF794F-96EC-445B-A309-96CE22F4F1B9}">
      <text>
        <r>
          <rPr>
            <sz val="10"/>
            <color rgb="FF000000"/>
            <rFont val="Calibri"/>
            <family val="2"/>
            <scheme val="minor"/>
          </rPr>
          <t>======
ID#AAAAmrYFHCI
Phòng Tổ chức Cán bộ     (2023-01-04 21:10:41)
Bằng CN Điều dưỡng chuyên ngành PS</t>
        </r>
      </text>
    </comment>
    <comment ref="E353" authorId="0" shapeId="0" xr:uid="{0EF07146-BD80-4369-A8F9-303B7C6E6F1D}">
      <text>
        <r>
          <rPr>
            <sz val="10"/>
            <color rgb="FF000000"/>
            <rFont val="Calibri"/>
            <family val="2"/>
            <scheme val="minor"/>
          </rPr>
          <t>======
ID#AAAAmrYFHCM
Phòng Tổ chức Cán bộ     (2023-01-04 21:10:41)
Bằng CN Điều dưỡng chuyên ngành PS</t>
        </r>
      </text>
    </comment>
    <comment ref="E354" authorId="0" shapeId="0" xr:uid="{97C6B1A4-0722-4034-8AC4-A3EC04D1AD47}">
      <text>
        <r>
          <rPr>
            <sz val="10"/>
            <color rgb="FF000000"/>
            <rFont val="Calibri"/>
            <family val="2"/>
            <scheme val="minor"/>
          </rPr>
          <t>======
ID#AAAAmrYFHB0
Phòng Tổ chức Cán bộ     (2023-01-04 21:10:41)
Bằng CN Điều dưỡng chuyên ngành PS</t>
        </r>
      </text>
    </comment>
    <comment ref="E364" authorId="0" shapeId="0" xr:uid="{C0E12E21-BCDB-49CC-86AC-888D8AC39274}">
      <text>
        <r>
          <rPr>
            <sz val="10"/>
            <color rgb="FF000000"/>
            <rFont val="Calibri"/>
            <family val="2"/>
            <scheme val="minor"/>
          </rPr>
          <t>======
ID#AAABXbjsE0U
DoanTrungTuan    (2024-11-06 06:48:13)
Cao dẳng hộ sinh
Nộp ngày 17/9/2024</t>
        </r>
      </text>
    </comment>
    <comment ref="E399" authorId="0" shapeId="0" xr:uid="{10D4540F-7C8C-48FB-8E19-7199E5168995}">
      <text>
        <r>
          <rPr>
            <sz val="10"/>
            <color rgb="FF000000"/>
            <rFont val="Calibri"/>
            <family val="2"/>
            <scheme val="minor"/>
          </rPr>
          <t>======
ID#AAABojdmy-A
Phòng Tổ chức Cán bộ     (2025-08-01 09:58:39)
Có bằng ĐH ??</t>
        </r>
      </text>
    </comment>
    <comment ref="R407" authorId="0" shapeId="0" xr:uid="{61AF32CB-A631-442E-B9D5-D6B635950C8B}">
      <text>
        <r>
          <rPr>
            <sz val="10"/>
            <color rgb="FF000000"/>
            <rFont val="Calibri"/>
            <family val="2"/>
            <scheme val="minor"/>
          </rPr>
          <t>======
ID#AAABsgy9i3Q
Phòng Tổ chức Cán bộ     (2025-10-16 01:13:45)
Chờ thanh lý HĐ tại pk</t>
        </r>
      </text>
    </comment>
    <comment ref="E440" authorId="0" shapeId="0" xr:uid="{25FE90B7-1049-4456-94C3-B9F576380DB6}">
      <text>
        <r>
          <rPr>
            <sz val="10"/>
            <color rgb="FF000000"/>
            <rFont val="Calibri"/>
            <family val="2"/>
            <scheme val="minor"/>
          </rPr>
          <t>======
ID#AAABfVLJtt0
DoanTrungTuan    (2025-03-04 07:43:38)
Đang học CĐ</t>
        </r>
      </text>
    </comment>
    <comment ref="E452" authorId="0" shapeId="0" xr:uid="{7B4B84E2-BB15-44EB-80A4-EAE109CCC393}">
      <text>
        <r>
          <rPr>
            <sz val="10"/>
            <color rgb="FF000000"/>
            <rFont val="Calibri"/>
            <family val="2"/>
            <scheme val="minor"/>
          </rPr>
          <t>======
ID#AAABfVLJttw
DoanTrungTuan    (2025-03-04 07:43:38)
Đang học CĐ</t>
        </r>
      </text>
    </comment>
    <comment ref="W455" authorId="0" shapeId="0" xr:uid="{7ED88A6A-D964-4A5A-822F-187817E9D879}">
      <text>
        <r>
          <rPr>
            <sz val="10"/>
            <color rgb="FF000000"/>
            <rFont val="Calibri"/>
            <family val="2"/>
            <scheme val="minor"/>
          </rPr>
          <t>======
ID#AAABsgy9i7w
Phòng Tổ chức Cán bộ     (2025-10-16 01:13:45)
Bảo lưu 0.08</t>
        </r>
      </text>
    </comment>
    <comment ref="E463" authorId="0" shapeId="0" xr:uid="{B30FC33E-4E7E-437A-8837-F37F761D4934}">
      <text>
        <r>
          <rPr>
            <sz val="10"/>
            <color rgb="FF000000"/>
            <rFont val="Calibri"/>
            <family val="2"/>
            <scheme val="minor"/>
          </rPr>
          <t>======
ID#AAABfVLJtuA
DoanTrungTuan    (2025-03-04 07:43:38)
Đang học CĐ</t>
        </r>
      </text>
    </comment>
    <comment ref="E464" authorId="0" shapeId="0" xr:uid="{BB3EB760-0FCB-4E15-84ED-FAF2DE7B29DD}">
      <text>
        <r>
          <rPr>
            <sz val="10"/>
            <color rgb="FF000000"/>
            <rFont val="Calibri"/>
            <family val="2"/>
            <scheme val="minor"/>
          </rPr>
          <t>======
ID#AAABfVLJtto
DoanTrungTuan    (2025-03-04 07:43:38)
Đang học CĐ</t>
        </r>
      </text>
    </comment>
    <comment ref="E467" authorId="0" shapeId="0" xr:uid="{2CBF3212-DE95-4D82-880A-12288D606DB2}">
      <text>
        <r>
          <rPr>
            <sz val="10"/>
            <color rgb="FF000000"/>
            <rFont val="Calibri"/>
            <family val="2"/>
            <scheme val="minor"/>
          </rPr>
          <t>======
ID#AAABsgy9i1A
DoanTrungTuan    (2025-10-16 01:13:45)
Nộp bằng 05/7/2024</t>
        </r>
      </text>
    </comment>
    <comment ref="E479" authorId="0" shapeId="0" xr:uid="{EB49A0FF-0316-4F67-887A-99108EAA6EB1}">
      <text>
        <r>
          <rPr>
            <sz val="10"/>
            <color rgb="FF000000"/>
            <rFont val="Calibri"/>
            <family val="2"/>
            <scheme val="minor"/>
          </rPr>
          <t>======
ID#AAABsgy9i3g
DoanTrungTuan    (2025-10-16 01:13:45)
Đang học CĐ</t>
        </r>
      </text>
    </comment>
    <comment ref="E512" authorId="0" shapeId="0" xr:uid="{1486BA23-F6F1-497B-BF56-595FB9728711}">
      <text>
        <r>
          <rPr>
            <sz val="10"/>
            <color rgb="FF000000"/>
            <rFont val="Calibri"/>
            <family val="2"/>
            <scheme val="minor"/>
          </rPr>
          <t>======
ID#AAABsgy9i5w
DoanTrungTuan    (2025-10-16 01:13:45)
Đang học CĐ</t>
        </r>
      </text>
    </comment>
    <comment ref="E573" authorId="0" shapeId="0" xr:uid="{A503F81A-2BBF-48BE-96B2-8290990F64FE}">
      <text>
        <r>
          <rPr>
            <sz val="10"/>
            <color rgb="FF000000"/>
            <rFont val="Calibri"/>
            <family val="2"/>
            <scheme val="minor"/>
          </rPr>
          <t>======
ID#AAABfVLJtts
DoanTrungTuan    (2025-03-04 07:43:38)
Đang học CĐ</t>
        </r>
      </text>
    </comment>
    <comment ref="E615" authorId="0" shapeId="0" xr:uid="{ECD88ABE-9190-4AD5-885F-D619DC698BEE}">
      <text>
        <r>
          <rPr>
            <sz val="10"/>
            <color rgb="FF000000"/>
            <rFont val="Calibri"/>
            <family val="2"/>
            <scheme val="minor"/>
          </rPr>
          <t>======
ID#AAABojdmy-E
DoanTrungTuan    (2025-08-01 09:58:39)
ĐH ??</t>
        </r>
      </text>
    </comment>
    <comment ref="W641" authorId="0" shapeId="0" xr:uid="{F530AD71-4A22-48A0-B447-5603BD1B00DE}">
      <text>
        <r>
          <rPr>
            <sz val="10"/>
            <color rgb="FF000000"/>
            <rFont val="Calibri"/>
            <family val="2"/>
            <scheme val="minor"/>
          </rPr>
          <t>======
ID#AAABsgy9i70
Admin    (2025-10-16 01:13:45)
bảo lưu 4,06</t>
        </r>
      </text>
    </comment>
    <comment ref="E642" authorId="0" shapeId="0" xr:uid="{F90E3A75-5910-4007-85CD-D7F84F94381E}">
      <text>
        <r>
          <rPr>
            <sz val="10"/>
            <color rgb="FF000000"/>
            <rFont val="Calibri"/>
            <family val="2"/>
            <scheme val="minor"/>
          </rPr>
          <t>======
ID#AAABsgy9i6o
DoanTrungTuan    (2025-10-16 01:13:45)
ĐH ??</t>
        </r>
      </text>
    </comment>
    <comment ref="E679" authorId="0" shapeId="0" xr:uid="{CB24155D-CAD9-4200-A932-C93FA98465FB}">
      <text>
        <r>
          <rPr>
            <sz val="10"/>
            <color rgb="FF000000"/>
            <rFont val="Calibri"/>
            <family val="2"/>
            <scheme val="minor"/>
          </rPr>
          <t>======
ID#AAABzC0H6m0
DoanTrungTuan    (2026-01-26 00:10:05)
nộp bằng ĐH 23/01/2026</t>
        </r>
      </text>
    </comment>
    <comment ref="E693" authorId="0" shapeId="0" xr:uid="{CCADEF9B-DE9A-4CA6-8350-66FB3B94FDAF}">
      <text>
        <r>
          <rPr>
            <sz val="10"/>
            <color rgb="FF000000"/>
            <rFont val="Calibri"/>
            <family val="2"/>
            <scheme val="minor"/>
          </rPr>
          <t>======
ID#AAABsgy9i68
DoanTrungTuan    (2025-10-16 01:13:45)
Kỹ sư kỹ thuật điện tử viễn thông</t>
        </r>
      </text>
    </comment>
    <comment ref="E768" authorId="0" shapeId="0" xr:uid="{1E3F25D7-2E1C-4B5A-A483-229846B9567C}">
      <text>
        <r>
          <rPr>
            <sz val="10"/>
            <color rgb="FF000000"/>
            <rFont val="Calibri"/>
            <family val="2"/>
            <scheme val="minor"/>
          </rPr>
          <t>======
ID#AAAAVQHCWnc
Phòng Tổ chức Cán bộ     (2022-02-26 07:44:58)
Thạc sĩ kinh tế</t>
        </r>
      </text>
    </comment>
    <comment ref="E781" authorId="0" shapeId="0" xr:uid="{13596441-631D-4F32-9B3A-82FACF514B0D}">
      <text>
        <r>
          <rPr>
            <sz val="10"/>
            <color rgb="FF000000"/>
            <rFont val="Calibri"/>
            <family val="2"/>
            <scheme val="minor"/>
          </rPr>
          <t>======
ID#AAABsgy9i64
Phòng Tổ chức Cán bộ     (2025-10-16 01:13:45)
ĐH YTCC</t>
        </r>
      </text>
    </comment>
    <comment ref="B839" authorId="1" shapeId="0" xr:uid="{A4D793B6-3242-453E-80A5-D39A58C5D1D2}">
      <text>
        <r>
          <rPr>
            <b/>
            <sz val="9"/>
            <color indexed="81"/>
            <rFont val="Segoe UI"/>
            <family val="2"/>
          </rPr>
          <t>Xin nghỉ ko lương để đi học</t>
        </r>
      </text>
    </comment>
    <comment ref="B850" authorId="1" shapeId="0" xr:uid="{DC749DFA-5BC3-4EBF-9DE8-27DB7626E773}">
      <text>
        <r>
          <rPr>
            <b/>
            <sz val="9"/>
            <color indexed="81"/>
            <rFont val="Segoe UI"/>
            <family val="2"/>
          </rPr>
          <t>Xin nghỉ ko lương để đi học</t>
        </r>
      </text>
    </comment>
  </commentList>
</comments>
</file>

<file path=xl/sharedStrings.xml><?xml version="1.0" encoding="utf-8"?>
<sst xmlns="http://schemas.openxmlformats.org/spreadsheetml/2006/main" count="11274" uniqueCount="4212">
  <si>
    <t>Mã NV</t>
  </si>
  <si>
    <t>Họ và tên</t>
  </si>
  <si>
    <t>Nữ</t>
  </si>
  <si>
    <t>Trình độ
chuyên môn</t>
  </si>
  <si>
    <t>Mã Trình độ</t>
  </si>
  <si>
    <t>Chức danh
nghề nghiệp</t>
  </si>
  <si>
    <t>Vị trí việc làm</t>
  </si>
  <si>
    <t xml:space="preserve">Khoa phòng </t>
  </si>
  <si>
    <t>Mã khoa phòng</t>
  </si>
  <si>
    <t>Đối tượng ĐGVC</t>
  </si>
  <si>
    <t>Chức vụ</t>
  </si>
  <si>
    <t>Loại hợp đồng</t>
  </si>
  <si>
    <t>Tuổi</t>
  </si>
  <si>
    <t>Nam</t>
  </si>
  <si>
    <t>Dân tộc</t>
  </si>
  <si>
    <t>Năm công tác</t>
  </si>
  <si>
    <t>Căn cước công dân</t>
  </si>
  <si>
    <t>Địa chỉ</t>
  </si>
  <si>
    <t>Thời gian đủ cấp CCHN</t>
  </si>
  <si>
    <t>Số chứng chỉ hành nghề đăng ký với BHYT</t>
  </si>
  <si>
    <r>
      <rPr>
        <b/>
        <sz val="12"/>
        <color theme="1"/>
        <rFont val="Times New Roman"/>
        <family val="1"/>
      </rPr>
      <t xml:space="preserve">Ngày cấp
</t>
    </r>
    <r>
      <rPr>
        <b/>
        <sz val="11"/>
        <color theme="1"/>
        <rFont val="Times New Roman"/>
        <family val="1"/>
      </rPr>
      <t>(Năm-Tháng-Ngày)</t>
    </r>
  </si>
  <si>
    <t>CDNN trong CCHN</t>
  </si>
  <si>
    <t>Phạm vi hành nghề</t>
  </si>
  <si>
    <t>Dịch vụ kỹ thuật khác</t>
  </si>
  <si>
    <t>Số
điện thoại</t>
  </si>
  <si>
    <t>Ghi chú</t>
  </si>
  <si>
    <t>BV0004</t>
  </si>
  <si>
    <t>Nguyễn Văn Thắng</t>
  </si>
  <si>
    <t>BSCKII</t>
  </si>
  <si>
    <t>Bác sĩ chính (hạng II)</t>
  </si>
  <si>
    <t>Khám bệnh</t>
  </si>
  <si>
    <t>Lãnh đạo khoa, phòng</t>
  </si>
  <si>
    <t>Phó trưởng khoa/giao phụ trách khoa</t>
  </si>
  <si>
    <t>Viên chức</t>
  </si>
  <si>
    <t>Kinh</t>
  </si>
  <si>
    <t>024078001825</t>
  </si>
  <si>
    <t>Số 60, Tổ Sơn, Phường Lương Văn Tri, Tỉnh Lạng Sơn</t>
  </si>
  <si>
    <t/>
  </si>
  <si>
    <t>x</t>
  </si>
  <si>
    <t>BV0167</t>
  </si>
  <si>
    <t>Hoàng Thị Nga</t>
  </si>
  <si>
    <t>Điều dưỡng ĐH</t>
  </si>
  <si>
    <t>Điều dưỡng (hạng III)</t>
  </si>
  <si>
    <t>Viên chức CMNV</t>
  </si>
  <si>
    <t>Nùng</t>
  </si>
  <si>
    <t>020170000676</t>
  </si>
  <si>
    <t>Phường Lương Văn Tri, tỉnh Lạng Sơn</t>
  </si>
  <si>
    <t>0916888276</t>
  </si>
  <si>
    <t>BV0201</t>
  </si>
  <si>
    <t>Trần Thị Hoàng Anh</t>
  </si>
  <si>
    <t>Tày</t>
  </si>
  <si>
    <t>020193002204</t>
  </si>
  <si>
    <t>Khối Co Măn, Phường Đông Kinh, tỉnh Lạng Sơn</t>
  </si>
  <si>
    <t>BV1174</t>
  </si>
  <si>
    <t>Nông Thị Bích Hà</t>
  </si>
  <si>
    <t>Hộ sinh (hạng III)</t>
  </si>
  <si>
    <t>020187006850</t>
  </si>
  <si>
    <t>Căn 804, trung cư Green Park 1, khối 18, phường Đông Kinh, tỉnh Lạng Sơn</t>
  </si>
  <si>
    <t>Chuyển đến 04/4/2022</t>
  </si>
  <si>
    <t>BV0038</t>
  </si>
  <si>
    <t>Đàm Thúy Ngân</t>
  </si>
  <si>
    <t>Điều dưỡng CĐ</t>
  </si>
  <si>
    <t>Điều dưỡng (hạng IV)</t>
  </si>
  <si>
    <t>020190008097</t>
  </si>
  <si>
    <t>Căn 1110, toà 3 trung cư Green Park 3, phường Đông Kinh, tỉnh Lạng Sơn</t>
  </si>
  <si>
    <t>0394663100</t>
  </si>
  <si>
    <t>BV0013</t>
  </si>
  <si>
    <t>Trương Mai Phương</t>
  </si>
  <si>
    <t>020190002769</t>
  </si>
  <si>
    <t>SN 29, ngõ 2C, Thôn Hoàng Thanh, Phường Tam Thanh, Tỉnh Lạng Sơn</t>
  </si>
  <si>
    <t>0988868489</t>
  </si>
  <si>
    <t>BV0009</t>
  </si>
  <si>
    <t>Hoàng Hải Yến</t>
  </si>
  <si>
    <t>020189006031</t>
  </si>
  <si>
    <t>Khối Hoàng Tâm, Phường Tam Thanh, Tỉnh Lạng Sơn</t>
  </si>
  <si>
    <t>BV0170</t>
  </si>
  <si>
    <t>Trần Thị Hải Yến</t>
  </si>
  <si>
    <t>020186009334</t>
  </si>
  <si>
    <t>Xã Lộc Bình, tỉnh Lạng Sơn</t>
  </si>
  <si>
    <t>0397056976</t>
  </si>
  <si>
    <t>BV0864</t>
  </si>
  <si>
    <t>Nông Thu Phương</t>
  </si>
  <si>
    <t>020195001880</t>
  </si>
  <si>
    <t>Khu Hòa Bình, xã Lộc Bình, tỉnh Lạng Sơn</t>
  </si>
  <si>
    <t>0982467591</t>
  </si>
  <si>
    <t>Thử việc T11/2018; đỗ VC 20/5/2026</t>
  </si>
  <si>
    <t>BV0898</t>
  </si>
  <si>
    <t>Lương Thị Huế</t>
  </si>
  <si>
    <t>020196007531</t>
  </si>
  <si>
    <t>SN 90, Ngõ 97, Đường Trần Quang Khải, Khối Trần Quang Khải 1, Phường Lương Văn Tri, Tỉnh Lạng Sơn.</t>
  </si>
  <si>
    <t>0373712907</t>
  </si>
  <si>
    <t>Thử việc 17/4/2019-31/5/2019; nghỉ ko lương 01/9 đến 31/12/2023, Viên chức từ 15/6/2026</t>
  </si>
  <si>
    <t>BV1081</t>
  </si>
  <si>
    <t>Vy Thị Sinh</t>
  </si>
  <si>
    <t>020197009637</t>
  </si>
  <si>
    <t>Thôn Tùng Tày, Xã Tân Đoàn, Tỉnh Lạng Sơn</t>
  </si>
  <si>
    <t>0936944436</t>
  </si>
  <si>
    <t>Thử việc 03/11/2020, Viên chức từ 15/6/2026</t>
  </si>
  <si>
    <t>BV0012</t>
  </si>
  <si>
    <t>Trần Bích Phương</t>
  </si>
  <si>
    <t>020188003360</t>
  </si>
  <si>
    <t>Ngõ 39 Văn Vỉ, Phường Lương Văn Tri, Tỉnh Lạng Sơn.</t>
  </si>
  <si>
    <t>0974342003</t>
  </si>
  <si>
    <t>BV0031</t>
  </si>
  <si>
    <t>Trần Thị Liễu Thúy</t>
  </si>
  <si>
    <t>020186000205</t>
  </si>
  <si>
    <t>Số 124, Tổ Sơn, Phường Lương Văn Tri, Tỉnh Lạng Sơn,</t>
  </si>
  <si>
    <t>0376706750</t>
  </si>
  <si>
    <t>BV0431</t>
  </si>
  <si>
    <t>Liễu Kim Hoa</t>
  </si>
  <si>
    <t>020177004198</t>
  </si>
  <si>
    <t>số nhà 45 phố Mỹ Sơn 5 , tổ 3,  Khối 9, Phường Đông Kinh  Lạng Sơn</t>
  </si>
  <si>
    <t>0913492166</t>
  </si>
  <si>
    <t>BV0016</t>
  </si>
  <si>
    <t>Hoàng Thị Cả</t>
  </si>
  <si>
    <t>Điều dưỡng TC</t>
  </si>
  <si>
    <t>020170001210</t>
  </si>
  <si>
    <t>Thôn Pàn Pè, phường Tam Thanh, Tỉnh Lạng Sơn</t>
  </si>
  <si>
    <t>0919501370</t>
  </si>
  <si>
    <t>BV0290</t>
  </si>
  <si>
    <t>Ngọ Thị Ngoan</t>
  </si>
  <si>
    <t>Hộ sinh CĐ</t>
  </si>
  <si>
    <t>Hộ sinh (hạng IV)</t>
  </si>
  <si>
    <t>024183004315</t>
  </si>
  <si>
    <t>Nam Hoàng Đồng 1, Phường Tam Thanh, Tỉnh Lạng Sơn</t>
  </si>
  <si>
    <t>0915976646</t>
  </si>
  <si>
    <t>BV0043</t>
  </si>
  <si>
    <t>Hoàng Thị Hoa</t>
  </si>
  <si>
    <t>Hộ lý</t>
  </si>
  <si>
    <t>HĐ theo NĐ161</t>
  </si>
  <si>
    <t>020170000377</t>
  </si>
  <si>
    <t>Ngõ 311, Đường Bà Triệu, Phường Kỳ Lừa, Tỉnh Lạng Sơn.</t>
  </si>
  <si>
    <t>0949056459</t>
  </si>
  <si>
    <t>Chuyển từ HĐ68</t>
  </si>
  <si>
    <t>BV0691</t>
  </si>
  <si>
    <t>Hoàng Thị Chín</t>
  </si>
  <si>
    <t>HĐ có thời hạn</t>
  </si>
  <si>
    <t>020177004592</t>
  </si>
  <si>
    <t>Sn 36, Ngõ 195, Đường Bến Bắc, Phường Tam Thanh, Tỉnh Lạng Sơn</t>
  </si>
  <si>
    <t>0986384451</t>
  </si>
  <si>
    <t>BV0729</t>
  </si>
  <si>
    <t>Lương Thị Thảo</t>
  </si>
  <si>
    <t>Hộ Lý</t>
  </si>
  <si>
    <t>020192012225</t>
  </si>
  <si>
    <t>Sn 113, Đường Trần Quang Khải, Phường Lương Văn Tri, Tỉnh Lạng Sơn</t>
  </si>
  <si>
    <t>BV0049</t>
  </si>
  <si>
    <t>Đinh Vĩnh Thái</t>
  </si>
  <si>
    <t>Cấp cứu</t>
  </si>
  <si>
    <t>Trưởng khoa</t>
  </si>
  <si>
    <t>012079000876</t>
  </si>
  <si>
    <t>0946235999</t>
  </si>
  <si>
    <t>BV0178</t>
  </si>
  <si>
    <t>Triệu Đức Anh</t>
  </si>
  <si>
    <t>Ngoại Thận - Tiết niệu</t>
  </si>
  <si>
    <t>Phó trưởng khoa</t>
  </si>
  <si>
    <t>020086011262</t>
  </si>
  <si>
    <t xml:space="preserve">43 Trần Quang Khải, P. Lương Văn Tri, tỉnh Lạng Sơn </t>
  </si>
  <si>
    <t>0978122012</t>
  </si>
  <si>
    <t>BV0676</t>
  </si>
  <si>
    <t>Lương Văn Lực</t>
  </si>
  <si>
    <t>BSCKI</t>
  </si>
  <si>
    <t>Bác sĩ (hạng III)</t>
  </si>
  <si>
    <t>Nội Tiêu hóa</t>
  </si>
  <si>
    <t>Cao Lan</t>
  </si>
  <si>
    <t>020090012670</t>
  </si>
  <si>
    <t>Xã Yên Bình, Lạng Sơn</t>
  </si>
  <si>
    <t>BV0848</t>
  </si>
  <si>
    <t>Lành Thị Quỳnh Nga</t>
  </si>
  <si>
    <t>020191000623</t>
  </si>
  <si>
    <t>0986269055</t>
  </si>
  <si>
    <t>Chuyển đến 20/8/2018</t>
  </si>
  <si>
    <t>BV0929</t>
  </si>
  <si>
    <t>Triệu Thị Hạ</t>
  </si>
  <si>
    <t>Bác sĩ</t>
  </si>
  <si>
    <t>020193002215</t>
  </si>
  <si>
    <t>Xã Bằng Mạc - tỉnh Lạng Sơn</t>
  </si>
  <si>
    <t>0372549450</t>
  </si>
  <si>
    <t>Thử việc 19/8/2019; đỗ VC 20/5/2026</t>
  </si>
  <si>
    <t>BV0890</t>
  </si>
  <si>
    <t>Nông Quốc Thiên</t>
  </si>
  <si>
    <t>020094010940</t>
  </si>
  <si>
    <t>BC 5/4/2019</t>
  </si>
  <si>
    <t>BV0959</t>
  </si>
  <si>
    <t>Liễu Thị Ngân</t>
  </si>
  <si>
    <t>020194010077</t>
  </si>
  <si>
    <t>Xã Hoàng Văn Thụ - tỉnh Lạng Sơn</t>
  </si>
  <si>
    <t>Thử việc 10/12/2019; đỗ VC 20/5/2026</t>
  </si>
  <si>
    <t>BV1267</t>
  </si>
  <si>
    <t>Trần Văn Tuyến</t>
  </si>
  <si>
    <t>001092022720</t>
  </si>
  <si>
    <t>0971991992</t>
  </si>
  <si>
    <t>Thử việc 01/12/2023, Viên chức từ 15/6/2026</t>
  </si>
  <si>
    <t>BV1278</t>
  </si>
  <si>
    <t>Vũ Trần Hiếu</t>
  </si>
  <si>
    <t>Chấn thương - Bỏng</t>
  </si>
  <si>
    <t>020096005224</t>
  </si>
  <si>
    <t>khối phố Trần Phú, Xã Bắc Sơn, tỉnh Lạng Sơn</t>
  </si>
  <si>
    <t>0963695596</t>
  </si>
  <si>
    <t>Thử việc 01/4/2024</t>
  </si>
  <si>
    <t>BV0059</t>
  </si>
  <si>
    <t>Dương Thị Niên</t>
  </si>
  <si>
    <t>Điều dưỡng trưởng</t>
  </si>
  <si>
    <t>020185006032</t>
  </si>
  <si>
    <t>0382382608</t>
  </si>
  <si>
    <t>BV0331</t>
  </si>
  <si>
    <t>Hoàng Thị Thúy</t>
  </si>
  <si>
    <t>020190009345</t>
  </si>
  <si>
    <t>Thôn Thuận Lợi - xã Hoàng Văn Thụ - tỉnh Lạng Sơn</t>
  </si>
  <si>
    <t>0396820236</t>
  </si>
  <si>
    <t>BV1262</t>
  </si>
  <si>
    <t>Hoàng Thanh Dung</t>
  </si>
  <si>
    <t>020301006110</t>
  </si>
  <si>
    <t>0373419649</t>
  </si>
  <si>
    <t>Thử việc 20/11/2023, Viên chức từ 15/6/2026</t>
  </si>
  <si>
    <t>BV0863</t>
  </si>
  <si>
    <t>Hứa Thanh Thùy</t>
  </si>
  <si>
    <t>020192008865</t>
  </si>
  <si>
    <t>0376480629</t>
  </si>
  <si>
    <t>BV0899</t>
  </si>
  <si>
    <t>Lăng Thị Lỷ</t>
  </si>
  <si>
    <t>020197001175</t>
  </si>
  <si>
    <t>0355002847</t>
  </si>
  <si>
    <t>Thử việc 17/4/2019-31/5/2019; đỗ VC 20/5/2026</t>
  </si>
  <si>
    <t>BV0136</t>
  </si>
  <si>
    <t>Lâm Thị Thiện</t>
  </si>
  <si>
    <t>020185002429</t>
  </si>
  <si>
    <t>16B Thác Trà - phường Lương Văn Tri - tỉnh Lạng Sơn</t>
  </si>
  <si>
    <t>BV0870</t>
  </si>
  <si>
    <t>Chu Thị Hoa</t>
  </si>
  <si>
    <t>020193009231</t>
  </si>
  <si>
    <t>0964918478</t>
  </si>
  <si>
    <t>BV0872</t>
  </si>
  <si>
    <t>Dương Thị Thời</t>
  </si>
  <si>
    <t>020191002308</t>
  </si>
  <si>
    <t>0966804818</t>
  </si>
  <si>
    <t>BV0721</t>
  </si>
  <si>
    <t>Phương Trung Hữu</t>
  </si>
  <si>
    <t>020091002267</t>
  </si>
  <si>
    <t>0398242896</t>
  </si>
  <si>
    <t>HĐ 29/8/2016; Đỗ VC 20/5/2026</t>
  </si>
  <si>
    <t>BV1057</t>
  </si>
  <si>
    <t>Phạm Thị Thảo Uyên</t>
  </si>
  <si>
    <t>020196001335</t>
  </si>
  <si>
    <t>0859089691</t>
  </si>
  <si>
    <t>Thử việc từ 13/7/2020, Viên chức từ 15/6/2026</t>
  </si>
  <si>
    <t>BV1058</t>
  </si>
  <si>
    <t>Nguyễn Thị Linh</t>
  </si>
  <si>
    <t>020198000229</t>
  </si>
  <si>
    <t>Thôn Chi Mạc - phường Tam Thanh - tỉnh Lạng Sơn</t>
  </si>
  <si>
    <t>0981298907</t>
  </si>
  <si>
    <t>BV1073</t>
  </si>
  <si>
    <t>Hà Mạnh Chí</t>
  </si>
  <si>
    <t>020099001007</t>
  </si>
  <si>
    <t>0367176331</t>
  </si>
  <si>
    <t>BV1074</t>
  </si>
  <si>
    <t>Nông Thị Điệp</t>
  </si>
  <si>
    <t>020199007305</t>
  </si>
  <si>
    <t>0334693143</t>
  </si>
  <si>
    <t>Thử việc 03/11/2020</t>
  </si>
  <si>
    <t>BV1076</t>
  </si>
  <si>
    <t>Phùng Trung Đức</t>
  </si>
  <si>
    <t>020099001027</t>
  </si>
  <si>
    <t>0362735232</t>
  </si>
  <si>
    <t>BV0060</t>
  </si>
  <si>
    <t>Bế Thị Thắm</t>
  </si>
  <si>
    <t>020180001946</t>
  </si>
  <si>
    <t>0855012179</t>
  </si>
  <si>
    <t>BV0061</t>
  </si>
  <si>
    <t>Thi Văn Thắng</t>
  </si>
  <si>
    <t>020086002794</t>
  </si>
  <si>
    <t>Khối Bắc Đông II, Phường Kỳ Lừa - Lạng Sơn</t>
  </si>
  <si>
    <t>0972886856</t>
  </si>
  <si>
    <t>BV0218</t>
  </si>
  <si>
    <t>Thi Thị Thiện</t>
  </si>
  <si>
    <t>020182007690</t>
  </si>
  <si>
    <t>0915122882</t>
  </si>
  <si>
    <t>BV1194</t>
  </si>
  <si>
    <t>Lăng Nhật Cương</t>
  </si>
  <si>
    <t>020099006084</t>
  </si>
  <si>
    <t>0342369421</t>
  </si>
  <si>
    <t>Thử việc 03/10/2022</t>
  </si>
  <si>
    <t>BV1314</t>
  </si>
  <si>
    <t>Triệu Thị Hồng Nhung</t>
  </si>
  <si>
    <t>Dao</t>
  </si>
  <si>
    <t>020303006368</t>
  </si>
  <si>
    <t>Xã Đoàn Kết, tỉnh Lạng Sơn</t>
  </si>
  <si>
    <t>0824488284</t>
  </si>
  <si>
    <t>HĐ 06/05/2025</t>
  </si>
  <si>
    <t>BV0772</t>
  </si>
  <si>
    <t>Vi Thị Hằng</t>
  </si>
  <si>
    <t>020193005429</t>
  </si>
  <si>
    <t>0968946913</t>
  </si>
  <si>
    <t>BV0533</t>
  </si>
  <si>
    <t>Hoàng Thị Lan</t>
  </si>
  <si>
    <t>Cấp Cứu</t>
  </si>
  <si>
    <t>020182003090</t>
  </si>
  <si>
    <t>Thôn Khòn Pát - phường Đông Kinh - tỉnh Lạng Sơn</t>
  </si>
  <si>
    <t>0978240344</t>
  </si>
  <si>
    <t>BV1015</t>
  </si>
  <si>
    <t>Nguyễn Thị Thắm</t>
  </si>
  <si>
    <t>020179000466</t>
  </si>
  <si>
    <t>Khối 23 - Phường Kỳ Lừa - Tính Lạng Sơn</t>
  </si>
  <si>
    <t>0393533827</t>
  </si>
  <si>
    <t>Hợp đồng từ 12/4/2020</t>
  </si>
  <si>
    <t>BV0096</t>
  </si>
  <si>
    <t>Hoàng Mạnh Cương</t>
  </si>
  <si>
    <t>HSTC-CĐ</t>
  </si>
  <si>
    <t>Lãnh đạo đơn vị</t>
  </si>
  <si>
    <t>Phó giám đốc</t>
  </si>
  <si>
    <t>020083009680</t>
  </si>
  <si>
    <t>Khối 11- Phường Kỳ Lừa - Tỉnh Lạng Sơn</t>
  </si>
  <si>
    <t>BV0774</t>
  </si>
  <si>
    <t>Nguyễn Thành Đô</t>
  </si>
  <si>
    <t>020091007749</t>
  </si>
  <si>
    <t>Khối  9  - Phường Kỳ Lừa - Tỉnh Lạng Sơn</t>
  </si>
  <si>
    <t>0766070891</t>
  </si>
  <si>
    <t>HĐ 8/2017; BC 20/3/2018</t>
  </si>
  <si>
    <t>BV0773</t>
  </si>
  <si>
    <t>Dương Tuấn Minh</t>
  </si>
  <si>
    <t>020092002148</t>
  </si>
  <si>
    <t>Số 5/2 Lê Hồng Phong - Phường Tam Thanh - Tỉnh Lạng Sơn</t>
  </si>
  <si>
    <t>0348007111</t>
  </si>
  <si>
    <t>HĐ 01/9/2017; Đỗ VC 20/5/2026</t>
  </si>
  <si>
    <t>BV0960</t>
  </si>
  <si>
    <t>Đào Thị Hồng Nhung</t>
  </si>
  <si>
    <t>020194000469</t>
  </si>
  <si>
    <t>Thôn  Hoàng Tân- Phường Tam Thanh  - Tỉnh Lạng Sơn</t>
  </si>
  <si>
    <t>Thử việc 02/12/2019; đỗ VC 20/5/2026</t>
  </si>
  <si>
    <t>BV0940</t>
  </si>
  <si>
    <t>Vũ Hoàng Đức</t>
  </si>
  <si>
    <t>020095006351</t>
  </si>
  <si>
    <t>Khối  7  - Phường Kỳ Lừa - Tỉnh Lạng Sơn</t>
  </si>
  <si>
    <t>Chuyển đến 05/3/2021</t>
  </si>
  <si>
    <t>BV1229</t>
  </si>
  <si>
    <t>Dương Thị Chang</t>
  </si>
  <si>
    <t>020197007514</t>
  </si>
  <si>
    <t>Thâm Vớt - Hưng Vũ - Bắc Sơn - Lạng Sơn</t>
  </si>
  <si>
    <t>0399432795</t>
  </si>
  <si>
    <t>Thử việc 14/4/2023</t>
  </si>
  <si>
    <t>BV1282</t>
  </si>
  <si>
    <t>Vi Văn Phong</t>
  </si>
  <si>
    <t>020096004642</t>
  </si>
  <si>
    <t>Khối 3   - Phường Đông Kinh  - Tỉnh Lạng Sơn</t>
  </si>
  <si>
    <t>HĐ 01/7/2024, Viên chức từ 15/6/2026</t>
  </si>
  <si>
    <t>BV0053</t>
  </si>
  <si>
    <t>Lê Thị Hà</t>
  </si>
  <si>
    <t>001182010943</t>
  </si>
  <si>
    <t>Khối 6 - Phường Kỳ Lừa - Tỉnh Lạng Sơn</t>
  </si>
  <si>
    <t>0977051260</t>
  </si>
  <si>
    <t>BV1317</t>
  </si>
  <si>
    <t>Lục Thị Thanh Mai</t>
  </si>
  <si>
    <t>UB-YHHN</t>
  </si>
  <si>
    <t>020195004599</t>
  </si>
  <si>
    <t>0364171103</t>
  </si>
  <si>
    <t>BV0068</t>
  </si>
  <si>
    <t>Nội Tổng hợp</t>
  </si>
  <si>
    <t>Nùng</t>
  </si>
  <si>
    <t>020188006649</t>
  </si>
  <si>
    <t>Khố́i 14- Phường Đông Kinh - Tỉnh Lạng Sơn</t>
  </si>
  <si>
    <t>0372600939</t>
  </si>
  <si>
    <t>BV0717</t>
  </si>
  <si>
    <t>Nguyễn Tiến Hưng</t>
  </si>
  <si>
    <t>0200933002103</t>
  </si>
  <si>
    <t>Khối 11 - Phường Tam Thanh - Tỉnh Lạng Sơn</t>
  </si>
  <si>
    <t>BV0072</t>
  </si>
  <si>
    <t>Nông Văn Lập</t>
  </si>
  <si>
    <t>020085008813</t>
  </si>
  <si>
    <t>Khối  8  - Phường Tam Thanh - Tỉnh Lạng Sơn</t>
  </si>
  <si>
    <t>0972971018</t>
  </si>
  <si>
    <t>BV0833</t>
  </si>
  <si>
    <t>Nông Thị Khánh Linh</t>
  </si>
  <si>
    <t>020193009199</t>
  </si>
  <si>
    <t>Khối Hoàng Tâm - Phường Tam Thanh - Tỉnh Lạng Sơn</t>
  </si>
  <si>
    <t>0398718995</t>
  </si>
  <si>
    <t>BC 20/3/2018</t>
  </si>
  <si>
    <t>BV0714</t>
  </si>
  <si>
    <t>Lương Thị Ly</t>
  </si>
  <si>
    <t>020194004104</t>
  </si>
  <si>
    <t>Thôn Ga - Xã Đồng Đăng - Tỉnh Lạng Sơn</t>
  </si>
  <si>
    <t>0981020002</t>
  </si>
  <si>
    <t>BV0715</t>
  </si>
  <si>
    <t>Đoàn Thanh Thủy</t>
  </si>
  <si>
    <t>020188005717</t>
  </si>
  <si>
    <t>Thôn Quảng Liên 1 - Phường Lương Văn Tri - Tỉnh  Lạng Sơn</t>
  </si>
  <si>
    <t>0918327383</t>
  </si>
  <si>
    <t>BV0859</t>
  </si>
  <si>
    <t>Trần Nhật Lê</t>
  </si>
  <si>
    <t>020194000642</t>
  </si>
  <si>
    <t>0989023614</t>
  </si>
  <si>
    <t>BV0860</t>
  </si>
  <si>
    <t>Hoàng Quang Thụy</t>
  </si>
  <si>
    <t>020091001605</t>
  </si>
  <si>
    <t>Thôn Phú Nhuận - Xã Điềm He - Tỉnh Lạng Sơn</t>
  </si>
  <si>
    <t>BV0967</t>
  </si>
  <si>
    <t>Đàm Quốc Huỳnh</t>
  </si>
  <si>
    <t>020097004944</t>
  </si>
  <si>
    <t>Phường Kỳ Lừa - Tỉnh Lạng Sơn</t>
  </si>
  <si>
    <t>BV0057</t>
  </si>
  <si>
    <t>Bế Thị Quyên</t>
  </si>
  <si>
    <t>020182001088</t>
  </si>
  <si>
    <t>Khối Đại Thắng - Phường Lương Văn Tri - Tỉnh  Lạng Sơn</t>
  </si>
  <si>
    <t>0386978044</t>
  </si>
  <si>
    <t>BV1052</t>
  </si>
  <si>
    <t>Hoàng Thị Sao</t>
  </si>
  <si>
    <t>020197001186</t>
  </si>
  <si>
    <t>413 Trần Đăng Ninh - Phường Tam Thanh - Tỉnh Lạng Sơn</t>
  </si>
  <si>
    <t>0936924458</t>
  </si>
  <si>
    <t>Thử việc từ 20/7/2020, Viên chức từ 15/6/2026</t>
  </si>
  <si>
    <t>BV1053</t>
  </si>
  <si>
    <t>Đỗ Thị Lan Hương</t>
  </si>
  <si>
    <t>020194001872</t>
  </si>
  <si>
    <t>khối 18 - Phường Đông Kinh - Tỉnh Lạng Sơn</t>
  </si>
  <si>
    <t>0392895536</t>
  </si>
  <si>
    <t>BV1077</t>
  </si>
  <si>
    <t>Hoàng Ngọc Châm</t>
  </si>
  <si>
    <t>020199000909</t>
  </si>
  <si>
    <t>Thôn Khòn Pát   - Phường Đông Kinh  - Tỉnh Lạng Sơn</t>
  </si>
  <si>
    <t>0389526108</t>
  </si>
  <si>
    <t>BV0069</t>
  </si>
  <si>
    <t>Hoàng Thị SLao</t>
  </si>
  <si>
    <t>020186002927</t>
  </si>
  <si>
    <t>Thôn Thâm Mò - Xã Đồng Đăng - Tỉnh Lạng Sơn</t>
  </si>
  <si>
    <t>0373026362</t>
  </si>
  <si>
    <t>BV0054</t>
  </si>
  <si>
    <t>Lương Thị Thuyên</t>
  </si>
  <si>
    <t>020173008501</t>
  </si>
  <si>
    <t>Khối 10  - Phường Tam Thanh - Tỉnh Lạng Sơn</t>
  </si>
  <si>
    <t>0913369665</t>
  </si>
  <si>
    <t>BV0082</t>
  </si>
  <si>
    <t>Hà Thị Kiều Oanh</t>
  </si>
  <si>
    <t>020188002923</t>
  </si>
  <si>
    <t>Thôn Nhất Tâm - Xã Đồng Đăng - Tỉnh Lạng Sơn</t>
  </si>
  <si>
    <t>0374673306</t>
  </si>
  <si>
    <t>BV1205</t>
  </si>
  <si>
    <t>Phan Thị Thảo Uyên</t>
  </si>
  <si>
    <t>tày</t>
  </si>
  <si>
    <t>020301003797</t>
  </si>
  <si>
    <t>Xã Lộc Bình - Tỉnh Lạng Sơn</t>
  </si>
  <si>
    <t>0384242312</t>
  </si>
  <si>
    <t>Thử việc 03/10/2022, Viên chức từ 15/6/2026</t>
  </si>
  <si>
    <t>BV1264</t>
  </si>
  <si>
    <t>Nguyễn Thị Lượng</t>
  </si>
  <si>
    <t>027302008129</t>
  </si>
  <si>
    <t>Khối 1  - Phường Kỳ Lừa - Lạng Sơn</t>
  </si>
  <si>
    <t>0369673816</t>
  </si>
  <si>
    <t>BV1292</t>
  </si>
  <si>
    <t>Trần Thu Hà</t>
  </si>
  <si>
    <t>020303006704</t>
  </si>
  <si>
    <t>Thôn Bản Trại - Xã Kháng Chiến - Tỉnh Lạng Sơn</t>
  </si>
  <si>
    <t>0829081243</t>
  </si>
  <si>
    <t>HĐ 01/11/2024</t>
  </si>
  <si>
    <t>BV1304</t>
  </si>
  <si>
    <t>Trương Thị Thanh Giang</t>
  </si>
  <si>
    <t>020303007961</t>
  </si>
  <si>
    <t>thôn Rừng Cấm, xã Tân Thành, tỉnh Lạng Sơn</t>
  </si>
  <si>
    <t>Thử việc 10/02/2025, Viên chức từ 15/6/2026</t>
  </si>
  <si>
    <t>BV0731</t>
  </si>
  <si>
    <t>Lê Thị Nhã</t>
  </si>
  <si>
    <t>001181035574</t>
  </si>
  <si>
    <t>Khối  10 - Phường Tam Thanh - Tỉnh Lạng Sơn</t>
  </si>
  <si>
    <t>0977030050</t>
  </si>
  <si>
    <t>BV1018</t>
  </si>
  <si>
    <t>Hoàng Thị Thoa</t>
  </si>
  <si>
    <t>020191009921</t>
  </si>
  <si>
    <t>Thôn Bản Cưởm - Xã Cao Lộc - Tỉnh Lạng Sơn</t>
  </si>
  <si>
    <t>0984635971</t>
  </si>
  <si>
    <t>BV0077</t>
  </si>
  <si>
    <t>Hoàng Thị Minh Hồng</t>
  </si>
  <si>
    <t>Lão - CXK</t>
  </si>
  <si>
    <t>020170006326</t>
  </si>
  <si>
    <t>P. Tam thanh - Lạng Sơn</t>
  </si>
  <si>
    <t>0912334455</t>
  </si>
  <si>
    <t>BV0685</t>
  </si>
  <si>
    <t>Hoàng Sĩ Hoa</t>
  </si>
  <si>
    <t>Phụ trách khoa Dinh dưỡng</t>
  </si>
  <si>
    <t>020190006385</t>
  </si>
  <si>
    <t>Xã Công sơn - Lạng Sơn</t>
  </si>
  <si>
    <t>0335389256</t>
  </si>
  <si>
    <t>BV1285</t>
  </si>
  <si>
    <t>Thạc sỹ</t>
  </si>
  <si>
    <t>020196008669</t>
  </si>
  <si>
    <t>P. Đông kinh - Lạng Sơn</t>
  </si>
  <si>
    <t>BV1253</t>
  </si>
  <si>
    <t>Trần Thị Hồng Hạnh</t>
  </si>
  <si>
    <t>020198004470</t>
  </si>
  <si>
    <t>0962450420</t>
  </si>
  <si>
    <t>HĐ 15/03/2024</t>
  </si>
  <si>
    <t>BV0410</t>
  </si>
  <si>
    <t>Vy Lan Anh</t>
  </si>
  <si>
    <t>020174004647</t>
  </si>
  <si>
    <t xml:space="preserve">Số 680 - K19 Đường Bà Triệu , Phường Đông Kinh, Tỉnh Lạng Sơn </t>
  </si>
  <si>
    <t>BV0210</t>
  </si>
  <si>
    <t>Hoàng Thị Thu Huyền</t>
  </si>
  <si>
    <t>020182002689</t>
  </si>
  <si>
    <t>P.Lương văn tri - Lạng Sơn</t>
  </si>
  <si>
    <t>0337680434</t>
  </si>
  <si>
    <t>BV0055</t>
  </si>
  <si>
    <t>Hoàng Mạnh Châu</t>
  </si>
  <si>
    <t>Nội Thận-TN-LM</t>
  </si>
  <si>
    <t>020085006668</t>
  </si>
  <si>
    <t>Tam Thanh., Lạng Sơn</t>
  </si>
  <si>
    <t>0888440058</t>
  </si>
  <si>
    <t>BV0071</t>
  </si>
  <si>
    <t>Lành Thị Hồng Vân</t>
  </si>
  <si>
    <t>020186002923</t>
  </si>
  <si>
    <t>P.Kỳ lừa - Lạng Sơn</t>
  </si>
  <si>
    <t>0989175168</t>
  </si>
  <si>
    <t>BV0716</t>
  </si>
  <si>
    <t>Hoàng Thị Thao</t>
  </si>
  <si>
    <t>020193011101</t>
  </si>
  <si>
    <t>P. Kỳ lừa. Lạng Sơn</t>
  </si>
  <si>
    <t>0976438525</t>
  </si>
  <si>
    <t>BV0160</t>
  </si>
  <si>
    <t>Dương Thị Tám</t>
  </si>
  <si>
    <t>Hộ sinh TC</t>
  </si>
  <si>
    <t>020173006948</t>
  </si>
  <si>
    <t>P Kỳ lừa - Lạng Sơn</t>
  </si>
  <si>
    <t>0936392888</t>
  </si>
  <si>
    <t>Kiêm nhiệm khoa Dinh dưỡng 01/10/2022</t>
  </si>
  <si>
    <t>BV0953</t>
  </si>
  <si>
    <t>Hoàng Thị Hương</t>
  </si>
  <si>
    <t>020181000718</t>
  </si>
  <si>
    <t>Hợp đồng 03/09/2019</t>
  </si>
  <si>
    <t>BV0090</t>
  </si>
  <si>
    <t>Đặng Huy Du</t>
  </si>
  <si>
    <t>Tâm thần - Thần kinh</t>
  </si>
  <si>
    <t>Phó giám đốc; phụ trách khoa TT-TK</t>
  </si>
  <si>
    <t>020072008320</t>
  </si>
  <si>
    <t>Số 8, Phố Mỹ Sơn 1, Khối 8, Phường Đông Kinh, Tỉnh Lạng Sơn</t>
  </si>
  <si>
    <t>BV0956</t>
  </si>
  <si>
    <t>Trịnh Thị Việt Hà</t>
  </si>
  <si>
    <t>020175004619</t>
  </si>
  <si>
    <t>104, Đèo Giang, Phường Lương Văn Tri, Tỉnh Lạng Sơn</t>
  </si>
  <si>
    <t>Chuyển đến 01/11/2019</t>
  </si>
  <si>
    <t>BV0190</t>
  </si>
  <si>
    <t>Trịnh Xuân Trường</t>
  </si>
  <si>
    <t>020082002995</t>
  </si>
  <si>
    <t>90, Đèo Giang, Phường Lương Văn Tri, Tỉnh Lạng Sơn</t>
  </si>
  <si>
    <t>0982642288</t>
  </si>
  <si>
    <t>BV0132</t>
  </si>
  <si>
    <t>Hoàng Thị Khảo</t>
  </si>
  <si>
    <t>020183001920</t>
  </si>
  <si>
    <t>Xã Nhân Lý, Tỉnh Lạng Sơn</t>
  </si>
  <si>
    <t>0382193368</t>
  </si>
  <si>
    <t>BV1111</t>
  </si>
  <si>
    <t>Triệu Đoàn Thùy Linh</t>
  </si>
  <si>
    <t>020196005109</t>
  </si>
  <si>
    <t>Khối 3, Phường Đông Kinh, Tỉnh Lạng Sơn</t>
  </si>
  <si>
    <t>Thử việc 25/01-28/02/2021, Viên chức từ 15/6/2026</t>
  </si>
  <si>
    <t>BV1159</t>
  </si>
  <si>
    <t>Bùi Thị Thu Hà</t>
  </si>
  <si>
    <t>020194011727</t>
  </si>
  <si>
    <t>Khu Hòa Bình, Xã Lộc Bình, Tỉnh Lạng Sơn</t>
  </si>
  <si>
    <t>0975410857</t>
  </si>
  <si>
    <t>Thử việc 6/9/2021, Viên chức từ 15/6/2026</t>
  </si>
  <si>
    <t>BV1232</t>
  </si>
  <si>
    <t>Hoàng Thu Hoài</t>
  </si>
  <si>
    <t>020196004694</t>
  </si>
  <si>
    <t>Xã Tân Văn, Tỉnh Lạng Sơn</t>
  </si>
  <si>
    <t>0377424765</t>
  </si>
  <si>
    <t>Thử việc 14/4/2023, Viên chức từ 15/6/2026</t>
  </si>
  <si>
    <t>BV1051</t>
  </si>
  <si>
    <t>Sầm Thị Minh Thơ</t>
  </si>
  <si>
    <r>
      <rPr>
        <sz val="12"/>
        <color theme="1"/>
        <rFont val="Times New Roman"/>
        <family val="1"/>
      </rPr>
      <t xml:space="preserve">Điều dưỡng </t>
    </r>
    <r>
      <rPr>
        <b/>
        <sz val="12"/>
        <color theme="1"/>
        <rFont val="Times New Roman"/>
        <family val="1"/>
      </rPr>
      <t>ĐH</t>
    </r>
  </si>
  <si>
    <t>020187003172</t>
  </si>
  <si>
    <t>Xã Hoàng Văn Thụ, Tỉnh Lạng Sơn</t>
  </si>
  <si>
    <t>0988109010</t>
  </si>
  <si>
    <t>BV0102</t>
  </si>
  <si>
    <t>Vi Thị Hiếu</t>
  </si>
  <si>
    <t>020189002910</t>
  </si>
  <si>
    <t>Khối Khòn Khuyên, Phường Đông Kinh, Tỉnh Lạng Sơn</t>
  </si>
  <si>
    <t>0396890558</t>
  </si>
  <si>
    <t>BV0103</t>
  </si>
  <si>
    <t>Nông Văn Đào</t>
  </si>
  <si>
    <t>020091005235</t>
  </si>
  <si>
    <t>Xã Vạn Linh, Tỉnh Lạng Sơn</t>
  </si>
  <si>
    <t>0868150866</t>
  </si>
  <si>
    <t>BV0868</t>
  </si>
  <si>
    <t>Nguyễn Thị Trang</t>
  </si>
  <si>
    <t>020197001187</t>
  </si>
  <si>
    <t>Khối 9, Phường Đông Kinh, Tỉnh Lạng Sơn</t>
  </si>
  <si>
    <t>0817399280</t>
  </si>
  <si>
    <t>BV0901</t>
  </si>
  <si>
    <t>Hoàng Thị Khuyên</t>
  </si>
  <si>
    <t>020196003543</t>
  </si>
  <si>
    <t>Thôn Đồng Én, Phường Tam Thanh, Tỉnh Lạng Sơn</t>
  </si>
  <si>
    <t>0368173921</t>
  </si>
  <si>
    <t>BV0975</t>
  </si>
  <si>
    <t>Vi Thị Hoa</t>
  </si>
  <si>
    <t>020197005891</t>
  </si>
  <si>
    <t>Thôn Ngọc Quyến, Xã Bình Gia, Tỉnh Lạng Sơn</t>
  </si>
  <si>
    <t>Thử việc 02/12/2019, Viên chức từ 15/6/2026</t>
  </si>
  <si>
    <t>BV1084</t>
  </si>
  <si>
    <t>Lộc Thị Chang</t>
  </si>
  <si>
    <t>020189007384</t>
  </si>
  <si>
    <t>Xã Lộc Bình, Tỉnh Lạng Sơn</t>
  </si>
  <si>
    <t>0396816358</t>
  </si>
  <si>
    <t>BV0112</t>
  </si>
  <si>
    <t>Hoàng Thị Mai Vân</t>
  </si>
  <si>
    <t>020183010171</t>
  </si>
  <si>
    <t>Khối 4, Phường Đông Kinh, Tỉnh Lạng Sơn</t>
  </si>
  <si>
    <t>0976840683</t>
  </si>
  <si>
    <t>BV0109</t>
  </si>
  <si>
    <t>Đặng Thị Kiều</t>
  </si>
  <si>
    <t>033174005246</t>
  </si>
  <si>
    <t>Số 22, Thác Mạ 6, khối 9, Phường Đông Kinh, Tỉnh Lạng Sơn</t>
  </si>
  <si>
    <t>0976328304</t>
  </si>
  <si>
    <t>BV1149</t>
  </si>
  <si>
    <t>Toàn Thu Linh</t>
  </si>
  <si>
    <t>020188009130</t>
  </si>
  <si>
    <t>Khối 9, Phường Kỳ Lừa, Tỉnh Lạng Sơn</t>
  </si>
  <si>
    <t>0985764680</t>
  </si>
  <si>
    <t>Thử việc 23/8/2021, Viên chức từ 15/6/2026</t>
  </si>
  <si>
    <t>BV0114</t>
  </si>
  <si>
    <t>Lăng Thị Huệ</t>
  </si>
  <si>
    <t>020189011934</t>
  </si>
  <si>
    <t>Xã Điềm He, Tỉnh Lạng Sơn</t>
  </si>
  <si>
    <t>0989614322</t>
  </si>
  <si>
    <t>BV1010</t>
  </si>
  <si>
    <t>Đặng Thị Thoa</t>
  </si>
  <si>
    <t>020173008566</t>
  </si>
  <si>
    <t>Khối Quán Hồ, Phường Tam Thanh, Tỉnh Lạng Sơn</t>
  </si>
  <si>
    <t>0336366477</t>
  </si>
  <si>
    <t>BV0051</t>
  </si>
  <si>
    <t>Đỗ Quang Hiếu</t>
  </si>
  <si>
    <t>020090004711</t>
  </si>
  <si>
    <t xml:space="preserve">Đường Bông Lau, Khối 14, Phường Kỳ Lừa, Tỉnh Lạng Sơn </t>
  </si>
  <si>
    <t>BV0777</t>
  </si>
  <si>
    <t>Bế Thị Ly La</t>
  </si>
  <si>
    <t>020192000497</t>
  </si>
  <si>
    <t>Thôn Khơ Đa, xã Hoàng Văn Thụ</t>
  </si>
  <si>
    <t>0388771108</t>
  </si>
  <si>
    <t>HĐ 9/2017; BC 20/3/2018</t>
  </si>
  <si>
    <t>BV0005</t>
  </si>
  <si>
    <t>Hoàng Văn Hiệp</t>
  </si>
  <si>
    <t>Tày</t>
  </si>
  <si>
    <t>020068001744</t>
  </si>
  <si>
    <t>Số 13 Lê Đại Hành phường Đông Kinh tỉnh Lạng Sơn</t>
  </si>
  <si>
    <t>BV0957</t>
  </si>
  <si>
    <t>Phương Thanh Tâm</t>
  </si>
  <si>
    <t>020193002197</t>
  </si>
  <si>
    <t xml:space="preserve">264 đường Tam Thanh tỉnh Lạng Sơn  </t>
  </si>
  <si>
    <t>Thử việc 10/12/2019</t>
  </si>
  <si>
    <t>BV0366</t>
  </si>
  <si>
    <t>Hoàng Quốc Hưởng</t>
  </si>
  <si>
    <t>020082001010</t>
  </si>
  <si>
    <t>Chi Mạc-Phường Tam Thanh - Thành Phố Lạng Sơn</t>
  </si>
  <si>
    <t>BV1257</t>
  </si>
  <si>
    <t>Vũ Phong Toàn</t>
  </si>
  <si>
    <t>020099005502</t>
  </si>
  <si>
    <t>Xã Bình Gia tỉnh Lạng Sơn</t>
  </si>
  <si>
    <t>0329241176</t>
  </si>
  <si>
    <t>BV0098</t>
  </si>
  <si>
    <t>Nguyễn Kim Chung</t>
  </si>
  <si>
    <t>020169007770</t>
  </si>
  <si>
    <t>231 đường Bến Bắc phường Tam Thanh tỉnh Lạng Sơn</t>
  </si>
  <si>
    <t>0987894398</t>
  </si>
  <si>
    <t>BV0343</t>
  </si>
  <si>
    <t>Đoàn Thị Thanh Thúy</t>
  </si>
  <si>
    <t>037179008631</t>
  </si>
  <si>
    <t>Khối Văn Miếu- phường Lương Văn Tri</t>
  </si>
  <si>
    <t>BV0101</t>
  </si>
  <si>
    <t>Đàm Thùy Mai</t>
  </si>
  <si>
    <t>020191012426</t>
  </si>
  <si>
    <t xml:space="preserve">Tổ 3, khối 27, phường Kỳ Lừa tỉnh Lạng Sơn </t>
  </si>
  <si>
    <t>0356249126</t>
  </si>
  <si>
    <t>BV0977</t>
  </si>
  <si>
    <t>Hoàng Kim Tuyến</t>
  </si>
  <si>
    <t>Nung</t>
  </si>
  <si>
    <t>020197005550</t>
  </si>
  <si>
    <t>rọ phải phường đông kinh </t>
  </si>
  <si>
    <t>Thử việc 02/12/2019</t>
  </si>
  <si>
    <t>BV0117</t>
  </si>
  <si>
    <t>Ba Thị Quyên</t>
  </si>
  <si>
    <t>020186009139</t>
  </si>
  <si>
    <t>Số 02 Phai Vệ phường Đông Kinh tỉnh Lạng Sơn</t>
  </si>
  <si>
    <t>0974676475</t>
  </si>
  <si>
    <t>BV0782</t>
  </si>
  <si>
    <t>Chu Thị Phượng</t>
  </si>
  <si>
    <t>020194007387</t>
  </si>
  <si>
    <t xml:space="preserve">Khu 5A xã Na Dương tỉnh Lạng Sơn </t>
  </si>
  <si>
    <t>HĐ 02/10/2017; Đỗ VC 20/5/2026</t>
  </si>
  <si>
    <t>BV0980</t>
  </si>
  <si>
    <t>Chu Đức Thịnh</t>
  </si>
  <si>
    <t>020097001294</t>
  </si>
  <si>
    <t>Thôn Đồi Chè phường Tam Thanh tỉnh Lạng Sơn</t>
  </si>
  <si>
    <t>BV0020</t>
  </si>
  <si>
    <t>Nguyễn Thị Hiền</t>
  </si>
  <si>
    <t>020184009125</t>
  </si>
  <si>
    <t xml:space="preserve">Khối 18 phường Đông Kinh Tỉnh Lạng Sơn </t>
  </si>
  <si>
    <t>BV0138</t>
  </si>
  <si>
    <t>Nguyễn Thị Liên</t>
  </si>
  <si>
    <t>020186011783</t>
  </si>
  <si>
    <t>Tổ 5, khối Hợp Thành,P. Kỳ Lừa tỉnh Lạng Sơn</t>
  </si>
  <si>
    <t>BV0143</t>
  </si>
  <si>
    <t>Mã Thị Thu</t>
  </si>
  <si>
    <t>020187002661</t>
  </si>
  <si>
    <t xml:space="preserve">Khối Sa Cao phường Kỳ Lừa tỉnh Lạng Sơn </t>
  </si>
  <si>
    <t>HĐ16/3/2011; Đỗ VC 20/5/2026</t>
  </si>
  <si>
    <t>BV1274</t>
  </si>
  <si>
    <t>Phan Thị Ái Vân</t>
  </si>
  <si>
    <t>020194006233</t>
  </si>
  <si>
    <t>Thôn 1-Xã Tân Tiến -Tinh Lạng Sơn</t>
  </si>
  <si>
    <t>0383311055</t>
  </si>
  <si>
    <t>HĐ 15/02/2024, Viên chức từ 15/6/2026</t>
  </si>
  <si>
    <t>BV1296</t>
  </si>
  <si>
    <t>Hoàng Thị Năm</t>
  </si>
  <si>
    <t>020301000202</t>
  </si>
  <si>
    <t xml:space="preserve">Khối Hoàng Trung phường Tam Thanh tỉnh Lạng Sơn </t>
  </si>
  <si>
    <t>0964092601</t>
  </si>
  <si>
    <t>HĐ 01/11/2024, Viên chức từ 15/6/2026</t>
  </si>
  <si>
    <t>BV1012</t>
  </si>
  <si>
    <t>Hoàng Thị Chuyên</t>
  </si>
  <si>
    <t>nùng</t>
  </si>
  <si>
    <t>020181000596</t>
  </si>
  <si>
    <t>Khối Trần Quang Khải 1 phường Lương Văn Tri tỉnh Lạng Sơn</t>
  </si>
  <si>
    <t>0387764558</t>
  </si>
  <si>
    <t>BV1013</t>
  </si>
  <si>
    <t>Trần Thị Hiệp</t>
  </si>
  <si>
    <t>tày</t>
  </si>
  <si>
    <t>020189012466</t>
  </si>
  <si>
    <t>Thôn Pác Lạn -Xã Quốc Việt-Tỉnh Lạng Sơn</t>
  </si>
  <si>
    <t>0346515076</t>
  </si>
  <si>
    <t>BV0162</t>
  </si>
  <si>
    <t>Bế Thái Hưng</t>
  </si>
  <si>
    <t>020068001743</t>
  </si>
  <si>
    <t>P Lương Văn Tri - Lạng Sơn</t>
  </si>
  <si>
    <t>BV0936</t>
  </si>
  <si>
    <t>Lăng Thị Thảo</t>
  </si>
  <si>
    <t>020195009747</t>
  </si>
  <si>
    <t>Xã Nhân Lý, Lạng Sơn</t>
  </si>
  <si>
    <t>0335667325</t>
  </si>
  <si>
    <t>Thử việc 15/8/2019; đỗ VC 20/5/2026</t>
  </si>
  <si>
    <t>BV0851</t>
  </si>
  <si>
    <t>Hoàng Thị Anh Tú</t>
  </si>
  <si>
    <t>020193007054</t>
  </si>
  <si>
    <t>BC 01/11/2018</t>
  </si>
  <si>
    <t>BV1039</t>
  </si>
  <si>
    <t>Hoàng Thị Thêm</t>
  </si>
  <si>
    <t>020195001872</t>
  </si>
  <si>
    <t>0372033987</t>
  </si>
  <si>
    <t>BV1256</t>
  </si>
  <si>
    <t>Nông Thị Hồng Hạnh</t>
  </si>
  <si>
    <t>006193004260</t>
  </si>
  <si>
    <t>phường Đông Kinh, tỉnh Lạng Sơn</t>
  </si>
  <si>
    <t>0335713931</t>
  </si>
  <si>
    <t>BV1280</t>
  </si>
  <si>
    <t>Linh Thị Diệu Hiền</t>
  </si>
  <si>
    <t>Tai mũi họng</t>
  </si>
  <si>
    <t>020195001612</t>
  </si>
  <si>
    <t>Số 5/2 đường Bắc Sơn- khối 2- Phường Đông Kinh -Tỉnh Lạng Sơn</t>
  </si>
  <si>
    <t>Chuyển đến 15/3/2024</t>
  </si>
  <si>
    <t>BV0023</t>
  </si>
  <si>
    <t>Nguyễn Thị Bích Ngọc</t>
  </si>
  <si>
    <t>025186004751</t>
  </si>
  <si>
    <t>P Đông Kinh, Lạng Sơn</t>
  </si>
  <si>
    <t>0916766234</t>
  </si>
  <si>
    <t>BV0019</t>
  </si>
  <si>
    <t>Bế Thị Liễu</t>
  </si>
  <si>
    <t>020184010044</t>
  </si>
  <si>
    <t>BV0131</t>
  </si>
  <si>
    <t>Hoàng Thị Thu</t>
  </si>
  <si>
    <t>020181004827</t>
  </si>
  <si>
    <t>BV0139</t>
  </si>
  <si>
    <t>Trần Thị Nhình</t>
  </si>
  <si>
    <t>020186005566</t>
  </si>
  <si>
    <t>P Tam Thanh, Lạng Sơn</t>
  </si>
  <si>
    <t>BV0086</t>
  </si>
  <si>
    <t>Triệu Thị Thanh Hòa</t>
  </si>
  <si>
    <t>020186009648</t>
  </si>
  <si>
    <t>P Lương Văn Tri, Lạng Sơn</t>
  </si>
  <si>
    <t>BV0723</t>
  </si>
  <si>
    <t>Hoàng Thị Mai Hồng</t>
  </si>
  <si>
    <t>020193006895</t>
  </si>
  <si>
    <t>Xã Điềm He, Lạng Sơn</t>
  </si>
  <si>
    <t>BV0902</t>
  </si>
  <si>
    <t>Vi Ngọc Anh</t>
  </si>
  <si>
    <t>020194006155</t>
  </si>
  <si>
    <t>BV0903</t>
  </si>
  <si>
    <t>Chu Văn Thưởng</t>
  </si>
  <si>
    <t>020096009521</t>
  </si>
  <si>
    <t>Nà Sla - Cao Lộc - Lạng Sơn</t>
  </si>
  <si>
    <t>BV0904</t>
  </si>
  <si>
    <t>Vy Thị Nga</t>
  </si>
  <si>
    <t>020197007885</t>
  </si>
  <si>
    <t>Xã Vũ Lăng, Lạng Sơn</t>
  </si>
  <si>
    <t>BV0345</t>
  </si>
  <si>
    <t>Lâm Lệ Thu</t>
  </si>
  <si>
    <t>020177004799</t>
  </si>
  <si>
    <t>BV1082</t>
  </si>
  <si>
    <t>Hoàng Thị Vinh</t>
  </si>
  <si>
    <t>020195000999</t>
  </si>
  <si>
    <t>0385542891</t>
  </si>
  <si>
    <t>BV1295</t>
  </si>
  <si>
    <t>Hoàng Thị Mai</t>
  </si>
  <si>
    <t>020191008463</t>
  </si>
  <si>
    <t>Lợi Bác, Lạng Sơn</t>
  </si>
  <si>
    <t>0399168550</t>
  </si>
  <si>
    <t>BV1312</t>
  </si>
  <si>
    <t>Dương Thị Duyên</t>
  </si>
  <si>
    <t>020303001535</t>
  </si>
  <si>
    <t>0856116398</t>
  </si>
  <si>
    <t>HĐ 06/05/2025, Viên chức từ 15/6/2026</t>
  </si>
  <si>
    <t>BV0882</t>
  </si>
  <si>
    <t>Hoàng Thị Bích</t>
  </si>
  <si>
    <t>020189008386</t>
  </si>
  <si>
    <t>HĐ 02/01/2019</t>
  </si>
  <si>
    <t>BV0145</t>
  </si>
  <si>
    <t>Tạ Văn Hùng</t>
  </si>
  <si>
    <t>kinh</t>
  </si>
  <si>
    <t>027082004220</t>
  </si>
  <si>
    <t>Tam Sơn, Bắc Ninh</t>
  </si>
  <si>
    <t>0989939838</t>
  </si>
  <si>
    <t>BV0146</t>
  </si>
  <si>
    <t>Hà Long Sơn</t>
  </si>
  <si>
    <t>020083002550</t>
  </si>
  <si>
    <t>0912553353</t>
  </si>
  <si>
    <t>BV0845</t>
  </si>
  <si>
    <t>Dương Thị Huyền Trang</t>
  </si>
  <si>
    <t>020191011819</t>
  </si>
  <si>
    <t>P Đông kinh, Lạng Sơn</t>
  </si>
  <si>
    <t>0866482882</t>
  </si>
  <si>
    <t>Chuyển đến 20/3/2018; nghỉ TS; Đi làm 02/7/2018</t>
  </si>
  <si>
    <t>BV0681</t>
  </si>
  <si>
    <t>020189003593</t>
  </si>
  <si>
    <t>0374677757</t>
  </si>
  <si>
    <t>BV0938</t>
  </si>
  <si>
    <t>Hoàng Thị Phương Linh</t>
  </si>
  <si>
    <t>020194000253</t>
  </si>
  <si>
    <t>165 trần hưng đạo, P lương văn tri, Lạng Sơn</t>
  </si>
  <si>
    <t>0982912232</t>
  </si>
  <si>
    <t>BV1233</t>
  </si>
  <si>
    <t>Lê Thị Lệ</t>
  </si>
  <si>
    <t>020198005331</t>
  </si>
  <si>
    <t>0392083636</t>
  </si>
  <si>
    <t>BV1258</t>
  </si>
  <si>
    <t>Đường Ngọc Trang</t>
  </si>
  <si>
    <t>020196005171</t>
  </si>
  <si>
    <t>0388063430</t>
  </si>
  <si>
    <t>Hợp đồng từ 13/11/2023, Viên chức từ 15/6/2026</t>
  </si>
  <si>
    <t>BV1266</t>
  </si>
  <si>
    <t>Nguyễn Thị Vân Anh</t>
  </si>
  <si>
    <t>020199003406</t>
  </si>
  <si>
    <t>0879112351</t>
  </si>
  <si>
    <t>BV0147</t>
  </si>
  <si>
    <t>Đinh Thị Nghĩa</t>
  </si>
  <si>
    <t>037190012646</t>
  </si>
  <si>
    <t>0389956504</t>
  </si>
  <si>
    <t>BV0150</t>
  </si>
  <si>
    <t>Nông Thị Ngọc</t>
  </si>
  <si>
    <t>Răng Hàm Mặt</t>
  </si>
  <si>
    <t>020182002807</t>
  </si>
  <si>
    <t>Số 5, ngõ 255, khối 10, Nhị ThanhTam Thanh.</t>
  </si>
  <si>
    <t>0963766853</t>
  </si>
  <si>
    <t>BV0151</t>
  </si>
  <si>
    <t>Thi Văn Hiển</t>
  </si>
  <si>
    <t>020079001584</t>
  </si>
  <si>
    <t>P, kỳ lừa, Lạng Sơn</t>
  </si>
  <si>
    <t>0977803493</t>
  </si>
  <si>
    <t>BV0223</t>
  </si>
  <si>
    <t>Nguyễn Thị Phương</t>
  </si>
  <si>
    <t>020186009733</t>
  </si>
  <si>
    <t>0915995058</t>
  </si>
  <si>
    <t>BV0784</t>
  </si>
  <si>
    <t>Phạm Thu Thùy</t>
  </si>
  <si>
    <t>020193002544</t>
  </si>
  <si>
    <t>P, lương văn tri ,Lạng Sơn</t>
  </si>
  <si>
    <t>0943924900</t>
  </si>
  <si>
    <t xml:space="preserve"> HĐ 01/08/2017; đỗ VC 20/5/2026</t>
  </si>
  <si>
    <t>BV0906</t>
  </si>
  <si>
    <t>Đinh Việt Nghĩa</t>
  </si>
  <si>
    <t>020093009760</t>
  </si>
  <si>
    <t>0912070493</t>
  </si>
  <si>
    <t>Thử việc 17/4/2019-31/5/2019</t>
  </si>
  <si>
    <t>BV0907</t>
  </si>
  <si>
    <t>Hoàng Tuấn Hưởng</t>
  </si>
  <si>
    <t>020094011125</t>
  </si>
  <si>
    <t>xã điềm he, tỉnh lạng sơn</t>
  </si>
  <si>
    <t>0988846010</t>
  </si>
  <si>
    <t>BV0981</t>
  </si>
  <si>
    <t>Vi Thị Duyên</t>
  </si>
  <si>
    <t>020197008661</t>
  </si>
  <si>
    <t>Xã Tân tri, Lạng Sơn</t>
  </si>
  <si>
    <t>BV0157</t>
  </si>
  <si>
    <t>Hoàng Thị Lý</t>
  </si>
  <si>
    <t>020185005333</t>
  </si>
  <si>
    <t>P. Đông Kinh, Lạng Sơn</t>
  </si>
  <si>
    <t>0962606195</t>
  </si>
  <si>
    <t>BV1054</t>
  </si>
  <si>
    <t>Lâm Thị Hằng</t>
  </si>
  <si>
    <t>020196007845</t>
  </si>
  <si>
    <t>xã Thống Nhất, Lạng Sơn</t>
  </si>
  <si>
    <t>0385714497</t>
  </si>
  <si>
    <t>Thử việc từ 13/7/2020</t>
  </si>
  <si>
    <t>BV1083</t>
  </si>
  <si>
    <t>Lục Thị Mì</t>
  </si>
  <si>
    <t>020193005692</t>
  </si>
  <si>
    <t>0966877226</t>
  </si>
  <si>
    <t>BV0152</t>
  </si>
  <si>
    <t>Hoàng Thị Thắm</t>
  </si>
  <si>
    <t>020186007434</t>
  </si>
  <si>
    <t>0962204859</t>
  </si>
  <si>
    <t>BV0156</t>
  </si>
  <si>
    <t>Nông Công Trọng</t>
  </si>
  <si>
    <t>020084001194</t>
  </si>
  <si>
    <t>Xã Na Sầm, tỉnh Lạng Sơn</t>
  </si>
  <si>
    <t>0827313888</t>
  </si>
  <si>
    <t>BV1142</t>
  </si>
  <si>
    <t>Nông Hải Yến</t>
  </si>
  <si>
    <t>020192002657</t>
  </si>
  <si>
    <t>0913390545</t>
  </si>
  <si>
    <t>BV0111</t>
  </si>
  <si>
    <t>Vương Quỳnh Chi</t>
  </si>
  <si>
    <t>020185002828</t>
  </si>
  <si>
    <t>0916057756</t>
  </si>
  <si>
    <t>BV0085</t>
  </si>
  <si>
    <t>Lương Thị Thu Hương</t>
  </si>
  <si>
    <t>nùng</t>
  </si>
  <si>
    <t>020185009234</t>
  </si>
  <si>
    <t>0983223985</t>
  </si>
  <si>
    <t>BV0158</t>
  </si>
  <si>
    <t>Ma Thị Nhung</t>
  </si>
  <si>
    <t>020186007494</t>
  </si>
  <si>
    <t>0388517430</t>
  </si>
  <si>
    <t>BV0192</t>
  </si>
  <si>
    <t>Phạm Thị Bình</t>
  </si>
  <si>
    <t>020183009298</t>
  </si>
  <si>
    <t>0384487048</t>
  </si>
  <si>
    <t>BV1059</t>
  </si>
  <si>
    <t>Hoàng Thị Xuyến</t>
  </si>
  <si>
    <t>0358026151</t>
  </si>
  <si>
    <t>BV0092</t>
  </si>
  <si>
    <t>Hà Đình Nghị</t>
  </si>
  <si>
    <t>Nội TM</t>
  </si>
  <si>
    <t>020074001330</t>
  </si>
  <si>
    <t>Phường Kỳ Lừa, tỉnh Lạng Sơn</t>
  </si>
  <si>
    <t>0945999686</t>
  </si>
  <si>
    <t>BV0094</t>
  </si>
  <si>
    <t>Nguyễn Ngọc Bình</t>
  </si>
  <si>
    <t>012088000188</t>
  </si>
  <si>
    <t xml:space="preserve">Phường Tam Thanh, tinh Lạng Sơn </t>
  </si>
  <si>
    <t>0979255790</t>
  </si>
  <si>
    <t>BV0122</t>
  </si>
  <si>
    <t>Trần Thị Quy</t>
  </si>
  <si>
    <t>020188001354</t>
  </si>
  <si>
    <t xml:space="preserve">Phường lương Văn Tri , tỉnh Lạng Sơn </t>
  </si>
  <si>
    <t>BV0837</t>
  </si>
  <si>
    <t>Hoàng Thị Bèn</t>
  </si>
  <si>
    <t xml:space="preserve">Tày </t>
  </si>
  <si>
    <t>020191002544</t>
  </si>
  <si>
    <t xml:space="preserve">Phường đông kinh, tỉnh Lạng Sơn </t>
  </si>
  <si>
    <t>0969811904</t>
  </si>
  <si>
    <t>BV1025</t>
  </si>
  <si>
    <t>Trương Trung Nghĩa</t>
  </si>
  <si>
    <t xml:space="preserve">Kinh </t>
  </si>
  <si>
    <t>020093001249</t>
  </si>
  <si>
    <t>Thử việc từ 04/5/2020</t>
  </si>
  <si>
    <t>BV1029</t>
  </si>
  <si>
    <t>Đào Thị Ngọc Huyền</t>
  </si>
  <si>
    <t>020188005576</t>
  </si>
  <si>
    <t>Chuyển đến 18/5/2020</t>
  </si>
  <si>
    <t>BV0932</t>
  </si>
  <si>
    <t>Hứa Minh Huyền</t>
  </si>
  <si>
    <t>020195005088</t>
  </si>
  <si>
    <t>0973378538</t>
  </si>
  <si>
    <t>BV1153</t>
  </si>
  <si>
    <t>Đàm Quang Diệu</t>
  </si>
  <si>
    <t>020095001919</t>
  </si>
  <si>
    <t>0967273334</t>
  </si>
  <si>
    <t>BV0079</t>
  </si>
  <si>
    <t>Nguyễn Văn Hưng</t>
  </si>
  <si>
    <t>020083003106</t>
  </si>
  <si>
    <t xml:space="preserve">Phường Đông Kinh, tỉnh Lạng Sơn </t>
  </si>
  <si>
    <t>0836816839</t>
  </si>
  <si>
    <t>BV0306</t>
  </si>
  <si>
    <t>Lý Thị Thủy</t>
  </si>
  <si>
    <t>020183007867</t>
  </si>
  <si>
    <t>BV0030</t>
  </si>
  <si>
    <t>Trương Thị Theo</t>
  </si>
  <si>
    <t>020189005052</t>
  </si>
  <si>
    <t>0396859363</t>
  </si>
  <si>
    <t>BV0780</t>
  </si>
  <si>
    <t>Nguyễn Thị Hường</t>
  </si>
  <si>
    <t>020193000513</t>
  </si>
  <si>
    <t>Phường Tam Thanh, tỉnh Lạng Sơn</t>
  </si>
  <si>
    <t>0388600691</t>
  </si>
  <si>
    <t>BV0873</t>
  </si>
  <si>
    <t>Triệu Thị Xuân</t>
  </si>
  <si>
    <t>020197007773</t>
  </si>
  <si>
    <t>0338826571</t>
  </si>
  <si>
    <t>BV0908</t>
  </si>
  <si>
    <t>Vi Thị Mĩ Linh</t>
  </si>
  <si>
    <t>020196008799</t>
  </si>
  <si>
    <t>Xã Công Sơn, tỉnh Lạng Sơn</t>
  </si>
  <si>
    <t>0966237637</t>
  </si>
  <si>
    <t>BV0984</t>
  </si>
  <si>
    <t>Dương Thị Yên</t>
  </si>
  <si>
    <t>020198006758</t>
  </si>
  <si>
    <t>BV0915</t>
  </si>
  <si>
    <t>Chu Mạnh Dũng</t>
  </si>
  <si>
    <t>020092002324</t>
  </si>
  <si>
    <t>Xã Hoàng Văn Thuh, tỉnh Lạng Sơn</t>
  </si>
  <si>
    <t>0362849292</t>
  </si>
  <si>
    <t>BV0710</t>
  </si>
  <si>
    <t>Đàm Thị Ánh</t>
  </si>
  <si>
    <t>020193011019</t>
  </si>
  <si>
    <t>0357974695</t>
  </si>
  <si>
    <t>BV1080</t>
  </si>
  <si>
    <t>Lăng Thị Ly</t>
  </si>
  <si>
    <t>020192001966</t>
  </si>
  <si>
    <t>0988278511</t>
  </si>
  <si>
    <t>BV0032</t>
  </si>
  <si>
    <t>Nguyễn Huyền Trang</t>
  </si>
  <si>
    <t>030191013549</t>
  </si>
  <si>
    <t>0963824866</t>
  </si>
  <si>
    <t>BV0116</t>
  </si>
  <si>
    <t>Lương Thị Lê</t>
  </si>
  <si>
    <t>020186010789</t>
  </si>
  <si>
    <t xml:space="preserve">Xã Thanh Miện, tỉnh Hải Phòng </t>
  </si>
  <si>
    <t>0385705733</t>
  </si>
  <si>
    <t>BV1028</t>
  </si>
  <si>
    <t>Đỗ Thị Ngọc</t>
  </si>
  <si>
    <t>0201800005510</t>
  </si>
  <si>
    <t>Phường Đông Kinh, tỉnh Lạng Sơn</t>
  </si>
  <si>
    <t>Hợp đồng 11/5/2020</t>
  </si>
  <si>
    <t>BV0163</t>
  </si>
  <si>
    <t>Lăng Văn Lâm</t>
  </si>
  <si>
    <t>020067005025</t>
  </si>
  <si>
    <t>Khối 7, phường Đông kinh, lạng sơn</t>
  </si>
  <si>
    <t>0912192238</t>
  </si>
  <si>
    <t>BV1032</t>
  </si>
  <si>
    <t>Triệu Thị Khách</t>
  </si>
  <si>
    <t>020189009265</t>
  </si>
  <si>
    <t>Chuyển đến 04/5/2020</t>
  </si>
  <si>
    <t>BV0683</t>
  </si>
  <si>
    <t>Lý Thị Hoàng Hạnh</t>
  </si>
  <si>
    <t>020190003135</t>
  </si>
  <si>
    <t>0396939484</t>
  </si>
  <si>
    <t>BV0546</t>
  </si>
  <si>
    <t>Nguyễn An Hải</t>
  </si>
  <si>
    <t>004185009967</t>
  </si>
  <si>
    <t>BV0826</t>
  </si>
  <si>
    <t>Triệu Văn Tú</t>
  </si>
  <si>
    <t>020089004618</t>
  </si>
  <si>
    <t>0972656116</t>
  </si>
  <si>
    <t>Chuyển đến 19/3/2018</t>
  </si>
  <si>
    <t>BV1246</t>
  </si>
  <si>
    <t>Nông Thị Phượng</t>
  </si>
  <si>
    <t>020197003799</t>
  </si>
  <si>
    <t>0964309896</t>
  </si>
  <si>
    <t>Chuyển đến 01/4/2023</t>
  </si>
  <si>
    <t>BV0065</t>
  </si>
  <si>
    <t>Lý Văn Mạnh</t>
  </si>
  <si>
    <t>Phụ trách điều dưỡng</t>
  </si>
  <si>
    <t>020085011286</t>
  </si>
  <si>
    <t>BV0168</t>
  </si>
  <si>
    <t>Vi Thị Hường</t>
  </si>
  <si>
    <t>020184037241</t>
  </si>
  <si>
    <t>0976086379</t>
  </si>
  <si>
    <t>BV0123</t>
  </si>
  <si>
    <t>Lộc Thị Nhớ</t>
  </si>
  <si>
    <t>020175001865</t>
  </si>
  <si>
    <t>0973494586</t>
  </si>
  <si>
    <t>BV0107</t>
  </si>
  <si>
    <t>Đoàn Thị Hường</t>
  </si>
  <si>
    <t>020173005603</t>
  </si>
  <si>
    <t>0397184388</t>
  </si>
  <si>
    <t>BV0875</t>
  </si>
  <si>
    <t>Nguyễn Thu Trang</t>
  </si>
  <si>
    <t>020196000362</t>
  </si>
  <si>
    <t>0979727106</t>
  </si>
  <si>
    <t>BV0025</t>
  </si>
  <si>
    <t>Hoàng Thị Thược</t>
  </si>
  <si>
    <t>020188006550</t>
  </si>
  <si>
    <t>0919110366</t>
  </si>
  <si>
    <t>BV0166</t>
  </si>
  <si>
    <t>Triệu Văn Khiêm</t>
  </si>
  <si>
    <t>020084005353</t>
  </si>
  <si>
    <t>0838218556</t>
  </si>
  <si>
    <t>BV0193</t>
  </si>
  <si>
    <t>Hoàng Thị Xuân</t>
  </si>
  <si>
    <t>020184037318</t>
  </si>
  <si>
    <t>0965036398</t>
  </si>
  <si>
    <t>BV0230</t>
  </si>
  <si>
    <t>Lê Mạnh Toàn</t>
  </si>
  <si>
    <t>086078000755</t>
  </si>
  <si>
    <t>Khối 24, Phường kỳ lừa, lạng sơn</t>
  </si>
  <si>
    <t>0985704067</t>
  </si>
  <si>
    <t>BV0748</t>
  </si>
  <si>
    <t>Đào Thị Trà</t>
  </si>
  <si>
    <t>CĐHA</t>
  </si>
  <si>
    <t>024191003663</t>
  </si>
  <si>
    <t>0961486170</t>
  </si>
  <si>
    <t>HĐ01/01/2017; Đỗ VC 20/5/2026</t>
  </si>
  <si>
    <t>BV0771</t>
  </si>
  <si>
    <t>Hoàng Thị Thảo</t>
  </si>
  <si>
    <t>020182006816</t>
  </si>
  <si>
    <t>Khối yên thành, phường đông kinh, lạng sơn</t>
  </si>
  <si>
    <t>0974426110</t>
  </si>
  <si>
    <t>BV0175</t>
  </si>
  <si>
    <t>Phan Chí Dũng</t>
  </si>
  <si>
    <t>020068004332</t>
  </si>
  <si>
    <t>166 Trần Hưng Đạo, P. Lương Văn Tri, tỉnh Lạng Sơn</t>
  </si>
  <si>
    <t>0902226888</t>
  </si>
  <si>
    <t>BV0177</t>
  </si>
  <si>
    <t>Hà Thanh Bình</t>
  </si>
  <si>
    <t>020083008176</t>
  </si>
  <si>
    <t>BV0179</t>
  </si>
  <si>
    <t>Vũ Tuấn Minh</t>
  </si>
  <si>
    <t>020087000029</t>
  </si>
  <si>
    <t>Khối 9, P.Tam Thanh, tỉnh Lạng Sơn</t>
  </si>
  <si>
    <t>Nghỉ ko lương 01/7/2021-30/6/2022</t>
  </si>
  <si>
    <t>BV0944</t>
  </si>
  <si>
    <t>Hoàng Minh Trang</t>
  </si>
  <si>
    <t>020195010519</t>
  </si>
  <si>
    <t>0335777575</t>
  </si>
  <si>
    <t>BV1168</t>
  </si>
  <si>
    <t>Hoàng Tuấn Hưng</t>
  </si>
  <si>
    <t>020097006783</t>
  </si>
  <si>
    <t>Khối 5, P. Kỳ Lừa, tỉnh Lạng Sơn</t>
  </si>
  <si>
    <t>Chuyển công tác đến 01/11/2023</t>
  </si>
  <si>
    <t>BV0148</t>
  </si>
  <si>
    <t>Nguyễn Thị Oanh</t>
  </si>
  <si>
    <t>015188000845</t>
  </si>
  <si>
    <t>Khối 22, P.Kỳ Lừa, tỉnh Lạng Sơn</t>
  </si>
  <si>
    <t>0364000388</t>
  </si>
  <si>
    <t>BV1288</t>
  </si>
  <si>
    <t>Hoàng Thùy Ngân</t>
  </si>
  <si>
    <t>020300005186</t>
  </si>
  <si>
    <t>Nà Rào, Bắc sơn, Lạng Sơn</t>
  </si>
  <si>
    <t>HĐ 05/9/2024, Viên chức từ 15/6/2026</t>
  </si>
  <si>
    <t>BV0028</t>
  </si>
  <si>
    <t>Hoàng Văn Thiện</t>
  </si>
  <si>
    <t>020083002540</t>
  </si>
  <si>
    <t>Quan Thanh, Chi Lăng, Lạng Sơn</t>
  </si>
  <si>
    <t>0988719916</t>
  </si>
  <si>
    <t>BV0336</t>
  </si>
  <si>
    <t>Hứa Văn Quỳnh</t>
  </si>
  <si>
    <t>020082002601</t>
  </si>
  <si>
    <t>BV1088</t>
  </si>
  <si>
    <t>Hoàng Thị Hảo</t>
  </si>
  <si>
    <t>020199000942</t>
  </si>
  <si>
    <t>0857020416</t>
  </si>
  <si>
    <t>BV0918</t>
  </si>
  <si>
    <t>Hoàng Mai Anh</t>
  </si>
  <si>
    <t>020195001881</t>
  </si>
  <si>
    <t xml:space="preserve">Khối Bắc Đông II, P.Kỳ Lừa </t>
  </si>
  <si>
    <t>BV1193</t>
  </si>
  <si>
    <t>Hoàng Thị Ngọc Bích</t>
  </si>
  <si>
    <t>020190009660</t>
  </si>
  <si>
    <t>0973477713</t>
  </si>
  <si>
    <t>BV1196</t>
  </si>
  <si>
    <t>Lý Thị Hoa</t>
  </si>
  <si>
    <t>020301006409</t>
  </si>
  <si>
    <t>0344693246</t>
  </si>
  <si>
    <t>BV0187</t>
  </si>
  <si>
    <t>Hoàng Trung Sơn</t>
  </si>
  <si>
    <t>020083005724</t>
  </si>
  <si>
    <t>0915997612</t>
  </si>
  <si>
    <t>BV0404</t>
  </si>
  <si>
    <t>Dương Thị Hoa</t>
  </si>
  <si>
    <t>020174004821</t>
  </si>
  <si>
    <t>Ngõ 566 Hòng Thượng, P.Tam Thanh</t>
  </si>
  <si>
    <t>0345240797</t>
  </si>
  <si>
    <t>BV0725</t>
  </si>
  <si>
    <t>Tô Thị Mơ</t>
  </si>
  <si>
    <t>020191002433</t>
  </si>
  <si>
    <t>Pò Khoang, Lộc Bình, Lạng Sơn</t>
  </si>
  <si>
    <t>0356249302</t>
  </si>
  <si>
    <t>Chuyển đến 18/8/2023</t>
  </si>
  <si>
    <t>BV1263</t>
  </si>
  <si>
    <t>Nông Thị Hồng</t>
  </si>
  <si>
    <t>020302004841</t>
  </si>
  <si>
    <t>0373138330</t>
  </si>
  <si>
    <t>Thử việc 20/11/2023</t>
  </si>
  <si>
    <t>BV1289</t>
  </si>
  <si>
    <t>Nguyễn Nhật Hạ</t>
  </si>
  <si>
    <t>020302000473</t>
  </si>
  <si>
    <t>Xã Bình gia - Lạng Sơn</t>
  </si>
  <si>
    <t>HĐ 15/10/2024, Viên chức từ 15/6/2026</t>
  </si>
  <si>
    <t>BV1321</t>
  </si>
  <si>
    <t>Nguyễn Thị Hồng</t>
  </si>
  <si>
    <t>020300007395</t>
  </si>
  <si>
    <t>Khau Đắng, Khánh Khê, Lạng Sơn</t>
  </si>
  <si>
    <t>0388517593</t>
  </si>
  <si>
    <t>HĐ 02/6/2025</t>
  </si>
  <si>
    <t>BV1309</t>
  </si>
  <si>
    <t>020175000553</t>
  </si>
  <si>
    <t>Thử việc 01/4/2025</t>
  </si>
  <si>
    <t>BV0002</t>
  </si>
  <si>
    <t>Chu Đức Quang</t>
  </si>
  <si>
    <t>Ngoại Tiêu hóa</t>
  </si>
  <si>
    <t>020081007693</t>
  </si>
  <si>
    <t>Số 8/615, Bà Triệu, Phường Đông Kinh, Tỉnh Lạng Sơn</t>
  </si>
  <si>
    <t>0912115347</t>
  </si>
  <si>
    <t>BV0174</t>
  </si>
  <si>
    <t>Trần Mậu Việt</t>
  </si>
  <si>
    <t>Phó giám đốc/phụ trách khoa</t>
  </si>
  <si>
    <t>020075001796</t>
  </si>
  <si>
    <t>17 Thác Mạ 4, Khối 19,Phường Đông Kinh, Tỉnh Lạng Sơn</t>
  </si>
  <si>
    <t>BV0737</t>
  </si>
  <si>
    <t>Nguyễn Trọng Đức</t>
  </si>
  <si>
    <t>020079002285</t>
  </si>
  <si>
    <t>0912578070</t>
  </si>
  <si>
    <t>BV0176</t>
  </si>
  <si>
    <t>Dương Văn Ái</t>
  </si>
  <si>
    <t>024077017144</t>
  </si>
  <si>
    <t>Thôn Khòn Pịt, Phường Tam Thanh, Tỉnh Lạng Sơn</t>
  </si>
  <si>
    <t>0978240323</t>
  </si>
  <si>
    <t>BV0835</t>
  </si>
  <si>
    <t>Nguyễn Đình Trọng Nghĩa</t>
  </si>
  <si>
    <t>020093000007</t>
  </si>
  <si>
    <t>43 Ngô Quyền, Phường Đông Kinh</t>
  </si>
  <si>
    <t>BV1035</t>
  </si>
  <si>
    <t>Hoàng Phan Hùng</t>
  </si>
  <si>
    <t>020094008069</t>
  </si>
  <si>
    <t>0398916994</t>
  </si>
  <si>
    <t>Thử việc 01/7/2020, Viên chức từ 15/6/2026</t>
  </si>
  <si>
    <t>BV1068</t>
  </si>
  <si>
    <t>Nguyễn Độ Vỹ</t>
  </si>
  <si>
    <t>020095001785</t>
  </si>
  <si>
    <t>Phường Đông Kinh, Tỉnh Lạng Sơn</t>
  </si>
  <si>
    <t>Thử việc 01/10/2020</t>
  </si>
  <si>
    <t>BV1210</t>
  </si>
  <si>
    <t>Đinh Tuấn Bình</t>
  </si>
  <si>
    <t>020098005953</t>
  </si>
  <si>
    <t>118B, Tông Đản, Phường Kỳ Lừa, Tinh Lạng Sơn</t>
  </si>
  <si>
    <t>0352466699</t>
  </si>
  <si>
    <t>Thử việc 10/10/2022, Viên chức từ 15/6/2026</t>
  </si>
  <si>
    <t>BV1281</t>
  </si>
  <si>
    <t>Hoàng Việt Hưng</t>
  </si>
  <si>
    <t>Mắt</t>
  </si>
  <si>
    <t>020099003830</t>
  </si>
  <si>
    <t>0964157360</t>
  </si>
  <si>
    <t>BV0910</t>
  </si>
  <si>
    <t>Vi Văn Kim</t>
  </si>
  <si>
    <t>020095010099</t>
  </si>
  <si>
    <t>Thôn Khau Đắng, Xã Khánh Khê, Tỉnh Lạng Sơn</t>
  </si>
  <si>
    <t>0969536918</t>
  </si>
  <si>
    <t>BV0189</t>
  </si>
  <si>
    <t>Vy Hoàng Vương</t>
  </si>
  <si>
    <t>020083000744</t>
  </si>
  <si>
    <t>Khối Kéo Tào, Phường Kỳ Lừa, Tỉnh Lạng Sơn</t>
  </si>
  <si>
    <t>BV0063</t>
  </si>
  <si>
    <t>Đường Thị Lan Anh</t>
  </si>
  <si>
    <t>020187007430</t>
  </si>
  <si>
    <t>0919461366</t>
  </si>
  <si>
    <t>BV1300</t>
  </si>
  <si>
    <t>Phan Thị Xuân</t>
  </si>
  <si>
    <t>020199005155</t>
  </si>
  <si>
    <t>Thử việc 10/02/2025</t>
  </si>
  <si>
    <t>BV0905</t>
  </si>
  <si>
    <t>Ngô Thế Vinh</t>
  </si>
  <si>
    <t>020090002779</t>
  </si>
  <si>
    <t>BV0876</t>
  </si>
  <si>
    <t>Lục Thị Kim Oanh</t>
  </si>
  <si>
    <t>Ngoại TK-LN</t>
  </si>
  <si>
    <t>020191002540</t>
  </si>
  <si>
    <t>0356538536</t>
  </si>
  <si>
    <t>BV0989</t>
  </si>
  <si>
    <t>Dương Thị Ngọc Anh</t>
  </si>
  <si>
    <t>020198004934</t>
  </si>
  <si>
    <t>BV0990</t>
  </si>
  <si>
    <t>Lục Tuấn Anh</t>
  </si>
  <si>
    <t>020096009358</t>
  </si>
  <si>
    <t>Thôn Bình Đãng A, Xã Yên Phúc, Tỉnh Lạng Sơn</t>
  </si>
  <si>
    <t>BV1046</t>
  </si>
  <si>
    <t>Hoàng Văn Mơ</t>
  </si>
  <si>
    <t>020093011448</t>
  </si>
  <si>
    <t>Nà chuông- Đông kinh</t>
  </si>
  <si>
    <t>0366121888</t>
  </si>
  <si>
    <t>BV1047</t>
  </si>
  <si>
    <t>Hà Thị Thu Phương</t>
  </si>
  <si>
    <t>020198000573</t>
  </si>
  <si>
    <t>0376321916</t>
  </si>
  <si>
    <t>BV1092</t>
  </si>
  <si>
    <t>Nông Thị Diệu Linh</t>
  </si>
  <si>
    <t>020198001117</t>
  </si>
  <si>
    <t>0332751592</t>
  </si>
  <si>
    <t>BV1147</t>
  </si>
  <si>
    <t>Hà Quang Tỉnh</t>
  </si>
  <si>
    <t>020096000732</t>
  </si>
  <si>
    <t>Thôn Khòn Khẻ, Xã Yên Phúc, Tỉnh Lạng Sơn</t>
  </si>
  <si>
    <t>0389336682</t>
  </si>
  <si>
    <t>Thử việc 23/8/2021</t>
  </si>
  <si>
    <t>BV0783</t>
  </si>
  <si>
    <t>Lý Thị Hoài</t>
  </si>
  <si>
    <t>020192008430</t>
  </si>
  <si>
    <t>0398869423</t>
  </si>
  <si>
    <t>BV0199</t>
  </si>
  <si>
    <t>Dương Thị Toan</t>
  </si>
  <si>
    <t>020184002850</t>
  </si>
  <si>
    <t>Thôn Nà Sèn, Phường Tam Thanh, Tỉnh Lạng Sơn</t>
  </si>
  <si>
    <t>0949275687</t>
  </si>
  <si>
    <t>BV1093</t>
  </si>
  <si>
    <t>Triệu Thị Liễu</t>
  </si>
  <si>
    <t>020198001129</t>
  </si>
  <si>
    <t>0385989651</t>
  </si>
  <si>
    <t>Thử việc 03/11/2020; nghỉ 01/12/2023; đi làm lại 11/3/2024, Viên chức từ 15/6/2026</t>
  </si>
  <si>
    <t>BV1294</t>
  </si>
  <si>
    <t>Nông Hoa Cúc</t>
  </si>
  <si>
    <t>020303002040</t>
  </si>
  <si>
    <t>Thôn điềm he 2, xã điềm he</t>
  </si>
  <si>
    <t>0336282253</t>
  </si>
  <si>
    <t>BV1301</t>
  </si>
  <si>
    <t>Hoàng Mùi Nảy</t>
  </si>
  <si>
    <t>020300003798</t>
  </si>
  <si>
    <t>Thôn Ngàn Pặc, Xã Công Sơn, Tỉnh Lạng Sơn</t>
  </si>
  <si>
    <t>Thử việc 02/01/2025</t>
  </si>
  <si>
    <t>BV1008</t>
  </si>
  <si>
    <t>Vy Thị Xung</t>
  </si>
  <si>
    <t>020186000821</t>
  </si>
  <si>
    <t>BV1027</t>
  </si>
  <si>
    <t>Đoàn Vân Hòa</t>
  </si>
  <si>
    <t>020186000445</t>
  </si>
  <si>
    <t>0369720134</t>
  </si>
  <si>
    <t>BV0207</t>
  </si>
  <si>
    <t>Nhữ Văn Vinh</t>
  </si>
  <si>
    <t>022068004114</t>
  </si>
  <si>
    <t>số 6 Phai Vệ Phường Đông kinh, Lạng Sơn</t>
  </si>
  <si>
    <t>0912271090</t>
  </si>
  <si>
    <t>BV0206</t>
  </si>
  <si>
    <t>Trần Tuấn Việt</t>
  </si>
  <si>
    <t>020080007236</t>
  </si>
  <si>
    <t>số 351 Đường Bắc Sơn, Khối 15, Phường Kỳ Lừa,Tỉnh lạng Sơn</t>
  </si>
  <si>
    <t>0972229968</t>
  </si>
  <si>
    <t>BV0677</t>
  </si>
  <si>
    <t>Hoàng Thị Hòa</t>
  </si>
  <si>
    <t>020189005497</t>
  </si>
  <si>
    <t>Xã Hưng Vũ,Tỉnh Lạng Sơn</t>
  </si>
  <si>
    <t>0396964258</t>
  </si>
  <si>
    <t>BV0810</t>
  </si>
  <si>
    <t>Trịnh Bá Hưởng</t>
  </si>
  <si>
    <t>020089001304</t>
  </si>
  <si>
    <t>Xã Tân Tri, Tỉnh Lạng Sơn</t>
  </si>
  <si>
    <t>0912776289</t>
  </si>
  <si>
    <t>HĐ từ 14/12/2017 ;BC 20/3/2018</t>
  </si>
  <si>
    <t>BV0757</t>
  </si>
  <si>
    <t>Phạm Minh Hoàng</t>
  </si>
  <si>
    <t>020090007183</t>
  </si>
  <si>
    <t>0977526388</t>
  </si>
  <si>
    <t>BC T2/2017</t>
  </si>
  <si>
    <t>BV0760</t>
  </si>
  <si>
    <t>Hồ Hoàn Tuấn</t>
  </si>
  <si>
    <t>020071006188</t>
  </si>
  <si>
    <t>Khối 12, phường Đông Kinh, tỉnh Lạng Sơn</t>
  </si>
  <si>
    <t>0913298764</t>
  </si>
  <si>
    <t>chuyển đến T2/2017</t>
  </si>
  <si>
    <t>BV1036</t>
  </si>
  <si>
    <t>Chu Việt Dũng</t>
  </si>
  <si>
    <t>020094004565</t>
  </si>
  <si>
    <t>Số 48/82 Đường Mỹ Sơn, Khối 8,Phường Đông Kinh, Tỉnh lạng sơn</t>
  </si>
  <si>
    <t>0343656628</t>
  </si>
  <si>
    <t>BV0840</t>
  </si>
  <si>
    <t>Lộc Huy Hiệp</t>
  </si>
  <si>
    <t>020092012322</t>
  </si>
  <si>
    <t>Xã lộc Bình, Tỉnh Lạng Sơn</t>
  </si>
  <si>
    <t>0969526745</t>
  </si>
  <si>
    <t>BV1213</t>
  </si>
  <si>
    <t>Triệu Quảng Đông</t>
  </si>
  <si>
    <t>020098007583</t>
  </si>
  <si>
    <t>Số 36 ngõ 1, Nguyễn Thượng Hiền, khối 15, Phường Kỳ Lừa, Tỉnh Lạng Sơn</t>
  </si>
  <si>
    <t>0916502998</t>
  </si>
  <si>
    <t>BV1234</t>
  </si>
  <si>
    <t>Vũ Hoàng Mai Linh</t>
  </si>
  <si>
    <t>020198006454</t>
  </si>
  <si>
    <t>91 Trần Quang Khải,Khối TQK,Phường Lương Văn Tri, Tỉnh Lạng Sơn</t>
  </si>
  <si>
    <t>0387136119</t>
  </si>
  <si>
    <t>Thử việc 14/4/2023; Thôi việc 01/01/2024; chuyển công tác đến 26/5/2025</t>
  </si>
  <si>
    <t>BV1045</t>
  </si>
  <si>
    <t>Nông Thị Ngọc Lan</t>
  </si>
  <si>
    <t>020197008006</t>
  </si>
  <si>
    <t>Thôn Bản Chang, Xã Thất Khê, tỉnh Lạng Sơn</t>
  </si>
  <si>
    <t>0369445838</t>
  </si>
  <si>
    <t>BV1140</t>
  </si>
  <si>
    <t>Sầm Thị Hồng</t>
  </si>
  <si>
    <t>004195000680</t>
  </si>
  <si>
    <t>Số nhà 56 Tổ 1 khối 9, Phường Kỳ Lừa, Tỉnh Lạng Sơn</t>
  </si>
  <si>
    <t>0962157761</t>
  </si>
  <si>
    <t>BV1242</t>
  </si>
  <si>
    <t>Nguyễn Thúy Quỳnh</t>
  </si>
  <si>
    <t>020300007278</t>
  </si>
  <si>
    <t>khối 19, phường Đông Kinh, tỉnh Lạng Sơn</t>
  </si>
  <si>
    <t>0982495378</t>
  </si>
  <si>
    <t>BV1251</t>
  </si>
  <si>
    <t>Nguyễn Thị Bích Phương</t>
  </si>
  <si>
    <t>020300008106</t>
  </si>
  <si>
    <t>Thôn Tà Hón, Xã Đình Lập,Tỉnh Lạng Sơn</t>
  </si>
  <si>
    <t>0978054584</t>
  </si>
  <si>
    <t>BV1268</t>
  </si>
  <si>
    <t>Nông Thị Kim Xuyến</t>
  </si>
  <si>
    <t>020301003517</t>
  </si>
  <si>
    <t>Số 10 Mỹ Sơn 3, Khối 9,Phường Đông Kinh, Tỉnh Lạng Sơn</t>
  </si>
  <si>
    <t>0981396189</t>
  </si>
  <si>
    <t>Thử việc 11/12/2023</t>
  </si>
  <si>
    <t>BV0974</t>
  </si>
  <si>
    <t>Nông Văn Bảo</t>
  </si>
  <si>
    <t>020096005488</t>
  </si>
  <si>
    <t>Thôn Hợp Thành, Xã Khuất Xá, Tỉnh Lạng Sơn</t>
  </si>
  <si>
    <t>BV0866</t>
  </si>
  <si>
    <t>Hoàng Minh Tuệ</t>
  </si>
  <si>
    <t>020097001291</t>
  </si>
  <si>
    <t>Khối Khòn Pát, phường Đông Kinh, tỉnh Lạng Sơn</t>
  </si>
  <si>
    <t>0867938918</t>
  </si>
  <si>
    <t>Thử việc T11/2018</t>
  </si>
  <si>
    <t>BV0789</t>
  </si>
  <si>
    <t>Nguyễn Thị Tuyền</t>
  </si>
  <si>
    <t>030195005409</t>
  </si>
  <si>
    <t>0349044248</t>
  </si>
  <si>
    <t>Thử việc 28/8/2017; HĐ 02/10; đỗ VC 20/5/2026</t>
  </si>
  <si>
    <t>BV0719</t>
  </si>
  <si>
    <t>Nông Văn Thảo</t>
  </si>
  <si>
    <t>020091002288</t>
  </si>
  <si>
    <t>0346054312</t>
  </si>
  <si>
    <t>BV0857</t>
  </si>
  <si>
    <t>Lương Sơn Tùng</t>
  </si>
  <si>
    <t>020097008876</t>
  </si>
  <si>
    <t>Pác Làng Xã Điềm He, Tỉnh Lạng Sơn</t>
  </si>
  <si>
    <t>0962263414</t>
  </si>
  <si>
    <t>BV0893</t>
  </si>
  <si>
    <t>Mã Thị Lâm</t>
  </si>
  <si>
    <t>020197008489</t>
  </si>
  <si>
    <t>Xã Quốc Khánh Tỉnh Lạng Sơn</t>
  </si>
  <si>
    <t>0368533166</t>
  </si>
  <si>
    <t>BV0970</t>
  </si>
  <si>
    <t>Hoàng Thị Quy</t>
  </si>
  <si>
    <t>020197001208</t>
  </si>
  <si>
    <t>Thôn Làng Thượng,Xã Vạn Linh, Tỉnh Lạng Sơn</t>
  </si>
  <si>
    <t>BV0718</t>
  </si>
  <si>
    <t>Lâm Thị Phượng</t>
  </si>
  <si>
    <t>020194005623</t>
  </si>
  <si>
    <t>Thôn Xuân Lũng, Xã Khánh Khê, Tỉnh Lạng Sơn</t>
  </si>
  <si>
    <t>0389338236</t>
  </si>
  <si>
    <t>BV1044</t>
  </si>
  <si>
    <t>020194000485</t>
  </si>
  <si>
    <t>Khối Hoàng Tâm, Phường Tam Thanh,Tỉnh Lạng Sơn</t>
  </si>
  <si>
    <t>0364026171</t>
  </si>
  <si>
    <t>BV1087</t>
  </si>
  <si>
    <t>Ngô Thị Ìn</t>
  </si>
  <si>
    <t>020198001085</t>
  </si>
  <si>
    <t>Khu Nà Phái, Xã Thất Khê, Tỉnh Lạng Sơn</t>
  </si>
  <si>
    <t>0338592682</t>
  </si>
  <si>
    <t>BV1139</t>
  </si>
  <si>
    <t>Hoàng Văn Cánh</t>
  </si>
  <si>
    <t>020099001098</t>
  </si>
  <si>
    <t>Quảng Lộng, Xã Hội Hoan, Tỉnh Lạng Sơn</t>
  </si>
  <si>
    <t>0386500307</t>
  </si>
  <si>
    <t>BV1202</t>
  </si>
  <si>
    <t>Luân Văn Lượng</t>
  </si>
  <si>
    <t>020097003006</t>
  </si>
  <si>
    <t>Thôn Bảng Nhang, Xã Điềm He, Tỉnh lạng sơn</t>
  </si>
  <si>
    <t>0989030078</t>
  </si>
  <si>
    <t>BV0224</t>
  </si>
  <si>
    <t>Lê Trọng Huấn</t>
  </si>
  <si>
    <t>020087004744</t>
  </si>
  <si>
    <t>Khối Hợp Thành, Phường Kỳ Lừa,Tỉnh Lạng Sơn</t>
  </si>
  <si>
    <t>BV0229</t>
  </si>
  <si>
    <t>Chu Thị Huệ</t>
  </si>
  <si>
    <t>020187012007</t>
  </si>
  <si>
    <t>Thôn Mới, Xã Na Dương,Tỉnh Lạng Sơn</t>
  </si>
  <si>
    <t>0359550745</t>
  </si>
  <si>
    <t>BV0228</t>
  </si>
  <si>
    <t>Đàm Thị Na</t>
  </si>
  <si>
    <t>020186002959</t>
  </si>
  <si>
    <t>BV0026</t>
  </si>
  <si>
    <t>Hoàng Huy Thắng</t>
  </si>
  <si>
    <t>020086007096</t>
  </si>
  <si>
    <t>Số Nhà 2 Tổ 2 khối 6, Phường kỳ lừa, Tỉnh Lạng Sơn</t>
  </si>
  <si>
    <t>0916880289</t>
  </si>
  <si>
    <t>BV0011</t>
  </si>
  <si>
    <t>Vi Văn Hải</t>
  </si>
  <si>
    <t>025081000976</t>
  </si>
  <si>
    <t>40, Bến Bắc, phường Tam Thanh, tỉnh Lạng Sơn</t>
  </si>
  <si>
    <t>0983622418</t>
  </si>
  <si>
    <t>BV1239</t>
  </si>
  <si>
    <t>Lương Thanh Huỳnh</t>
  </si>
  <si>
    <t>020096007228</t>
  </si>
  <si>
    <t>Thôn Trung Thành ,Xã kháng Chiến,Tỉnh Lạng Sơn</t>
  </si>
  <si>
    <t>BV1291</t>
  </si>
  <si>
    <t>Hoàng Tiến Hùng</t>
  </si>
  <si>
    <t>020203001990</t>
  </si>
  <si>
    <t>Thôn Trung Kiên, Xã Điềm He, Tỉnh Lạng Sơn</t>
  </si>
  <si>
    <t>0336983820</t>
  </si>
  <si>
    <t>BV1320</t>
  </si>
  <si>
    <t>Nguyễn Thị Thu</t>
  </si>
  <si>
    <t>027196010687</t>
  </si>
  <si>
    <t>Ngõ 6, Đường Văn Miếu,Khối Văn Miếu Phường Lương Văn Tri, Tỉnh Lạng Sơn</t>
  </si>
  <si>
    <t>0399606288</t>
  </si>
  <si>
    <t>HĐ 02/6/2025, Viên chức từ 15/6/2026</t>
  </si>
  <si>
    <t>BV1005</t>
  </si>
  <si>
    <t>Đàm Thị Hợi</t>
  </si>
  <si>
    <t>020183000880</t>
  </si>
  <si>
    <t>Tổ 1, khối 29, phường Kỳ Lừa, tỉnh Lạng Sơn</t>
  </si>
  <si>
    <t>0365424282</t>
  </si>
  <si>
    <t>BV1006</t>
  </si>
  <si>
    <t>Hoàng Thị Thêu</t>
  </si>
  <si>
    <t>020178002555</t>
  </si>
  <si>
    <t>khối Khòn Pát,Phường Đông Kinh, Tỉnh Lạng Sơn</t>
  </si>
  <si>
    <t>0973206102</t>
  </si>
  <si>
    <t>BV0390</t>
  </si>
  <si>
    <t>Lương Thị Yêu</t>
  </si>
  <si>
    <t>020176002269</t>
  </si>
  <si>
    <t>Tổ 1 khối 26 phường Kỳ Lừa, tỉnh Lạng Sơn</t>
  </si>
  <si>
    <t>0974015844</t>
  </si>
  <si>
    <t>BV0658</t>
  </si>
  <si>
    <t>Vi Hồng Đức</t>
  </si>
  <si>
    <t>020071007997</t>
  </si>
  <si>
    <t>Phường: Số 178 Lương Thế Vinh- Kỳ Lừa -Lạng Sơn</t>
  </si>
  <si>
    <t>BV0657</t>
  </si>
  <si>
    <t>Trương Quý Trường</t>
  </si>
  <si>
    <t>Giám đốc</t>
  </si>
  <si>
    <t>020071006013</t>
  </si>
  <si>
    <t>Phường Đông Kinh, TP. Lạng Sơn</t>
  </si>
  <si>
    <t>0912432259</t>
  </si>
  <si>
    <t>BV0209</t>
  </si>
  <si>
    <t>Nguyễn Xuân Trường</t>
  </si>
  <si>
    <t>020086010419</t>
  </si>
  <si>
    <t>Số 6A Cao Thắng- Khối 12- Kỳ Lừa- Lạng Sơn.</t>
  </si>
  <si>
    <t>BV1212</t>
  </si>
  <si>
    <t>Nguyễn Mạnh Cường</t>
  </si>
  <si>
    <t>Mường</t>
  </si>
  <si>
    <t>017096004224</t>
  </si>
  <si>
    <t>BV1259</t>
  </si>
  <si>
    <t>Hoàng Doãn Anh</t>
  </si>
  <si>
    <t>020098007253</t>
  </si>
  <si>
    <t>0383933833</t>
  </si>
  <si>
    <t>Thử việc 06/11/2023, Viên chức từ 15/6/2026</t>
  </si>
  <si>
    <t>BV1061</t>
  </si>
  <si>
    <t>Chu Hà Thành</t>
  </si>
  <si>
    <t>020094000666</t>
  </si>
  <si>
    <t>Số 13 Phan Huy Trú- P: Nguyễn Chi Phương- Lạng Sơn</t>
  </si>
  <si>
    <t>Thử việc 28/7/2020</t>
  </si>
  <si>
    <t>BV0034</t>
  </si>
  <si>
    <t>Hoàng Thanh Tiếp</t>
  </si>
  <si>
    <t>020082010261</t>
  </si>
  <si>
    <t>Số 18N18 Lê Văn Lương- Kỳ Lừa- Lạng Sơn</t>
  </si>
  <si>
    <t>0968121161</t>
  </si>
  <si>
    <t>BV0555</t>
  </si>
  <si>
    <t>Phạm Hùng Tuấn</t>
  </si>
  <si>
    <t>020065001568</t>
  </si>
  <si>
    <t>Số 225  Đương Bến Bắc- P: Tam Thanh- Lạng Sơn</t>
  </si>
  <si>
    <t>0915274274</t>
  </si>
  <si>
    <t>BV1271</t>
  </si>
  <si>
    <t>Hoàng Thu Hà</t>
  </si>
  <si>
    <t>020301000225</t>
  </si>
  <si>
    <t>Khối phai Luông- Kỳ Lừa- Lạng Sơ.</t>
  </si>
  <si>
    <t>0834000628</t>
  </si>
  <si>
    <t>HĐ 16/01/2024, Viên chức từ 15/6/2026</t>
  </si>
  <si>
    <t>BV0213</t>
  </si>
  <si>
    <t>Dương Thị Huyền</t>
  </si>
  <si>
    <t>024191003544</t>
  </si>
  <si>
    <t>Khối Pò Đứa-Đông Kinh- Lạng Sơn</t>
  </si>
  <si>
    <t>BV0215</t>
  </si>
  <si>
    <t>Tô Thị Lan</t>
  </si>
  <si>
    <t>020189001277</t>
  </si>
  <si>
    <t>Số 2 Văn Vỉ -Lương Văn Chi- Lạng Sơn</t>
  </si>
  <si>
    <t>0966400922</t>
  </si>
  <si>
    <t>BV0834</t>
  </si>
  <si>
    <t>Nông Quốc Phòng</t>
  </si>
  <si>
    <t>020093001832</t>
  </si>
  <si>
    <t>Số 269 Trần Đăng Ninh- Tam Thanh- Lạng Sơn</t>
  </si>
  <si>
    <t>0982980788</t>
  </si>
  <si>
    <t>BV0733</t>
  </si>
  <si>
    <t>Nguyễn Văn Thiệu</t>
  </si>
  <si>
    <t>020093010735</t>
  </si>
  <si>
    <t>Xã Châu Sơn- Đình Lập - Lạng Sơn</t>
  </si>
  <si>
    <t>0359155432</t>
  </si>
  <si>
    <t>BV0216</t>
  </si>
  <si>
    <t>Vi Văn Trình</t>
  </si>
  <si>
    <t>020090012632</t>
  </si>
  <si>
    <t>Thôn Xuân Lũng- Khánh khê -Lạng Sơn</t>
  </si>
  <si>
    <t>0942708658</t>
  </si>
  <si>
    <t>BV0972</t>
  </si>
  <si>
    <t>Long Thị Thọ</t>
  </si>
  <si>
    <t>020196001323</t>
  </si>
  <si>
    <t>BV0237</t>
  </si>
  <si>
    <t>Lâm Bích Hợp</t>
  </si>
  <si>
    <t>Tay</t>
  </si>
  <si>
    <t>020185002014</t>
  </si>
  <si>
    <t>Khối Đồi Chè- P: Tam Thanh- Lạng Sơn</t>
  </si>
  <si>
    <t>0982609661</t>
  </si>
  <si>
    <t>BV0017</t>
  </si>
  <si>
    <t>Hoàng Thị Thanh</t>
  </si>
  <si>
    <t>020182007592</t>
  </si>
  <si>
    <t>Tổ 5 Khối 19 Nguyễn ĐÌnh Chiều- Đông Kinh- Lạng Sơn</t>
  </si>
  <si>
    <t>0395600296</t>
  </si>
  <si>
    <t>BV1302</t>
  </si>
  <si>
    <t>Nguyễn Thị Thảo</t>
  </si>
  <si>
    <t>020197003727</t>
  </si>
  <si>
    <t>Thôn CÒn Quyền-Xã Đồng Đăng- Lạng Sơn</t>
  </si>
  <si>
    <t>Thử  việc 17/2/2025, Viên chức từ 15/6/2026</t>
  </si>
  <si>
    <t>BV0551</t>
  </si>
  <si>
    <t>Vũ Tiến Dũng</t>
  </si>
  <si>
    <t>034080016602</t>
  </si>
  <si>
    <t>Khối 25 .Phương Kỳ Lừa- Lạng Sơn</t>
  </si>
  <si>
    <t>0985568139</t>
  </si>
  <si>
    <t>BV1185</t>
  </si>
  <si>
    <t>Chu Thị Mây</t>
  </si>
  <si>
    <t>020184009651</t>
  </si>
  <si>
    <t>Thôn Hoàng Thương- P: Tam Thanh - Lạng Sơn</t>
  </si>
  <si>
    <t>0359822029</t>
  </si>
  <si>
    <t>Hợp đồng 20/06/2022</t>
  </si>
  <si>
    <t>BV0245</t>
  </si>
  <si>
    <t>Như Thùy Vân</t>
  </si>
  <si>
    <t>Phụ sản</t>
  </si>
  <si>
    <t>020184006989</t>
  </si>
  <si>
    <t>2/2 Ngõ 30 A- Lê Hồng Phong- P.Tam Thanh- LS</t>
  </si>
  <si>
    <t>0973470078</t>
  </si>
  <si>
    <t>BV0242</t>
  </si>
  <si>
    <t>Vi Thị Việt Hà</t>
  </si>
  <si>
    <t>019170001512</t>
  </si>
  <si>
    <t>Bến Bắc - Tam Thanh - LS</t>
  </si>
  <si>
    <t>0983693686</t>
  </si>
  <si>
    <t>BV0003</t>
  </si>
  <si>
    <t>Nguyễn Thúy Vân</t>
  </si>
  <si>
    <t>020171000754</t>
  </si>
  <si>
    <t>18 Bông Lau 1- Phú Lộc 1- P. Kỳ Lừa- LS</t>
  </si>
  <si>
    <t>0988428144</t>
  </si>
  <si>
    <t>BV0246</t>
  </si>
  <si>
    <t>Hoàng Thị Hồng Chiêm</t>
  </si>
  <si>
    <t>020186011848</t>
  </si>
  <si>
    <t>Số 39 Ngõ 2C- Khối Hoàng Thanh- LS</t>
  </si>
  <si>
    <t>0985755465</t>
  </si>
  <si>
    <t>BV0248</t>
  </si>
  <si>
    <t>Đặng Thúy Loan</t>
  </si>
  <si>
    <t>002188005485</t>
  </si>
  <si>
    <t>Số 70 Phố Muối- P.Tam Thanh-LS</t>
  </si>
  <si>
    <t>0984736222</t>
  </si>
  <si>
    <t>BV0790</t>
  </si>
  <si>
    <t>Dương Tuyết Nhung</t>
  </si>
  <si>
    <t>020192007463</t>
  </si>
  <si>
    <t>Xã Bắc Sơn- LS</t>
  </si>
  <si>
    <t>0386738504</t>
  </si>
  <si>
    <t>HĐ 09/2017; BC 20/3/2018</t>
  </si>
  <si>
    <t>BV0809</t>
  </si>
  <si>
    <t>Bạch Khánh Vân</t>
  </si>
  <si>
    <t>020190012013</t>
  </si>
  <si>
    <t>Số 244- khối Trần Hưng Đạo- Xã Bình Gia-LS</t>
  </si>
  <si>
    <t>Chuyển đến 01/12/2017</t>
  </si>
  <si>
    <t>BV0243</t>
  </si>
  <si>
    <t>Đoàn Anh Đức</t>
  </si>
  <si>
    <t>020082001917</t>
  </si>
  <si>
    <t>Số 8- Mạc Đĩnh Chi- Khối 10- P. Kỳ Lừa- LS</t>
  </si>
  <si>
    <t>BV1063</t>
  </si>
  <si>
    <t>Phạm Thị Trang</t>
  </si>
  <si>
    <t>020195008464</t>
  </si>
  <si>
    <t>An Rinh 1- P.Kỳ Lừa- LS</t>
  </si>
  <si>
    <t>Thử việc 11/8/2020, Viên chức từ 15/6/2026</t>
  </si>
  <si>
    <t>BV0841</t>
  </si>
  <si>
    <t>Vi Việt Chinh</t>
  </si>
  <si>
    <t>020092002124</t>
  </si>
  <si>
    <t>Khu Hoà Bình- Xã Lộc Bình- LS</t>
  </si>
  <si>
    <t>0349754357</t>
  </si>
  <si>
    <t>BV0791</t>
  </si>
  <si>
    <t>Hoàng Ngọc Lê</t>
  </si>
  <si>
    <t>020189002999</t>
  </si>
  <si>
    <t>Khối 24- P.Kỳ Lừa- LS</t>
  </si>
  <si>
    <t>0942024335</t>
  </si>
  <si>
    <t>Viên chức từ 15/6/2026</t>
  </si>
  <si>
    <t>BV0264</t>
  </si>
  <si>
    <t>Trần Thị Hương</t>
  </si>
  <si>
    <t>Hộ sinh ĐH</t>
  </si>
  <si>
    <t>034180011929</t>
  </si>
  <si>
    <t>Số 35,Ngõ 35- tổ 2- Khối 10-P.Tam Thanh- LS</t>
  </si>
  <si>
    <t>0976467168</t>
  </si>
  <si>
    <t>BV0266</t>
  </si>
  <si>
    <t>Âu Thị Thủy</t>
  </si>
  <si>
    <t>020179002513</t>
  </si>
  <si>
    <t>Khối 18- P. Đông Kinh-LS</t>
  </si>
  <si>
    <t>0912955828</t>
  </si>
  <si>
    <t>BV0252</t>
  </si>
  <si>
    <t>Triệu Hoàng Anh</t>
  </si>
  <si>
    <t>004178000120</t>
  </si>
  <si>
    <t>Số 26, Ngõ 88-  Đường Lê Quý Đôn- P.Tam thanh- LS</t>
  </si>
  <si>
    <t>0836514388</t>
  </si>
  <si>
    <t>BV0268</t>
  </si>
  <si>
    <t>Hoàng Thị Hưởng</t>
  </si>
  <si>
    <t>020185002855</t>
  </si>
  <si>
    <t>Khối 15- P.Đông Kinh- LS</t>
  </si>
  <si>
    <t>0982901411</t>
  </si>
  <si>
    <t>BV0251</t>
  </si>
  <si>
    <t>Hoàng Thị Nụ</t>
  </si>
  <si>
    <t>020173001765</t>
  </si>
  <si>
    <t>Khối 14 - P. Kỳ Lừa- LS</t>
  </si>
  <si>
    <t>0817515658</t>
  </si>
  <si>
    <t>BV0253</t>
  </si>
  <si>
    <t>Bùi Thị Oanh</t>
  </si>
  <si>
    <t>001187037308</t>
  </si>
  <si>
    <t>Khối 13- P.Đông Kinh- LS</t>
  </si>
  <si>
    <t>0918311090</t>
  </si>
  <si>
    <t>BV0250</t>
  </si>
  <si>
    <t>Lương Thị Thoa</t>
  </si>
  <si>
    <t>020179000572</t>
  </si>
  <si>
    <t>Khối 9- P. Đông kinh- LS</t>
  </si>
  <si>
    <t>0912430556</t>
  </si>
  <si>
    <t>BV0996</t>
  </si>
  <si>
    <t>Hoàng Thị Thuần</t>
  </si>
  <si>
    <t>004175000163</t>
  </si>
  <si>
    <t xml:space="preserve">Số 8/1 - Ngõ 2 - Đường Lê Lợi - K2 -     Đông Kinh - LS </t>
  </si>
  <si>
    <t>Chuyển đến 02/01/2020</t>
  </si>
  <si>
    <t>BV0255</t>
  </si>
  <si>
    <t>Hoàng Quế Anh</t>
  </si>
  <si>
    <t>Hộ sinh trưởng</t>
  </si>
  <si>
    <t>022174005122</t>
  </si>
  <si>
    <t>43 Ngõ 15- Tông Đản- P.Kỳ Lừa- LS</t>
  </si>
  <si>
    <t>0912902289</t>
  </si>
  <si>
    <t>BV0274</t>
  </si>
  <si>
    <t>Lưu Thị Thu Hằng</t>
  </si>
  <si>
    <t>020186011745</t>
  </si>
  <si>
    <t>Khối 8- P.Kỳ Lừa- LS</t>
  </si>
  <si>
    <t>0916217486</t>
  </si>
  <si>
    <t>BV0254</t>
  </si>
  <si>
    <t>Nông Thị Thu Trang</t>
  </si>
  <si>
    <t>020176001522</t>
  </si>
  <si>
    <t>Số 7- Văn Vỉ- P.Lương Văn Tri- LS</t>
  </si>
  <si>
    <t>0912909393</t>
  </si>
  <si>
    <t>BV0280</t>
  </si>
  <si>
    <t>Nguyễn Thị Định</t>
  </si>
  <si>
    <t>020186011754</t>
  </si>
  <si>
    <t>Số 270 Nguyễn Phi Khanh - P Tam Thanh - LS</t>
  </si>
  <si>
    <t>0976166436</t>
  </si>
  <si>
    <t>BV0288</t>
  </si>
  <si>
    <t>Hứa Thu Hồng</t>
  </si>
  <si>
    <t>020181005361</t>
  </si>
  <si>
    <t>Khối 23- P.Kỳ Lừa- LS</t>
  </si>
  <si>
    <t>0949482261</t>
  </si>
  <si>
    <t>BV0279</t>
  </si>
  <si>
    <t>Phạm Thu Hương</t>
  </si>
  <si>
    <t>020185006315</t>
  </si>
  <si>
    <t>Sỗ 56 Tổ Sơn- P.Lương Văn Tri- LS</t>
  </si>
  <si>
    <t>BV0846</t>
  </si>
  <si>
    <t>Hoàng Thị Khuynh</t>
  </si>
  <si>
    <t>020175005140</t>
  </si>
  <si>
    <t>Thôn Bản Lầy- Xã Lộc Bình- LS</t>
  </si>
  <si>
    <t>0356845066</t>
  </si>
  <si>
    <t>Chuyển đến 02/7/2018</t>
  </si>
  <si>
    <t>BV0843</t>
  </si>
  <si>
    <t>Lý Thị Diệu Linh</t>
  </si>
  <si>
    <t>020194004227</t>
  </si>
  <si>
    <t>Trần Đăng Ninh- P.Hoàng Văn Thụ- LS</t>
  </si>
  <si>
    <t>0352535308</t>
  </si>
  <si>
    <t>Chuyển đến 20/3/2018; nghỉ TS; Đi làm 11/6/2018</t>
  </si>
  <si>
    <t>BV0272</t>
  </si>
  <si>
    <t>Hứa Thanh Ngà</t>
  </si>
  <si>
    <t>020176001521</t>
  </si>
  <si>
    <t>Số 19 Ngõ 19- Khối Trần Hưng Đạo- P.Lương Văn Tri- LS</t>
  </si>
  <si>
    <t>0916918225</t>
  </si>
  <si>
    <t>BV0287</t>
  </si>
  <si>
    <t>Hoàng Thị Thiệp</t>
  </si>
  <si>
    <t>020180007282</t>
  </si>
  <si>
    <t>Ngõ 66- Đèo Giang -P.Lương Văn Tri- LS</t>
  </si>
  <si>
    <t>0912150880</t>
  </si>
  <si>
    <t>BV1003</t>
  </si>
  <si>
    <t>Tô Thị Hành</t>
  </si>
  <si>
    <t>020186006775</t>
  </si>
  <si>
    <t>Số 26/32 Đường Chùa Tiên- P.Lương Văn Tri- LS</t>
  </si>
  <si>
    <t>Chuyển đến 23/3/2020</t>
  </si>
  <si>
    <t>BV0008</t>
  </si>
  <si>
    <t>020174001367</t>
  </si>
  <si>
    <t>Khu Nam Hoàng Đồng- P.Tam Thanh- LS</t>
  </si>
  <si>
    <t>0915315399</t>
  </si>
  <si>
    <t>BV0284</t>
  </si>
  <si>
    <t>Lăng Thị Điệp</t>
  </si>
  <si>
    <t>006189000681</t>
  </si>
  <si>
    <t>Khối 26- P.Kỳ Lừa- LS</t>
  </si>
  <si>
    <t>0976519662</t>
  </si>
  <si>
    <t>BV0040</t>
  </si>
  <si>
    <t>Hoàng Hồ Điệp</t>
  </si>
  <si>
    <t>020183001348</t>
  </si>
  <si>
    <t>Khu Nam Quan- Xã Đồng Đăng- LS</t>
  </si>
  <si>
    <t>0913596023</t>
  </si>
  <si>
    <t>BV0041</t>
  </si>
  <si>
    <t>Vi Thị Hương Giang</t>
  </si>
  <si>
    <t>020187008087</t>
  </si>
  <si>
    <t>Số 99,Ngõ 19- Thác Mạ, khối Trần Quang Khải- P.Lương Văn Tri- LS</t>
  </si>
  <si>
    <t>0913325682</t>
  </si>
  <si>
    <t>BV0282</t>
  </si>
  <si>
    <t>Hoàng Thị Hiển</t>
  </si>
  <si>
    <t>020188003362</t>
  </si>
  <si>
    <t>Số 44- Đường Văn Miếu- P Lương Văn Tri- LS</t>
  </si>
  <si>
    <t>0988147908</t>
  </si>
  <si>
    <t>BV0275</t>
  </si>
  <si>
    <t>Dương Thị Huế</t>
  </si>
  <si>
    <t>020185011311</t>
  </si>
  <si>
    <t>Khối Hợp Thành- P.Kỳ Lừa- LS</t>
  </si>
  <si>
    <t>0913917368</t>
  </si>
  <si>
    <t>BV0283</t>
  </si>
  <si>
    <t>Nguyễn Thị Huế</t>
  </si>
  <si>
    <t>038191019929</t>
  </si>
  <si>
    <t>Bến Bắc - Tam Thanh- LS</t>
  </si>
  <si>
    <t>0356249336</t>
  </si>
  <si>
    <t>BV0257</t>
  </si>
  <si>
    <t>Lý Thị Hường</t>
  </si>
  <si>
    <t>020182010979</t>
  </si>
  <si>
    <t>Khối Pò Đứa- Pò Mỏ- P.Đông Kinh -LS</t>
  </si>
  <si>
    <t>0917966828</t>
  </si>
  <si>
    <t>BV0281</t>
  </si>
  <si>
    <t>Phạm Thúy Hường</t>
  </si>
  <si>
    <t>020184000822</t>
  </si>
  <si>
    <t>Khối Hoàng Tân- P.Tam Thanh- LS</t>
  </si>
  <si>
    <t>0944065555</t>
  </si>
  <si>
    <t>BV0285</t>
  </si>
  <si>
    <t>Trần Thị Hoàng Mai</t>
  </si>
  <si>
    <t>020189012593</t>
  </si>
  <si>
    <t>Khối Cửa Bắc- P.Lương Văn Tri- LS</t>
  </si>
  <si>
    <t>BV0271</t>
  </si>
  <si>
    <t>Chu Thị Mười</t>
  </si>
  <si>
    <t>020183003149</t>
  </si>
  <si>
    <t>Trung Cấp- P.Đông Kinh- LS</t>
  </si>
  <si>
    <t>0919513226</t>
  </si>
  <si>
    <t>BV0276</t>
  </si>
  <si>
    <t>Hoàng Thị Nhung</t>
  </si>
  <si>
    <t>020185005897</t>
  </si>
  <si>
    <t>Số 12- Ngõ 88-Lê Quý Đôn- Ptam Thanh-LS</t>
  </si>
  <si>
    <t>0913105985</t>
  </si>
  <si>
    <t>BV0267</t>
  </si>
  <si>
    <t>Hoàng Thị Mai Quỳnh</t>
  </si>
  <si>
    <t>020187002868</t>
  </si>
  <si>
    <t>Khối 7- P.Tam Thanh-LS</t>
  </si>
  <si>
    <t>0837088668</t>
  </si>
  <si>
    <t>BV0291</t>
  </si>
  <si>
    <t>Nguyễn Thị Tuyết</t>
  </si>
  <si>
    <t>020183001842</t>
  </si>
  <si>
    <t>Khối 8- P.Tam Thanh- LS</t>
  </si>
  <si>
    <t>0919694226</t>
  </si>
  <si>
    <t>BV0273</t>
  </si>
  <si>
    <t>Phan Thị Thi</t>
  </si>
  <si>
    <t>020185002564</t>
  </si>
  <si>
    <t>89 Bà Triệu- Khối 14-P Kỳ Lừa-LS</t>
  </si>
  <si>
    <t>BV0286</t>
  </si>
  <si>
    <t>Nông Thị Thời</t>
  </si>
  <si>
    <t>020186012449</t>
  </si>
  <si>
    <t>Ngõ 80- Đường Tô Thị- P.Tam Thanh- LS</t>
  </si>
  <si>
    <t>0989450298</t>
  </si>
  <si>
    <t>BV0278</t>
  </si>
  <si>
    <t>Vi Thị Thuần</t>
  </si>
  <si>
    <t>020183004378</t>
  </si>
  <si>
    <t>Khòn Cải- Tân Đoàn-LS</t>
  </si>
  <si>
    <t>0919645495</t>
  </si>
  <si>
    <t>BV0258</t>
  </si>
  <si>
    <t>Chu Thị Hồng Trang</t>
  </si>
  <si>
    <t>020180000519</t>
  </si>
  <si>
    <t>Số 22, Bông Lau 1- P.Kỳ Lừa- LS</t>
  </si>
  <si>
    <t>0949056383</t>
  </si>
  <si>
    <t>BV0269</t>
  </si>
  <si>
    <t>020171001372</t>
  </si>
  <si>
    <t>Nguyễn Phi Khanh- P.Tam Thanh-LS</t>
  </si>
  <si>
    <t>0915571288</t>
  </si>
  <si>
    <t>BV0294</t>
  </si>
  <si>
    <t>Lê Thị Biển</t>
  </si>
  <si>
    <t>020177002217</t>
  </si>
  <si>
    <t>Bà Triệu- P. Đông Kinh- LS</t>
  </si>
  <si>
    <t>0836951858</t>
  </si>
  <si>
    <t>BV0817</t>
  </si>
  <si>
    <t>Trần Ngọc Thúy</t>
  </si>
  <si>
    <t>020194009283</t>
  </si>
  <si>
    <t>Thôn 2- Xã Quốc Việt- LS</t>
  </si>
  <si>
    <t>0947595415</t>
  </si>
  <si>
    <t>HĐ 1/2/2018 (TV 7 ngày)</t>
  </si>
  <si>
    <t>BV1016</t>
  </si>
  <si>
    <t>Nông Thị Liễu</t>
  </si>
  <si>
    <t>020185005319</t>
  </si>
  <si>
    <t>Hoàng Tâm- P.Tam Thanh- LS</t>
  </si>
  <si>
    <t>0967955498</t>
  </si>
  <si>
    <t>BV1017</t>
  </si>
  <si>
    <t>Dương Thị Hiến</t>
  </si>
  <si>
    <t>020182007107</t>
  </si>
  <si>
    <t>Khối An Rinh 2- P.Kỳ Lừa- LS</t>
  </si>
  <si>
    <t>0328463402</t>
  </si>
  <si>
    <t>BV0792</t>
  </si>
  <si>
    <t>Vy Thị Hoa</t>
  </si>
  <si>
    <t>020181010030</t>
  </si>
  <si>
    <t>Quảng Liên 1, Quảng Lạc- P.Lương Văn Tri- LS</t>
  </si>
  <si>
    <t>0345321737</t>
  </si>
  <si>
    <t>BV1171</t>
  </si>
  <si>
    <t>Lương Phan Anh</t>
  </si>
  <si>
    <t>Bác sĩ nội trú</t>
  </si>
  <si>
    <t>020093006527</t>
  </si>
  <si>
    <t>Bến Băc- P.Tam Thanh- LS</t>
  </si>
  <si>
    <t>0352732103</t>
  </si>
  <si>
    <t>Hợp đồng từ 20/02/2022, Viên chức từ 15/6/2026</t>
  </si>
  <si>
    <t>BV0296</t>
  </si>
  <si>
    <t>Lê Quang Phương</t>
  </si>
  <si>
    <t>Nhi</t>
  </si>
  <si>
    <t>Phó trưởng khoa/Phụ trách khoa</t>
  </si>
  <si>
    <t>020071007657</t>
  </si>
  <si>
    <t>Số 40,khối 2,đường Tam Thanh,p.Tam Thanh.LS</t>
  </si>
  <si>
    <t>BV0300</t>
  </si>
  <si>
    <t>Nguyễn Thành Long</t>
  </si>
  <si>
    <t>020089007110</t>
  </si>
  <si>
    <t>113,Lê Lai, P.Kỳ Lừa,LS</t>
  </si>
  <si>
    <t>0987604226</t>
  </si>
  <si>
    <t>BV0682</t>
  </si>
  <si>
    <t>Lăng Thùy Ngân</t>
  </si>
  <si>
    <t>020190012859</t>
  </si>
  <si>
    <t>Xã Hoàng Văn Thụ,Lạng Sơn</t>
  </si>
  <si>
    <t>0979485314</t>
  </si>
  <si>
    <t>BV0298</t>
  </si>
  <si>
    <t>Trần Thị Diệp</t>
  </si>
  <si>
    <t>020180002195</t>
  </si>
  <si>
    <t>Số 6,Ngõ1,Phố Mỹ Sơn,P.Đông Kinh,LS</t>
  </si>
  <si>
    <t>0912127752</t>
  </si>
  <si>
    <t>BV0946</t>
  </si>
  <si>
    <t>Vy Thị Như Quỳnh</t>
  </si>
  <si>
    <t>020194008613</t>
  </si>
  <si>
    <t>số 33 Tô Hiến Thành,Khối 10, p.Kỳ Lừa,LS</t>
  </si>
  <si>
    <t>0378238431</t>
  </si>
  <si>
    <t>BV0886</t>
  </si>
  <si>
    <t>Hoàng Thu Hiền</t>
  </si>
  <si>
    <t>020194011668</t>
  </si>
  <si>
    <t>P.Lương Văn Tri,LS</t>
  </si>
  <si>
    <t>0348815907</t>
  </si>
  <si>
    <t>BV1247</t>
  </si>
  <si>
    <t>Nguyễn Thùy Dương</t>
  </si>
  <si>
    <t>020197000164</t>
  </si>
  <si>
    <t>Xã Hữu Lũng,LS</t>
  </si>
  <si>
    <t>Hợp đồng 01/7/2023</t>
  </si>
  <si>
    <t>BV1260</t>
  </si>
  <si>
    <t>Hoàng Thị Thảo Nương</t>
  </si>
  <si>
    <t>020197005434</t>
  </si>
  <si>
    <t xml:space="preserve"> Chộc Vằng,Lộc Bình,LS</t>
  </si>
  <si>
    <t>0364746748</t>
  </si>
  <si>
    <t>BV1261</t>
  </si>
  <si>
    <t>Đinh Tố Uyên</t>
  </si>
  <si>
    <t>020198007296</t>
  </si>
  <si>
    <t>Số 35/66 Đèo Giang,p.Lương Văn Tri.LS</t>
  </si>
  <si>
    <t>0584706898</t>
  </si>
  <si>
    <t>BV1283</t>
  </si>
  <si>
    <t>Nguyễn Thu Thủy</t>
  </si>
  <si>
    <t>020197008599</t>
  </si>
  <si>
    <t>BV0308</t>
  </si>
  <si>
    <t>Nguyễn Thị Minh Hiệp</t>
  </si>
  <si>
    <t>020181000732</t>
  </si>
  <si>
    <t>khối 27 p kỳ lừa</t>
  </si>
  <si>
    <t>0977641631</t>
  </si>
  <si>
    <t>BV0301</t>
  </si>
  <si>
    <t>Nguyễn Thị Chanh</t>
  </si>
  <si>
    <t>020183000661</t>
  </si>
  <si>
    <t>Tổ 1,Khối 23,P.Kỳ Lừa</t>
  </si>
  <si>
    <t>BV0913</t>
  </si>
  <si>
    <t>Nông Thị Lụa</t>
  </si>
  <si>
    <t>020189002912</t>
  </si>
  <si>
    <t>Thôn Bản Viển,p.Tam Thanh,LS</t>
  </si>
  <si>
    <t>0396806397</t>
  </si>
  <si>
    <t>BV0311</t>
  </si>
  <si>
    <t>Lương Thu Thảo</t>
  </si>
  <si>
    <t>020185007064</t>
  </si>
  <si>
    <t>Khu tập thể bộ đội biên phòng,ngõ 34,chùa tiên, p.lương văn tri,lạng sơn</t>
  </si>
  <si>
    <t>0983305938</t>
  </si>
  <si>
    <t>BV0314</t>
  </si>
  <si>
    <t>Hoàng Thị Oanh</t>
  </si>
  <si>
    <t>020186007388</t>
  </si>
  <si>
    <t>Số 26,ngõ 238,Trần Quang Khải,P.Lương Văn Tri.LS</t>
  </si>
  <si>
    <t>0986979651</t>
  </si>
  <si>
    <t>BV0309</t>
  </si>
  <si>
    <t>Vi Thị Thùy</t>
  </si>
  <si>
    <t>020188008446</t>
  </si>
  <si>
    <t>Số 290 Cốc Nam, Hoàng Văn Thụ, Lạng Sơn</t>
  </si>
  <si>
    <t>0383979496</t>
  </si>
  <si>
    <t>BV0793</t>
  </si>
  <si>
    <t>Lăng Thị Duyên</t>
  </si>
  <si>
    <t>020191007412</t>
  </si>
  <si>
    <t>0356249339</t>
  </si>
  <si>
    <t>Kiêm nhiệm khoa Dinh dưỡng 01/10/2022; đỗ VC 20/5/2026</t>
  </si>
  <si>
    <t>BV0303</t>
  </si>
  <si>
    <t>Lữ Thị Đại</t>
  </si>
  <si>
    <t>020190004145</t>
  </si>
  <si>
    <t>Khối 7.P.Đông Kinh,LS</t>
  </si>
  <si>
    <t>0868290268</t>
  </si>
  <si>
    <t>Nghỉ k lương 6 tháng từ 13/9/2022 - 28/2/2023</t>
  </si>
  <si>
    <t>BV0727</t>
  </si>
  <si>
    <t>Lương Thu Hòa</t>
  </si>
  <si>
    <t>020192001501</t>
  </si>
  <si>
    <t>Hoàng Trung,P.Tam Thanh.LS</t>
  </si>
  <si>
    <t>0374362500</t>
  </si>
  <si>
    <t>BV0728</t>
  </si>
  <si>
    <t>Nguyễn Thị Nhang</t>
  </si>
  <si>
    <t>020190003115</t>
  </si>
  <si>
    <t>Số 3, ngõ 288,Nhị Thanh,Tam Thanh,LS</t>
  </si>
  <si>
    <t>0398309020</t>
  </si>
  <si>
    <t>BV0735</t>
  </si>
  <si>
    <t>Triệu Thị Bích Nhung</t>
  </si>
  <si>
    <t>020191002245</t>
  </si>
  <si>
    <t>Khối 10.P.Kỳ Lừa, LS</t>
  </si>
  <si>
    <t>0366135567</t>
  </si>
  <si>
    <t>BV0877</t>
  </si>
  <si>
    <t>Hoàng Thị Hiếu</t>
  </si>
  <si>
    <t>020191002552</t>
  </si>
  <si>
    <t>Thôn Bản Piòa,Tân Văn,Lạng Sơn</t>
  </si>
  <si>
    <t>0368500016</t>
  </si>
  <si>
    <t>BV0914</t>
  </si>
  <si>
    <t>Hoàng Đức Dương</t>
  </si>
  <si>
    <t>020097004510</t>
  </si>
  <si>
    <t>Thôn Bản Luận,xã Công Sơn,Ls</t>
  </si>
  <si>
    <t>0977602497</t>
  </si>
  <si>
    <t>BV0992</t>
  </si>
  <si>
    <t>Ma Văn Lý</t>
  </si>
  <si>
    <t>020098003549</t>
  </si>
  <si>
    <t>Xã Thiện Long,LS</t>
  </si>
  <si>
    <t>BV0313</t>
  </si>
  <si>
    <t>Đàm Thị Liên</t>
  </si>
  <si>
    <t>020186002925</t>
  </si>
  <si>
    <t>Thôn Phai Làng, xã Tân Đoàn,LS</t>
  </si>
  <si>
    <t>0915328998</t>
  </si>
  <si>
    <t>BV1049</t>
  </si>
  <si>
    <t>Lý Hồng Trang</t>
  </si>
  <si>
    <t>020191004984</t>
  </si>
  <si>
    <t>thôn Hoàng Văn Thụ,Bắc Sơn,LS</t>
  </si>
  <si>
    <t>0844478989</t>
  </si>
  <si>
    <t>BV1095</t>
  </si>
  <si>
    <t>Nông Thị Thanh Xuân</t>
  </si>
  <si>
    <t>020199000315</t>
  </si>
  <si>
    <t>Khối Văn Miếu,p. Lương Văn Tri</t>
  </si>
  <si>
    <t>Hợp đồng 16/11/2020, Viên chức từ 15/6/2026</t>
  </si>
  <si>
    <t>BV1148</t>
  </si>
  <si>
    <t>Lường Thị Tới</t>
  </si>
  <si>
    <t>020192010705</t>
  </si>
  <si>
    <t>thôn Trung Tâm,xã Chiến Thắng,LS</t>
  </si>
  <si>
    <t>0868880186</t>
  </si>
  <si>
    <t>Thử việc 6/9/2021; đỗ VC 20/5/2026</t>
  </si>
  <si>
    <t>BV1206</t>
  </si>
  <si>
    <t>Lý Thị Yến Nhi</t>
  </si>
  <si>
    <t>020301000795</t>
  </si>
  <si>
    <t>526,Hùng Vương,Thôn Mai Thành,P.Đông Kinh,LS</t>
  </si>
  <si>
    <t>0943746728</t>
  </si>
  <si>
    <t>BV0315</t>
  </si>
  <si>
    <t>Hoàng Thị Vượng</t>
  </si>
  <si>
    <t>020187010650</t>
  </si>
  <si>
    <t>Tổ 3,Khối 22,p.Kỳ Lừa</t>
  </si>
  <si>
    <t>0964915602</t>
  </si>
  <si>
    <t>BV0310</t>
  </si>
  <si>
    <t>Nông Văn Bộ</t>
  </si>
  <si>
    <t>020084006815</t>
  </si>
  <si>
    <t>Hoàng Tâm,p.Tam Thanh,LS</t>
  </si>
  <si>
    <t>0385628668</t>
  </si>
  <si>
    <t>BV0322</t>
  </si>
  <si>
    <t>Hoàng Thị Gấm</t>
  </si>
  <si>
    <t>020185006687</t>
  </si>
  <si>
    <t>số 7, ngõ 257 Lê Đại Hành,p.Đông Kinh</t>
  </si>
  <si>
    <t>0386325994</t>
  </si>
  <si>
    <t>BV0200</t>
  </si>
  <si>
    <t>Phan Văn Hiếu</t>
  </si>
  <si>
    <t>020088007058</t>
  </si>
  <si>
    <t>Kéo Tào,p.Đông Kinh,LS</t>
  </si>
  <si>
    <t>0368496177</t>
  </si>
  <si>
    <t>BV0127</t>
  </si>
  <si>
    <t>Luân Thị Hiếu</t>
  </si>
  <si>
    <t>020187004043</t>
  </si>
  <si>
    <t>Khối Pò Tang,P.Kỳ Lừa,LS</t>
  </si>
  <si>
    <t>0967936887</t>
  </si>
  <si>
    <t>BV0320</t>
  </si>
  <si>
    <t>Nông Thị Hợp</t>
  </si>
  <si>
    <t>020186002493</t>
  </si>
  <si>
    <t>Tổ 8,Khối 18,P.Đông Kinh</t>
  </si>
  <si>
    <t>0366751720</t>
  </si>
  <si>
    <t>BV0316</t>
  </si>
  <si>
    <t>Vy Thị Nhuận</t>
  </si>
  <si>
    <t>020184004767</t>
  </si>
  <si>
    <t>Thôn Tiền Phong,xã Chi Lăng,LS</t>
  </si>
  <si>
    <t>0984842822</t>
  </si>
  <si>
    <t>BV0321</t>
  </si>
  <si>
    <t>Mạc Minh Thùy</t>
  </si>
  <si>
    <t>020187001460</t>
  </si>
  <si>
    <t>Số 7, Cửa Nam,p.Lương Văn Tri,LS</t>
  </si>
  <si>
    <t>0988791890</t>
  </si>
  <si>
    <t>BV0417</t>
  </si>
  <si>
    <t>Nguyễn Diệu Thúy</t>
  </si>
  <si>
    <t>020187012424</t>
  </si>
  <si>
    <t>Khối 11,ngõ 144 Nhị Thanh,p.Tam Thanh.LS</t>
  </si>
  <si>
    <t>0976999586</t>
  </si>
  <si>
    <t>BV0312</t>
  </si>
  <si>
    <t>Lăng Thị Yến</t>
  </si>
  <si>
    <t>020187003171</t>
  </si>
  <si>
    <t>Thâm Mò,Đồng Đăng,LS</t>
  </si>
  <si>
    <t>0977242232</t>
  </si>
  <si>
    <t>BV0689</t>
  </si>
  <si>
    <t>Nguyễn Thị Thúy</t>
  </si>
  <si>
    <t>020181002317</t>
  </si>
  <si>
    <t>Khối 10,Bến Bắc,Tam Thanh,LS</t>
  </si>
  <si>
    <t>0347240848</t>
  </si>
  <si>
    <t>BV0742</t>
  </si>
  <si>
    <t>Nguyễn Thị Kiều</t>
  </si>
  <si>
    <t>020175002085</t>
  </si>
  <si>
    <t>Nhị Thanh,Tam Thanh,LS</t>
  </si>
  <si>
    <t>0359544188</t>
  </si>
  <si>
    <t>BV1207</t>
  </si>
  <si>
    <t>020186011244</t>
  </si>
  <si>
    <t>khối 10,Nhị Thanh,Tam Thanh,LS</t>
  </si>
  <si>
    <t>BV0327</t>
  </si>
  <si>
    <t>Nguyễn Quang Lương</t>
  </si>
  <si>
    <t>Truyền nhiễm</t>
  </si>
  <si>
    <t>020067000304</t>
  </si>
  <si>
    <t>Phường Tam Thanh, Tỉnh Lạng Sơn</t>
  </si>
  <si>
    <t>0396802226</t>
  </si>
  <si>
    <t>BV0052</t>
  </si>
  <si>
    <t>La Thị Thu Hiền</t>
  </si>
  <si>
    <t>020190009365</t>
  </si>
  <si>
    <t>0356249784</t>
  </si>
  <si>
    <t>BV0931</t>
  </si>
  <si>
    <t>Đinh Thu Hoài</t>
  </si>
  <si>
    <t>020195001623</t>
  </si>
  <si>
    <t>0918215838</t>
  </si>
  <si>
    <t>BV0018</t>
  </si>
  <si>
    <t>Lê Thị Ngọc Hoàng</t>
  </si>
  <si>
    <t>020184000486</t>
  </si>
  <si>
    <t>Phường Kỳ Lừa, Tỉnh Lạng Sơn</t>
  </si>
  <si>
    <t>0986436584</t>
  </si>
  <si>
    <t>BV1152</t>
  </si>
  <si>
    <t>Nguyễn Quỳnh Anh</t>
  </si>
  <si>
    <t xml:space="preserve"> 020196005434</t>
  </si>
  <si>
    <t>0354644850</t>
  </si>
  <si>
    <t>BV1155</t>
  </si>
  <si>
    <t>Nguyễn Thị Quỳnh Hương</t>
  </si>
  <si>
    <t>020196007438</t>
  </si>
  <si>
    <t>0353666263</t>
  </si>
  <si>
    <t>Thử việc 6/9/2021; TLHĐ 01/01/2024, VC chuyển đến 03/2/2025</t>
  </si>
  <si>
    <t>BV1310</t>
  </si>
  <si>
    <t>Đường Ngọc Châm</t>
  </si>
  <si>
    <t>020195010566</t>
  </si>
  <si>
    <t>0328166144</t>
  </si>
  <si>
    <t>BV0126</t>
  </si>
  <si>
    <t>Lưu Hải Châu</t>
  </si>
  <si>
    <t>031180009182</t>
  </si>
  <si>
    <t>0919545998</t>
  </si>
  <si>
    <t>BV0335</t>
  </si>
  <si>
    <t>Lăng Thị Thúy</t>
  </si>
  <si>
    <t xml:space="preserve"> 020186002906 </t>
  </si>
  <si>
    <t>0384299110</t>
  </si>
  <si>
    <t>BV0014</t>
  </si>
  <si>
    <t>Mông Thị Luận</t>
  </si>
  <si>
    <t>020178009041</t>
  </si>
  <si>
    <t>BV1200</t>
  </si>
  <si>
    <t>Mông Thị Hưởng</t>
  </si>
  <si>
    <t>020198007889</t>
  </si>
  <si>
    <t>0975860021</t>
  </si>
  <si>
    <t>BV0743</t>
  </si>
  <si>
    <t>Hứa Văn Quốc</t>
  </si>
  <si>
    <t xml:space="preserve"> 020092002119</t>
  </si>
  <si>
    <t>Xã Minh Khai, Tỉnh Lạng Sơn</t>
  </si>
  <si>
    <t>0365667905</t>
  </si>
  <si>
    <t>BV0133</t>
  </si>
  <si>
    <t>Hoàng Văn Học</t>
  </si>
  <si>
    <t>020086001802</t>
  </si>
  <si>
    <t>0916554683</t>
  </si>
  <si>
    <t>BV0197</t>
  </si>
  <si>
    <t>Nguyễn Thị Hợi</t>
  </si>
  <si>
    <t>038184050846</t>
  </si>
  <si>
    <t>0983475646</t>
  </si>
  <si>
    <t>BV0332</t>
  </si>
  <si>
    <t>Nông Thị Mai</t>
  </si>
  <si>
    <t>020186010922</t>
  </si>
  <si>
    <t>0395805054</t>
  </si>
  <si>
    <t>BV0337</t>
  </si>
  <si>
    <t>Lương Thị Minh</t>
  </si>
  <si>
    <t>020190001398</t>
  </si>
  <si>
    <t>Phường Lương Văn Tri, Tỉnh Lạng Sơn</t>
  </si>
  <si>
    <t>BV0338</t>
  </si>
  <si>
    <t>Lương Thúy Nga</t>
  </si>
  <si>
    <t>020189011553</t>
  </si>
  <si>
    <t>0975057829</t>
  </si>
  <si>
    <t>BV1316</t>
  </si>
  <si>
    <t>Lâm Thị Kim Liên</t>
  </si>
  <si>
    <t>020302006447</t>
  </si>
  <si>
    <t>0972961641</t>
  </si>
  <si>
    <t>BV0334</t>
  </si>
  <si>
    <t>Nguyễn Khắc Đảng</t>
  </si>
  <si>
    <t xml:space="preserve"> 020072001945</t>
  </si>
  <si>
    <t>0372805738</t>
  </si>
  <si>
    <t>BV1024</t>
  </si>
  <si>
    <t>Trần Thị Hòa</t>
  </si>
  <si>
    <t>001183039862</t>
  </si>
  <si>
    <t>BV1188</t>
  </si>
  <si>
    <t>Nông Thị Liên</t>
  </si>
  <si>
    <t>020185012005</t>
  </si>
  <si>
    <t>Xã Thất Khê, tỉnh Lạng Sơn</t>
  </si>
  <si>
    <t>0385040959</t>
  </si>
  <si>
    <t>Hợp đồng 01/8/2022</t>
  </si>
  <si>
    <t>BV0342</t>
  </si>
  <si>
    <t>Da liễu</t>
  </si>
  <si>
    <t>020069007177</t>
  </si>
  <si>
    <t>Khối Cửa Bắc - Phường Lương Văn Tri</t>
  </si>
  <si>
    <t>BV0341</t>
  </si>
  <si>
    <t>Mông Tuấn Hùng</t>
  </si>
  <si>
    <t>020071000379</t>
  </si>
  <si>
    <t>Khối 19 - P. Đông Kinh</t>
  </si>
  <si>
    <t>BV1160</t>
  </si>
  <si>
    <t>Hoàng Thị Mai Trinh</t>
  </si>
  <si>
    <t>020190011756</t>
  </si>
  <si>
    <t>Khối Bản Viển - P.Tam Thanh</t>
  </si>
  <si>
    <t>0898759590</t>
  </si>
  <si>
    <t>Chuyển đến 6/9/2021</t>
  </si>
  <si>
    <t>BV0823</t>
  </si>
  <si>
    <t>Lương Thị Hằng</t>
  </si>
  <si>
    <t>020174002035</t>
  </si>
  <si>
    <t>Khối 7 - P.Tam Thanh</t>
  </si>
  <si>
    <t>0355715281</t>
  </si>
  <si>
    <t>BV0329</t>
  </si>
  <si>
    <t>Đào Thị Ngọc</t>
  </si>
  <si>
    <t>036182023580</t>
  </si>
  <si>
    <t>Khối Tân Lập - P.Đông Kinh</t>
  </si>
  <si>
    <t>0979108566</t>
  </si>
  <si>
    <t>BV0349</t>
  </si>
  <si>
    <t>Dương Thị Tiếp</t>
  </si>
  <si>
    <t>020187001506</t>
  </si>
  <si>
    <t>Khối Chi Mạc - P.Tam Thanh</t>
  </si>
  <si>
    <t>0978421195</t>
  </si>
  <si>
    <t>BV0113</t>
  </si>
  <si>
    <t>Lăng Hồng Chiêm</t>
  </si>
  <si>
    <t>020183002322</t>
  </si>
  <si>
    <t>Khối Nà Sèn- P. Tam Thanh</t>
  </si>
  <si>
    <t>0374004609</t>
  </si>
  <si>
    <t>BV0226</t>
  </si>
  <si>
    <t>Mã Thị Linh</t>
  </si>
  <si>
    <t>020186001044</t>
  </si>
  <si>
    <t>Thôn Tằm Riền - Xã Công Sơn</t>
  </si>
  <si>
    <t>0398750355</t>
  </si>
  <si>
    <t>BV0141</t>
  </si>
  <si>
    <t>Vũ Thị Thu Trang</t>
  </si>
  <si>
    <t>020192011493</t>
  </si>
  <si>
    <t>Khối 9 - P.Đông Kinh</t>
  </si>
  <si>
    <t>0979940135</t>
  </si>
  <si>
    <t>BV0134</t>
  </si>
  <si>
    <t>Lý Thị Dần</t>
  </si>
  <si>
    <t>020179006580</t>
  </si>
  <si>
    <t>Khối 2 - P. Tam Thanh</t>
  </si>
  <si>
    <t>0974835392</t>
  </si>
  <si>
    <t>BV0511</t>
  </si>
  <si>
    <t>Vi Bích Hường</t>
  </si>
  <si>
    <t>020188011699</t>
  </si>
  <si>
    <t>Khối Nà Nùng - P. Kỳ Lừa</t>
  </si>
  <si>
    <t>0394164571</t>
  </si>
  <si>
    <t>BV0351</t>
  </si>
  <si>
    <t>Ngô Thu Lê</t>
  </si>
  <si>
    <t>YHCT</t>
  </si>
  <si>
    <t>020190009602</t>
  </si>
  <si>
    <t>118 Chu Văn An,
 phường Đông Kinh, tỉnh Lạng Sơn</t>
  </si>
  <si>
    <t>0914108533</t>
  </si>
  <si>
    <t>BV1122</t>
  </si>
  <si>
    <t>Nguyễn Ngọc Thiện</t>
  </si>
  <si>
    <t>024081003063</t>
  </si>
  <si>
    <t>Tổ dân cư 5,
 Khối 19, Phường Đông kinh, Lạng Sơn</t>
  </si>
  <si>
    <t>Chuyển đến 06/4/2021</t>
  </si>
  <si>
    <t>BV1167</t>
  </si>
  <si>
    <t>Nguyễn Thị Duyên</t>
  </si>
  <si>
    <t>020193007853</t>
  </si>
  <si>
    <t>Khối Đèo Giang
, phường Lương Văn Tri, tỉnh Lạng Sơn</t>
  </si>
  <si>
    <t>0384895583</t>
  </si>
  <si>
    <t>Chuyển đến 08/11/2021</t>
  </si>
  <si>
    <t>BV0169</t>
  </si>
  <si>
    <t>Hoàng Thị Bích Hà</t>
  </si>
  <si>
    <t>020180006217</t>
  </si>
  <si>
    <t>khối 26 phường Kỳ Lừa, tỉnh Lạng Sơn</t>
  </si>
  <si>
    <t>0915534272</t>
  </si>
  <si>
    <t>BV0029</t>
  </si>
  <si>
    <t>Triệu Thị Mai Hương</t>
  </si>
  <si>
    <t>020187001163</t>
  </si>
  <si>
    <t>Khối 24 phường Kỳ Lừa, tỉnh Lạng sơn</t>
  </si>
  <si>
    <t>0961023288</t>
  </si>
  <si>
    <t>BV0227</t>
  </si>
  <si>
    <t>Mông Thị Thu</t>
  </si>
  <si>
    <t>020184007760</t>
  </si>
  <si>
    <t>Khối Quảng Trung 1,
 phường. Lương Văn Tri, Tỉnh Lạng Sơn</t>
  </si>
  <si>
    <t>0913486482</t>
  </si>
  <si>
    <t>BV0358</t>
  </si>
  <si>
    <t>Nông Thị Thu Hường</t>
  </si>
  <si>
    <t>020187012098</t>
  </si>
  <si>
    <t>Khối Pò Đứa ,
Pò mỏ, Phường Đông Kinh, tỉnh Lạng Sơn</t>
  </si>
  <si>
    <t>0989196236</t>
  </si>
  <si>
    <t>BV0357</t>
  </si>
  <si>
    <t>Vi Văn Tiến</t>
  </si>
  <si>
    <t>020076002080</t>
  </si>
  <si>
    <t>Thôn Đồng Tân, xã Khánh Khê, tỉnh Lạng Sơn</t>
  </si>
  <si>
    <t>0912132786</t>
  </si>
  <si>
    <t>BV0355</t>
  </si>
  <si>
    <t>Trần Thị Huyền</t>
  </si>
  <si>
    <t>004177000164</t>
  </si>
  <si>
    <t>Số 9, ngõ 6 Đường Khỏn Cuổng, phường Kỳ Lừa, tỉnh Lạng Sơn</t>
  </si>
  <si>
    <t>0836991302</t>
  </si>
  <si>
    <t>BV0356</t>
  </si>
  <si>
    <t>Lê Thị Phượng</t>
  </si>
  <si>
    <t>020188001066</t>
  </si>
  <si>
    <t>Tổ 3 khối 27
 Phường. Kỳ Lừa tỉnh Lạng Sơn</t>
  </si>
  <si>
    <t>0373171227</t>
  </si>
  <si>
    <t>BV0354</t>
  </si>
  <si>
    <t>Chu Hương Thảo</t>
  </si>
  <si>
    <t>020174000793</t>
  </si>
  <si>
    <t xml:space="preserve">421 Trần Quang Khải . 
Phường Lương Văn Tri, tỉnh Lạng Sơn </t>
  </si>
  <si>
    <t>0983601630</t>
  </si>
  <si>
    <t>BV0576</t>
  </si>
  <si>
    <t>Tô Thị Mai</t>
  </si>
  <si>
    <t>020175002084</t>
  </si>
  <si>
    <t>Ngõ 195 đường Bến Bắc 
.phường Tam thanh ,tỉnh Lạng Sơn</t>
  </si>
  <si>
    <t>BV0679</t>
  </si>
  <si>
    <t>Nguyễn Tuấn An</t>
  </si>
  <si>
    <t>VLTL-PHCN</t>
  </si>
  <si>
    <t>020090000558</t>
  </si>
  <si>
    <t>Thôn Hoàng Thượng P. Tam Thanh - Tỉnh Lạng Sơn</t>
  </si>
  <si>
    <t>BV0361</t>
  </si>
  <si>
    <t>Lê Chí Hướng</t>
  </si>
  <si>
    <t>Phụ trách khoa</t>
  </si>
  <si>
    <t>020083000665</t>
  </si>
  <si>
    <t>253 Đường Bắc Sơn, Phường Kỳ Lừa, tỉnh Lạng Sơn</t>
  </si>
  <si>
    <t>0338286007</t>
  </si>
  <si>
    <t>BV0686</t>
  </si>
  <si>
    <t>Nông Thị Thanh</t>
  </si>
  <si>
    <t>020190003095</t>
  </si>
  <si>
    <t>Khu Đại Nam- Xã Thất Khê- Tỉnh Lạng Sơn</t>
  </si>
  <si>
    <t>BV0761</t>
  </si>
  <si>
    <t>Lục Thị Lan</t>
  </si>
  <si>
    <t>020192007786</t>
  </si>
  <si>
    <t>Phố Tâm An- Xã Văn Quan- Tỉnh Lạng Sơn</t>
  </si>
  <si>
    <t>0362009887</t>
  </si>
  <si>
    <t>BV0838</t>
  </si>
  <si>
    <t>Hứa Mạnh Tuấn</t>
  </si>
  <si>
    <t>020087006624</t>
  </si>
  <si>
    <t>4/476 Trần Đăng Ninh Khối 12- P Kỳ Lừa- Tỉnh Lạng Sơn</t>
  </si>
  <si>
    <t>BV0056</t>
  </si>
  <si>
    <t>Hoàng Diệu Linh</t>
  </si>
  <si>
    <t>020178009074</t>
  </si>
  <si>
    <t>Tổ 5- Khối 8- Phường Đông Kinh- Tỉnh Lạng Sơn</t>
  </si>
  <si>
    <t>0918035989</t>
  </si>
  <si>
    <t>BV0171</t>
  </si>
  <si>
    <t>Chu Thị Vinh</t>
  </si>
  <si>
    <t>020183000877</t>
  </si>
  <si>
    <t>Số nhà 1 Tổ 4- Khối 4 P Kỳ Lừa- Tỉnh Lạng Sơn</t>
  </si>
  <si>
    <t>0978635436</t>
  </si>
  <si>
    <t>BV0221</t>
  </si>
  <si>
    <t>Nông Quốc Công</t>
  </si>
  <si>
    <t>025086019580</t>
  </si>
  <si>
    <t>Ngõ 195 Bến Bắc Khối 10 P. Tam Thanh-Tỉnh Lạng Sơn</t>
  </si>
  <si>
    <t>BV0371</t>
  </si>
  <si>
    <t>Tô Thị Nghị</t>
  </si>
  <si>
    <t>020181002307</t>
  </si>
  <si>
    <t>Khối Trần Quang Khải 1 P. Lương Văn Tri- Tỉnh Lạng Sơn</t>
  </si>
  <si>
    <t>0984347366</t>
  </si>
  <si>
    <t>BV0363</t>
  </si>
  <si>
    <t>Chu Thị Trang Nhung</t>
  </si>
  <si>
    <t>KTY ĐH</t>
  </si>
  <si>
    <t>Kỹ thuật y (hạng III)</t>
  </si>
  <si>
    <t>020183006354</t>
  </si>
  <si>
    <t>Thôn Nà Pài- Xã Tràng Định - Tỉnh lạng Sơn</t>
  </si>
  <si>
    <t>0975178325</t>
  </si>
  <si>
    <t>BV0367</t>
  </si>
  <si>
    <t>Nguyễn Hữu Tài</t>
  </si>
  <si>
    <t>KTY CĐ</t>
  </si>
  <si>
    <t>Kỹ thuật y (hạng IV)</t>
  </si>
  <si>
    <t>020088000499</t>
  </si>
  <si>
    <t>Tổ 2- khối 2- P Kỳ Lừa- Tỉnh Lạng Sơn</t>
  </si>
  <si>
    <t>0913298556</t>
  </si>
  <si>
    <t>BV0362</t>
  </si>
  <si>
    <t>Nguyễn Thị Hà</t>
  </si>
  <si>
    <t>KTY TC</t>
  </si>
  <si>
    <t>020169009801</t>
  </si>
  <si>
    <t>0915984909</t>
  </si>
  <si>
    <t>BV0370</t>
  </si>
  <si>
    <t>Hoàng Mạnh Linh</t>
  </si>
  <si>
    <t>020085009133</t>
  </si>
  <si>
    <t>309 Đường Nhị Thanh Khối 10- P Tam Thanh- Tỉnh Lạng Sơn</t>
  </si>
  <si>
    <t>0987373131</t>
  </si>
  <si>
    <t>BV0369</t>
  </si>
  <si>
    <t>Vi Văn Tân</t>
  </si>
  <si>
    <t>020089009096</t>
  </si>
  <si>
    <t>Khối Cổ Lương- P Kỳ Lừa- Tỉnh Lạng Sơn</t>
  </si>
  <si>
    <t>BV0878</t>
  </si>
  <si>
    <t>Trần Thị Ngọc</t>
  </si>
  <si>
    <t>020190003112</t>
  </si>
  <si>
    <t>Thôn Bản Téng- Xã Tri Lễ- Tỉnh Lạng Sơn</t>
  </si>
  <si>
    <t>BV0375</t>
  </si>
  <si>
    <t>Lý Thị Anh</t>
  </si>
  <si>
    <t>020177001574</t>
  </si>
  <si>
    <t>Số 10 Nguyễn Phi Khanh, Khối 3, phường Tam thanh, Tỉnh Lạng Sơn</t>
  </si>
  <si>
    <t>BV0006</t>
  </si>
  <si>
    <t>020087009992</t>
  </si>
  <si>
    <t>số 9 Nguyễn Thái Học- phường Lương Văn Tri- tỉnh Lạng Sơn</t>
  </si>
  <si>
    <t>0975266686</t>
  </si>
  <si>
    <t>BV0249</t>
  </si>
  <si>
    <t>Trần Hồng Nhung</t>
  </si>
  <si>
    <t>020188002922</t>
  </si>
  <si>
    <t>40/2 Chu Văn An p. Đông Kinh, Lạng Sơn</t>
  </si>
  <si>
    <t>0917861988</t>
  </si>
  <si>
    <t>BV0949</t>
  </si>
  <si>
    <t>Đinh Quang Hưng</t>
  </si>
  <si>
    <t>020093002101</t>
  </si>
  <si>
    <t>Số 15 - Nhị Thanh - Phường Tam Thanh - Tỉnh Lạng Sơn</t>
  </si>
  <si>
    <t>BV1230</t>
  </si>
  <si>
    <t>Nông Thị Ngân Giang</t>
  </si>
  <si>
    <t>020198005668</t>
  </si>
  <si>
    <t>0368570712</t>
  </si>
  <si>
    <t>BV0376</t>
  </si>
  <si>
    <t>Hoàng Thu Hường</t>
  </si>
  <si>
    <t>020169001674</t>
  </si>
  <si>
    <t>Số 11 đường Kéo Tào-Phường Đông Kinh- Tỉnh Lạng Sơn</t>
  </si>
  <si>
    <t>BV0380</t>
  </si>
  <si>
    <t>Nông Thị Tươi</t>
  </si>
  <si>
    <t>020181000736</t>
  </si>
  <si>
    <t>Tổ 2- Khối 4 - Phường  Kỳ lừa - Tỉnh Lạng Sơn</t>
  </si>
  <si>
    <t>0915988515</t>
  </si>
  <si>
    <t>BV0194</t>
  </si>
  <si>
    <t>Hoàng Thị Nhài</t>
  </si>
  <si>
    <t>020186000814</t>
  </si>
  <si>
    <t>Số 43 - Tạ Quang Bửu - khu N16 - Phường Kỳ Lừa - tỉnh Lạng sơn</t>
  </si>
  <si>
    <t>0917741555</t>
  </si>
  <si>
    <t>BV0386</t>
  </si>
  <si>
    <t>Ngô Thị Huyền</t>
  </si>
  <si>
    <t>020187002835</t>
  </si>
  <si>
    <t>Số 11 ngõ 105 Lê Lợi, Phường Đông Kinh- Tỉnh Lạng Sơn</t>
  </si>
  <si>
    <t>0919088258</t>
  </si>
  <si>
    <t>BV0021</t>
  </si>
  <si>
    <t>Lý Thị Lệ</t>
  </si>
  <si>
    <t>020185002475</t>
  </si>
  <si>
    <t>Số 364 Trần Đăng Ninh- Phường Kỳ Lừa- Tỉnh Lạng Sơn</t>
  </si>
  <si>
    <t>BV0383</t>
  </si>
  <si>
    <t>Vũ Thúy Ngân</t>
  </si>
  <si>
    <t>020169001840</t>
  </si>
  <si>
    <t>0919502181</t>
  </si>
  <si>
    <t>BV0381</t>
  </si>
  <si>
    <t>Nông Minh Hiếu</t>
  </si>
  <si>
    <t>020182002688</t>
  </si>
  <si>
    <t>Khối Chi Mạc- Phường Tam Thanh- Tỉnh Lạng Sơn</t>
  </si>
  <si>
    <t>0919715234</t>
  </si>
  <si>
    <t>BV0391</t>
  </si>
  <si>
    <t>Bạch Ngọc Sỹ</t>
  </si>
  <si>
    <t>020070005953</t>
  </si>
  <si>
    <t>31 Bến Bắc, phường Tam Thanh, tỉnh Lạng Sơn</t>
  </si>
  <si>
    <t>BV0392</t>
  </si>
  <si>
    <t>Hoàng Sơn</t>
  </si>
  <si>
    <t>020077008233</t>
  </si>
  <si>
    <t>139A, đường Ngô Quyền, phường Đông Kinh, tỉnh Lạng Sơn</t>
  </si>
  <si>
    <t>BV0393</t>
  </si>
  <si>
    <t>Trần Quốc Hải</t>
  </si>
  <si>
    <t>020066001738</t>
  </si>
  <si>
    <t>BV0395</t>
  </si>
  <si>
    <t>Lý Ngọc Thủy</t>
  </si>
  <si>
    <t>020187003173</t>
  </si>
  <si>
    <t>117 Trần Phú, phường Kỳ Lừa, tỉnh Lạng Sơn</t>
  </si>
  <si>
    <t>BV0400</t>
  </si>
  <si>
    <t>Hoàng Minh Hiếu</t>
  </si>
  <si>
    <t>020082001431</t>
  </si>
  <si>
    <t>khối Yên Thành, phường Đông Kinh, tiinhr Lạng Sơn</t>
  </si>
  <si>
    <t>BV0398</t>
  </si>
  <si>
    <t>Phạm Thị Ngần</t>
  </si>
  <si>
    <t>036190019794</t>
  </si>
  <si>
    <t>số nhà 1, ngách 1, ngõ 3 Hoàng Thượng, xã Hoàng Đồng, tỉnh ạng Sơn. Phường Tam Thanh, tỉnh Lạng Sơn</t>
  </si>
  <si>
    <t>BV0302</t>
  </si>
  <si>
    <t>Nguyễn Thanh Thúy</t>
  </si>
  <si>
    <t>020189010948</t>
  </si>
  <si>
    <t>Ngách 18, ngõ 651, khối 15, đường Bà Triệu,  phường Đông Kinh, tỉnh Lạng Sơn</t>
  </si>
  <si>
    <t>BV0403</t>
  </si>
  <si>
    <t>Hà Thị Thanh Lý</t>
  </si>
  <si>
    <t>020186009778</t>
  </si>
  <si>
    <t>thôn Bình Trung, xã Khánh Khê, tỉnh Lạng Sơn</t>
  </si>
  <si>
    <t>BV0402</t>
  </si>
  <si>
    <t>Hoàng Thị Loan</t>
  </si>
  <si>
    <t>020186006224</t>
  </si>
  <si>
    <t>khối 11, phường Đông Knh, tỉnh Lạng Sơn</t>
  </si>
  <si>
    <t>0914998134</t>
  </si>
  <si>
    <t>BV0406</t>
  </si>
  <si>
    <t>Nguyễn Khắc Trường</t>
  </si>
  <si>
    <t>020066001548</t>
  </si>
  <si>
    <t>số 1 ngõ 50, Phố Muối, Tam Thanh</t>
  </si>
  <si>
    <t>BV0919</t>
  </si>
  <si>
    <t>Hoàng Doãn Toán</t>
  </si>
  <si>
    <t>020087002779</t>
  </si>
  <si>
    <t>Nà Yêu, Vũ Lăng, Bắc Sơn</t>
  </si>
  <si>
    <t>0912080101</t>
  </si>
  <si>
    <t>Chuyển đến 01/3/2019</t>
  </si>
  <si>
    <t>BV0796</t>
  </si>
  <si>
    <t>Hoàng Hồng Nguyên</t>
  </si>
  <si>
    <t>020093002129</t>
  </si>
  <si>
    <t>Khối 3, Phường Đông Kinh</t>
  </si>
  <si>
    <t>0931685878</t>
  </si>
  <si>
    <t>BV0963</t>
  </si>
  <si>
    <t>Trương Thanh Trì</t>
  </si>
  <si>
    <t>020095001786</t>
  </si>
  <si>
    <t>BV1031</t>
  </si>
  <si>
    <t>Nông Thị Bích Phương</t>
  </si>
  <si>
    <t>020189008056</t>
  </si>
  <si>
    <t>Khối 6, P. Đông Kinh</t>
  </si>
  <si>
    <t>0916377028</t>
  </si>
  <si>
    <t>Chuyển đến 25/5/2020</t>
  </si>
  <si>
    <t>BV1227</t>
  </si>
  <si>
    <t>Ngô Công Anh</t>
  </si>
  <si>
    <t>Răng hàm mặt</t>
  </si>
  <si>
    <t>020093001413</t>
  </si>
  <si>
    <t>110 Lý Thường Kiệt, khối 6, Đông Kinh</t>
  </si>
  <si>
    <t>BV0217</t>
  </si>
  <si>
    <t>Vi Thị Nhị</t>
  </si>
  <si>
    <t>020186002924</t>
  </si>
  <si>
    <t>27 Bến Bắc, Tam Thanh</t>
  </si>
  <si>
    <t>BV0232</t>
  </si>
  <si>
    <t>Hoàng Thị Thùy Dung</t>
  </si>
  <si>
    <t>020189012646</t>
  </si>
  <si>
    <t>0946099019</t>
  </si>
  <si>
    <t>BV0415</t>
  </si>
  <si>
    <t>020187006390</t>
  </si>
  <si>
    <t>Số 10, ngõ 162, Mỹ Sơn, P. Đông Kinh</t>
  </si>
  <si>
    <t>0972415581</t>
  </si>
  <si>
    <t>BV0419</t>
  </si>
  <si>
    <t>Đoàn Thị Thúy Liễu</t>
  </si>
  <si>
    <t>020184005176</t>
  </si>
  <si>
    <t>BV0413</t>
  </si>
  <si>
    <t>Lâm Diệu Hằng</t>
  </si>
  <si>
    <t>020176002268</t>
  </si>
  <si>
    <t>0917292068</t>
  </si>
  <si>
    <t>BV0770</t>
  </si>
  <si>
    <t>Nông Thúy Mai</t>
  </si>
  <si>
    <t>020178000544</t>
  </si>
  <si>
    <t>Khối Đồng Én, phương Tam Thanh</t>
  </si>
  <si>
    <t>BV0423</t>
  </si>
  <si>
    <t>Hoàng Văn Yêu</t>
  </si>
  <si>
    <t>GM-HS</t>
  </si>
  <si>
    <t>020069006689</t>
  </si>
  <si>
    <t>Khối Đào Giang, phường Lương Văn Tri</t>
  </si>
  <si>
    <t>BV0425</t>
  </si>
  <si>
    <t>Nguyễn Thị Hồng Duyên</t>
  </si>
  <si>
    <t>020186002105</t>
  </si>
  <si>
    <t>0942031086</t>
  </si>
  <si>
    <t>BV0426</t>
  </si>
  <si>
    <t>020188007568</t>
  </si>
  <si>
    <t>Khối 16, phường Đông Kinh</t>
  </si>
  <si>
    <t>0987783667</t>
  </si>
  <si>
    <t>BV0424</t>
  </si>
  <si>
    <t>Hoàng Thị Hiên</t>
  </si>
  <si>
    <t>020179001994</t>
  </si>
  <si>
    <t>Khối 9, phường Kỳ Lừa</t>
  </si>
  <si>
    <t>0913561898</t>
  </si>
  <si>
    <t>BV0887</t>
  </si>
  <si>
    <t>Hoàng Mai Loan</t>
  </si>
  <si>
    <t>020193002205</t>
  </si>
  <si>
    <t>Khối 12, phường Kỳ Lừa</t>
  </si>
  <si>
    <t>0967666510</t>
  </si>
  <si>
    <t>BV0889</t>
  </si>
  <si>
    <t>Tô Thị Kim Anh</t>
  </si>
  <si>
    <t>020194000530</t>
  </si>
  <si>
    <t>Khối 14, phường Kỳ Lừa</t>
  </si>
  <si>
    <t>0386643830</t>
  </si>
  <si>
    <t>BV1154</t>
  </si>
  <si>
    <t>Trần Trịnh Huy</t>
  </si>
  <si>
    <t>020097008028</t>
  </si>
  <si>
    <t>Khối 11, phường Kỳ Lừa</t>
  </si>
  <si>
    <t>0345316235</t>
  </si>
  <si>
    <t>HĐ 6/9/2021-16/11/2021; HĐ tiếp từ 19/12/2022, Viên chức từ 15/6/2026</t>
  </si>
  <si>
    <t>BV0220</t>
  </si>
  <si>
    <t>Nông Bích Đào</t>
  </si>
  <si>
    <t>020186000938</t>
  </si>
  <si>
    <t>Khối Bản Viển, phường Tam Thanh</t>
  </si>
  <si>
    <t>0915473089</t>
  </si>
  <si>
    <t>BV0441</t>
  </si>
  <si>
    <t>Vy Thị Thảo</t>
  </si>
  <si>
    <t>020186002100</t>
  </si>
  <si>
    <t>Khối Hoàng Trung, phường Tam Thanh</t>
  </si>
  <si>
    <t>0916217688</t>
  </si>
  <si>
    <t>BV0430</t>
  </si>
  <si>
    <t>Ma Thị Hòe</t>
  </si>
  <si>
    <t>020174001873</t>
  </si>
  <si>
    <t>Khối 9, phường Đông Kinh</t>
  </si>
  <si>
    <t>0919501180</t>
  </si>
  <si>
    <t>BV0184</t>
  </si>
  <si>
    <t>Hoàng Thị Hải Yến</t>
  </si>
  <si>
    <t>020190010789</t>
  </si>
  <si>
    <t>0985179556</t>
  </si>
  <si>
    <t>BV0738</t>
  </si>
  <si>
    <t>Nguyễn Văn Huy</t>
  </si>
  <si>
    <t>020091004528</t>
  </si>
  <si>
    <t>Khối Hoàng Tâm, Phường Thanh</t>
  </si>
  <si>
    <t>0399395665</t>
  </si>
  <si>
    <t>BV0428</t>
  </si>
  <si>
    <t>Lành Văn Lượng</t>
  </si>
  <si>
    <t>020067000375</t>
  </si>
  <si>
    <t>Khối Chi mạc, phường Tam Thanh</t>
  </si>
  <si>
    <t>0912430388</t>
  </si>
  <si>
    <t>BV0429</t>
  </si>
  <si>
    <t>Hoàng Thị Mơ</t>
  </si>
  <si>
    <t>020170006496</t>
  </si>
  <si>
    <t>Khối Pàn Pè, phường Tam Thanh</t>
  </si>
  <si>
    <t>0913530866</t>
  </si>
  <si>
    <t>BV0066</t>
  </si>
  <si>
    <t>Lương Thị Quyến</t>
  </si>
  <si>
    <t>020188008927</t>
  </si>
  <si>
    <t>Khối Hoàng tâm, phường Tam Thanh</t>
  </si>
  <si>
    <t>0917899818</t>
  </si>
  <si>
    <t>BV0196</t>
  </si>
  <si>
    <t>Vi Thị Niệm</t>
  </si>
  <si>
    <t>020188005944</t>
  </si>
  <si>
    <t>Khối Khòn Pát, phường Đông Kinh</t>
  </si>
  <si>
    <t>0382776615</t>
  </si>
  <si>
    <t>BV0440</t>
  </si>
  <si>
    <t>Hoàng Thị Điệp</t>
  </si>
  <si>
    <t>020186007852</t>
  </si>
  <si>
    <t>Khối 7, phường Đông Kinh</t>
  </si>
  <si>
    <t>0987118886</t>
  </si>
  <si>
    <t>BV0436</t>
  </si>
  <si>
    <t>Triệu Thị Minh</t>
  </si>
  <si>
    <t>020175002086</t>
  </si>
  <si>
    <t>Khối 15, phường Đông Kinh</t>
  </si>
  <si>
    <t>0912205483</t>
  </si>
  <si>
    <t>BV0438</t>
  </si>
  <si>
    <t>Lương Tuyết Nhung</t>
  </si>
  <si>
    <t>020180001484</t>
  </si>
  <si>
    <t>Khối Hoàng Thượng, phường Tam Thanh</t>
  </si>
  <si>
    <t>0978598937</t>
  </si>
  <si>
    <t>BV0434</t>
  </si>
  <si>
    <t>Lăng Thị Thương</t>
  </si>
  <si>
    <t>020184002851</t>
  </si>
  <si>
    <t>Khối Pò Đứa, phường Đông Kinh</t>
  </si>
  <si>
    <t>0965121389</t>
  </si>
  <si>
    <t>BV1175</t>
  </si>
  <si>
    <t>Ngô Hồng Lan</t>
  </si>
  <si>
    <t>020193000489</t>
  </si>
  <si>
    <t>Khối 8, phường Đông Kinh</t>
  </si>
  <si>
    <t>Chuyển đến 04/5/2022</t>
  </si>
  <si>
    <t>BV0067</t>
  </si>
  <si>
    <t>Hoàng Xuân Cường</t>
  </si>
  <si>
    <t>020085007541</t>
  </si>
  <si>
    <t>Khối 21, phường Kỳ Lưà</t>
  </si>
  <si>
    <t>BV0445</t>
  </si>
  <si>
    <t>Nông Thị Len</t>
  </si>
  <si>
    <t>024190004184</t>
  </si>
  <si>
    <t>Khối 7, phường Tam Thanh</t>
  </si>
  <si>
    <t>0986559829</t>
  </si>
  <si>
    <t>BV0437</t>
  </si>
  <si>
    <t>Hoàng Thanh Lê</t>
  </si>
  <si>
    <t>020171001940</t>
  </si>
  <si>
    <t>Khối 10, phường Tam Thanh</t>
  </si>
  <si>
    <t>0917818506</t>
  </si>
  <si>
    <t>BV0442</t>
  </si>
  <si>
    <t>Nông Thị Bích Ngọc</t>
  </si>
  <si>
    <t>020186011850</t>
  </si>
  <si>
    <t>Khối Khòn Pịt, phường Tam Thanh</t>
  </si>
  <si>
    <t>0916785469</t>
  </si>
  <si>
    <t>BV0439</t>
  </si>
  <si>
    <t>Trần Thị Nguyệt</t>
  </si>
  <si>
    <t>020178002577</t>
  </si>
  <si>
    <t>Khố Đại Thắng, phường Lương Văn Tri</t>
  </si>
  <si>
    <t>0985231388</t>
  </si>
  <si>
    <t>BV0443</t>
  </si>
  <si>
    <t>Vy Huyền Trang</t>
  </si>
  <si>
    <t>020187002812</t>
  </si>
  <si>
    <t>Khối 8, phường Tam Thanh</t>
  </si>
  <si>
    <t>0918311304</t>
  </si>
  <si>
    <t>BV0444</t>
  </si>
  <si>
    <t>Vi Thị Hoài Vân</t>
  </si>
  <si>
    <t>020187011075</t>
  </si>
  <si>
    <t>Khối Trần Quang Khải 1, phường Lương Văn Tri</t>
  </si>
  <si>
    <t>0972135854</t>
  </si>
  <si>
    <t>BV0432</t>
  </si>
  <si>
    <t>Lương Lệ Mỹ</t>
  </si>
  <si>
    <t>020179000458</t>
  </si>
  <si>
    <t>0916773606</t>
  </si>
  <si>
    <t>BV0433</t>
  </si>
  <si>
    <t>Nông Ngọc Tân</t>
  </si>
  <si>
    <t>020083004670</t>
  </si>
  <si>
    <t>BV0762</t>
  </si>
  <si>
    <t>Hoàng Thị Thuận</t>
  </si>
  <si>
    <t>020194007925</t>
  </si>
  <si>
    <t>0965331633</t>
  </si>
  <si>
    <t>Chuyển đến 10/3/2017</t>
  </si>
  <si>
    <t>BV0118</t>
  </si>
  <si>
    <t>Vi Thị May</t>
  </si>
  <si>
    <t>020182005394</t>
  </si>
  <si>
    <t>0978716245</t>
  </si>
  <si>
    <t>BV0203</t>
  </si>
  <si>
    <t>Vi Thị Hà</t>
  </si>
  <si>
    <t>020174008039</t>
  </si>
  <si>
    <t>0369100396</t>
  </si>
  <si>
    <t>BV0450</t>
  </si>
  <si>
    <t>Vi Thị Dung</t>
  </si>
  <si>
    <t>Dinh Dưỡng</t>
  </si>
  <si>
    <t>020181002057</t>
  </si>
  <si>
    <t>BV1236</t>
  </si>
  <si>
    <t>Nguyễn Thị Thùy Linh</t>
  </si>
  <si>
    <t>CN Dinh dưỡng</t>
  </si>
  <si>
    <t>Dinh dưỡng hạng III</t>
  </si>
  <si>
    <t>Dinh dưỡng</t>
  </si>
  <si>
    <t>020199005494</t>
  </si>
  <si>
    <t>125 Nguyễn Phi Khanh. Phường Tam Thanh</t>
  </si>
  <si>
    <t>BV0462</t>
  </si>
  <si>
    <t>Linh Lan Hương</t>
  </si>
  <si>
    <t>DSCKI</t>
  </si>
  <si>
    <t>Dược sĩ (hạng III)</t>
  </si>
  <si>
    <t>Dược</t>
  </si>
  <si>
    <t>020185003340</t>
  </si>
  <si>
    <t>Khối 1+2, phường Đông Kinh, Tỉnh Lạng Sơn</t>
  </si>
  <si>
    <t>BV0765</t>
  </si>
  <si>
    <t>Bùi Thị Sao Mi</t>
  </si>
  <si>
    <t>004192005484</t>
  </si>
  <si>
    <t>0963209432</t>
  </si>
  <si>
    <t>BV0459</t>
  </si>
  <si>
    <t>Lý Thanh Tâm</t>
  </si>
  <si>
    <t>Dược sĩ chính (hạng II)</t>
  </si>
  <si>
    <t>020185009764</t>
  </si>
  <si>
    <t>BV0466</t>
  </si>
  <si>
    <t>Nguyễn Thị Thùy Dương</t>
  </si>
  <si>
    <t>Dược sỹ ĐH</t>
  </si>
  <si>
    <t>020186002633</t>
  </si>
  <si>
    <t>Khối 8 phường Tam Thanh - Tỉnh Lạng Sơn</t>
  </si>
  <si>
    <t>0977255338</t>
  </si>
  <si>
    <t>BV0998</t>
  </si>
  <si>
    <t>Ngô Thị Yến</t>
  </si>
  <si>
    <t>027192000403</t>
  </si>
  <si>
    <t>50 Phan Đăng Lưu, phường Kỳ Lừa,tỉnh Lạng Sơn</t>
  </si>
  <si>
    <t>Thử việc từ 09/3/2020, Viên chức từ 15/6/2026</t>
  </si>
  <si>
    <t>BV0999</t>
  </si>
  <si>
    <t>Nguyễn Thị Thu Thúy</t>
  </si>
  <si>
    <t>015193011146</t>
  </si>
  <si>
    <t>Số 86, đường Ba Sơn, thôn Đồi Chè, phường Tam Thanh tỉnh Lạng Sơn</t>
  </si>
  <si>
    <t>BV1161</t>
  </si>
  <si>
    <t>Hoàng Thị Thu Hằng</t>
  </si>
  <si>
    <t>020192004172</t>
  </si>
  <si>
    <t>Số 6, ngách 3, ngõ 104, đường Lê Đại Hành, phường Đông Kinh</t>
  </si>
  <si>
    <t>Chuyển đến 10/9/2021</t>
  </si>
  <si>
    <t>BV1189</t>
  </si>
  <si>
    <t>Nông Minh Huyền</t>
  </si>
  <si>
    <t>020199007693</t>
  </si>
  <si>
    <t>Số 28/104, đường Lê Đại Hành, P.Đông Kinh, tỉnh Lạng Sơn</t>
  </si>
  <si>
    <t>Thử việc 26/09/2022, Viên chức từ 15/6/2026</t>
  </si>
  <si>
    <t>BV1191</t>
  </si>
  <si>
    <t>Cam Thị Sơn</t>
  </si>
  <si>
    <t>020196005371</t>
  </si>
  <si>
    <t>140 Khu Bản Kho, xã Lộc Bình, tỉnh Lạng Sơn</t>
  </si>
  <si>
    <t>0392183898</t>
  </si>
  <si>
    <t>BV1218</t>
  </si>
  <si>
    <t>Hoàng Thảo Chi</t>
  </si>
  <si>
    <t>020198003298</t>
  </si>
  <si>
    <t>Số 17 ngõ 95 Nguyễn Du, phường Đông Kinh, tỉnh Lạng Sơn</t>
  </si>
  <si>
    <t>Hợp đồng từ 26/12/2022, Viên chức từ 15/6/2026</t>
  </si>
  <si>
    <t>BV1224</t>
  </si>
  <si>
    <t>Phạm Duy</t>
  </si>
  <si>
    <t>020095001803</t>
  </si>
  <si>
    <t>Khối 9, Phường Tam Thanh, tỉnh Lạng Sơn</t>
  </si>
  <si>
    <t>Hợp đồng từ 6/3/2023</t>
  </si>
  <si>
    <t>BV1273</t>
  </si>
  <si>
    <t>038197026268</t>
  </si>
  <si>
    <t>0981787846</t>
  </si>
  <si>
    <t>BV0482</t>
  </si>
  <si>
    <t>Hoàng Thị Vân</t>
  </si>
  <si>
    <t>Dược sỹ CĐ</t>
  </si>
  <si>
    <t>Dược (hạng IV)</t>
  </si>
  <si>
    <t>020186010366</t>
  </si>
  <si>
    <t>Khối Bản Viển, phường Tam Thanh, tỉnh Lạng Sơn</t>
  </si>
  <si>
    <t>0366597448</t>
  </si>
  <si>
    <t>Chuyển từ HĐ68; đỗ VC 20/5/2026;</t>
  </si>
  <si>
    <t>BV0471</t>
  </si>
  <si>
    <t>Thạch Quỳnh Hoa</t>
  </si>
  <si>
    <t>020188002616</t>
  </si>
  <si>
    <t>26/144 Nhị Thanh, Khối 11 Phường Tam Thanh, Tỉnh Lạng Sơn</t>
  </si>
  <si>
    <t>0912203419</t>
  </si>
  <si>
    <t>BV0468</t>
  </si>
  <si>
    <t>Hà Thị Thu Hương</t>
  </si>
  <si>
    <t>020181002318</t>
  </si>
  <si>
    <t>Khối 12 Phường Kỳ Lừa - Tỉnh Lạng Sơn</t>
  </si>
  <si>
    <t>0912921040</t>
  </si>
  <si>
    <t>BV0476</t>
  </si>
  <si>
    <t>Đào Thị Quang</t>
  </si>
  <si>
    <t>034188017573</t>
  </si>
  <si>
    <t>Khối Đại Thắng - Phường Lương Văn Tri - Tỉnh Lạng Sơn</t>
  </si>
  <si>
    <t>0913230111</t>
  </si>
  <si>
    <t>BV1000</t>
  </si>
  <si>
    <t>Nguyễn Diệu Quỳnh</t>
  </si>
  <si>
    <t>020197000358</t>
  </si>
  <si>
    <t>BV1110</t>
  </si>
  <si>
    <t>Nguyễn Thị Huệ</t>
  </si>
  <si>
    <t>020197001190</t>
  </si>
  <si>
    <t>25 Đèo Giang, khối Cửa Bắc, phường Lương Văn Tri, tỉnh Lạng Sơn</t>
  </si>
  <si>
    <t>Thử việc 20/01-31/01/2021</t>
  </si>
  <si>
    <t>BV1118</t>
  </si>
  <si>
    <t>Hoàng Thị Hiền</t>
  </si>
  <si>
    <t>020189001756</t>
  </si>
  <si>
    <t>khối Nà soong, phường Đông kinh, tỉnh Lạng sơn</t>
  </si>
  <si>
    <t>BV1182</t>
  </si>
  <si>
    <t>Vi Thanh Hương</t>
  </si>
  <si>
    <t>020193001302</t>
  </si>
  <si>
    <t>Thôn Thống Nhất 2, xã Chi Lăng, tỉnh Lạng Sơn</t>
  </si>
  <si>
    <t>0397918680</t>
  </si>
  <si>
    <t>BV0825</t>
  </si>
  <si>
    <t>Chu Hoàng Dưỡng</t>
  </si>
  <si>
    <t>KSNK</t>
  </si>
  <si>
    <t>020086002707</t>
  </si>
  <si>
    <t>Khối Hoàng Tân, phường Tam Thanh, tỉnh Lạng Sơn</t>
  </si>
  <si>
    <t>0978628630</t>
  </si>
  <si>
    <t>BV0469</t>
  </si>
  <si>
    <t>Vũ Minh Phượng</t>
  </si>
  <si>
    <t>020186008034</t>
  </si>
  <si>
    <t>Khối Kéo Tào - Phường Kỳ Lừa - Tỉnh Lạng Sơn</t>
  </si>
  <si>
    <t>BV0475</t>
  </si>
  <si>
    <t>Lương Bích Thùy</t>
  </si>
  <si>
    <t>020188009632</t>
  </si>
  <si>
    <t>Số 12, ngõ 195, K10, Đ.Bến Bắc, P.Tam Thanh, Tỉnh Lạng Sơn</t>
  </si>
  <si>
    <t>BV1299</t>
  </si>
  <si>
    <t>Lương Thị Phương Linh</t>
  </si>
  <si>
    <t>020198000972</t>
  </si>
  <si>
    <t>khối 14 Phường Kỳ Lừa - Tỉnh Lạng Sơn</t>
  </si>
  <si>
    <t>Thử việc 02/01/2025, Viên chức từ 15/6/2026</t>
  </si>
  <si>
    <t>BV1187</t>
  </si>
  <si>
    <t>Vương Thị Lý</t>
  </si>
  <si>
    <t>Dược sỹ TC</t>
  </si>
  <si>
    <t>020196004343</t>
  </si>
  <si>
    <t>22/167 Phai Vệ,phường Đông Kinh,tỉnh Lạng Sơn</t>
  </si>
  <si>
    <t>0374219233</t>
  </si>
  <si>
    <t>Hợp đồng 06/7/2022</t>
  </si>
  <si>
    <t>BV0485</t>
  </si>
  <si>
    <t>Nông Thị Nòm</t>
  </si>
  <si>
    <t>HH-TM</t>
  </si>
  <si>
    <t>020188011260</t>
  </si>
  <si>
    <t>0343810753</t>
  </si>
  <si>
    <t>BV0484</t>
  </si>
  <si>
    <t>Lâm Thị Kiểm</t>
  </si>
  <si>
    <t>020174001803</t>
  </si>
  <si>
    <t>BV0486</t>
  </si>
  <si>
    <t>Hoàng Thị Bích Liên</t>
  </si>
  <si>
    <t>Kỹ thuật y trưởng</t>
  </si>
  <si>
    <t>020182003084</t>
  </si>
  <si>
    <t>BV0487</t>
  </si>
  <si>
    <t>020186011507</t>
  </si>
  <si>
    <t>0834666852</t>
  </si>
  <si>
    <t>BV0493</t>
  </si>
  <si>
    <t>Trần Thị Thanh Tuyền</t>
  </si>
  <si>
    <t>020188007278</t>
  </si>
  <si>
    <t>0988846823</t>
  </si>
  <si>
    <t>BV0492</t>
  </si>
  <si>
    <t>Bế Thị Thu Trang</t>
  </si>
  <si>
    <t>020188010653</t>
  </si>
  <si>
    <t>BV0488</t>
  </si>
  <si>
    <t>Doãn Hồng Oanh</t>
  </si>
  <si>
    <t>038181038230</t>
  </si>
  <si>
    <t>BV1319</t>
  </si>
  <si>
    <t>Đặng Phương Thảo</t>
  </si>
  <si>
    <t>030301014212</t>
  </si>
  <si>
    <t>0346733258</t>
  </si>
  <si>
    <t>BV0806</t>
  </si>
  <si>
    <t>Nông Thị Dung</t>
  </si>
  <si>
    <t>020193001575</t>
  </si>
  <si>
    <t>Chuyển đến 01/9/2017</t>
  </si>
  <si>
    <t>BV0766</t>
  </si>
  <si>
    <t>Trần Thị Thủy</t>
  </si>
  <si>
    <t>020195001863</t>
  </si>
  <si>
    <t>BV0491</t>
  </si>
  <si>
    <t>Triệu Thị Đào</t>
  </si>
  <si>
    <t>020183003468</t>
  </si>
  <si>
    <t>0984324298</t>
  </si>
  <si>
    <t>BV0828</t>
  </si>
  <si>
    <t>Triệu Thị Lên</t>
  </si>
  <si>
    <t>006187003732</t>
  </si>
  <si>
    <t>BV0494</t>
  </si>
  <si>
    <t>Hoàng Huy Thưởng</t>
  </si>
  <si>
    <t>020086010366</t>
  </si>
  <si>
    <t>BV0454</t>
  </si>
  <si>
    <t>La Thị Hiền</t>
  </si>
  <si>
    <t>020182002366</t>
  </si>
  <si>
    <t>0915326358</t>
  </si>
  <si>
    <t>BV0496</t>
  </si>
  <si>
    <t>Vũ Thị Vy</t>
  </si>
  <si>
    <t>HS-VS</t>
  </si>
  <si>
    <t>019178002341</t>
  </si>
  <si>
    <t>Số 17, Thác Mạ 4, Phường Đông Kinh.</t>
  </si>
  <si>
    <t>BV0701</t>
  </si>
  <si>
    <t>020188009059</t>
  </si>
  <si>
    <t>Số 126, khối Hoàng Thượng, phường Tam Thanh.</t>
  </si>
  <si>
    <t>0399067105</t>
  </si>
  <si>
    <t>BV0503</t>
  </si>
  <si>
    <t>Vũ Bích Thủy</t>
  </si>
  <si>
    <t>020184002853</t>
  </si>
  <si>
    <t>Số 20, ngõ 195, đường Bến Bắc, Phường Tam Thanh.</t>
  </si>
  <si>
    <t>BV0813</t>
  </si>
  <si>
    <t>Trần Thị Thảo</t>
  </si>
  <si>
    <t>020193002184</t>
  </si>
  <si>
    <t>Khối Tân Lập, phường Đông Kinh.</t>
  </si>
  <si>
    <t>HĐ 13/12/2017; đỗ VC 20/5/2026;</t>
  </si>
  <si>
    <t>BV0955</t>
  </si>
  <si>
    <t>Phan Thị Vân Anh</t>
  </si>
  <si>
    <t>020197009034</t>
  </si>
  <si>
    <t>Thôn Diễn, Hữu Liên, Tỉnh Lạng Sơn.</t>
  </si>
  <si>
    <t>Thử việc 23/10/2019, Viên chức từ 15/6/2026</t>
  </si>
  <si>
    <t>BV1124</t>
  </si>
  <si>
    <t>Trần Thị Thanh Huyền</t>
  </si>
  <si>
    <t>020195001963</t>
  </si>
  <si>
    <t>Số 48, đường Ngô Thì Sỹ, phường Tam Thanh.</t>
  </si>
  <si>
    <t>Hợp đồng từ 10/5/2021 (thử việc đến 31/5/2021), Viên chức từ 15/6/2026</t>
  </si>
  <si>
    <t>BV0507</t>
  </si>
  <si>
    <t>Hoàng Thị Hường</t>
  </si>
  <si>
    <t>020184007464</t>
  </si>
  <si>
    <t>Khối Yên Thành, phường Đông Kinh, tỉnh Lạng Sơn</t>
  </si>
  <si>
    <t>0387356824</t>
  </si>
  <si>
    <t>BV0509</t>
  </si>
  <si>
    <t>Hoàng Thị Mai Thành</t>
  </si>
  <si>
    <t>020184000826</t>
  </si>
  <si>
    <t>Số 3, tổ 2, khối 26, phường Kỳ Lừa.</t>
  </si>
  <si>
    <t>0983721208</t>
  </si>
  <si>
    <t>BV0510</t>
  </si>
  <si>
    <t>Hoàng Thị Kim Hải</t>
  </si>
  <si>
    <t>020193002196</t>
  </si>
  <si>
    <t>Xã Nhân Lý, tỉnh Lạng Sơn.</t>
  </si>
  <si>
    <t>0359158734</t>
  </si>
  <si>
    <t>HĐ1/1/2015; Đỗ VC 20/5/2026</t>
  </si>
  <si>
    <t>BV0498</t>
  </si>
  <si>
    <t>Nông Thị Hằng</t>
  </si>
  <si>
    <t>020172001990</t>
  </si>
  <si>
    <t>Số 18, tổ 2, Khối 13, ngõ 205, đường Nguyễn Du, phường Đông Kinh.</t>
  </si>
  <si>
    <t>0979160526</t>
  </si>
  <si>
    <t>BV0501</t>
  </si>
  <si>
    <t>Đặng Thị Thảo</t>
  </si>
  <si>
    <t>020192000910</t>
  </si>
  <si>
    <t>Số 314, khối 18, đường Ngô Quyền, phường Đông Kinh.</t>
  </si>
  <si>
    <t>0374635865</t>
  </si>
  <si>
    <t>BV1041</t>
  </si>
  <si>
    <t>Vi Thị Hiển</t>
  </si>
  <si>
    <t>020193002195</t>
  </si>
  <si>
    <t>0374635866</t>
  </si>
  <si>
    <t>Thử việc từ 13/7/2020; đỗ VC 20/5/2026;</t>
  </si>
  <si>
    <t>BV0827</t>
  </si>
  <si>
    <t>Hoàng Văn Lượng</t>
  </si>
  <si>
    <t>020092007266</t>
  </si>
  <si>
    <t>0977421251</t>
  </si>
  <si>
    <t>BV0502</t>
  </si>
  <si>
    <t>Đỗ Thanh Thủy</t>
  </si>
  <si>
    <t>024187021077</t>
  </si>
  <si>
    <t>Thôn Còn Nàn, xã Ba Sơn, tỉnh Lạng Sơn.</t>
  </si>
  <si>
    <t>BV0505</t>
  </si>
  <si>
    <t>Thi Thị Thuận</t>
  </si>
  <si>
    <t>020169001841</t>
  </si>
  <si>
    <t>0364527693</t>
  </si>
  <si>
    <t>BV0452</t>
  </si>
  <si>
    <t>Vi Thị Đông</t>
  </si>
  <si>
    <t>020173002029</t>
  </si>
  <si>
    <t>Số 9B, ngõ 109, đường Nguyễn Du, phường Đông Kinh.</t>
  </si>
  <si>
    <t>0355284728</t>
  </si>
  <si>
    <t>BV0538</t>
  </si>
  <si>
    <t>TDCN</t>
  </si>
  <si>
    <t>020187000669</t>
  </si>
  <si>
    <t>Số 74 - Bến bắc - P. Tam Thanh - Tỉnh Lạng Sơn</t>
  </si>
  <si>
    <t>0979343858</t>
  </si>
  <si>
    <t>BV0537</t>
  </si>
  <si>
    <t>Đoàn Văn Sang</t>
  </si>
  <si>
    <t>036079030081</t>
  </si>
  <si>
    <t>D5/103, khối 8, phường Đông Kinh, tỉnh Lạng Sơn</t>
  </si>
  <si>
    <t>0949219581</t>
  </si>
  <si>
    <t>BV0943</t>
  </si>
  <si>
    <t>Hoàng Thị Mỹ Linh</t>
  </si>
  <si>
    <t>008193000997</t>
  </si>
  <si>
    <t>Khối Hoàng Thượng, P. Tam Thanh, Tỉnh Lạng Sơn</t>
  </si>
  <si>
    <t>0366176124</t>
  </si>
  <si>
    <t>Thử việc 26/8/2019</t>
  </si>
  <si>
    <t>BV0836</t>
  </si>
  <si>
    <t>Nguyễn Ngọc Linh</t>
  </si>
  <si>
    <t>020089009421</t>
  </si>
  <si>
    <t>Khối Trung Cấp, P. Đông Kinh, Tỉnh Lạng Sơn</t>
  </si>
  <si>
    <t>BV0024</t>
  </si>
  <si>
    <t>Mã Thị Thủy</t>
  </si>
  <si>
    <t>020188006197</t>
  </si>
  <si>
    <t>Số nhà 06/37/128, Mỹ Sơn, khối 9. P. Đông Kinh, tỉnh Lạng Sơn</t>
  </si>
  <si>
    <t>0812480555</t>
  </si>
  <si>
    <t>BV0540</t>
  </si>
  <si>
    <t>020173006195</t>
  </si>
  <si>
    <t>Số nhà 36, đường Nguyễn Thái Học, Khối Cửa Đông, P. Lương Văn Tri, tỉnh Lạng Sơn</t>
  </si>
  <si>
    <t>0985812888</t>
  </si>
  <si>
    <t>BV0234</t>
  </si>
  <si>
    <t>Chu Văn Huân</t>
  </si>
  <si>
    <t>020085000537</t>
  </si>
  <si>
    <t>Số nhà 120, khối 23, P. Kỳ Lừa, tỉnh Lạng Sơn</t>
  </si>
  <si>
    <t>BV0541</t>
  </si>
  <si>
    <t>Nông Thị Kim Hoa</t>
  </si>
  <si>
    <t>020174007079</t>
  </si>
  <si>
    <t>số 5 dãy B3 tập thể xi măng, khối Tân lập, phường Đông Kinh, Tỉnh lạng Sơn</t>
  </si>
  <si>
    <t>0915998927</t>
  </si>
  <si>
    <t>BV0545</t>
  </si>
  <si>
    <t>Lã Bích Hiệp</t>
  </si>
  <si>
    <t>020183001555</t>
  </si>
  <si>
    <t xml:space="preserve">Số 40, ngõ 15, khối 27, P. Kỳ Lừa </t>
  </si>
  <si>
    <t>0949285655</t>
  </si>
  <si>
    <t>BV0542</t>
  </si>
  <si>
    <t>Hoàng Thanh Hương</t>
  </si>
  <si>
    <t>020174004487</t>
  </si>
  <si>
    <t>390, Trần Đăng Ninh, Khối 11, P. Kỳ Lừa, tỉnh Lạng Sơn</t>
  </si>
  <si>
    <t>0949223729</t>
  </si>
  <si>
    <t>BV0543</t>
  </si>
  <si>
    <t>Lăng Kim Liên</t>
  </si>
  <si>
    <t>020172000383</t>
  </si>
  <si>
    <t>Số 5/80 Tô Thị, khối 7, P. Tam Thanh, tỉnh Lạng Sơn</t>
  </si>
  <si>
    <t>0916989366</t>
  </si>
  <si>
    <t>BV0916</t>
  </si>
  <si>
    <t>Hà Kim Thoa</t>
  </si>
  <si>
    <t>020193001390</t>
  </si>
  <si>
    <t>Thử việc 17/4/2019-31/5/2019, Viên chức từ 15/6/2026</t>
  </si>
  <si>
    <t>BV0548</t>
  </si>
  <si>
    <t>Triệu Văn Tuân</t>
  </si>
  <si>
    <t>020081000254</t>
  </si>
  <si>
    <t>Số nhà 101/19, Thác Trà, khối Trần Quang Khải, p. Lương Văn Tri, tỉnh Lạng Sơn</t>
  </si>
  <si>
    <t>0915492388</t>
  </si>
  <si>
    <t>BV0064</t>
  </si>
  <si>
    <t>Dương Thị Cương</t>
  </si>
  <si>
    <t>020187002807</t>
  </si>
  <si>
    <t>Số 6, Cao Thắng, P. Kỳ Lừa, tỉnh Lạng Sơn</t>
  </si>
  <si>
    <t>BV0562</t>
  </si>
  <si>
    <t>Hoàng Thị Hồng Nhung</t>
  </si>
  <si>
    <t>020172008378</t>
  </si>
  <si>
    <t>198, Tô Thi, P. Tam Thanh</t>
  </si>
  <si>
    <t>0985063588</t>
  </si>
  <si>
    <t>BV0514</t>
  </si>
  <si>
    <t>Lý Kiên Trung</t>
  </si>
  <si>
    <t>020083007940</t>
  </si>
  <si>
    <t>BV0497</t>
  </si>
  <si>
    <t>Hoàng Thế Xuân</t>
  </si>
  <si>
    <t>020087005089</t>
  </si>
  <si>
    <t>0975267160</t>
  </si>
  <si>
    <t>BV0755</t>
  </si>
  <si>
    <t>Lương Khánh Tú</t>
  </si>
  <si>
    <t>020190007103</t>
  </si>
  <si>
    <t>146. Đường Mỹ Sơn. Phường Đông Kinh. Tp Lạng Sơn</t>
  </si>
  <si>
    <t>0368223108</t>
  </si>
  <si>
    <t>HĐ 01/2017; BC 20/3/2018</t>
  </si>
  <si>
    <t>BV0517</t>
  </si>
  <si>
    <t>Nguyễn Thị Bách</t>
  </si>
  <si>
    <t>020190009668</t>
  </si>
  <si>
    <t>1/288 đường Nhị Thanh, phường Tam Thanh, tỉnh Lạng Sơn</t>
  </si>
  <si>
    <t>0986889351</t>
  </si>
  <si>
    <t>BV0678</t>
  </si>
  <si>
    <t>Hoàng Trọng Hiếu</t>
  </si>
  <si>
    <t>020090010415</t>
  </si>
  <si>
    <t>0344207196</t>
  </si>
  <si>
    <t>BV1223</t>
  </si>
  <si>
    <t>Hoàng Thị Thanh Mai</t>
  </si>
  <si>
    <t>020196001363</t>
  </si>
  <si>
    <t>0339650542</t>
  </si>
  <si>
    <t>Thử việc 11/8/2020, thanh lý 31/3/2021; HĐ lại 06/3/2023, Viên chức từ 15/6/2026</t>
  </si>
  <si>
    <t>BV1228</t>
  </si>
  <si>
    <t>Trần Hoàng Vân Anh</t>
  </si>
  <si>
    <t>020196008058</t>
  </si>
  <si>
    <t>311 Nhị Thanh, Phường Tam Thanh, Thành phố Lạng sơn.</t>
  </si>
  <si>
    <t>0858180646</t>
  </si>
  <si>
    <t>BV1276</t>
  </si>
  <si>
    <t>Lương Thị Lan Hương</t>
  </si>
  <si>
    <t>020198005844</t>
  </si>
  <si>
    <t>0356995792</t>
  </si>
  <si>
    <t>Thử việc 02/4/2024, Viên chức từ 15/6/2026</t>
  </si>
  <si>
    <t>BV1214</t>
  </si>
  <si>
    <t>Phạm Quốc Khánh</t>
  </si>
  <si>
    <t>020096003142</t>
  </si>
  <si>
    <t>0328064195</t>
  </si>
  <si>
    <t>Thử việc 10/10/2022; Nghỉ để tham gia nghĩa vụ quân sự 31/01/2023; đi làm lại 10/2/2025</t>
  </si>
  <si>
    <t>BV0530</t>
  </si>
  <si>
    <t>Hoàng Trung Diện</t>
  </si>
  <si>
    <t>020086009258</t>
  </si>
  <si>
    <t>BV0531</t>
  </si>
  <si>
    <t>Lâm Minh Mạnh</t>
  </si>
  <si>
    <t>020088007133</t>
  </si>
  <si>
    <t>Số 82/38 - Lê Quý Đôn - Phường Tam Thanh - Tỉnh Lạng Sơn</t>
  </si>
  <si>
    <t>0979640617</t>
  </si>
  <si>
    <t>BV0529</t>
  </si>
  <si>
    <t>Hoàng Ngọc Quảng</t>
  </si>
  <si>
    <t>020084002830</t>
  </si>
  <si>
    <t>28/91, Khối 7, Đường Lê Đại Hành, Phường Đông Kinh, Tỉnh Lạng Sơn</t>
  </si>
  <si>
    <t>0983966025</t>
  </si>
  <si>
    <t>BV0528</t>
  </si>
  <si>
    <t>Lưu Viết Hoàn</t>
  </si>
  <si>
    <t>020087007956</t>
  </si>
  <si>
    <t>Khối Hoàng Tâm, Phường Tam Thanh, Tỉnh Lạng Sơn.</t>
  </si>
  <si>
    <t>0832355666</t>
  </si>
  <si>
    <t>BV0527</t>
  </si>
  <si>
    <t>Ngô Thị Thúy</t>
  </si>
  <si>
    <t>020180009169</t>
  </si>
  <si>
    <t>0919501171</t>
  </si>
  <si>
    <t>BV0105</t>
  </si>
  <si>
    <t>Hứa Quang Phong</t>
  </si>
  <si>
    <t xml:space="preserve"> 020086000547</t>
  </si>
  <si>
    <t>Số nhà 2 khối 22 - phường kỳ lừa- tỉnh Lạng Sơn</t>
  </si>
  <si>
    <t>BV0824</t>
  </si>
  <si>
    <t>Lô Hoàng Cương</t>
  </si>
  <si>
    <t>020085008231</t>
  </si>
  <si>
    <t>Khối 5 - Phường Kỳ Lừa - Tỉnh Lạng Sơn</t>
  </si>
  <si>
    <t>BV0532</t>
  </si>
  <si>
    <t>Nguyễn Xuân Mai</t>
  </si>
  <si>
    <t>020084002301</t>
  </si>
  <si>
    <t>0963855806</t>
  </si>
  <si>
    <t>BV0520</t>
  </si>
  <si>
    <t>Nguyễn Trung Hiếu</t>
  </si>
  <si>
    <t>020082006345</t>
  </si>
  <si>
    <t>20/195 khối 10 đường bến bắc phường tam thanh tỉnh lạng sơn</t>
  </si>
  <si>
    <t>0912123448</t>
  </si>
  <si>
    <t>BV0519</t>
  </si>
  <si>
    <t>Trương Hùng Khoan</t>
  </si>
  <si>
    <t xml:space="preserve"> 020072011408</t>
  </si>
  <si>
    <t>Khối 29 phường kỳ lừa tỉnh Lạng Sơn</t>
  </si>
  <si>
    <t>0982492668</t>
  </si>
  <si>
    <t>BV0518</t>
  </si>
  <si>
    <t>Nguyễn Anh Tuấn</t>
  </si>
  <si>
    <t>020073012412</t>
  </si>
  <si>
    <t>BV0997</t>
  </si>
  <si>
    <t>Bạch Tiến Cường</t>
  </si>
  <si>
    <t xml:space="preserve"> 020092000434</t>
  </si>
  <si>
    <t>Thôn Trung Tâm - Xã Chi Lăng - Tỉnh Lạng Sơn</t>
  </si>
  <si>
    <t>Chuyển đến 17/2/2020</t>
  </si>
  <si>
    <t>BV0524</t>
  </si>
  <si>
    <t>Trần Trung Dũng</t>
  </si>
  <si>
    <t>020082002266</t>
  </si>
  <si>
    <t>Khối 6 phường Tam Thanh - Tỉnh Lạng Sơn</t>
  </si>
  <si>
    <t>0988191666</t>
  </si>
  <si>
    <t>BV0521</t>
  </si>
  <si>
    <t>Hoàng Văn Bé</t>
  </si>
  <si>
    <t>020073010283</t>
  </si>
  <si>
    <t>Bản Kho, Xã Lộc Bình, Tỉnh Lạng Sơn</t>
  </si>
  <si>
    <t>0852916888</t>
  </si>
  <si>
    <t>BV0850</t>
  </si>
  <si>
    <t>Dương Minh Thiện</t>
  </si>
  <si>
    <t>020096000947</t>
  </si>
  <si>
    <t>HĐ 5/9/2018; đỗ VC 20/5/2026;</t>
  </si>
  <si>
    <t>BV0526</t>
  </si>
  <si>
    <t>Hoàng Văn Sỹ</t>
  </si>
  <si>
    <t>020085035562</t>
  </si>
  <si>
    <t>Số 7A/2, Hoàng Thanh, Khối Hoàng Thanh, Phường Tam Thanh, Tỉnh Lạng Sơn</t>
  </si>
  <si>
    <t>0839255888</t>
  </si>
  <si>
    <t>BV0523</t>
  </si>
  <si>
    <t>Hoàng Văn Hòa</t>
  </si>
  <si>
    <t xml:space="preserve"> 020075000344</t>
  </si>
  <si>
    <t>Khối Hoàng Tân - Phường Tam Thanh - tp. Lạng Sơn</t>
  </si>
  <si>
    <t>0984575888</t>
  </si>
  <si>
    <t>BV0525</t>
  </si>
  <si>
    <t>Hoàng Tư Vấn</t>
  </si>
  <si>
    <t>020083003406</t>
  </si>
  <si>
    <t>0856839888</t>
  </si>
  <si>
    <t>BV1279</t>
  </si>
  <si>
    <t>Dương Đức Anh</t>
  </si>
  <si>
    <t>020202003960</t>
  </si>
  <si>
    <t>0978106842</t>
  </si>
  <si>
    <t>BV0422</t>
  </si>
  <si>
    <t>Vũ Thủy Tiên</t>
  </si>
  <si>
    <t>020183007766</t>
  </si>
  <si>
    <t>Số 7 ngõ 2 Phường Đông Kinh tỉnh Lạng Sơn</t>
  </si>
  <si>
    <t>0965212466</t>
  </si>
  <si>
    <t>BV0204</t>
  </si>
  <si>
    <t>Ngô Thị Lý</t>
  </si>
  <si>
    <t>020171011075</t>
  </si>
  <si>
    <t>Số 70 Nhị Thanh - phường Tam Thanh - tp. Lạng Sơn</t>
  </si>
  <si>
    <t>0838485558</t>
  </si>
  <si>
    <t>BV0550</t>
  </si>
  <si>
    <t>Chu Văn Hải</t>
  </si>
  <si>
    <t>GPB</t>
  </si>
  <si>
    <t>020068005074</t>
  </si>
  <si>
    <t>Số 39 ngõ 195 Đường Bến Bắc Phường Tam Thanh</t>
  </si>
  <si>
    <t>0347315588</t>
  </si>
  <si>
    <t>BV0739</t>
  </si>
  <si>
    <t>Nguyễn Thị Thường</t>
  </si>
  <si>
    <t>020186006250</t>
  </si>
  <si>
    <t>Trần Quang Khải - P. Lương Văn Tri</t>
  </si>
  <si>
    <t>0915595855</t>
  </si>
  <si>
    <t>Kiêm nhiệm Phòng QLCL 01/10/2022</t>
  </si>
  <si>
    <t>BV0544</t>
  </si>
  <si>
    <t>Nguyễn Thị Nga</t>
  </si>
  <si>
    <t>024182001620</t>
  </si>
  <si>
    <t>Số 34 phố Đào Duy Từ - Khối 6 - Phường Đông Kinh</t>
  </si>
  <si>
    <t>0914345358</t>
  </si>
  <si>
    <t>BV0108</t>
  </si>
  <si>
    <t>Nông Thị Hồng Điệp</t>
  </si>
  <si>
    <t>020179005644</t>
  </si>
  <si>
    <t>Số 35/260 đường Phai Vệ - K.16 - P. Đông Kinh</t>
  </si>
  <si>
    <t>0989205742</t>
  </si>
  <si>
    <t>BV0822</t>
  </si>
  <si>
    <t>Hoàng Đức Thịnh</t>
  </si>
  <si>
    <t>020085009682</t>
  </si>
  <si>
    <t>Thôn Hoàng Tâm - P. Tam Thanh</t>
  </si>
  <si>
    <t>0979606807</t>
  </si>
  <si>
    <t>BV0304</t>
  </si>
  <si>
    <t>Võ Thị Hương</t>
  </si>
  <si>
    <t>020177008975</t>
  </si>
  <si>
    <t>Số 11, ngõ 548 khối 12, Phường Đông Kinh</t>
  </si>
  <si>
    <t>0915534789</t>
  </si>
  <si>
    <t>BV0553</t>
  </si>
  <si>
    <t>Nguyễn Tiến Lâm</t>
  </si>
  <si>
    <t>020086002685</t>
  </si>
  <si>
    <t>Khối Đại Sơn - P. Kỳ Lừa</t>
  </si>
  <si>
    <t>BV0144</t>
  </si>
  <si>
    <t>Hà Thị Kim</t>
  </si>
  <si>
    <t>020176005390</t>
  </si>
  <si>
    <t>Khu Nhà ở xã hội - P. Đông Kinh</t>
  </si>
  <si>
    <t>0367518763</t>
  </si>
  <si>
    <t>BV0472</t>
  </si>
  <si>
    <t>Lộc Thị Nga</t>
  </si>
  <si>
    <t>020184009589</t>
  </si>
  <si>
    <t>Khối Phai Luông, phường Kỳ Lừa, tỉnh Lạng Sơn</t>
  </si>
  <si>
    <t>BV0222</t>
  </si>
  <si>
    <t>Hoàng Thị Thùy</t>
  </si>
  <si>
    <t>020185002499</t>
  </si>
  <si>
    <t>SN 65/85 phố Muối, Khối 9, phường Tam Thanh, tỉnh Lạng Sơn</t>
  </si>
  <si>
    <t>BV0720</t>
  </si>
  <si>
    <t>Hoàng Ánh Dương</t>
  </si>
  <si>
    <t xml:space="preserve">020094001059 </t>
  </si>
  <si>
    <t>SN 74 đường Ba Sơn, khối Pàn Pè, phường Tam Thanh, tỉnh Lạng Sơn</t>
  </si>
  <si>
    <t>0975639243</t>
  </si>
  <si>
    <t>BV0339</t>
  </si>
  <si>
    <t>Hoàng Trung Thực</t>
  </si>
  <si>
    <t>020083002549</t>
  </si>
  <si>
    <t>sn 21 ngõ 99 Nguyễn Phi Khanh phường Tam Thanh tỉnh Lạng Sơn</t>
  </si>
  <si>
    <t>BV0557</t>
  </si>
  <si>
    <t>Lương Thị Cúc</t>
  </si>
  <si>
    <t>020174007587</t>
  </si>
  <si>
    <t>Khối Phai Duốc, phường Đông Kinh, tỉnh Lạng Sơn</t>
  </si>
  <si>
    <t>0399690437</t>
  </si>
  <si>
    <t>BV0558</t>
  </si>
  <si>
    <t>Nguyễn Lệ Hà</t>
  </si>
  <si>
    <t xml:space="preserve">                                                                                                                                                                                                                                                                                                                             </t>
  </si>
  <si>
    <t>020188011242</t>
  </si>
  <si>
    <t>SN 18, đường Lê Lợi, Khối 3, phường Đông Kinh, tỉnh Lạng Sơn</t>
  </si>
  <si>
    <t>0975166286</t>
  </si>
  <si>
    <t>BV1173</t>
  </si>
  <si>
    <t>Hoàng Thị Xì</t>
  </si>
  <si>
    <t>Kỹ sư</t>
  </si>
  <si>
    <t>Kỹ sư (hạng III)</t>
  </si>
  <si>
    <t>020197007925</t>
  </si>
  <si>
    <t>Khối Đại Sơn, phường Kỳ Lừa, tỉnh Lạng Sơn</t>
  </si>
  <si>
    <t>Thử việc từ 01/3/2022, Viên chức từ 15/6/2026</t>
  </si>
  <si>
    <t>BV1323</t>
  </si>
  <si>
    <t>Nguyễn Thị Ngọc Anh</t>
  </si>
  <si>
    <t>YTCC</t>
  </si>
  <si>
    <t>Y tế công cộng (hạng III)</t>
  </si>
  <si>
    <t>020301004621</t>
  </si>
  <si>
    <t>SN 27/12 đường Bắc Sơn, Khối 2, phường Đông Kinh, tỉnh Lạng Sơn</t>
  </si>
  <si>
    <t>0384655027</t>
  </si>
  <si>
    <t>BV0420</t>
  </si>
  <si>
    <t>Hoàng Thị Phương</t>
  </si>
  <si>
    <t>020174004286</t>
  </si>
  <si>
    <t>Thôn Pò Mỏ, Phường Đông Kinh, Tỉnh Lạng Sơn</t>
  </si>
  <si>
    <t>0919597828</t>
  </si>
  <si>
    <t>BV0239</t>
  </si>
  <si>
    <t>Nông Thị Đường</t>
  </si>
  <si>
    <t>020172001332</t>
  </si>
  <si>
    <t>số 4 ngõ 575 Bà Triệu, phường Đông Kinh, tỉnh Lạng Sơn</t>
  </si>
  <si>
    <t>0973058962</t>
  </si>
  <si>
    <t>BV0880</t>
  </si>
  <si>
    <t>Dương Thu Hiền</t>
  </si>
  <si>
    <t>020186010960</t>
  </si>
  <si>
    <t>Khối Nà Hán, Phường Kỳ Lừa,Tỉnh Lạng Sơn</t>
  </si>
  <si>
    <t>0344880918</t>
  </si>
  <si>
    <t>BV1131</t>
  </si>
  <si>
    <t>NVPV</t>
  </si>
  <si>
    <t>024177018862</t>
  </si>
  <si>
    <t xml:space="preserve">SN 9/45 Ngõ 105 Lê Lợi, Khối 4, phường Đông Kinh, tỉnh Lạng Sơn. </t>
  </si>
  <si>
    <t>Thử việc 02/8/2021</t>
  </si>
  <si>
    <t>BV0567</t>
  </si>
  <si>
    <t>Triệu Văn Hải</t>
  </si>
  <si>
    <t xml:space="preserve">020076007530 </t>
  </si>
  <si>
    <t>SN 25 ngõ 238, đường Trần Quang Khải, Khối 2, phường Lương Văn Tri, tỉnh Lạng Sơn</t>
  </si>
  <si>
    <t>BV0566</t>
  </si>
  <si>
    <t>Linh Chí Thiệu</t>
  </si>
  <si>
    <t>020074001373</t>
  </si>
  <si>
    <t>Số 20, Ngõ 5, Khối Pàn Pè, Phường Tam Thanh, Tỉnh Lạng Sơn</t>
  </si>
  <si>
    <t>0963116475</t>
  </si>
  <si>
    <t>BV0767</t>
  </si>
  <si>
    <t>Hoàng Văn Hiếu</t>
  </si>
  <si>
    <t>020091011184</t>
  </si>
  <si>
    <t>Khối Nà Soong, Phường Đông Kinh, Tỉnh Lạng Sơn</t>
  </si>
  <si>
    <t>0825002622</t>
  </si>
  <si>
    <t>BV1269</t>
  </si>
  <si>
    <t>Vi Thị Mai</t>
  </si>
  <si>
    <t>020168003581</t>
  </si>
  <si>
    <t xml:space="preserve">Khối 10, Phường Đông Kinh, Tỉnh Lạng Sơn </t>
  </si>
  <si>
    <t>0949815669</t>
  </si>
  <si>
    <t>HĐ 02/01/2024</t>
  </si>
  <si>
    <t>BV1305</t>
  </si>
  <si>
    <t>Tô Thị Hiếu </t>
  </si>
  <si>
    <t>020185010442</t>
  </si>
  <si>
    <t>Khối 16, phường Đông Kinh, tỉnh Lạng Sơn</t>
  </si>
  <si>
    <t>BV1307</t>
  </si>
  <si>
    <t>Lý Thị Phương</t>
  </si>
  <si>
    <t>020190005412</t>
  </si>
  <si>
    <t>Thôn Nhất Tâm, Xã Đồng Đăng,Tỉnh Lạng Sơn</t>
  </si>
  <si>
    <t>BV0927</t>
  </si>
  <si>
    <t>Đỗ Nhật Tùng</t>
  </si>
  <si>
    <t>Y học dự phòng</t>
  </si>
  <si>
    <t>Bác sĩ Y học dự phòng (hạng III)</t>
  </si>
  <si>
    <t>020093008213</t>
  </si>
  <si>
    <t>SN 109 đường Tam Thanh, Khối 11, phường Tam Thanh, tỉnh Lạng Sơn</t>
  </si>
  <si>
    <t>0328125626</t>
  </si>
  <si>
    <t>Thử việc 15/8/2019</t>
  </si>
  <si>
    <t>BV0097</t>
  </si>
  <si>
    <t>ĐDCKI</t>
  </si>
  <si>
    <t>Điều dưỡng (hạng II)</t>
  </si>
  <si>
    <t>030181010513</t>
  </si>
  <si>
    <t xml:space="preserve">SN 19, Tinh Dầu 2, Khối 3, phường Đông Kinh, tỉnh Lạng Sơn </t>
  </si>
  <si>
    <t>BV0409</t>
  </si>
  <si>
    <t>Chu Thị Bích Thoan</t>
  </si>
  <si>
    <t>020176006409</t>
  </si>
  <si>
    <t>SN 31/3 đường Nguyễn Du, Khối 1, phường Đông Kinh, tỉnh Lạng Sơn</t>
  </si>
  <si>
    <t>BV0897</t>
  </si>
  <si>
    <t>Mông Thị Bích Thùy</t>
  </si>
  <si>
    <t>Điều dưỡng</t>
  </si>
  <si>
    <t>020197000299</t>
  </si>
  <si>
    <t>Số 215 Văn Vỉ, Phường Lương Văn Tri, Lạng Sơn</t>
  </si>
  <si>
    <t>Thử việc 17/4/2019; thanh lý HĐ 01/01/2024; VC chuyển đến 01/11/2024</t>
  </si>
  <si>
    <t>BV0920</t>
  </si>
  <si>
    <t>Phùng Thị Thùy Linh</t>
  </si>
  <si>
    <t>020193006464</t>
  </si>
  <si>
    <t>Khối 7, phường Tam Thanh, tỉnh Lạng Sơn</t>
  </si>
  <si>
    <t>Chuyển đến 01/8/2019</t>
  </si>
  <si>
    <t>BV1132</t>
  </si>
  <si>
    <t>Vy Thị Tình</t>
  </si>
  <si>
    <t>020186011671</t>
  </si>
  <si>
    <t>Bệnh viện đa khoa tỉnh Lạng Sơn, Khối Đại Sơn, Phường Kỳ Lừa</t>
  </si>
  <si>
    <t>BV1245</t>
  </si>
  <si>
    <t>Lương Thị Lưu</t>
  </si>
  <si>
    <t>020178002664</t>
  </si>
  <si>
    <t>Khối Tân Lập, phường Đông Kinh</t>
  </si>
  <si>
    <t>Hợp đồng 05/7/2023</t>
  </si>
  <si>
    <t>BV0100</t>
  </si>
  <si>
    <t>Nguyễn Thị Thu Thương</t>
  </si>
  <si>
    <t>ThS Điều dưỡng</t>
  </si>
  <si>
    <t>Phó trưởng phòng/ Điều dưỡng trưởng</t>
  </si>
  <si>
    <t>025187009369</t>
  </si>
  <si>
    <t>SN 14 ngách 2 ngõ 195 Bến Bắc, Phường Tam Thanh, tỉnh Lạng Sơn</t>
  </si>
  <si>
    <t>BV0212</t>
  </si>
  <si>
    <t>Nguyễn Thị Liễu</t>
  </si>
  <si>
    <t>Trưởng phòng</t>
  </si>
  <si>
    <t>027174003321</t>
  </si>
  <si>
    <t>Số 36, Nguyễn Thượng Hiền, Khối 15, Phường kỳ Lừa, tỉnh Lạng Sơn</t>
  </si>
  <si>
    <t>0919502595</t>
  </si>
  <si>
    <t>BV0480</t>
  </si>
  <si>
    <t>Đinh Thị Huyền Trang</t>
  </si>
  <si>
    <t>VT-TTBYT</t>
  </si>
  <si>
    <t>020183011151</t>
  </si>
  <si>
    <t>Số 48 khu Hoà Bình, xã Lộc Bình, tỉnh Lạng Sơn</t>
  </si>
  <si>
    <t>0912946184</t>
  </si>
  <si>
    <t>BV0465</t>
  </si>
  <si>
    <t>Hứa Thị Thu Hà</t>
  </si>
  <si>
    <t>020187002312</t>
  </si>
  <si>
    <t>06/311 Bà Triệu, Khối 6 Phường Kỳ Lừa,Tỉnh Lạng sơn</t>
  </si>
  <si>
    <t>0984816818</t>
  </si>
  <si>
    <t>BV0461</t>
  </si>
  <si>
    <t>Hoàng Bích Thủy</t>
  </si>
  <si>
    <t>Phó trưởng phòng</t>
  </si>
  <si>
    <t>020183002634</t>
  </si>
  <si>
    <t>Khối 8, phường Đông Kinh, tỉnh Lạng Sơn</t>
  </si>
  <si>
    <t>BV0474</t>
  </si>
  <si>
    <t>Nghiêm Lan Hương</t>
  </si>
  <si>
    <t>020189002644</t>
  </si>
  <si>
    <t xml:space="preserve">216 Trần Đăng Ninh, Khối 10 phường Kỳ Lừa, tỉnh Lạng Sơn </t>
  </si>
  <si>
    <t>0962823889</t>
  </si>
  <si>
    <t>BV0479</t>
  </si>
  <si>
    <t>Đỗ Diệu Thúy</t>
  </si>
  <si>
    <t>020188001358</t>
  </si>
  <si>
    <t>95D Ngô Quyền, Khối 11, Phường Đông Kinh, Tỉnh Lạng Sơn</t>
  </si>
  <si>
    <t>0978345001</t>
  </si>
  <si>
    <t>BV0446</t>
  </si>
  <si>
    <t>015183000846</t>
  </si>
  <si>
    <t>31/173 Ngô Quyền, K8, Đông Kinh, tỉnh Lạng Sơn</t>
  </si>
  <si>
    <t>0916378366</t>
  </si>
  <si>
    <t>Chuyển từ HĐ68, Viên chức từ 15/6/2026</t>
  </si>
  <si>
    <t>BV0477</t>
  </si>
  <si>
    <t>Hoàng Lan Thịnh</t>
  </si>
  <si>
    <t>020188002921</t>
  </si>
  <si>
    <t>Khối 11, Phường Tam Thanh, Tỉnh Lạng Sơn</t>
  </si>
  <si>
    <t>0973754656</t>
  </si>
  <si>
    <t>BV0473</t>
  </si>
  <si>
    <t>Đào Minh An</t>
  </si>
  <si>
    <t>020186002928</t>
  </si>
  <si>
    <t>Khối 18, Ngô Quyền , Phường Đông Kinh, Tỉnh Lạng Sơn</t>
  </si>
  <si>
    <t>0979184238</t>
  </si>
  <si>
    <t>BV0579</t>
  </si>
  <si>
    <t>Bùi Mạnh Ước</t>
  </si>
  <si>
    <t>036083016039</t>
  </si>
  <si>
    <t>Khối 11, phường Tam Thanh, tỉnh Lạng Sơn</t>
  </si>
  <si>
    <t>0986123321</t>
  </si>
  <si>
    <t>BV0577</t>
  </si>
  <si>
    <t>Ma Duy Tường</t>
  </si>
  <si>
    <t>Cán sự</t>
  </si>
  <si>
    <t>020068003970</t>
  </si>
  <si>
    <t>Khối 3, P. Tam Thanh, tỉnh LS</t>
  </si>
  <si>
    <t>0912203099</t>
  </si>
  <si>
    <t>BV0751</t>
  </si>
  <si>
    <t>Lý Minh Thức</t>
  </si>
  <si>
    <t>020087006810</t>
  </si>
  <si>
    <t>Số nhà 5/2, khối 26, Phường Kỳ Lừa, Tỉnh Lạng Sơn</t>
  </si>
  <si>
    <t>BV1179</t>
  </si>
  <si>
    <t>Mông Đức Thuận</t>
  </si>
  <si>
    <t>020083002203</t>
  </si>
  <si>
    <t>Đường 14 Nam Hoàng Đồng , Phường Tam Thanh, tỉnh Lạng Sơn</t>
  </si>
  <si>
    <t>0915583378</t>
  </si>
  <si>
    <t>Hợp đồng 06/6/2022, Viên chức từ 15/6/2026</t>
  </si>
  <si>
    <t>BV0804</t>
  </si>
  <si>
    <t>Lương Thanh Nhàn</t>
  </si>
  <si>
    <t>020194001881</t>
  </si>
  <si>
    <t>Thôn Lăng Xè, xã Lộc Bình, tỉnh Lạng Sơn</t>
  </si>
  <si>
    <t>0968940994</t>
  </si>
  <si>
    <t>BV0578</t>
  </si>
  <si>
    <t>Hứa Trọng Tôn</t>
  </si>
  <si>
    <t>CĐ y sinh</t>
  </si>
  <si>
    <t>Kỹ thuật viên (hạng IV)</t>
  </si>
  <si>
    <t>001070106465</t>
  </si>
  <si>
    <t>107 đường Hùng Vương, khối Hoàng Hoa Thám, Phường Lương Văn Tri, tỉnh Lạng Sơn</t>
  </si>
  <si>
    <t>0915696858</t>
  </si>
  <si>
    <t>BV0580</t>
  </si>
  <si>
    <t>Ma Bá Tiếp</t>
  </si>
  <si>
    <t>CV cao đẳng</t>
  </si>
  <si>
    <t>020090005465</t>
  </si>
  <si>
    <t xml:space="preserve">33 Bông lau 2,tổ 10 khối 7, Phường Kỳ Lừa </t>
  </si>
  <si>
    <t>0988130531</t>
  </si>
  <si>
    <t>BV0585</t>
  </si>
  <si>
    <t>Lưu Đức Anh</t>
  </si>
  <si>
    <t>NVKT</t>
  </si>
  <si>
    <t>020088002781</t>
  </si>
  <si>
    <t>18/3 Nguyễn Du, Phường Đông Kinh, Lạng Sơn</t>
  </si>
  <si>
    <t>BV0582</t>
  </si>
  <si>
    <t>Trịnh Tuấn Hùng</t>
  </si>
  <si>
    <t>020073002108</t>
  </si>
  <si>
    <t>SN 5 ngõ 7 Đường Hùng Vương Phường Lương Văn Chi, Lạng Sơn</t>
  </si>
  <si>
    <t>0915477965</t>
  </si>
  <si>
    <t>BV1002</t>
  </si>
  <si>
    <t>Nguyễn Văn Lý</t>
  </si>
  <si>
    <t>ThS KTYS</t>
  </si>
  <si>
    <t>020080004410</t>
  </si>
  <si>
    <t>Thôn Đồng Bụt, xã Yên Bình, tỉnh Lạng Sơn</t>
  </si>
  <si>
    <t>Hợp đồng từ 01/4/2020, Viên chức từ 15/6/2026</t>
  </si>
  <si>
    <t>BV0821</t>
  </si>
  <si>
    <t>Trần Đức Vinh</t>
  </si>
  <si>
    <t>TCCB</t>
  </si>
  <si>
    <t>020071007745</t>
  </si>
  <si>
    <t>Số 10, ngõ 10a, đường Bắc Sơn, Phường Kỳ Lừa, tỉnh Lạng Sơn</t>
  </si>
  <si>
    <t>0915988189</t>
  </si>
  <si>
    <t>BV0666</t>
  </si>
  <si>
    <t>Hoàng Tuấn Anh</t>
  </si>
  <si>
    <t>TC CNTT</t>
  </si>
  <si>
    <t>Công nghệ thông tin (hạng IV)</t>
  </si>
  <si>
    <t>020074003896</t>
  </si>
  <si>
    <t>0916519996</t>
  </si>
  <si>
    <t>BV0592</t>
  </si>
  <si>
    <t>Đoàn Trung Tuấn</t>
  </si>
  <si>
    <t>ĐH QTNL</t>
  </si>
  <si>
    <t>Chuyên viên</t>
  </si>
  <si>
    <t>Chuyên viên về tổng hợp</t>
  </si>
  <si>
    <t>020089006691</t>
  </si>
  <si>
    <t>0396889866</t>
  </si>
  <si>
    <t>BV0593</t>
  </si>
  <si>
    <t>Hoàng Thị Ngọc Mai</t>
  </si>
  <si>
    <t>ThS QTNL</t>
  </si>
  <si>
    <t>020192002278</t>
  </si>
  <si>
    <t>0823456611</t>
  </si>
  <si>
    <t>BV0852</t>
  </si>
  <si>
    <t>Cử nhân Luật</t>
  </si>
  <si>
    <t>Chuyên viên về pháp chế</t>
  </si>
  <si>
    <t>020184001479</t>
  </si>
  <si>
    <t>TD 01/11/2018</t>
  </si>
  <si>
    <t>BV1116</t>
  </si>
  <si>
    <t>Nguyễn Ngọc Anh</t>
  </si>
  <si>
    <t>Cử nhân BH</t>
  </si>
  <si>
    <t>020195005716</t>
  </si>
  <si>
    <t>Hợp đồng 02/03/2021 (TV02/3-31/3), Viên chức từ 15/6/2026</t>
  </si>
  <si>
    <t>BV0798</t>
  </si>
  <si>
    <t>Trần Thị Lan</t>
  </si>
  <si>
    <t>ThS Luật</t>
  </si>
  <si>
    <t>020192010818</t>
  </si>
  <si>
    <t>HĐ22/5/2017; Đỗ VC 20/5/2026</t>
  </si>
  <si>
    <t>BV0995</t>
  </si>
  <si>
    <t>Phạm Bạch Trúc Linh</t>
  </si>
  <si>
    <t>Cử nhân CTH</t>
  </si>
  <si>
    <t>02019600295</t>
  </si>
  <si>
    <t>0977821318</t>
  </si>
  <si>
    <t>Thử việc 20/12/2019, Viên chức từ 15/6/2026</t>
  </si>
  <si>
    <t>BV0058</t>
  </si>
  <si>
    <t>Vy Thị Thu Hằng</t>
  </si>
  <si>
    <t>HCQT</t>
  </si>
  <si>
    <t>008183001214</t>
  </si>
  <si>
    <t>Số nhà 25, tổ 1, khối 26, Phường Kỳ Lừa, tỉnh Lạng Sơn</t>
  </si>
  <si>
    <t>BV0596</t>
  </si>
  <si>
    <t>Phạm Văn Bình</t>
  </si>
  <si>
    <t>020071000384</t>
  </si>
  <si>
    <t>Khối 1, Phường Kỳ Lừa, tỉnh Lạng Sơn</t>
  </si>
  <si>
    <t>0912259060</t>
  </si>
  <si>
    <t>BV0626</t>
  </si>
  <si>
    <t>Trần Mậu Quý</t>
  </si>
  <si>
    <t>KTCĐ</t>
  </si>
  <si>
    <t>Kế toán viên trung cấp (hạng IV)</t>
  </si>
  <si>
    <t>020079009951</t>
  </si>
  <si>
    <t>0978407185</t>
  </si>
  <si>
    <t>BV0621</t>
  </si>
  <si>
    <t>Hoàng Thị Dầm</t>
  </si>
  <si>
    <t>020188005204</t>
  </si>
  <si>
    <t xml:space="preserve"> 55, Phố Muối, khối 1, Phường Tam Thanh, Tỉnh Lạng Sơn</t>
  </si>
  <si>
    <t>0963083288</t>
  </si>
  <si>
    <t>BV0598</t>
  </si>
  <si>
    <t>Lê Ngọc Ân</t>
  </si>
  <si>
    <t>020078002034</t>
  </si>
  <si>
    <t>BV0600</t>
  </si>
  <si>
    <t>Triệu Thị Hằng</t>
  </si>
  <si>
    <t>ThS Quản lý công</t>
  </si>
  <si>
    <t>Chuyên viên về HCVP</t>
  </si>
  <si>
    <t>020188012707</t>
  </si>
  <si>
    <t>BV0819</t>
  </si>
  <si>
    <t>Lưu Mai Hương</t>
  </si>
  <si>
    <t>Cử nhân HC</t>
  </si>
  <si>
    <t>020195006010</t>
  </si>
  <si>
    <t>HĐ từ 12/12/2017; BC 5/4/2019</t>
  </si>
  <si>
    <t>BV0620</t>
  </si>
  <si>
    <t>Lý Minh Hường</t>
  </si>
  <si>
    <t>020181009302</t>
  </si>
  <si>
    <t>Khối 6, Phường Đông Kinh, tỉnh Lạng Sơn</t>
  </si>
  <si>
    <t>0914333183</t>
  </si>
  <si>
    <t>BV0612</t>
  </si>
  <si>
    <t>Văn thư</t>
  </si>
  <si>
    <t>Văn thư viên trung cấp</t>
  </si>
  <si>
    <t>020172001989</t>
  </si>
  <si>
    <t>Khối 11, Phường tam thanh, tỉnh Lạng Sơn</t>
  </si>
  <si>
    <t>0976841629</t>
  </si>
  <si>
    <t>BV0601</t>
  </si>
  <si>
    <t>Lương Viết Bảo</t>
  </si>
  <si>
    <t>Lái xe</t>
  </si>
  <si>
    <t>Nhân viên</t>
  </si>
  <si>
    <t>NVLX</t>
  </si>
  <si>
    <t>VC thừa hành, phục vụ</t>
  </si>
  <si>
    <t>020065001559</t>
  </si>
  <si>
    <t>36 Bông Lau, Khối 14, phường Kỳ Lừa, tỉnh Lạng Sơn</t>
  </si>
  <si>
    <t>0915459658</t>
  </si>
  <si>
    <t>BV0603</t>
  </si>
  <si>
    <t>Dương Công Đức</t>
  </si>
  <si>
    <t>020087002180</t>
  </si>
  <si>
    <t>0981769586</t>
  </si>
  <si>
    <t>BV0606</t>
  </si>
  <si>
    <t>Hà Văn Hàm</t>
  </si>
  <si>
    <t>020087005434</t>
  </si>
  <si>
    <t>Số 1, Lê Quý Đôn, Khối 3, phường Tam Thanh, tỉnh Lạng Sơn</t>
  </si>
  <si>
    <t>BV0629</t>
  </si>
  <si>
    <t>Vy Mạnh Hùng</t>
  </si>
  <si>
    <t>020090012548</t>
  </si>
  <si>
    <t>0326336886</t>
  </si>
  <si>
    <t>BV0604</t>
  </si>
  <si>
    <t>Lê Trọng Lựu</t>
  </si>
  <si>
    <t>020076001445</t>
  </si>
  <si>
    <t>Hoàng Tâm, phường Tam Thanh, tỉnh Lạng Sơn</t>
  </si>
  <si>
    <t>0919736228</t>
  </si>
  <si>
    <t>BV0605</t>
  </si>
  <si>
    <t>Đinh Phúc Thịnh</t>
  </si>
  <si>
    <t>020079009963</t>
  </si>
  <si>
    <t>47, Hoàng Đình Giong, Khối 9, phường Kỳ Lừa, tỉnh Lạng Sơn</t>
  </si>
  <si>
    <t>0982997769</t>
  </si>
  <si>
    <t>BV0602</t>
  </si>
  <si>
    <t>Trần Nam Trung</t>
  </si>
  <si>
    <t>020073008918</t>
  </si>
  <si>
    <t>0912386867</t>
  </si>
  <si>
    <t>BV1065</t>
  </si>
  <si>
    <t>Đào Quang Trục</t>
  </si>
  <si>
    <t>020075001797</t>
  </si>
  <si>
    <t>Thử việc 03/8/2020; TL 14/12/2020; đi làm lại 04/01/2021</t>
  </si>
  <si>
    <t>BV1115</t>
  </si>
  <si>
    <t>Trương Quý Dũng</t>
  </si>
  <si>
    <t>036061013360</t>
  </si>
  <si>
    <t>24/80, Tổ 2, Khối 7, phường Đông kinh, tỉnh Lạng Sơn</t>
  </si>
  <si>
    <t>Hợp đồng 01/03/2021</t>
  </si>
  <si>
    <t>BV0610</t>
  </si>
  <si>
    <t>Nông Chí Kiên</t>
  </si>
  <si>
    <t>Bảo vệ</t>
  </si>
  <si>
    <t>NVBV</t>
  </si>
  <si>
    <t>020066005378</t>
  </si>
  <si>
    <t>0393982652</t>
  </si>
  <si>
    <t>BV1097</t>
  </si>
  <si>
    <t>Nguyễn Tuấn Anh</t>
  </si>
  <si>
    <t>020095000452</t>
  </si>
  <si>
    <t>0966361904</t>
  </si>
  <si>
    <t>Hợp đồng 02/12/2020 (TV 6 ngày)</t>
  </si>
  <si>
    <t>BV1101</t>
  </si>
  <si>
    <t>Lăng Văn Được</t>
  </si>
  <si>
    <t>020073007723</t>
  </si>
  <si>
    <t>0364763478</t>
  </si>
  <si>
    <t>BV1103</t>
  </si>
  <si>
    <t>Nguyễn Văn Kiện</t>
  </si>
  <si>
    <t>030066008188</t>
  </si>
  <si>
    <t>0984133368</t>
  </si>
  <si>
    <t>BV1107</t>
  </si>
  <si>
    <t>Hoàng Văn Thái</t>
  </si>
  <si>
    <t>020099003648</t>
  </si>
  <si>
    <t>BV1134</t>
  </si>
  <si>
    <t>Vi Văn Vẻ</t>
  </si>
  <si>
    <t>020088001027</t>
  </si>
  <si>
    <t>BV1165</t>
  </si>
  <si>
    <t>Hoàng Văn Dương</t>
  </si>
  <si>
    <t>020079002773</t>
  </si>
  <si>
    <t>0359571599</t>
  </si>
  <si>
    <t>Thử việc 01/11/2021</t>
  </si>
  <si>
    <t>BV1177</t>
  </si>
  <si>
    <t>Nguyễn Đức Tuân</t>
  </si>
  <si>
    <t>020071001628</t>
  </si>
  <si>
    <t>0982548855</t>
  </si>
  <si>
    <t>Hợp đồng 01/06/2022</t>
  </si>
  <si>
    <t>BV1209</t>
  </si>
  <si>
    <t>Mông Tiến Hỷ</t>
  </si>
  <si>
    <t>020080000486</t>
  </si>
  <si>
    <t>0398204223</t>
  </si>
  <si>
    <t>BV1217</t>
  </si>
  <si>
    <t>Hứa Quang Thuận</t>
  </si>
  <si>
    <t>020089000239</t>
  </si>
  <si>
    <t>Hợp đồng 03/01/2023</t>
  </si>
  <si>
    <t>BV1222</t>
  </si>
  <si>
    <t>Phạm Đức Thọ</t>
  </si>
  <si>
    <t>020082011244</t>
  </si>
  <si>
    <t>Hợp đồng từ 11/01/2023</t>
  </si>
  <si>
    <t>BV1244</t>
  </si>
  <si>
    <t>Hoàng Văn Sáu</t>
  </si>
  <si>
    <t>020066001760</t>
  </si>
  <si>
    <t>Hợp đồng 23/6/2023</t>
  </si>
  <si>
    <t>BV1249</t>
  </si>
  <si>
    <t>Hà Huy Hoàng</t>
  </si>
  <si>
    <t>020081001601</t>
  </si>
  <si>
    <t>Hợp đồng 01/8/2023</t>
  </si>
  <si>
    <t>BV1248</t>
  </si>
  <si>
    <t>Lành Tuấn An</t>
  </si>
  <si>
    <t>020086001807</t>
  </si>
  <si>
    <t>BV1306</t>
  </si>
  <si>
    <t>Lương Ngọc Phách</t>
  </si>
  <si>
    <t>020069000441</t>
  </si>
  <si>
    <t>BV0615</t>
  </si>
  <si>
    <t>Nguyễn Đức Long</t>
  </si>
  <si>
    <t>020081007165</t>
  </si>
  <si>
    <t>0338161581</t>
  </si>
  <si>
    <t>BV0616</t>
  </si>
  <si>
    <t>Nguyễn Minh Tùng</t>
  </si>
  <si>
    <t>020084002682</t>
  </si>
  <si>
    <t>0982603338</t>
  </si>
  <si>
    <t>BV0625</t>
  </si>
  <si>
    <t>Hoàng Thế Võ</t>
  </si>
  <si>
    <t>024066011210</t>
  </si>
  <si>
    <t>BV0609</t>
  </si>
  <si>
    <t>Hoàng Văn Hưng</t>
  </si>
  <si>
    <t>020069005898</t>
  </si>
  <si>
    <t>0845816888</t>
  </si>
  <si>
    <t>BV1250</t>
  </si>
  <si>
    <t>Vy Văn Quy</t>
  </si>
  <si>
    <t>020071000447</t>
  </si>
  <si>
    <t>BV0635</t>
  </si>
  <si>
    <t>Nông Thị Lan Anh</t>
  </si>
  <si>
    <t>KTĐH</t>
  </si>
  <si>
    <t>Kế toán viên</t>
  </si>
  <si>
    <t>Kế toán viên (hạng III)</t>
  </si>
  <si>
    <t>TCKT</t>
  </si>
  <si>
    <t>020186002583</t>
  </si>
  <si>
    <t>Số 10 Đường Mạc Đĩnh Chi, P. Kỳ Lừa, tỉnh Lạng Sơn</t>
  </si>
  <si>
    <t>BV0632</t>
  </si>
  <si>
    <t>020177001969</t>
  </si>
  <si>
    <t>Số 46, Lê Đại Hành, Khối 11, Phường Đông Kinh, tỉnh Lạng Sơn</t>
  </si>
  <si>
    <t>BV0641</t>
  </si>
  <si>
    <t>Vi Thu Huyền</t>
  </si>
  <si>
    <t>020187009643</t>
  </si>
  <si>
    <t>Số 104 Đường Bến Bắc, Phường Tam Thanh, Tỉnh Lạng Sơn</t>
  </si>
  <si>
    <t>BV0651</t>
  </si>
  <si>
    <t>Nông Thị Mơ</t>
  </si>
  <si>
    <t>020179007084</t>
  </si>
  <si>
    <t>80A Minh Khai-P. Kỳ Lừa-Tỉnh Lạng Sơn</t>
  </si>
  <si>
    <t>BV0656</t>
  </si>
  <si>
    <t>Trần Thị Vui</t>
  </si>
  <si>
    <t>036189017423</t>
  </si>
  <si>
    <t>Khối 3, phường Tam Thanh , Tỉnh Lạng Sơn</t>
  </si>
  <si>
    <t>BV0633</t>
  </si>
  <si>
    <t>Tô Thị Yêu</t>
  </si>
  <si>
    <t>020182002422</t>
  </si>
  <si>
    <t>Số 4 Tản Đà, khối 15, phường Kỳ Lừa, tỉnh Lạng Sơn</t>
  </si>
  <si>
    <t>BV1030</t>
  </si>
  <si>
    <t>Bùi Thị Thắm</t>
  </si>
  <si>
    <t>020188012621</t>
  </si>
  <si>
    <t>Số 9/41, ngõ 64, Lê Đại Hành, Phường Đông Kinh, tỉnh Lạng Sơn</t>
  </si>
  <si>
    <t>BV0455</t>
  </si>
  <si>
    <t>Đoàn Thị Hòa</t>
  </si>
  <si>
    <t>020176002027</t>
  </si>
  <si>
    <t>Số 189 đường Tam Thanh, phường Tam Thanh, tỉnh Lạng Sơn</t>
  </si>
  <si>
    <t>0339652830</t>
  </si>
  <si>
    <t>BV0644</t>
  </si>
  <si>
    <t>Đinh Hữu Đạt</t>
  </si>
  <si>
    <t>020073001632</t>
  </si>
  <si>
    <t>Số 90 ngõ 2 khối 2 phường Đông Kinh, tỉnh Lạng Sơn</t>
  </si>
  <si>
    <t>BV0638</t>
  </si>
  <si>
    <t>Đinh Thị Quỳnh Nga</t>
  </si>
  <si>
    <t>020176005081</t>
  </si>
  <si>
    <t>số 161 Bến Bắc, phường Tam Thanh, tỉnh Lạng Sơn</t>
  </si>
  <si>
    <t>BV0637</t>
  </si>
  <si>
    <t>Lê Thanh Tú</t>
  </si>
  <si>
    <t>020185000844</t>
  </si>
  <si>
    <t>Số 104, khối 11, đường Nhị Thanh, phường Tam Thanh, tỉnh Lạng Sơn</t>
  </si>
  <si>
    <t>BV1004</t>
  </si>
  <si>
    <t>Nguyễn Duy Khánh</t>
  </si>
  <si>
    <t>020091002293</t>
  </si>
  <si>
    <t>Số 13, Ngõ 12, Khối 2, Đường Bắc Sơn, Phường Đông Kinh, Tỉnh Lạng Sơn</t>
  </si>
  <si>
    <t>0983466263</t>
  </si>
  <si>
    <t>Chuyển đến 03/4/2020</t>
  </si>
  <si>
    <t>BV0655</t>
  </si>
  <si>
    <t>Tô Thị Đại</t>
  </si>
  <si>
    <t>020187009874</t>
  </si>
  <si>
    <t>253 Bắc Sơn, phường Kỳ Lừa, Tỉnh Lạng Sơn</t>
  </si>
  <si>
    <t>BV0652</t>
  </si>
  <si>
    <t>Lương Thị Hồng</t>
  </si>
  <si>
    <t>020187008704</t>
  </si>
  <si>
    <t>Khối Đại Sơn, P. Kỳ Lừa, tỉnh Lạng Sơn</t>
  </si>
  <si>
    <t>BV0650</t>
  </si>
  <si>
    <t>Kế toán viên TC</t>
  </si>
  <si>
    <t>020175004519</t>
  </si>
  <si>
    <t>Số 166 đường Trần Hưng Đạo, phường Lương Văn Tri, tỉnh Lạng Sơn</t>
  </si>
  <si>
    <t>BV0830</t>
  </si>
  <si>
    <t>Lê Thị Na</t>
  </si>
  <si>
    <t>Cử nhân QTKD</t>
  </si>
  <si>
    <t>Chuyên viên về Tài chính</t>
  </si>
  <si>
    <t>020189008309</t>
  </si>
  <si>
    <t>Số 15 ngõ 408 đường bà triệu, p đông kinh, tỉnh Lạng Sơn</t>
  </si>
  <si>
    <t>BV0891</t>
  </si>
  <si>
    <t>Ma Thùy Ninh</t>
  </si>
  <si>
    <t>020189002911</t>
  </si>
  <si>
    <t>đường Lê Đức Thọ, khối Khòn Pịt, phường Tam Thanh, tỉnh Lạng Sơn</t>
  </si>
  <si>
    <t>BV0693</t>
  </si>
  <si>
    <t>Phương Nhật Anh</t>
  </si>
  <si>
    <t>020193004449</t>
  </si>
  <si>
    <t>Tổ 3, Khối 8, Phường Đông Kinh, Tỉnh Lạng Sơn</t>
  </si>
  <si>
    <t>BV0881</t>
  </si>
  <si>
    <t>Nguyễn Hương Giang</t>
  </si>
  <si>
    <t>020196000289</t>
  </si>
  <si>
    <t>Số 27 Phan Huy Chú- Phường Lương Văn Tri</t>
  </si>
  <si>
    <t>Thử việc từ 02/01/2019 đến 31/1, Viên chức từ 15/6/2026</t>
  </si>
  <si>
    <t>BV0812</t>
  </si>
  <si>
    <t>Dương Huyền Nhi</t>
  </si>
  <si>
    <t>Cử nhân TCNH</t>
  </si>
  <si>
    <t>020193007471</t>
  </si>
  <si>
    <t>Số B19, Phố Xuân Diệu, Khu N18, Khối 25,P Kỳ Lừa, tỉnh Lạng Sơn</t>
  </si>
  <si>
    <t>0948281369</t>
  </si>
  <si>
    <t>BC T1/2018</t>
  </si>
  <si>
    <t>BV0631</t>
  </si>
  <si>
    <t>Chu Thị Hằng</t>
  </si>
  <si>
    <t>ThS KT</t>
  </si>
  <si>
    <t>020179006921</t>
  </si>
  <si>
    <t>SN 4 Ngõ 203 Lê Đại Hành P Đông Kinh tỉnh Lạng Sơn</t>
  </si>
  <si>
    <t>BV1162</t>
  </si>
  <si>
    <t>Trần Tuấn Hùng</t>
  </si>
  <si>
    <t>ThS TCNH</t>
  </si>
  <si>
    <t>020092007670</t>
  </si>
  <si>
    <t>Số 8 ngõ 227 Nguyễn Du, Phường Đông Kinh tỉnh Lạng Sơn</t>
  </si>
  <si>
    <t>Chuyển đến 20/10/2021</t>
  </si>
  <si>
    <t>BV0299</t>
  </si>
  <si>
    <t>Hoàng Đức Thuận</t>
  </si>
  <si>
    <t>KHTH</t>
  </si>
  <si>
    <t>020087002770</t>
  </si>
  <si>
    <t>Khối 14 phường Kỳ Lừa,tỉnh Lạng Sơn</t>
  </si>
  <si>
    <t>0919081087</t>
  </si>
  <si>
    <t>BV0231</t>
  </si>
  <si>
    <t>Nguyễn Thị Hương</t>
  </si>
  <si>
    <t>020188008038</t>
  </si>
  <si>
    <t>118, Tô Thị, P. Tam Thanh, tỉnh Lạng Sơn</t>
  </si>
  <si>
    <t>082055606</t>
  </si>
  <si>
    <t>BV0669</t>
  </si>
  <si>
    <t>Lành Thị Điển</t>
  </si>
  <si>
    <t>020176002267</t>
  </si>
  <si>
    <t>Số 6 Phai Vệ -khối 12 -Phường Đông Kinh -Tỉnh Lạng Sơn</t>
  </si>
  <si>
    <t>0944386986</t>
  </si>
  <si>
    <t>BV0661</t>
  </si>
  <si>
    <t>Lưu Kim Phượng</t>
  </si>
  <si>
    <t>ĐH CNTT</t>
  </si>
  <si>
    <t>Công nghệ thông tin (hạng III)</t>
  </si>
  <si>
    <t>020186002922</t>
  </si>
  <si>
    <t>696, đường Bà Triệu, phường Đông Kinh, tỉnh Lạng Sơn</t>
  </si>
  <si>
    <t>0915986266</t>
  </si>
  <si>
    <t>BV0664</t>
  </si>
  <si>
    <t>Nguyễn Thị Mai</t>
  </si>
  <si>
    <t>020184002852</t>
  </si>
  <si>
    <t>số 155 Nguyễn Du, phường Đông Kinh, tỉnh Lạng Sơn</t>
  </si>
  <si>
    <t>0982037022</t>
  </si>
  <si>
    <t>BV0803</t>
  </si>
  <si>
    <t>Dương Công Tình</t>
  </si>
  <si>
    <t>020092002145</t>
  </si>
  <si>
    <t>0866206266</t>
  </si>
  <si>
    <t>BV0673</t>
  </si>
  <si>
    <t>Dương Thần Trưởng</t>
  </si>
  <si>
    <t>020092002149</t>
  </si>
  <si>
    <t>Khối Đại Sơn, Phường Kỳ Lừa, Tỉnh Lạng Sơn</t>
  </si>
  <si>
    <t>0974405192</t>
  </si>
  <si>
    <t>BV0926</t>
  </si>
  <si>
    <t>Đinh Thị Hải Yến</t>
  </si>
  <si>
    <t>015193005031</t>
  </si>
  <si>
    <t>số 109A, đường Tam Thanh, khối 11 phường Tam Thanh, tỉnh Lạng Sơn</t>
  </si>
  <si>
    <t>0335445968</t>
  </si>
  <si>
    <t>Thử việc 15/8/2019; Kiêm nhiệm phòng QLCL 01/10/2022; đỗ VC 20/5/2026;</t>
  </si>
  <si>
    <t>BV0078</t>
  </si>
  <si>
    <t>Phạm Lan Anh</t>
  </si>
  <si>
    <t>CTXH</t>
  </si>
  <si>
    <t>020189002247</t>
  </si>
  <si>
    <t>Số 90, Đường Lê Lai, Khối 8, Phường Kỳ Lừa , Tỉnh Lạng Sơn</t>
  </si>
  <si>
    <t>BV0382</t>
  </si>
  <si>
    <t>Vy Thị Hồng Thơ</t>
  </si>
  <si>
    <t>020184000948</t>
  </si>
  <si>
    <t>Số 27, Tạ Quang Bửu, Khu N16, Khối 25 Phường Kỳ Lừa, Tỉnh Lạng Sơn</t>
  </si>
  <si>
    <t>BV0084</t>
  </si>
  <si>
    <t>Hoàng Thị Mai Anh</t>
  </si>
  <si>
    <t>020189006254</t>
  </si>
  <si>
    <t>Số nhà 12 đường Võ Thị Sáu, khối 8 phường Đông Kinh</t>
  </si>
  <si>
    <t>BV0037</t>
  </si>
  <si>
    <t>Triệu Thị Thảo</t>
  </si>
  <si>
    <t>020186002926</t>
  </si>
  <si>
    <t>Tập thể trường Cao đẳng Lạng Sơn, khối Đèo Giang, phường Lương Văn Tri</t>
  </si>
  <si>
    <t>0985494828</t>
  </si>
  <si>
    <t>BV0675</t>
  </si>
  <si>
    <t>Phạm Thùy Linh</t>
  </si>
  <si>
    <t>Cử nhân QHCC</t>
  </si>
  <si>
    <t>Chuyên viên về truyền thông</t>
  </si>
  <si>
    <t>020193002192</t>
  </si>
  <si>
    <t>Số 4A ngõ 167 đường Tam Thanh, phường Tam Thanh, tỉnh Lạng Sơn</t>
  </si>
  <si>
    <t>BV0832</t>
  </si>
  <si>
    <t>Nguyễn Thị Hà Thu</t>
  </si>
  <si>
    <t>Cử nhân Báo chí</t>
  </si>
  <si>
    <t>020193008525</t>
  </si>
  <si>
    <t>Khối 6, phường Đông Kinh, tỉnh Lạng Sơn</t>
  </si>
  <si>
    <t>BV0164</t>
  </si>
  <si>
    <t>Lương Văn Sỹ</t>
  </si>
  <si>
    <t>QLCL</t>
  </si>
  <si>
    <t>020077009361</t>
  </si>
  <si>
    <t>Số 14 /34, đường bà triệu, phường kỳ lừa, tỉnh Lạng sơn</t>
  </si>
  <si>
    <t>0912091040</t>
  </si>
  <si>
    <t>BV0668</t>
  </si>
  <si>
    <t>Trần Thị Bích</t>
  </si>
  <si>
    <t>024173002543</t>
  </si>
  <si>
    <t>Số nhà 27 ngõ 105, đường lê lợi phường đông kinh TPLạng Sơn</t>
  </si>
  <si>
    <t>0982134808</t>
  </si>
  <si>
    <t>BV0924</t>
  </si>
  <si>
    <t>Nguyễn Thu Huyền</t>
  </si>
  <si>
    <t>020197000360</t>
  </si>
  <si>
    <t>Số 14, đường ba đình, tân mỹ 1, xã Hữu lũng, tỉnh Lạng sơn</t>
  </si>
  <si>
    <t>Thử việc 15/8/2019, Viên chức từ 15/6/2026</t>
  </si>
  <si>
    <t>BV0247</t>
  </si>
  <si>
    <t>Đặng Thị Thơm</t>
  </si>
  <si>
    <t>Chỉ đạo tuyến</t>
  </si>
  <si>
    <t>020185002827</t>
  </si>
  <si>
    <t>Số 5, Nà Trang A, khối 6, phường Tam Thanh, tỉnh Lạng Sơn</t>
  </si>
  <si>
    <t>BV0829</t>
  </si>
  <si>
    <t>Hoàng Bảo Vượng</t>
  </si>
  <si>
    <t>020093004930</t>
  </si>
  <si>
    <t>Thôn Tồng Riền, xã Công Sơn, tỉnh Lạng Sơn</t>
  </si>
  <si>
    <t>Chuyển đến 19/3/2018; tăng cường SYT 08/2/2023-07/2/2024</t>
  </si>
  <si>
    <t>BV0672</t>
  </si>
  <si>
    <t>Lục Thị Ngọc Hoài</t>
  </si>
  <si>
    <t>020191005648</t>
  </si>
  <si>
    <t>BV0225</t>
  </si>
  <si>
    <t>Hà Thị Thanh</t>
  </si>
  <si>
    <t>020188006726</t>
  </si>
  <si>
    <t>BV0797</t>
  </si>
  <si>
    <t>Dương Công Khanh</t>
  </si>
  <si>
    <t>020094009569</t>
  </si>
  <si>
    <t>Khối Hợp Tân, p Lỳ Lừa, tỉnh Lạng Sơn</t>
  </si>
  <si>
    <t>đỗ VC 20/5/2026; đỗ VC 20/5/2026</t>
  </si>
  <si>
    <t>BV1067</t>
  </si>
  <si>
    <t>Trương Thị Quỳnh Trang</t>
  </si>
  <si>
    <t>CNTT</t>
  </si>
  <si>
    <t>020184000819</t>
  </si>
  <si>
    <t>Số 6 phố Trần Quốc Toản, Khối 1, phường Kỳ Lừa, tỉnh Lạng Sơn</t>
  </si>
  <si>
    <t>0985506588</t>
  </si>
  <si>
    <t>Thử việc 09/9/2020, Viên chức từ 15/6/2026</t>
  </si>
  <si>
    <t>BV0663</t>
  </si>
  <si>
    <t>Nguyễn Thiện An</t>
  </si>
  <si>
    <t>ThS CNTT</t>
  </si>
  <si>
    <t>040084003273</t>
  </si>
  <si>
    <t>Khối 27, Kỳ Lừa, Lạng Sơn</t>
  </si>
  <si>
    <t>BV0660</t>
  </si>
  <si>
    <t>Hoàng Đình Dũng</t>
  </si>
  <si>
    <t>020082002600</t>
  </si>
  <si>
    <t>Xuân Giao, Hưng Vũ, Lạng Sơn</t>
  </si>
  <si>
    <t>0912065616</t>
  </si>
  <si>
    <t>BV0662</t>
  </si>
  <si>
    <t>Nông Hoàng Phương</t>
  </si>
  <si>
    <t>020085000582</t>
  </si>
  <si>
    <t>BV1066</t>
  </si>
  <si>
    <t>Hoàng Thế Lâm</t>
  </si>
  <si>
    <t>025087001673</t>
  </si>
  <si>
    <t>Khối 26, Kỳ Lừa, Lạng Sơn</t>
  </si>
  <si>
    <t>Chuyển đến 01/9/2020</t>
  </si>
  <si>
    <t>BV0853</t>
  </si>
  <si>
    <t>Đặng Huy Đức</t>
  </si>
  <si>
    <t>020082008345</t>
  </si>
  <si>
    <t>Khối 4, P Đông Kinh, Lạng Sơn</t>
  </si>
  <si>
    <t>Chuyển đến 12/11/2018</t>
  </si>
  <si>
    <t>BV0665</t>
  </si>
  <si>
    <t>Nguyễn Việt Hà</t>
  </si>
  <si>
    <t>020085002388</t>
  </si>
  <si>
    <t>Khối 2, P Đông Kinh, Lạng Sơn</t>
  </si>
  <si>
    <t>BV0659</t>
  </si>
  <si>
    <t>Lâm An Biên</t>
  </si>
  <si>
    <t>020075008291</t>
  </si>
  <si>
    <t>Khối 9, P Đông Kinh, Lạng Sơn</t>
  </si>
  <si>
    <t>BV1326</t>
  </si>
  <si>
    <t>Nguyễn Thị Mừng</t>
  </si>
  <si>
    <t>001183051164</t>
  </si>
  <si>
    <t>Khối 6, Phường Kỳ Lừa, Tỉnh Lạng Sơn</t>
  </si>
  <si>
    <t>HĐ từ 23/4/2025</t>
  </si>
  <si>
    <t>BV1324</t>
  </si>
  <si>
    <t>Nguyễn Thu Hương</t>
  </si>
  <si>
    <t>020195004323</t>
  </si>
  <si>
    <t>Số 3, ngõ 59 Đèo Giang, phường Lương Văn tri, Lạng Sơn</t>
  </si>
  <si>
    <t>HĐ từ 01/7/2025</t>
  </si>
  <si>
    <t>BV1325</t>
  </si>
  <si>
    <t>Đặng Tuấn Phong</t>
  </si>
  <si>
    <t>020097008691</t>
  </si>
  <si>
    <t>146, Trần Hưng Đạo, Phường Lương Văn Tri, Tỉnh Lạng Sơn</t>
  </si>
  <si>
    <t>HĐ từ 16/7/2025, Viên chức từ 15/6/2026</t>
  </si>
  <si>
    <t>BV1327</t>
  </si>
  <si>
    <t>Triệu Phương Huyền</t>
  </si>
  <si>
    <t>020301006641</t>
  </si>
  <si>
    <t>HĐ từ 25/8/2025, Viên chức từ 15/6/2026</t>
  </si>
  <si>
    <t>BV1328</t>
  </si>
  <si>
    <t>Lành Văn Đông</t>
  </si>
  <si>
    <t>020087013063</t>
  </si>
  <si>
    <t>Hoàng tâm- tam thanh</t>
  </si>
  <si>
    <t>HĐ từ 15/9/2025, Viên chức từ 15/6/2026</t>
  </si>
  <si>
    <t>BV1329</t>
  </si>
  <si>
    <t>Chu Văn Bộ</t>
  </si>
  <si>
    <t>020069005917</t>
  </si>
  <si>
    <t>HĐ từ 19/9/2025</t>
  </si>
  <si>
    <t>BV1330</t>
  </si>
  <si>
    <t>Vi Thị Bình</t>
  </si>
  <si>
    <t>020303003694</t>
  </si>
  <si>
    <t>Xã Chiến Thắng, tỉnh Lạng Sơn</t>
  </si>
  <si>
    <t>HĐ từ 22/9/2025</t>
  </si>
  <si>
    <t>BV1331</t>
  </si>
  <si>
    <t>020194001591</t>
  </si>
  <si>
    <t>Số 134 Tản Đà, khối 11, phường Kỳ Lừa</t>
  </si>
  <si>
    <t>HĐ từ 01/10/2025, Viên chức từ 15/6/2026</t>
  </si>
  <si>
    <t>BV1332</t>
  </si>
  <si>
    <t>Dương Thị Thanh Ngọc</t>
  </si>
  <si>
    <t>020303001599</t>
  </si>
  <si>
    <t>Đông Đằng xã Bắc Sơn tỉnh Lạng Sơn</t>
  </si>
  <si>
    <t>0766418760</t>
  </si>
  <si>
    <t>BV1333</t>
  </si>
  <si>
    <t>Vy Thị Vâng</t>
  </si>
  <si>
    <t>020198003237</t>
  </si>
  <si>
    <t>Xã Thiện Long, Lạng Sơn</t>
  </si>
  <si>
    <t>0349779681</t>
  </si>
  <si>
    <t>BV1334</t>
  </si>
  <si>
    <t>Lưu Bảo Hoan</t>
  </si>
  <si>
    <t>020078012316</t>
  </si>
  <si>
    <t>HĐ từ 08/10/2025</t>
  </si>
  <si>
    <t>BV1335</t>
  </si>
  <si>
    <t>Phương Xuân Bách</t>
  </si>
  <si>
    <t>020068001242</t>
  </si>
  <si>
    <t>HĐ từ 03/11/2025</t>
  </si>
  <si>
    <t>BV1336</t>
  </si>
  <si>
    <t>Hoàng Quốc Khánh</t>
  </si>
  <si>
    <t>020200006773</t>
  </si>
  <si>
    <t>0367564137</t>
  </si>
  <si>
    <t>HĐ từ 03/11/2025, Viên chức từ 15/6/2026</t>
  </si>
  <si>
    <t>BV1338</t>
  </si>
  <si>
    <t>Lương Duy Minh</t>
  </si>
  <si>
    <t>020097005885</t>
  </si>
  <si>
    <t>Số 136 Phai Vệ -Đông Kinh- Lạng Sơn</t>
  </si>
  <si>
    <t>0332097996</t>
  </si>
  <si>
    <t>BV1339</t>
  </si>
  <si>
    <t>Nguyễn Xuân Nam</t>
  </si>
  <si>
    <t>024098008421</t>
  </si>
  <si>
    <t>Số 36, Lê Văn Lương,p.Kỳ Lừa</t>
  </si>
  <si>
    <t>0326588210</t>
  </si>
  <si>
    <t>BV1340</t>
  </si>
  <si>
    <t>Trịnh Vân Trang</t>
  </si>
  <si>
    <t>020199003451</t>
  </si>
  <si>
    <t>Khối 2 phường Đông Kinh tỉnh Lạng Sơn</t>
  </si>
  <si>
    <t>0376412573</t>
  </si>
  <si>
    <t>BV1341</t>
  </si>
  <si>
    <t>Lâm Văn Lương</t>
  </si>
  <si>
    <t>020096004522</t>
  </si>
  <si>
    <t>Thôn Nà Thì, Xã Thống Nhất, tỉnh Lạng Sơn</t>
  </si>
  <si>
    <t>0869280296</t>
  </si>
  <si>
    <t>BV1342</t>
  </si>
  <si>
    <t>Dương Thị Hương</t>
  </si>
  <si>
    <t>020300003355</t>
  </si>
  <si>
    <t>Thôn An Ninh, xã Hưng Vũ, tỉnh Lạng Sơn</t>
  </si>
  <si>
    <t>BV1343</t>
  </si>
  <si>
    <t>Đặng Thị Minh Thu</t>
  </si>
  <si>
    <t>020304003786</t>
  </si>
  <si>
    <t>Bản Đoóc, xã Thất Nhất,tỉnh Lạng Sơn</t>
  </si>
  <si>
    <t>0705591162;0339158582</t>
  </si>
  <si>
    <t>BV1344</t>
  </si>
  <si>
    <t>Lương Thị Thùy</t>
  </si>
  <si>
    <t>020304004565</t>
  </si>
  <si>
    <t>Khối Phai Luông, Phường Kỳ Lừa, tỉnh Lạng Sơn</t>
  </si>
  <si>
    <t>BV1345</t>
  </si>
  <si>
    <t>020304001618</t>
  </si>
  <si>
    <t>Xã Tri lễ - Lạng Sơn</t>
  </si>
  <si>
    <t>BV1346</t>
  </si>
  <si>
    <t>Hoàng Thị Thùy Linh</t>
  </si>
  <si>
    <t>020304006133</t>
  </si>
  <si>
    <t xml:space="preserve">P Kỳ Lừa, Lạng Sơn </t>
  </si>
  <si>
    <t>BV1347</t>
  </si>
  <si>
    <t>Hoàng Khánh Vinh</t>
  </si>
  <si>
    <t>020202004024</t>
  </si>
  <si>
    <t>BV1348</t>
  </si>
  <si>
    <t>Hoàng Văn Thân</t>
  </si>
  <si>
    <t>020204000751</t>
  </si>
  <si>
    <t>Thôn Hồng Phong I, Xã Vũ Lễ, Tỉnh Lạng Sơn</t>
  </si>
  <si>
    <t>BV1350</t>
  </si>
  <si>
    <t>Hoàng Thị Phương Dung</t>
  </si>
  <si>
    <t>020304000733</t>
  </si>
  <si>
    <t>Khối Pò Đứa- Pò Mỏ, Phường Đông Kinh, tỉnh Lạng Sơn</t>
  </si>
  <si>
    <t>0378695835</t>
  </si>
  <si>
    <t>BV1351</t>
  </si>
  <si>
    <t>Hoàng Thùy Linh</t>
  </si>
  <si>
    <t>020300006879</t>
  </si>
  <si>
    <t>53 Thác Mạ 7 - Phường Đông Kinh - Tỉnh Lạng Sơn</t>
  </si>
  <si>
    <t>HĐ từ 10/11/2025, Viên chức từ 15/6/2026</t>
  </si>
  <si>
    <t>BV1352</t>
  </si>
  <si>
    <t>Hoàng Thị Kim Ngân</t>
  </si>
  <si>
    <t>020302000732</t>
  </si>
  <si>
    <t>Thôn Long Hưng,Bắc Sơn,LS</t>
  </si>
  <si>
    <t>HĐ từ 11/11/2025</t>
  </si>
  <si>
    <t>BV1353</t>
  </si>
  <si>
    <t>027195008291</t>
  </si>
  <si>
    <t>phường Tam Thanh, tỉnh Lạng Sơn</t>
  </si>
  <si>
    <t>HĐ từ 11/11/2025, Viên chức từ 15/6/2026</t>
  </si>
  <si>
    <t>BV1354</t>
  </si>
  <si>
    <t>Nguyễn Sơn Tùng</t>
  </si>
  <si>
    <t>020200006452</t>
  </si>
  <si>
    <t>HĐ từ 17/11/2025, Viên chức từ 15/6/2026</t>
  </si>
  <si>
    <t>BV1355</t>
  </si>
  <si>
    <t>Vi Thu Hường</t>
  </si>
  <si>
    <t>020303001218</t>
  </si>
  <si>
    <t>Làng Trung, Chi Lăng, Lạng Sơn</t>
  </si>
  <si>
    <t>HĐ từ 24/11/2025</t>
  </si>
  <si>
    <t>BV1356</t>
  </si>
  <si>
    <t>Nguyễn Mai Hương</t>
  </si>
  <si>
    <t>020302007536</t>
  </si>
  <si>
    <t>Khối Cửa Bắc, phường Lương Văn Tri, tỉnh Lạng Sơn</t>
  </si>
  <si>
    <t>0911629040</t>
  </si>
  <si>
    <t>HĐ từ 01/12/2025, Viên chức từ 15/6/2026</t>
  </si>
  <si>
    <t>BV1357</t>
  </si>
  <si>
    <t>Nguyễn Thiên Trang</t>
  </si>
  <si>
    <t>020191008250</t>
  </si>
  <si>
    <t>185 Trần Quang Khải, phường Lương Văn Chi</t>
  </si>
  <si>
    <t>0368203333</t>
  </si>
  <si>
    <t>BV1358</t>
  </si>
  <si>
    <t>Hoàng Quang Huỳnh</t>
  </si>
  <si>
    <t>020098006500</t>
  </si>
  <si>
    <t>Xã Tri Lễ, tỉnh Lạng Sơn</t>
  </si>
  <si>
    <t>HĐ từ 12/01/2026</t>
  </si>
  <si>
    <t>BV1359</t>
  </si>
  <si>
    <t>Dương Thị Hồng Hà</t>
  </si>
  <si>
    <t>020195008240</t>
  </si>
  <si>
    <t>Chuyển đến 01/02/2026</t>
  </si>
  <si>
    <t>BV1360</t>
  </si>
  <si>
    <t>Lê Thu Hà</t>
  </si>
  <si>
    <t>020301000607</t>
  </si>
  <si>
    <t>Chuyển đến 06/2/2026</t>
  </si>
  <si>
    <t>BV1361</t>
  </si>
  <si>
    <t>Phương Văn Thuận</t>
  </si>
  <si>
    <t>020078011200</t>
  </si>
  <si>
    <t>HĐ từ 19/01/2026</t>
  </si>
  <si>
    <t>BV0884</t>
  </si>
  <si>
    <t>Trần Hoàn Hảo</t>
  </si>
  <si>
    <t>08/4/2019</t>
  </si>
  <si>
    <t>020192012404</t>
  </si>
  <si>
    <t>0349754359</t>
  </si>
  <si>
    <t>HĐ 8/4/2019-31/3/2023; đỗ VC 20/5/2026;</t>
  </si>
  <si>
    <t>BV0869</t>
  </si>
  <si>
    <t>Lương Thùy Trang</t>
  </si>
  <si>
    <t>020195004143</t>
  </si>
  <si>
    <t>HĐ 11/2018-15/10/2022; đỗ VC 20/5/2026;</t>
  </si>
  <si>
    <t>BV1397</t>
  </si>
  <si>
    <t>Phương Thị Thủy</t>
  </si>
  <si>
    <t>HĐ từ 04/6/2026</t>
  </si>
  <si>
    <t>BV1298</t>
  </si>
  <si>
    <t>Hứa Đức Anh</t>
  </si>
  <si>
    <t>14/12/1997</t>
  </si>
  <si>
    <t>020097003570</t>
  </si>
  <si>
    <t>0944272187</t>
  </si>
  <si>
    <t>BV1362</t>
  </si>
  <si>
    <t>Hà Việt Anh</t>
  </si>
  <si>
    <t>12/10/2001</t>
  </si>
  <si>
    <t>026201004732</t>
  </si>
  <si>
    <t>0372626798</t>
  </si>
  <si>
    <t>BV1363</t>
  </si>
  <si>
    <t>Vy Thị Vân Anh</t>
  </si>
  <si>
    <t>13/8/2000</t>
  </si>
  <si>
    <t>020300004380</t>
  </si>
  <si>
    <t>0372353096</t>
  </si>
  <si>
    <t>BV1365</t>
  </si>
  <si>
    <t>Hứa Hoàng Diệu</t>
  </si>
  <si>
    <t>11/02/2001</t>
  </si>
  <si>
    <t>020301007414</t>
  </si>
  <si>
    <t>0829181388</t>
  </si>
  <si>
    <t>BV1366</t>
  </si>
  <si>
    <t>Triệu Thu Hoài</t>
  </si>
  <si>
    <t>20/4/2001</t>
  </si>
  <si>
    <t>020301003640</t>
  </si>
  <si>
    <t>0985354288</t>
  </si>
  <si>
    <t>BV1367</t>
  </si>
  <si>
    <t>Bùi Như Huệ</t>
  </si>
  <si>
    <t>24/5/2001</t>
  </si>
  <si>
    <t>020301000145</t>
  </si>
  <si>
    <t>0868237460</t>
  </si>
  <si>
    <t>BV1368</t>
  </si>
  <si>
    <t>Mông Thị Mai Hương</t>
  </si>
  <si>
    <t>08/5/2000</t>
  </si>
  <si>
    <t>020300000186</t>
  </si>
  <si>
    <t>0947990623</t>
  </si>
  <si>
    <t>BV1369</t>
  </si>
  <si>
    <t>Lương Thị Hương Lan</t>
  </si>
  <si>
    <t>25/4/2001</t>
  </si>
  <si>
    <t>020301007753</t>
  </si>
  <si>
    <t>0392663588</t>
  </si>
  <si>
    <t>BV1370</t>
  </si>
  <si>
    <t>Vũ Thị Ngọc Mai</t>
  </si>
  <si>
    <t>03/10/1999</t>
  </si>
  <si>
    <t>020199007562</t>
  </si>
  <si>
    <t>0398870322</t>
  </si>
  <si>
    <t>BV1371</t>
  </si>
  <si>
    <t>Linh Thị Sở</t>
  </si>
  <si>
    <t>22/11/2000</t>
  </si>
  <si>
    <t>020300005729</t>
  </si>
  <si>
    <t>0392602388</t>
  </si>
  <si>
    <t>BV1372</t>
  </si>
  <si>
    <t>Chu Thị Tuyết</t>
  </si>
  <si>
    <t>11/04/2000</t>
  </si>
  <si>
    <t>020300000943</t>
  </si>
  <si>
    <t>0352696847</t>
  </si>
  <si>
    <t>BV1040</t>
  </si>
  <si>
    <t>Dương Thị Thùy</t>
  </si>
  <si>
    <t>10/02/1995</t>
  </si>
  <si>
    <t>020195001904</t>
  </si>
  <si>
    <t>0967581310</t>
  </si>
  <si>
    <t>BV1375</t>
  </si>
  <si>
    <t>Dương Thị Thanh Trúc</t>
  </si>
  <si>
    <t>28/12/2001</t>
  </si>
  <si>
    <t>020301006056</t>
  </si>
  <si>
    <t>0365064201</t>
  </si>
  <si>
    <t>BV1376</t>
  </si>
  <si>
    <t>Hà Kiên Trung</t>
  </si>
  <si>
    <t>09/6/1998</t>
  </si>
  <si>
    <t>020098000316</t>
  </si>
  <si>
    <t>0823262866</t>
  </si>
  <si>
    <t>BV1377</t>
  </si>
  <si>
    <t>Nông Khánh Vân</t>
  </si>
  <si>
    <t>25/12/2000</t>
  </si>
  <si>
    <t>020300000904</t>
  </si>
  <si>
    <t>0976034325</t>
  </si>
  <si>
    <t>BV1378</t>
  </si>
  <si>
    <t>Hoàng Ngọc Hân</t>
  </si>
  <si>
    <t>ĐH Tài chính</t>
  </si>
  <si>
    <t>TĐ025a</t>
  </si>
  <si>
    <t>21/12/2001</t>
  </si>
  <si>
    <t>020301000174</t>
  </si>
  <si>
    <t>0983842816</t>
  </si>
  <si>
    <t>BV1379</t>
  </si>
  <si>
    <t>Hoàng Thị Phương Anh</t>
  </si>
  <si>
    <t>28/12/2000</t>
  </si>
  <si>
    <t>020300003642</t>
  </si>
  <si>
    <t>0366716007</t>
  </si>
  <si>
    <t>BV1380</t>
  </si>
  <si>
    <t>Nguyễn Đinh Phương Linh</t>
  </si>
  <si>
    <t>23/10/1999</t>
  </si>
  <si>
    <t>020199000386</t>
  </si>
  <si>
    <t>0352967932</t>
  </si>
  <si>
    <t>BV1381</t>
  </si>
  <si>
    <t>Vi Thị Thiện</t>
  </si>
  <si>
    <t>20/6/2003</t>
  </si>
  <si>
    <t>020303000454</t>
  </si>
  <si>
    <t>0334032506</t>
  </si>
  <si>
    <t>BV1382</t>
  </si>
  <si>
    <t>Dương Thị Chầm</t>
  </si>
  <si>
    <t>020189005581</t>
  </si>
  <si>
    <t>0984880047</t>
  </si>
  <si>
    <t>BV1383</t>
  </si>
  <si>
    <t>Hoàng Mai Hòa</t>
  </si>
  <si>
    <t>06/5/2003</t>
  </si>
  <si>
    <t>020303002597</t>
  </si>
  <si>
    <t>0346709834</t>
  </si>
  <si>
    <t>BV1384</t>
  </si>
  <si>
    <t>28/01/1999</t>
  </si>
  <si>
    <t>020199004705</t>
  </si>
  <si>
    <t>0385693457</t>
  </si>
  <si>
    <t>BV1385</t>
  </si>
  <si>
    <t>Phùng Tú Oanh</t>
  </si>
  <si>
    <t>18/4/2002</t>
  </si>
  <si>
    <t>020302001114</t>
  </si>
  <si>
    <t>0563818222</t>
  </si>
  <si>
    <t>BV1386</t>
  </si>
  <si>
    <t>Hoàng Thu Thùy</t>
  </si>
  <si>
    <t>18/6/2000</t>
  </si>
  <si>
    <t>020300006416</t>
  </si>
  <si>
    <t>0979493971</t>
  </si>
  <si>
    <t>BV1398</t>
  </si>
  <si>
    <t>05/12/2002</t>
  </si>
  <si>
    <t>020302003615</t>
  </si>
  <si>
    <t>0378133758</t>
  </si>
  <si>
    <t>BV1387</t>
  </si>
  <si>
    <t>Lý Thị Hoàn</t>
  </si>
  <si>
    <t>04/7/1990</t>
  </si>
  <si>
    <t>020190012637</t>
  </si>
  <si>
    <t>0349754289</t>
  </si>
  <si>
    <t>BV1388</t>
  </si>
  <si>
    <t>Hoàng Thị Khanh</t>
  </si>
  <si>
    <t>18/01/1999</t>
  </si>
  <si>
    <t>020199006768</t>
  </si>
  <si>
    <t>0949571851</t>
  </si>
  <si>
    <t>BV1389</t>
  </si>
  <si>
    <t>Bùi Hồng Lan</t>
  </si>
  <si>
    <t>Nội tổng hợp</t>
  </si>
  <si>
    <t>23/10/1991</t>
  </si>
  <si>
    <t>020191010349</t>
  </si>
  <si>
    <t>0985029672</t>
  </si>
  <si>
    <t>BV1390</t>
  </si>
  <si>
    <t>13/6/2001</t>
  </si>
  <si>
    <t>020301003398</t>
  </si>
  <si>
    <t>0387487069</t>
  </si>
  <si>
    <t>BV1391</t>
  </si>
  <si>
    <t>Nông Thị Vị</t>
  </si>
  <si>
    <t>28/11/1992</t>
  </si>
  <si>
    <t>020192008475</t>
  </si>
  <si>
    <t>0364181814</t>
  </si>
  <si>
    <t>BV1392</t>
  </si>
  <si>
    <t>Hoàng Quốc Việt</t>
  </si>
  <si>
    <t>16/8/1989</t>
  </si>
  <si>
    <t>020089003630</t>
  </si>
  <si>
    <t>0347960115</t>
  </si>
  <si>
    <t>BV1393</t>
  </si>
  <si>
    <t>Tô Thị Thúy Duyên</t>
  </si>
  <si>
    <t>31/5/1995</t>
  </si>
  <si>
    <t>020195010067</t>
  </si>
  <si>
    <t>0962461189</t>
  </si>
  <si>
    <t>BV1395</t>
  </si>
  <si>
    <t>Tô Thị Thanh</t>
  </si>
  <si>
    <t>26/6/1992</t>
  </si>
  <si>
    <t>020192011581</t>
  </si>
  <si>
    <t>0962611726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</si>
</sst>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charset val="163"/>
      <scheme val="minor"/>
    </font>
    <font>
      <sz val="12"/>
      <color theme="1"/>
      <name val="Times New Roman"/>
      <family val="1"/>
    </font>
    <font>
      <b/>
      <sz val="12"/>
      <color theme="1"/>
      <name val="Times New Roman"/>
      <family val="1"/>
    </font>
    <font>
      <b/>
      <sz val="11"/>
      <color theme="1"/>
      <name val="Times New Roman"/>
      <family val="1"/>
    </font>
    <font>
      <sz val="11"/>
      <color theme="1"/>
      <name val="Times New Roman"/>
      <family val="1"/>
    </font>
    <font>
      <sz val="12"/>
      <color rgb="FFFF0000"/>
      <name val="Times New Roman"/>
      <family val="1"/>
    </font>
    <font>
      <b/>
      <sz val="11"/>
      <color rgb="FFFF0000"/>
      <name val="Times New Roman"/>
      <family val="1"/>
    </font>
    <font>
      <b/>
      <u/>
      <sz val="13"/>
      <color theme="1"/>
      <name val="Times New Roman"/>
      <family val="1"/>
    </font>
    <font>
      <sz val="8"/>
      <color theme="1"/>
      <name val="Times New Roman"/>
      <family val="1"/>
    </font>
    <font>
      <sz val="11"/>
      <color rgb="FFFF0000"/>
      <name val="Times New Roman"/>
      <family val="1"/>
    </font>
    <font>
      <sz val="10"/>
      <color theme="1"/>
      <name val="Times New Roman"/>
      <family val="1"/>
    </font>
    <font>
      <sz val="12"/>
      <color rgb="FF000000"/>
      <name val="Times New Roman"/>
      <family val="1"/>
    </font>
    <font>
      <sz val="14"/>
      <color theme="1"/>
      <name val="Times New Roman"/>
      <family val="1"/>
    </font>
    <font>
      <sz val="11"/>
      <color rgb="FF081B3A"/>
      <name val="Quattrocento Sans"/>
      <family val="2"/>
    </font>
    <font>
      <sz val="13"/>
      <color theme="1"/>
      <name val="Times New Roman"/>
      <family val="1"/>
    </font>
    <font>
      <sz val="11"/>
      <color rgb="FF081B3A"/>
      <name val="Times New Roman"/>
      <family val="1"/>
    </font>
    <font>
      <sz val="10"/>
      <color rgb="FFFF0000"/>
      <name val="Times New Roman"/>
      <family val="1"/>
    </font>
    <font>
      <sz val="12"/>
      <name val="Times New Roman"/>
      <family val="1"/>
    </font>
    <font>
      <sz val="12"/>
      <color theme="1"/>
      <name val="Calibri"/>
      <family val="2"/>
      <scheme val="minor"/>
    </font>
    <font>
      <sz val="10"/>
      <color theme="1"/>
      <name val="Calibri"/>
      <family val="2"/>
      <scheme val="minor"/>
    </font>
    <font>
      <sz val="10"/>
      <color rgb="FF000000"/>
      <name val="Calibri"/>
      <family val="2"/>
      <scheme val="minor"/>
    </font>
    <font>
      <b/>
      <sz val="9"/>
      <color indexed="81"/>
      <name val="Segoe UI"/>
      <family val="2"/>
    </font>
  </fonts>
  <fills count="22">
    <fill>
      <patternFill patternType="none"/>
    </fill>
    <fill>
      <patternFill patternType="gray125"/>
    </fill>
    <fill>
      <patternFill patternType="solid">
        <fgColor theme="0"/>
        <bgColor indexed="64"/>
      </patternFill>
    </fill>
    <fill>
      <patternFill patternType="solid">
        <fgColor theme="0"/>
        <bgColor theme="0"/>
      </patternFill>
    </fill>
    <fill>
      <patternFill patternType="solid">
        <fgColor rgb="FFCCFFFF"/>
        <bgColor rgb="FFCCFFFF"/>
      </patternFill>
    </fill>
    <fill>
      <patternFill patternType="solid">
        <fgColor rgb="FFCCFFCC"/>
        <bgColor rgb="FFCCFFCC"/>
      </patternFill>
    </fill>
    <fill>
      <patternFill patternType="solid">
        <fgColor rgb="FFCCFF99"/>
        <bgColor rgb="FFCCFF99"/>
      </patternFill>
    </fill>
    <fill>
      <patternFill patternType="solid">
        <fgColor rgb="FFFFFF00"/>
        <bgColor rgb="FFFFFF00"/>
      </patternFill>
    </fill>
    <fill>
      <patternFill patternType="solid">
        <fgColor rgb="FFFABF8F"/>
        <bgColor rgb="FFFABF8F"/>
      </patternFill>
    </fill>
    <fill>
      <patternFill patternType="solid">
        <fgColor rgb="FF92CDDC"/>
        <bgColor rgb="FF92CDDC"/>
      </patternFill>
    </fill>
    <fill>
      <patternFill patternType="solid">
        <fgColor rgb="FFEAF1DD"/>
        <bgColor rgb="FFEAF1DD"/>
      </patternFill>
    </fill>
    <fill>
      <patternFill patternType="solid">
        <fgColor theme="0"/>
        <bgColor rgb="FFEAF1DD"/>
      </patternFill>
    </fill>
    <fill>
      <patternFill patternType="solid">
        <fgColor rgb="FFFDE9D9"/>
        <bgColor rgb="FFFDE9D9"/>
      </patternFill>
    </fill>
    <fill>
      <patternFill patternType="solid">
        <fgColor rgb="FFFFFFCC"/>
        <bgColor rgb="FFFFFFCC"/>
      </patternFill>
    </fill>
    <fill>
      <patternFill patternType="solid">
        <fgColor rgb="FFB6DDE8"/>
        <bgColor rgb="FFB6DDE8"/>
      </patternFill>
    </fill>
    <fill>
      <patternFill patternType="solid">
        <fgColor rgb="FFFFC000"/>
        <bgColor rgb="FFFFC000"/>
      </patternFill>
    </fill>
    <fill>
      <patternFill patternType="solid">
        <fgColor rgb="FF92D050"/>
        <bgColor rgb="FF92D050"/>
      </patternFill>
    </fill>
    <fill>
      <patternFill patternType="solid">
        <fgColor rgb="FFF2F2F2"/>
        <bgColor rgb="FFF2F2F2"/>
      </patternFill>
    </fill>
    <fill>
      <patternFill patternType="solid">
        <fgColor theme="0"/>
        <bgColor rgb="FFFFFFCC"/>
      </patternFill>
    </fill>
    <fill>
      <patternFill patternType="solid">
        <fgColor rgb="FF00B050"/>
        <bgColor rgb="FF00B050"/>
      </patternFill>
    </fill>
    <fill>
      <patternFill patternType="solid">
        <fgColor theme="8" tint="0.39997558519241921"/>
        <bgColor indexed="64"/>
      </patternFill>
    </fill>
    <fill>
      <patternFill patternType="solid">
        <fgColor theme="0"/>
        <bgColor rgb="FFB6DDE8"/>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7" fillId="0" borderId="0"/>
  </cellStyleXfs>
  <cellXfs count="181">
    <xf numFmtId="0" fontId="0" fillId="0" borderId="0" xfId="0"/>
    <xf numFmtId="0" fontId="2" fillId="0" borderId="1" xfId="0" applyFont="1" applyBorder="1" applyAlignment="1">
      <alignment horizontal="center" vertical="center" wrapText="1"/>
    </xf>
    <xf numFmtId="49" fontId="2" fillId="2" borderId="1" xfId="0" applyNumberFormat="1" applyFont="1" applyFill="1" applyBorder="1" applyAlignment="1">
      <alignment vertical="center"/>
    </xf>
    <xf numFmtId="49" fontId="2" fillId="0" borderId="1" xfId="0" applyNumberFormat="1" applyFont="1" applyBorder="1" applyAlignment="1">
      <alignment vertical="center"/>
    </xf>
    <xf numFmtId="0" fontId="2"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0" borderId="1" xfId="0" applyFont="1" applyBorder="1" applyAlignment="1">
      <alignment horizontal="right" vertical="center" wrapText="1"/>
    </xf>
    <xf numFmtId="49" fontId="2" fillId="0" borderId="1" xfId="0" applyNumberFormat="1" applyFont="1" applyBorder="1" applyAlignment="1">
      <alignment horizontal="right" vertical="center" wrapText="1"/>
    </xf>
    <xf numFmtId="0" fontId="7" fillId="0" borderId="1" xfId="0" applyFont="1" applyBorder="1" applyAlignment="1">
      <alignment horizontal="center" vertical="center" wrapText="1"/>
    </xf>
    <xf numFmtId="49" fontId="2" fillId="0" borderId="1" xfId="0" applyNumberFormat="1" applyFont="1" applyBorder="1" applyAlignment="1">
      <alignment horizontal="center" vertical="center" wrapText="1"/>
    </xf>
    <xf numFmtId="0" fontId="2" fillId="6" borderId="1" xfId="0" applyFont="1" applyFill="1" applyBorder="1" applyAlignment="1">
      <alignment horizontal="center" vertical="center" wrapText="1"/>
    </xf>
    <xf numFmtId="14" fontId="2" fillId="0" borderId="1" xfId="0" applyNumberFormat="1" applyFont="1" applyBorder="1" applyAlignment="1">
      <alignment horizontal="center" vertical="center"/>
    </xf>
    <xf numFmtId="0" fontId="8" fillId="10" borderId="1" xfId="0" applyFont="1" applyFill="1" applyBorder="1" applyAlignment="1">
      <alignment horizontal="center" vertical="center" wrapText="1"/>
    </xf>
    <xf numFmtId="0" fontId="8" fillId="11" borderId="1" xfId="0" applyFont="1" applyFill="1" applyBorder="1" applyAlignment="1">
      <alignment horizontal="center" vertical="center" wrapText="1"/>
    </xf>
    <xf numFmtId="49" fontId="8" fillId="10"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49" fontId="1" fillId="3" borderId="1" xfId="0" applyNumberFormat="1" applyFont="1" applyFill="1" applyBorder="1" applyAlignment="1">
      <alignment vertical="center"/>
    </xf>
    <xf numFmtId="0" fontId="1" fillId="3" borderId="1" xfId="0" applyFont="1" applyFill="1" applyBorder="1" applyAlignment="1">
      <alignment horizontal="left" vertical="center"/>
    </xf>
    <xf numFmtId="0" fontId="1"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1" fontId="1" fillId="3" borderId="1" xfId="0" applyNumberFormat="1" applyFont="1" applyFill="1" applyBorder="1" applyAlignment="1">
      <alignment horizontal="center" vertical="center" wrapText="1"/>
    </xf>
    <xf numFmtId="14" fontId="1" fillId="3" borderId="1" xfId="0" applyNumberFormat="1" applyFont="1" applyFill="1" applyBorder="1" applyAlignment="1">
      <alignment horizontal="center" vertical="center" wrapText="1"/>
    </xf>
    <xf numFmtId="0" fontId="1" fillId="0" borderId="1" xfId="0" applyFont="1" applyBorder="1" applyAlignment="1">
      <alignment horizontal="center" vertical="center"/>
    </xf>
    <xf numFmtId="14" fontId="1" fillId="0" borderId="1" xfId="0" applyNumberFormat="1" applyFont="1" applyBorder="1" applyAlignment="1">
      <alignment horizontal="right" vertical="center"/>
    </xf>
    <xf numFmtId="49" fontId="1" fillId="0" borderId="1" xfId="0" applyNumberFormat="1" applyFont="1" applyBorder="1" applyAlignment="1">
      <alignment horizontal="right" vertical="center"/>
    </xf>
    <xf numFmtId="14" fontId="1" fillId="0" borderId="1" xfId="0" applyNumberFormat="1" applyFont="1" applyBorder="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vertical="center"/>
    </xf>
    <xf numFmtId="0" fontId="1" fillId="3" borderId="1" xfId="0" applyFont="1" applyFill="1" applyBorder="1" applyAlignment="1">
      <alignment vertical="center"/>
    </xf>
    <xf numFmtId="0" fontId="1" fillId="13" borderId="1" xfId="0" applyFont="1" applyFill="1" applyBorder="1" applyAlignment="1">
      <alignment horizontal="center" vertical="center"/>
    </xf>
    <xf numFmtId="0" fontId="9" fillId="14" borderId="1" xfId="0" applyFont="1" applyFill="1" applyBorder="1" applyAlignment="1">
      <alignment horizontal="center" vertical="center" wrapText="1"/>
    </xf>
    <xf numFmtId="0" fontId="1" fillId="15" borderId="1" xfId="0" applyFont="1" applyFill="1" applyBorder="1" applyAlignment="1">
      <alignment horizontal="center" vertical="center"/>
    </xf>
    <xf numFmtId="0" fontId="4" fillId="15"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2" fillId="0" borderId="1" xfId="0" applyFont="1" applyBorder="1" applyAlignment="1">
      <alignment vertical="center"/>
    </xf>
    <xf numFmtId="0" fontId="1" fillId="3" borderId="1" xfId="0" applyFont="1" applyFill="1" applyBorder="1" applyAlignment="1">
      <alignment vertical="center" wrapText="1"/>
    </xf>
    <xf numFmtId="0" fontId="10" fillId="3" borderId="1" xfId="0" applyFont="1" applyFill="1" applyBorder="1"/>
    <xf numFmtId="0" fontId="1" fillId="3" borderId="1" xfId="0" applyFont="1" applyFill="1" applyBorder="1"/>
    <xf numFmtId="49" fontId="1" fillId="3" borderId="1" xfId="0" applyNumberFormat="1" applyFont="1" applyFill="1" applyBorder="1" applyAlignment="1">
      <alignment horizontal="center" vertical="center" wrapText="1"/>
    </xf>
    <xf numFmtId="49" fontId="1" fillId="3" borderId="1" xfId="0" applyNumberFormat="1" applyFont="1" applyFill="1" applyBorder="1" applyAlignment="1">
      <alignment horizontal="left" vertical="center" wrapText="1"/>
    </xf>
    <xf numFmtId="0" fontId="11" fillId="0" borderId="1" xfId="0" applyFont="1" applyBorder="1" applyAlignment="1">
      <alignment horizontal="left" vertical="center"/>
    </xf>
    <xf numFmtId="0" fontId="1" fillId="3" borderId="1" xfId="0" applyFont="1" applyFill="1" applyBorder="1" applyAlignment="1">
      <alignment horizontal="center"/>
    </xf>
    <xf numFmtId="49" fontId="1" fillId="2" borderId="1" xfId="0" applyNumberFormat="1" applyFont="1" applyFill="1" applyBorder="1" applyAlignment="1">
      <alignment horizontal="left"/>
    </xf>
    <xf numFmtId="49" fontId="1" fillId="0" borderId="1" xfId="0" applyNumberFormat="1" applyFont="1" applyBorder="1"/>
    <xf numFmtId="49" fontId="1" fillId="0" borderId="1" xfId="0" applyNumberFormat="1" applyFont="1" applyBorder="1" applyAlignment="1">
      <alignment horizontal="left"/>
    </xf>
    <xf numFmtId="49" fontId="1" fillId="2" borderId="1" xfId="0" applyNumberFormat="1" applyFont="1" applyFill="1" applyBorder="1" applyAlignment="1">
      <alignment vertical="center"/>
    </xf>
    <xf numFmtId="49" fontId="1" fillId="0" borderId="1" xfId="0" applyNumberFormat="1" applyFont="1" applyBorder="1" applyAlignment="1">
      <alignment vertical="center"/>
    </xf>
    <xf numFmtId="0" fontId="4" fillId="0" borderId="1" xfId="0" applyFont="1" applyBorder="1" applyAlignment="1">
      <alignment horizontal="center" vertical="center"/>
    </xf>
    <xf numFmtId="14" fontId="1" fillId="8" borderId="1" xfId="0" applyNumberFormat="1" applyFont="1" applyFill="1" applyBorder="1" applyAlignment="1">
      <alignment horizontal="center" vertical="center" wrapText="1"/>
    </xf>
    <xf numFmtId="49" fontId="1" fillId="0" borderId="1" xfId="0" applyNumberFormat="1" applyFont="1" applyBorder="1" applyAlignment="1">
      <alignment horizontal="center" vertical="center" wrapText="1"/>
    </xf>
    <xf numFmtId="14" fontId="1" fillId="0" borderId="1" xfId="0" applyNumberFormat="1" applyFont="1" applyBorder="1" applyAlignment="1">
      <alignment vertical="center"/>
    </xf>
    <xf numFmtId="14" fontId="1" fillId="12" borderId="1" xfId="0" applyNumberFormat="1" applyFont="1" applyFill="1" applyBorder="1" applyAlignment="1">
      <alignment horizontal="center" vertical="center" wrapText="1"/>
    </xf>
    <xf numFmtId="0" fontId="12" fillId="3" borderId="1" xfId="0" applyFont="1" applyFill="1" applyBorder="1" applyAlignment="1">
      <alignment horizontal="center" vertical="center"/>
    </xf>
    <xf numFmtId="0" fontId="1" fillId="0" borderId="1" xfId="0" applyFont="1" applyBorder="1" applyAlignment="1">
      <alignment vertical="center" wrapText="1"/>
    </xf>
    <xf numFmtId="49" fontId="1" fillId="0" borderId="1" xfId="0" applyNumberFormat="1" applyFont="1" applyBorder="1" applyAlignment="1">
      <alignment horizontal="center" vertical="center"/>
    </xf>
    <xf numFmtId="0" fontId="1" fillId="2" borderId="1" xfId="0" applyFont="1" applyFill="1" applyBorder="1" applyAlignment="1">
      <alignment horizontal="center" vertical="center"/>
    </xf>
    <xf numFmtId="0" fontId="1" fillId="0" borderId="1" xfId="0" applyFont="1" applyBorder="1" applyAlignment="1">
      <alignment horizontal="left" vertical="center" wrapText="1"/>
    </xf>
    <xf numFmtId="0" fontId="1" fillId="0" borderId="1" xfId="0" quotePrefix="1" applyFont="1" applyBorder="1" applyAlignment="1">
      <alignment horizontal="center" vertical="center" wrapText="1"/>
    </xf>
    <xf numFmtId="49" fontId="1" fillId="3" borderId="1" xfId="0" applyNumberFormat="1" applyFont="1" applyFill="1" applyBorder="1" applyAlignment="1">
      <alignment horizontal="left"/>
    </xf>
    <xf numFmtId="0" fontId="9" fillId="3" borderId="1" xfId="0" applyFont="1" applyFill="1" applyBorder="1" applyAlignment="1">
      <alignment horizontal="center" vertical="center" wrapText="1"/>
    </xf>
    <xf numFmtId="0" fontId="1" fillId="0" borderId="1" xfId="0" applyFont="1" applyBorder="1" applyAlignment="1">
      <alignment horizontal="left" vertical="center"/>
    </xf>
    <xf numFmtId="49" fontId="1" fillId="3" borderId="1" xfId="0" applyNumberFormat="1" applyFont="1" applyFill="1" applyBorder="1"/>
    <xf numFmtId="0" fontId="5" fillId="0" borderId="1" xfId="0" applyFont="1" applyBorder="1" applyAlignment="1">
      <alignment vertical="center"/>
    </xf>
    <xf numFmtId="49" fontId="12" fillId="3" borderId="1" xfId="0" applyNumberFormat="1" applyFont="1" applyFill="1" applyBorder="1" applyAlignment="1">
      <alignment horizontal="left"/>
    </xf>
    <xf numFmtId="0" fontId="4" fillId="3" borderId="1" xfId="0" applyFont="1" applyFill="1" applyBorder="1" applyAlignment="1">
      <alignment horizontal="center" vertical="center"/>
    </xf>
    <xf numFmtId="14" fontId="5" fillId="0" borderId="1" xfId="0" applyNumberFormat="1" applyFont="1" applyBorder="1"/>
    <xf numFmtId="14" fontId="1" fillId="5" borderId="1" xfId="0" applyNumberFormat="1" applyFont="1" applyFill="1" applyBorder="1" applyAlignment="1">
      <alignment horizontal="center" vertical="center" wrapText="1"/>
    </xf>
    <xf numFmtId="0" fontId="1" fillId="13" borderId="1" xfId="0" applyFont="1" applyFill="1" applyBorder="1" applyAlignment="1">
      <alignment horizontal="center" vertical="center" wrapText="1"/>
    </xf>
    <xf numFmtId="49" fontId="1" fillId="3" borderId="1" xfId="0" applyNumberFormat="1" applyFont="1" applyFill="1" applyBorder="1" applyAlignment="1">
      <alignment vertical="center" wrapText="1"/>
    </xf>
    <xf numFmtId="2" fontId="1" fillId="3" borderId="1" xfId="0" applyNumberFormat="1" applyFont="1" applyFill="1" applyBorder="1" applyAlignment="1">
      <alignment horizontal="center" vertical="center" wrapText="1"/>
    </xf>
    <xf numFmtId="0" fontId="4" fillId="3" borderId="1" xfId="0" applyFont="1" applyFill="1" applyBorder="1" applyAlignment="1">
      <alignment horizontal="left" vertical="center"/>
    </xf>
    <xf numFmtId="0" fontId="1" fillId="17" borderId="1" xfId="0" applyFont="1" applyFill="1" applyBorder="1" applyAlignment="1">
      <alignment horizontal="left" vertical="center"/>
    </xf>
    <xf numFmtId="0" fontId="1" fillId="9" borderId="1" xfId="0" applyFont="1" applyFill="1" applyBorder="1" applyAlignment="1">
      <alignment vertical="center"/>
    </xf>
    <xf numFmtId="0" fontId="11" fillId="0" borderId="1" xfId="0" applyFont="1" applyBorder="1" applyAlignment="1">
      <alignment horizontal="center" vertical="center"/>
    </xf>
    <xf numFmtId="49" fontId="4" fillId="3" borderId="1" xfId="0" applyNumberFormat="1" applyFont="1" applyFill="1" applyBorder="1" applyAlignment="1">
      <alignment vertical="center"/>
    </xf>
    <xf numFmtId="14" fontId="1" fillId="3" borderId="1" xfId="0" applyNumberFormat="1" applyFont="1" applyFill="1" applyBorder="1" applyAlignment="1">
      <alignment vertical="center"/>
    </xf>
    <xf numFmtId="49" fontId="1" fillId="3" borderId="1" xfId="0" applyNumberFormat="1" applyFont="1" applyFill="1" applyBorder="1" applyAlignment="1">
      <alignment horizontal="center" vertical="center"/>
    </xf>
    <xf numFmtId="14" fontId="5" fillId="12" borderId="1" xfId="0" applyNumberFormat="1" applyFont="1" applyFill="1" applyBorder="1" applyAlignment="1">
      <alignment horizontal="center" vertical="center" wrapText="1"/>
    </xf>
    <xf numFmtId="0" fontId="5" fillId="3" borderId="1" xfId="0" applyFont="1" applyFill="1" applyBorder="1" applyAlignment="1">
      <alignment horizontal="left" vertical="center"/>
    </xf>
    <xf numFmtId="0" fontId="11" fillId="3" borderId="1" xfId="0" applyFont="1" applyFill="1" applyBorder="1" applyAlignment="1">
      <alignment horizontal="center" vertical="center"/>
    </xf>
    <xf numFmtId="14" fontId="1" fillId="0" borderId="1" xfId="0" applyNumberFormat="1" applyFont="1" applyBorder="1"/>
    <xf numFmtId="0" fontId="13" fillId="2" borderId="1" xfId="0" applyFont="1" applyFill="1" applyBorder="1"/>
    <xf numFmtId="0" fontId="13" fillId="0" borderId="1" xfId="0" applyFont="1" applyBorder="1"/>
    <xf numFmtId="0" fontId="4" fillId="3" borderId="1" xfId="0" applyFont="1" applyFill="1" applyBorder="1" applyAlignment="1">
      <alignment vertical="center" wrapText="1"/>
    </xf>
    <xf numFmtId="14" fontId="5" fillId="5" borderId="1" xfId="0" applyNumberFormat="1" applyFont="1" applyFill="1" applyBorder="1" applyAlignment="1">
      <alignment horizontal="center" vertical="center" wrapText="1"/>
    </xf>
    <xf numFmtId="49" fontId="1" fillId="3" borderId="1" xfId="0" applyNumberFormat="1" applyFont="1" applyFill="1" applyBorder="1" applyAlignment="1">
      <alignment horizontal="center"/>
    </xf>
    <xf numFmtId="49" fontId="1" fillId="18" borderId="1" xfId="0" applyNumberFormat="1" applyFont="1" applyFill="1" applyBorder="1" applyAlignment="1">
      <alignment vertical="center"/>
    </xf>
    <xf numFmtId="0" fontId="1" fillId="13" borderId="1" xfId="0" applyFont="1" applyFill="1" applyBorder="1" applyAlignment="1">
      <alignment vertical="center"/>
    </xf>
    <xf numFmtId="49" fontId="1" fillId="13" borderId="1" xfId="0" applyNumberFormat="1" applyFont="1" applyFill="1" applyBorder="1" applyAlignment="1">
      <alignment vertical="center"/>
    </xf>
    <xf numFmtId="0" fontId="4" fillId="13" borderId="1" xfId="0" applyFont="1" applyFill="1" applyBorder="1" applyAlignment="1">
      <alignment horizontal="center" vertical="center"/>
    </xf>
    <xf numFmtId="14" fontId="1" fillId="13" borderId="1" xfId="0" applyNumberFormat="1" applyFont="1" applyFill="1" applyBorder="1" applyAlignment="1">
      <alignment vertical="center"/>
    </xf>
    <xf numFmtId="49" fontId="1" fillId="11" borderId="1" xfId="0" applyNumberFormat="1" applyFont="1" applyFill="1" applyBorder="1" applyAlignment="1">
      <alignment vertical="center"/>
    </xf>
    <xf numFmtId="0" fontId="1" fillId="10" borderId="1" xfId="0" applyFont="1" applyFill="1" applyBorder="1" applyAlignment="1">
      <alignment horizontal="left" vertical="center"/>
    </xf>
    <xf numFmtId="49" fontId="1" fillId="10" borderId="1" xfId="0" applyNumberFormat="1" applyFont="1" applyFill="1" applyBorder="1" applyAlignment="1">
      <alignment vertical="center"/>
    </xf>
    <xf numFmtId="0" fontId="1" fillId="10" borderId="1" xfId="0" applyFont="1" applyFill="1" applyBorder="1" applyAlignment="1">
      <alignment horizontal="center" vertical="center"/>
    </xf>
    <xf numFmtId="0" fontId="9" fillId="10" borderId="1" xfId="0" applyFont="1" applyFill="1" applyBorder="1" applyAlignment="1">
      <alignment horizontal="center" vertical="center" wrapText="1"/>
    </xf>
    <xf numFmtId="0" fontId="1" fillId="10"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1" fillId="19" borderId="1" xfId="0" applyFont="1" applyFill="1" applyBorder="1" applyAlignment="1">
      <alignment horizontal="center" vertical="center"/>
    </xf>
    <xf numFmtId="0" fontId="4" fillId="19" borderId="1" xfId="0" applyFont="1" applyFill="1" applyBorder="1" applyAlignment="1">
      <alignment horizontal="center" vertical="center" wrapText="1"/>
    </xf>
    <xf numFmtId="0" fontId="1" fillId="16" borderId="1" xfId="0" applyFont="1" applyFill="1" applyBorder="1" applyAlignment="1">
      <alignment vertical="center"/>
    </xf>
    <xf numFmtId="49" fontId="1" fillId="0" borderId="1" xfId="0" applyNumberFormat="1" applyFont="1" applyBorder="1" applyAlignment="1">
      <alignment horizontal="center"/>
    </xf>
    <xf numFmtId="14" fontId="1" fillId="9" borderId="1" xfId="0" applyNumberFormat="1" applyFont="1" applyFill="1" applyBorder="1" applyAlignment="1">
      <alignment vertical="center"/>
    </xf>
    <xf numFmtId="0" fontId="9" fillId="13"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1" fillId="7" borderId="1" xfId="0" applyFont="1" applyFill="1" applyBorder="1" applyAlignment="1">
      <alignment horizontal="center" vertical="center"/>
    </xf>
    <xf numFmtId="0" fontId="1" fillId="8" borderId="1" xfId="0" applyFont="1" applyFill="1" applyBorder="1" applyAlignment="1">
      <alignment horizontal="center" vertical="center" wrapText="1"/>
    </xf>
    <xf numFmtId="49" fontId="11" fillId="0" borderId="1" xfId="0" applyNumberFormat="1" applyFont="1" applyBorder="1" applyAlignment="1">
      <alignment horizontal="center" vertical="center" wrapText="1"/>
    </xf>
    <xf numFmtId="49" fontId="1" fillId="13" borderId="1" xfId="0" applyNumberFormat="1" applyFont="1" applyFill="1" applyBorder="1" applyAlignment="1">
      <alignment horizontal="center"/>
    </xf>
    <xf numFmtId="0" fontId="9" fillId="19" borderId="1" xfId="0" applyFont="1" applyFill="1" applyBorder="1" applyAlignment="1">
      <alignment horizontal="center" vertical="center" wrapText="1"/>
    </xf>
    <xf numFmtId="0" fontId="10" fillId="0" borderId="1" xfId="0" applyFont="1" applyBorder="1"/>
    <xf numFmtId="14" fontId="1" fillId="3" borderId="1" xfId="0" applyNumberFormat="1" applyFont="1" applyFill="1" applyBorder="1" applyAlignment="1">
      <alignment horizontal="left" vertical="center"/>
    </xf>
    <xf numFmtId="14" fontId="1" fillId="0" borderId="1" xfId="0" applyNumberFormat="1" applyFont="1" applyBorder="1" applyAlignment="1">
      <alignment vertical="center" wrapText="1"/>
    </xf>
    <xf numFmtId="49" fontId="12" fillId="0" borderId="1" xfId="0" applyNumberFormat="1" applyFont="1" applyBorder="1" applyAlignment="1">
      <alignment horizontal="center"/>
    </xf>
    <xf numFmtId="0" fontId="1" fillId="3" borderId="1" xfId="0" quotePrefix="1" applyFont="1" applyFill="1" applyBorder="1" applyAlignment="1">
      <alignment horizontal="center" vertical="center" wrapText="1"/>
    </xf>
    <xf numFmtId="0" fontId="4" fillId="14" borderId="1" xfId="0" applyFont="1" applyFill="1" applyBorder="1" applyAlignment="1">
      <alignment horizontal="center" vertical="center" wrapText="1"/>
    </xf>
    <xf numFmtId="0" fontId="1" fillId="5" borderId="1" xfId="0" applyFont="1" applyFill="1" applyBorder="1" applyAlignment="1">
      <alignment horizontal="center" vertical="center"/>
    </xf>
    <xf numFmtId="0" fontId="1" fillId="3" borderId="1" xfId="0" applyFont="1" applyFill="1" applyBorder="1" applyAlignment="1">
      <alignment vertical="top" wrapText="1"/>
    </xf>
    <xf numFmtId="0" fontId="1" fillId="3" borderId="1" xfId="0" applyFont="1" applyFill="1" applyBorder="1" applyAlignment="1">
      <alignment horizontal="left" vertical="center" wrapText="1"/>
    </xf>
    <xf numFmtId="0" fontId="1" fillId="3" borderId="1" xfId="0" applyFont="1" applyFill="1" applyBorder="1" applyAlignment="1">
      <alignment horizontal="left" wrapText="1"/>
    </xf>
    <xf numFmtId="0" fontId="11" fillId="3"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14" fillId="3" borderId="1" xfId="0" applyFont="1" applyFill="1" applyBorder="1" applyAlignment="1">
      <alignment horizontal="center" vertical="center"/>
    </xf>
    <xf numFmtId="0" fontId="4" fillId="0" borderId="1" xfId="0" applyFont="1" applyBorder="1" applyAlignment="1">
      <alignment horizontal="center" vertical="center" wrapText="1"/>
    </xf>
    <xf numFmtId="0" fontId="0" fillId="0" borderId="1" xfId="0" applyBorder="1"/>
    <xf numFmtId="49" fontId="4" fillId="5" borderId="1" xfId="0" applyNumberFormat="1" applyFont="1" applyFill="1" applyBorder="1" applyAlignment="1">
      <alignment vertical="center"/>
    </xf>
    <xf numFmtId="49" fontId="1" fillId="11" borderId="1" xfId="0" applyNumberFormat="1" applyFont="1" applyFill="1" applyBorder="1" applyAlignment="1">
      <alignment horizontal="left"/>
    </xf>
    <xf numFmtId="49" fontId="1" fillId="10" borderId="1" xfId="0" applyNumberFormat="1" applyFont="1" applyFill="1" applyBorder="1" applyAlignment="1">
      <alignment horizontal="left"/>
    </xf>
    <xf numFmtId="0" fontId="1" fillId="10" borderId="1" xfId="0" applyFont="1" applyFill="1" applyBorder="1" applyAlignment="1">
      <alignment vertical="center"/>
    </xf>
    <xf numFmtId="0" fontId="1" fillId="4"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12" fillId="0" borderId="1" xfId="0" applyFont="1" applyBorder="1"/>
    <xf numFmtId="0" fontId="4" fillId="3" borderId="1" xfId="0" applyFont="1" applyFill="1" applyBorder="1"/>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5" fillId="0" borderId="1" xfId="0" quotePrefix="1" applyFont="1" applyBorder="1" applyAlignment="1">
      <alignment horizontal="center" vertical="center" wrapText="1"/>
    </xf>
    <xf numFmtId="49" fontId="1" fillId="10" borderId="1" xfId="0" applyNumberFormat="1" applyFont="1" applyFill="1" applyBorder="1" applyAlignment="1">
      <alignment horizontal="center" vertical="center"/>
    </xf>
    <xf numFmtId="0" fontId="6" fillId="13" borderId="1" xfId="0" applyFont="1" applyFill="1" applyBorder="1" applyAlignment="1">
      <alignment horizontal="center" vertical="center" wrapText="1"/>
    </xf>
    <xf numFmtId="49" fontId="12" fillId="0" borderId="1" xfId="0" applyNumberFormat="1" applyFont="1" applyBorder="1"/>
    <xf numFmtId="0" fontId="15" fillId="2" borderId="1" xfId="0" applyFont="1" applyFill="1" applyBorder="1"/>
    <xf numFmtId="0" fontId="15" fillId="0" borderId="1" xfId="0" applyFont="1" applyBorder="1"/>
    <xf numFmtId="14" fontId="12" fillId="3" borderId="1" xfId="0" applyNumberFormat="1" applyFont="1" applyFill="1" applyBorder="1"/>
    <xf numFmtId="0" fontId="5" fillId="13" borderId="1" xfId="0" applyFont="1" applyFill="1" applyBorder="1" applyAlignment="1">
      <alignment horizontal="center" vertical="center" wrapText="1"/>
    </xf>
    <xf numFmtId="0" fontId="1" fillId="0" borderId="1" xfId="0" quotePrefix="1" applyFont="1" applyBorder="1" applyAlignment="1">
      <alignment horizontal="center" vertical="center"/>
    </xf>
    <xf numFmtId="49" fontId="1" fillId="2" borderId="1" xfId="0" applyNumberFormat="1" applyFont="1" applyFill="1" applyBorder="1" applyAlignment="1">
      <alignment horizontal="left" vertical="center"/>
    </xf>
    <xf numFmtId="49" fontId="1" fillId="0" borderId="1" xfId="0" applyNumberFormat="1" applyFont="1" applyBorder="1" applyAlignment="1">
      <alignment horizontal="left" vertical="center"/>
    </xf>
    <xf numFmtId="0" fontId="1" fillId="3" borderId="1" xfId="0" quotePrefix="1" applyFont="1" applyFill="1" applyBorder="1" applyAlignment="1">
      <alignment horizontal="left" vertical="center"/>
    </xf>
    <xf numFmtId="14" fontId="1" fillId="0" borderId="1" xfId="0" applyNumberFormat="1" applyFont="1" applyBorder="1" applyAlignment="1">
      <alignment horizontal="center" vertical="center"/>
    </xf>
    <xf numFmtId="49" fontId="5" fillId="11" borderId="1" xfId="0" applyNumberFormat="1" applyFont="1" applyFill="1" applyBorder="1" applyAlignment="1">
      <alignment vertical="center"/>
    </xf>
    <xf numFmtId="0" fontId="5" fillId="11" borderId="1" xfId="0" applyFont="1" applyFill="1" applyBorder="1" applyAlignment="1">
      <alignment horizontal="left" vertical="center" wrapText="1"/>
    </xf>
    <xf numFmtId="0" fontId="5" fillId="11" borderId="1" xfId="0" applyFont="1" applyFill="1" applyBorder="1" applyAlignment="1">
      <alignment horizontal="center" vertical="center"/>
    </xf>
    <xf numFmtId="0" fontId="5" fillId="11" borderId="1" xfId="0" applyFont="1" applyFill="1" applyBorder="1" applyAlignment="1">
      <alignment horizontal="center" vertical="center" wrapText="1"/>
    </xf>
    <xf numFmtId="0" fontId="5" fillId="2" borderId="1" xfId="0" applyFont="1" applyFill="1" applyBorder="1" applyAlignment="1">
      <alignment horizontal="center" vertical="center"/>
    </xf>
    <xf numFmtId="14" fontId="5" fillId="11" borderId="1" xfId="0" applyNumberFormat="1" applyFont="1" applyFill="1" applyBorder="1" applyAlignment="1">
      <alignment horizontal="center" vertical="center" wrapText="1"/>
    </xf>
    <xf numFmtId="0" fontId="5" fillId="11" borderId="1" xfId="0" applyFont="1" applyFill="1" applyBorder="1" applyAlignment="1">
      <alignment horizontal="right" vertical="center"/>
    </xf>
    <xf numFmtId="49" fontId="5" fillId="11" borderId="1" xfId="0" applyNumberFormat="1" applyFont="1" applyFill="1" applyBorder="1" applyAlignment="1">
      <alignment horizontal="center" vertical="center" wrapText="1"/>
    </xf>
    <xf numFmtId="0" fontId="5" fillId="3" borderId="1" xfId="0" applyFont="1" applyFill="1" applyBorder="1" applyAlignment="1">
      <alignment vertical="center"/>
    </xf>
    <xf numFmtId="0" fontId="5" fillId="11" borderId="1" xfId="0" applyFont="1" applyFill="1" applyBorder="1" applyAlignment="1">
      <alignment vertical="center" wrapText="1"/>
    </xf>
    <xf numFmtId="0" fontId="9" fillId="11"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16" fillId="11" borderId="1" xfId="0" applyFont="1" applyFill="1" applyBorder="1"/>
    <xf numFmtId="14" fontId="5" fillId="11" borderId="1" xfId="0" applyNumberFormat="1" applyFont="1" applyFill="1" applyBorder="1" applyAlignment="1">
      <alignment horizontal="right" vertical="center"/>
    </xf>
    <xf numFmtId="0" fontId="1" fillId="2" borderId="2" xfId="1" applyFont="1" applyFill="1" applyBorder="1" applyAlignment="1">
      <alignment horizontal="left" vertical="center" wrapText="1"/>
    </xf>
    <xf numFmtId="0" fontId="18" fillId="2" borderId="0" xfId="0" applyFont="1" applyFill="1"/>
    <xf numFmtId="0" fontId="18" fillId="2" borderId="1" xfId="0" applyFont="1" applyFill="1" applyBorder="1"/>
    <xf numFmtId="49" fontId="1" fillId="2" borderId="1" xfId="0" quotePrefix="1" applyNumberFormat="1" applyFont="1" applyFill="1" applyBorder="1" applyAlignment="1">
      <alignment horizontal="center" vertical="center" wrapText="1"/>
    </xf>
    <xf numFmtId="0" fontId="1" fillId="2" borderId="1" xfId="0" applyFont="1" applyFill="1" applyBorder="1" applyAlignment="1">
      <alignment vertical="center"/>
    </xf>
    <xf numFmtId="0" fontId="1" fillId="2" borderId="1" xfId="0" applyFont="1" applyFill="1" applyBorder="1"/>
    <xf numFmtId="0" fontId="19" fillId="2" borderId="0" xfId="0" applyFont="1" applyFill="1"/>
    <xf numFmtId="49" fontId="1" fillId="2" borderId="1" xfId="0" applyNumberFormat="1" applyFont="1" applyFill="1" applyBorder="1" applyAlignment="1">
      <alignment horizontal="center" vertical="center" wrapText="1"/>
    </xf>
    <xf numFmtId="0" fontId="1" fillId="20" borderId="1" xfId="0" applyFont="1" applyFill="1" applyBorder="1" applyAlignment="1">
      <alignment horizontal="center" vertical="center"/>
    </xf>
    <xf numFmtId="0" fontId="1" fillId="2" borderId="1" xfId="0" quotePrefix="1" applyFont="1" applyFill="1" applyBorder="1" applyAlignment="1">
      <alignment horizontal="center" vertical="center"/>
    </xf>
    <xf numFmtId="0" fontId="1" fillId="2" borderId="1" xfId="0" quotePrefix="1" applyFont="1" applyFill="1" applyBorder="1" applyAlignment="1">
      <alignment horizontal="center" vertical="center" wrapText="1"/>
    </xf>
    <xf numFmtId="14" fontId="1" fillId="2" borderId="1" xfId="0" quotePrefix="1" applyNumberFormat="1" applyFont="1" applyFill="1" applyBorder="1" applyAlignment="1">
      <alignment horizontal="center" vertical="center" wrapText="1"/>
    </xf>
    <xf numFmtId="0" fontId="1" fillId="11" borderId="1" xfId="0" applyFont="1" applyFill="1" applyBorder="1" applyAlignment="1">
      <alignment horizontal="center" vertical="center"/>
    </xf>
    <xf numFmtId="0" fontId="1" fillId="21" borderId="1" xfId="0" applyFont="1" applyFill="1" applyBorder="1" applyAlignment="1">
      <alignment horizontal="center" vertical="center" wrapText="1"/>
    </xf>
    <xf numFmtId="49" fontId="1" fillId="2" borderId="1" xfId="0" quotePrefix="1" applyNumberFormat="1" applyFont="1" applyFill="1" applyBorder="1" applyAlignment="1">
      <alignment horizontal="center" vertical="center"/>
    </xf>
    <xf numFmtId="0" fontId="0" fillId="2" borderId="0" xfId="0" applyFill="1"/>
    <xf numFmtId="49" fontId="0" fillId="0" borderId="0" xfId="0" applyNumberFormat="1"/>
  </cellXfs>
  <cellStyles count="2">
    <cellStyle name="Normal" xfId="0" builtinId="0"/>
    <cellStyle name="Normal 2" xfId="1" xr:uid="{153588B8-44E2-4C48-BBD8-C387A3B79B30}"/>
  </cellStyles>
  <dxfs count="35">
    <dxf>
      <font>
        <color theme="1"/>
      </font>
      <fill>
        <patternFill patternType="solid">
          <fgColor rgb="FFFF0000"/>
          <bgColor rgb="FFFF0000"/>
        </patternFill>
      </fill>
    </dxf>
    <dxf>
      <font>
        <color theme="1"/>
      </font>
      <fill>
        <patternFill patternType="solid">
          <fgColor rgb="FFFF0000"/>
          <bgColor rgb="FFFF0000"/>
        </patternFill>
      </fill>
    </dxf>
    <dxf>
      <font>
        <color theme="1"/>
      </font>
      <fill>
        <patternFill patternType="solid">
          <fgColor rgb="FFFF0000"/>
          <bgColor rgb="FFFF0000"/>
        </patternFill>
      </fill>
    </dxf>
    <dxf>
      <fill>
        <patternFill patternType="solid">
          <fgColor rgb="FFFFFF99"/>
          <bgColor rgb="FFFFFF99"/>
        </patternFill>
      </fill>
    </dxf>
    <dxf>
      <fill>
        <patternFill patternType="solid">
          <fgColor rgb="FF92D050"/>
          <bgColor rgb="FF92D050"/>
        </patternFill>
      </fill>
    </dxf>
    <dxf>
      <fill>
        <patternFill patternType="solid">
          <fgColor rgb="FF92CDDC"/>
          <bgColor rgb="FF92CDDC"/>
        </patternFill>
      </fill>
    </dxf>
    <dxf>
      <fill>
        <patternFill patternType="solid">
          <fgColor rgb="FFB2A1C7"/>
          <bgColor rgb="FFB2A1C7"/>
        </patternFill>
      </fill>
    </dxf>
    <dxf>
      <fill>
        <patternFill patternType="solid">
          <fgColor rgb="FFFF99CC"/>
          <bgColor rgb="FFFF99CC"/>
        </patternFill>
      </fill>
    </dxf>
    <dxf>
      <fill>
        <patternFill patternType="solid">
          <fgColor rgb="FFFF6600"/>
          <bgColor rgb="FFFF6600"/>
        </patternFill>
      </fill>
    </dxf>
    <dxf>
      <font>
        <color theme="1"/>
      </font>
      <fill>
        <patternFill patternType="solid">
          <fgColor rgb="FFFF0000"/>
          <bgColor rgb="FFFF0000"/>
        </patternFill>
      </fill>
    </dxf>
    <dxf>
      <fill>
        <patternFill patternType="solid">
          <fgColor rgb="FFFFFF99"/>
          <bgColor rgb="FFFFFF99"/>
        </patternFill>
      </fill>
    </dxf>
    <dxf>
      <fill>
        <patternFill patternType="solid">
          <fgColor rgb="FF92D050"/>
          <bgColor rgb="FF92D050"/>
        </patternFill>
      </fill>
    </dxf>
    <dxf>
      <fill>
        <patternFill patternType="solid">
          <fgColor rgb="FF92CDDC"/>
          <bgColor rgb="FF92CDDC"/>
        </patternFill>
      </fill>
    </dxf>
    <dxf>
      <fill>
        <patternFill patternType="solid">
          <fgColor rgb="FFB2A1C7"/>
          <bgColor rgb="FFB2A1C7"/>
        </patternFill>
      </fill>
    </dxf>
    <dxf>
      <fill>
        <patternFill patternType="solid">
          <fgColor rgb="FFFF99CC"/>
          <bgColor rgb="FFFF99CC"/>
        </patternFill>
      </fill>
    </dxf>
    <dxf>
      <fill>
        <patternFill patternType="solid">
          <fgColor rgb="FFFF6600"/>
          <bgColor rgb="FFFF6600"/>
        </patternFill>
      </fill>
    </dxf>
    <dxf>
      <fill>
        <patternFill patternType="solid">
          <fgColor rgb="FFFFFF99"/>
          <bgColor rgb="FFFFFF99"/>
        </patternFill>
      </fill>
    </dxf>
    <dxf>
      <fill>
        <patternFill patternType="solid">
          <fgColor rgb="FF92D050"/>
          <bgColor rgb="FF92D050"/>
        </patternFill>
      </fill>
    </dxf>
    <dxf>
      <fill>
        <patternFill patternType="solid">
          <fgColor rgb="FF92CDDC"/>
          <bgColor rgb="FF92CDDC"/>
        </patternFill>
      </fill>
    </dxf>
    <dxf>
      <fill>
        <patternFill patternType="solid">
          <fgColor rgb="FFB2A1C7"/>
          <bgColor rgb="FFB2A1C7"/>
        </patternFill>
      </fill>
    </dxf>
    <dxf>
      <fill>
        <patternFill patternType="solid">
          <fgColor rgb="FFFF99CC"/>
          <bgColor rgb="FFFF99CC"/>
        </patternFill>
      </fill>
    </dxf>
    <dxf>
      <fill>
        <patternFill patternType="solid">
          <fgColor rgb="FFFF6600"/>
          <bgColor rgb="FFFF6600"/>
        </patternFill>
      </fill>
    </dxf>
    <dxf>
      <font>
        <b/>
        <i/>
      </font>
      <fill>
        <patternFill patternType="solid">
          <fgColor rgb="FFFFFF00"/>
          <bgColor rgb="FFFFFF00"/>
        </patternFill>
      </fill>
    </dxf>
    <dxf>
      <font>
        <b/>
        <i/>
      </font>
      <fill>
        <patternFill patternType="solid">
          <fgColor rgb="FFFFFF00"/>
          <bgColor rgb="FFFFFF00"/>
        </patternFill>
      </fill>
    </dxf>
    <dxf>
      <font>
        <color rgb="FF9C0006"/>
      </font>
      <fill>
        <patternFill>
          <bgColor rgb="FFFFC7CE"/>
        </patternFill>
      </fill>
    </dxf>
    <dxf>
      <font>
        <b/>
        <i/>
      </font>
      <fill>
        <patternFill patternType="solid">
          <fgColor rgb="FFFFFF00"/>
          <bgColor rgb="FFFFFF00"/>
        </patternFill>
      </fill>
    </dxf>
    <dxf>
      <font>
        <color rgb="FF3F3151"/>
      </font>
      <fill>
        <patternFill patternType="solid">
          <fgColor rgb="FF92D050"/>
          <bgColor rgb="FF92D050"/>
        </patternFill>
      </fill>
    </dxf>
    <dxf>
      <font>
        <color rgb="FF3F3151"/>
      </font>
      <fill>
        <patternFill patternType="solid">
          <fgColor rgb="FF92D050"/>
          <bgColor rgb="FF92D050"/>
        </patternFill>
      </fill>
    </dxf>
    <dxf>
      <font>
        <color rgb="FF3F3151"/>
      </font>
      <fill>
        <patternFill patternType="solid">
          <fgColor rgb="FF92D050"/>
          <bgColor rgb="FF92D050"/>
        </patternFill>
      </fill>
    </dxf>
    <dxf>
      <font>
        <color rgb="FF3F3151"/>
      </font>
      <fill>
        <patternFill patternType="solid">
          <fgColor rgb="FF92D050"/>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font>
      <fill>
        <patternFill patternType="solid">
          <fgColor rgb="FFFFFF00"/>
          <bgColor rgb="FFFFFF00"/>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drawing1.xml><?xml version="1.0" encoding="utf-8"?>
<xdr:wsDr xmlns:xdr="http://schemas.openxmlformats.org/drawingml/2006/spreadsheetDrawing" xmlns:a="http://schemas.openxmlformats.org/drawingml/2006/main">
  <xdr:oneCellAnchor>
    <xdr:from>
      <xdr:col>0</xdr:col>
      <xdr:colOff>9525</xdr:colOff>
      <xdr:row>0</xdr:row>
      <xdr:rowOff>0</xdr:rowOff>
    </xdr:from>
    <xdr:ext cx="1085850" cy="38100"/>
    <xdr:grpSp>
      <xdr:nvGrpSpPr>
        <xdr:cNvPr id="2" name="Shape 2">
          <a:extLst>
            <a:ext uri="{FF2B5EF4-FFF2-40B4-BE49-F238E27FC236}">
              <a16:creationId xmlns:a16="http://schemas.microsoft.com/office/drawing/2014/main" id="{952DEC75-5456-45AA-9936-3C190045EE22}"/>
            </a:ext>
          </a:extLst>
        </xdr:cNvPr>
        <xdr:cNvGrpSpPr/>
      </xdr:nvGrpSpPr>
      <xdr:grpSpPr>
        <a:xfrm>
          <a:off x="9525" y="0"/>
          <a:ext cx="1085850" cy="38100"/>
          <a:chOff x="4803075" y="3780000"/>
          <a:chExt cx="1085850" cy="0"/>
        </a:xfrm>
      </xdr:grpSpPr>
      <xdr:cxnSp macro="">
        <xdr:nvCxnSpPr>
          <xdr:cNvPr id="3" name="Shape 3">
            <a:extLst>
              <a:ext uri="{FF2B5EF4-FFF2-40B4-BE49-F238E27FC236}">
                <a16:creationId xmlns:a16="http://schemas.microsoft.com/office/drawing/2014/main" id="{B74065C9-1DB3-A964-72A8-6B001DB9581B}"/>
              </a:ext>
            </a:extLst>
          </xdr:cNvPr>
          <xdr:cNvCxnSpPr/>
        </xdr:nvCxnSpPr>
        <xdr:spPr>
          <a:xfrm>
            <a:off x="4803075" y="3780000"/>
            <a:ext cx="1085850" cy="0"/>
          </a:xfrm>
          <a:prstGeom prst="straightConnector1">
            <a:avLst/>
          </a:prstGeom>
          <a:noFill/>
          <a:ln w="9525" cap="flat" cmpd="sng">
            <a:solidFill>
              <a:srgbClr val="000000"/>
            </a:solidFill>
            <a:prstDash val="solid"/>
            <a:round/>
            <a:headEnd type="none" w="med" len="med"/>
            <a:tailEnd type="none" w="med" len="med"/>
          </a:ln>
        </xdr:spPr>
      </xdr:cxnSp>
    </xdr:grpSp>
    <xdr:clientData fLocksWithSheet="0"/>
  </xdr:oneCellAnchor>
  <xdr:oneCellAnchor>
    <xdr:from>
      <xdr:col>0</xdr:col>
      <xdr:colOff>9525</xdr:colOff>
      <xdr:row>0</xdr:row>
      <xdr:rowOff>0</xdr:rowOff>
    </xdr:from>
    <xdr:ext cx="1085850" cy="38100"/>
    <xdr:grpSp>
      <xdr:nvGrpSpPr>
        <xdr:cNvPr id="4" name="Shape 2">
          <a:extLst>
            <a:ext uri="{FF2B5EF4-FFF2-40B4-BE49-F238E27FC236}">
              <a16:creationId xmlns:a16="http://schemas.microsoft.com/office/drawing/2014/main" id="{E6F2FECF-221A-4AB0-BE33-8C08808E14E4}"/>
            </a:ext>
          </a:extLst>
        </xdr:cNvPr>
        <xdr:cNvGrpSpPr/>
      </xdr:nvGrpSpPr>
      <xdr:grpSpPr>
        <a:xfrm>
          <a:off x="9525" y="0"/>
          <a:ext cx="1085850" cy="38100"/>
          <a:chOff x="4803075" y="3780000"/>
          <a:chExt cx="1085850" cy="0"/>
        </a:xfrm>
      </xdr:grpSpPr>
      <xdr:cxnSp macro="">
        <xdr:nvCxnSpPr>
          <xdr:cNvPr id="5" name="Shape 3">
            <a:extLst>
              <a:ext uri="{FF2B5EF4-FFF2-40B4-BE49-F238E27FC236}">
                <a16:creationId xmlns:a16="http://schemas.microsoft.com/office/drawing/2014/main" id="{054AEDC9-2C7C-9C0E-494A-968AC81F3284}"/>
              </a:ext>
            </a:extLst>
          </xdr:cNvPr>
          <xdr:cNvCxnSpPr/>
        </xdr:nvCxnSpPr>
        <xdr:spPr>
          <a:xfrm>
            <a:off x="4803075" y="3780000"/>
            <a:ext cx="1085850" cy="0"/>
          </a:xfrm>
          <a:prstGeom prst="straightConnector1">
            <a:avLst/>
          </a:prstGeom>
          <a:noFill/>
          <a:ln w="9525" cap="flat" cmpd="sng">
            <a:solidFill>
              <a:srgbClr val="000000"/>
            </a:solidFill>
            <a:prstDash val="solid"/>
            <a:round/>
            <a:headEnd type="none" w="med" len="med"/>
            <a:tailEnd type="none" w="med" len="med"/>
          </a:ln>
        </xdr:spPr>
      </xdr:cxnSp>
    </xdr:grpSp>
    <xdr:clientData fLocksWithSheet="0"/>
  </xdr:oneCellAnchor>
  <xdr:oneCellAnchor>
    <xdr:from>
      <xdr:col>7</xdr:col>
      <xdr:colOff>608369</xdr:colOff>
      <xdr:row>0</xdr:row>
      <xdr:rowOff>0</xdr:rowOff>
    </xdr:from>
    <xdr:ext cx="2108386" cy="93009"/>
    <xdr:grpSp>
      <xdr:nvGrpSpPr>
        <xdr:cNvPr id="6" name="Shape 2">
          <a:extLst>
            <a:ext uri="{FF2B5EF4-FFF2-40B4-BE49-F238E27FC236}">
              <a16:creationId xmlns:a16="http://schemas.microsoft.com/office/drawing/2014/main" id="{A8A19D99-7E9B-40C6-BAA2-5BB6203C522E}"/>
            </a:ext>
          </a:extLst>
        </xdr:cNvPr>
        <xdr:cNvGrpSpPr/>
      </xdr:nvGrpSpPr>
      <xdr:grpSpPr>
        <a:xfrm flipV="1">
          <a:off x="8556029" y="0"/>
          <a:ext cx="2108386" cy="93009"/>
          <a:chOff x="564450" y="3780000"/>
          <a:chExt cx="9563100" cy="0"/>
        </a:xfrm>
      </xdr:grpSpPr>
      <xdr:cxnSp macro="">
        <xdr:nvCxnSpPr>
          <xdr:cNvPr id="7" name="Shape 4">
            <a:extLst>
              <a:ext uri="{FF2B5EF4-FFF2-40B4-BE49-F238E27FC236}">
                <a16:creationId xmlns:a16="http://schemas.microsoft.com/office/drawing/2014/main" id="{834D139F-485B-AC65-F1F6-9C10E34C5436}"/>
              </a:ext>
            </a:extLst>
          </xdr:cNvPr>
          <xdr:cNvCxnSpPr/>
        </xdr:nvCxnSpPr>
        <xdr:spPr>
          <a:xfrm>
            <a:off x="564450" y="3780000"/>
            <a:ext cx="956310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OCTHAO\AppData\Local\Temp\Zalo%20Temp\TempDownloads\DANH%20SACH%20CAN%20BO%20CAP%20NHAT%20LIEN%20TUC.xlsx" TargetMode="External"/><Relationship Id="rId1" Type="http://schemas.openxmlformats.org/officeDocument/2006/relationships/externalLinkPath" Target="file:///C:\Users\MOCTHAO\AppData\Local\Temp\Zalo%20Temp\TempDownloads\DANH%20SACH%20CAN%20BO%20CAP%20NHAT%20LIEN%20TUC.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TCCB%20ONLINE\TU&#7844;N%20TCCB\CH&#7912;NG%20CH&#7880;%20H&#192;NH%20NGH&#7872;\DANH%20S&#193;CH%20CH&#7912;NG%20CH&#7880;%20H&#192;NH%20NGH&#7872;%20C&#7852;P%20NH&#7852;T%20LI&#202;N%20T&#7908;C.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TCCB%20ONLINE\TU&#7844;N%20TCCB\CH&#7912;NG%20CH&#7880;%20H&#192;NH%20NGH&#7872;\1.%20TH&#7920;C%20H&#192;NH%20C&#7844;P%20GI&#7844;Y%20PH&#201;P%20H&#192;NH%20NGH&#7872;\7.%20UPLOAD%20l&#234;n%20c&#7893;ng%20G&#272;BHYT\DM_NVYT_FUL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ẢNG MÃ"/>
      <sheetName val="Mã ngạch"/>
      <sheetName val="DS STK"/>
      <sheetName val="DANH SÁCH"/>
      <sheetName val="ĐÃ NGHỈ"/>
      <sheetName val="Bieu 1a"/>
      <sheetName val="soluong+chuyenmon"/>
      <sheetName val="trình độ chuyên môn"/>
      <sheetName val="Đào tạo Bác sĩ"/>
      <sheetName val="Chứng chỉ"/>
      <sheetName val="Hạng CDNN"/>
      <sheetName val="DS TRƯỞNG PHÓ KHOA"/>
      <sheetName val="DS ĐD TRƯỞNG"/>
      <sheetName val="NL TT08"/>
      <sheetName val="CÁCH TÍNH"/>
      <sheetName val="DS BIẾN ĐỘNG"/>
      <sheetName val="DS luân chuyển"/>
      <sheetName val="DS HỢP ĐỒNG"/>
      <sheetName val="DS nghỉ hưu"/>
      <sheetName val="DS Đang đào tạo"/>
      <sheetName val="Mo"/>
      <sheetName val="VTVL KB"/>
      <sheetName val="NL khoa phụ sản"/>
      <sheetName val="BS MỚI 2018"/>
      <sheetName val="Xác định VTVL"/>
      <sheetName val="NGHI HUU"/>
      <sheetName val="Đánh giá VC"/>
      <sheetName val="2. BC BYT"/>
      <sheetName val="3. BC VC"/>
      <sheetName val="4. BC HĐ"/>
      <sheetName val="BC QLCL"/>
      <sheetName val="BC năm"/>
      <sheetName val="TKNL theo trinh do (B1)"/>
      <sheetName val="Biểu (B3)"/>
      <sheetName val="3. BC KTYT.VN"/>
      <sheetName val="DS KHOA PHÒNG"/>
      <sheetName val="pl 3 y tế "/>
      <sheetName val="NLYT Tuyen tinh (B2)"/>
    </sheetNames>
    <sheetDataSet>
      <sheetData sheetId="0">
        <row r="2">
          <cell r="A2" t="str">
            <v>BSCKII</v>
          </cell>
          <cell r="B2" t="str">
            <v>TĐ001</v>
          </cell>
          <cell r="C2" t="str">
            <v>Khám bệnh</v>
          </cell>
          <cell r="D2" t="str">
            <v>KP001</v>
          </cell>
        </row>
        <row r="3">
          <cell r="A3" t="str">
            <v>Tiến sĩ</v>
          </cell>
          <cell r="B3" t="str">
            <v>TĐ002</v>
          </cell>
          <cell r="C3" t="str">
            <v>Cấp cứu</v>
          </cell>
          <cell r="D3" t="str">
            <v>KP002</v>
          </cell>
        </row>
        <row r="4">
          <cell r="C4" t="str">
            <v>HSTC-CĐ</v>
          </cell>
          <cell r="D4" t="str">
            <v>KP003</v>
          </cell>
        </row>
        <row r="5">
          <cell r="A5" t="str">
            <v>BSCKI</v>
          </cell>
          <cell r="B5" t="str">
            <v>TĐ003</v>
          </cell>
          <cell r="C5" t="str">
            <v>Lão - CXK</v>
          </cell>
          <cell r="D5" t="str">
            <v>KP004</v>
          </cell>
        </row>
        <row r="6">
          <cell r="A6" t="str">
            <v>Thạc sỹ</v>
          </cell>
          <cell r="B6" t="str">
            <v>TĐ004</v>
          </cell>
          <cell r="C6" t="str">
            <v>Nội I</v>
          </cell>
          <cell r="D6" t="str">
            <v>KP005</v>
          </cell>
        </row>
        <row r="7">
          <cell r="C7" t="str">
            <v>Tâm thần - Thần kinh</v>
          </cell>
          <cell r="D7" t="str">
            <v>KP006</v>
          </cell>
        </row>
        <row r="8">
          <cell r="C8" t="str">
            <v>Nội Tổng hợp</v>
          </cell>
          <cell r="D8" t="str">
            <v>KP007</v>
          </cell>
        </row>
        <row r="9">
          <cell r="A9" t="str">
            <v>Bác sĩ</v>
          </cell>
          <cell r="B9" t="str">
            <v>TĐ005</v>
          </cell>
          <cell r="C9" t="str">
            <v>Nội Tiêu hóa</v>
          </cell>
          <cell r="D9" t="str">
            <v>KP008</v>
          </cell>
        </row>
        <row r="10">
          <cell r="A10" t="str">
            <v>DSCKII</v>
          </cell>
          <cell r="B10" t="str">
            <v>TĐ006</v>
          </cell>
          <cell r="C10" t="str">
            <v>Nội Thận-TN-LM</v>
          </cell>
          <cell r="D10" t="str">
            <v>KP009</v>
          </cell>
        </row>
        <row r="11">
          <cell r="A11" t="str">
            <v>DSCKI</v>
          </cell>
          <cell r="B11" t="str">
            <v>TĐ007</v>
          </cell>
          <cell r="C11" t="str">
            <v>Nội TM</v>
          </cell>
          <cell r="D11" t="str">
            <v>KP010</v>
          </cell>
        </row>
        <row r="12">
          <cell r="A12" t="str">
            <v>Dược sỹ ĐH</v>
          </cell>
          <cell r="B12" t="str">
            <v>TĐ008</v>
          </cell>
          <cell r="C12" t="str">
            <v>UB-YHHN</v>
          </cell>
          <cell r="D12" t="str">
            <v>KP011</v>
          </cell>
        </row>
        <row r="13">
          <cell r="A13" t="str">
            <v>Dược sỹ CĐ</v>
          </cell>
          <cell r="B13" t="str">
            <v>TĐ009</v>
          </cell>
          <cell r="C13" t="str">
            <v>Ngoại Thận - Tiết niệu</v>
          </cell>
          <cell r="D13" t="str">
            <v>KP012</v>
          </cell>
        </row>
        <row r="14">
          <cell r="A14" t="str">
            <v>Dược sỹ TC</v>
          </cell>
          <cell r="B14" t="str">
            <v>TĐ010</v>
          </cell>
          <cell r="C14" t="str">
            <v>Ngoại Tiêu hóa</v>
          </cell>
          <cell r="D14" t="str">
            <v>KP013</v>
          </cell>
        </row>
        <row r="15">
          <cell r="A15" t="str">
            <v>Điều dưỡng ĐH</v>
          </cell>
          <cell r="B15" t="str">
            <v>TĐ011</v>
          </cell>
          <cell r="C15" t="str">
            <v>Chấn thương - Bỏng</v>
          </cell>
          <cell r="D15" t="str">
            <v>KP014</v>
          </cell>
        </row>
        <row r="16">
          <cell r="A16" t="str">
            <v>Điều dưỡng CĐ</v>
          </cell>
          <cell r="B16" t="str">
            <v>TĐ012</v>
          </cell>
          <cell r="C16" t="str">
            <v>Ngoại TK-LN</v>
          </cell>
          <cell r="D16" t="str">
            <v>KP015</v>
          </cell>
        </row>
        <row r="17">
          <cell r="A17" t="str">
            <v>Điều dưỡng TC</v>
          </cell>
          <cell r="B17" t="str">
            <v>TĐ013</v>
          </cell>
          <cell r="C17" t="str">
            <v>Phụ Sản</v>
          </cell>
          <cell r="D17" t="str">
            <v>KP016</v>
          </cell>
        </row>
        <row r="18">
          <cell r="A18" t="str">
            <v>KTY ĐH</v>
          </cell>
          <cell r="B18" t="str">
            <v>TĐ014</v>
          </cell>
          <cell r="C18" t="str">
            <v>Nhi</v>
          </cell>
          <cell r="D18" t="str">
            <v>KP017</v>
          </cell>
        </row>
        <row r="19">
          <cell r="A19" t="str">
            <v>KTY CĐ</v>
          </cell>
          <cell r="B19" t="str">
            <v>TĐ015</v>
          </cell>
          <cell r="C19" t="str">
            <v>Truyền nhiễm</v>
          </cell>
          <cell r="D19" t="str">
            <v>KP018</v>
          </cell>
        </row>
        <row r="20">
          <cell r="A20" t="str">
            <v>KTY TC</v>
          </cell>
          <cell r="B20" t="str">
            <v>TĐ016</v>
          </cell>
          <cell r="C20" t="str">
            <v>Da liễu</v>
          </cell>
          <cell r="D20" t="str">
            <v>KP019</v>
          </cell>
        </row>
        <row r="21">
          <cell r="A21" t="str">
            <v>Hộ sinh ĐH</v>
          </cell>
          <cell r="B21" t="str">
            <v>TĐ017</v>
          </cell>
          <cell r="C21" t="str">
            <v>YHCT</v>
          </cell>
          <cell r="D21" t="str">
            <v>KP020</v>
          </cell>
        </row>
        <row r="22">
          <cell r="A22" t="str">
            <v>Hộ sinh CĐ</v>
          </cell>
          <cell r="B22" t="str">
            <v>TĐ018</v>
          </cell>
          <cell r="C22" t="str">
            <v>VLTL-PHCN</v>
          </cell>
          <cell r="D22" t="str">
            <v>KP021</v>
          </cell>
        </row>
        <row r="23">
          <cell r="A23" t="str">
            <v>Hộ sinh TC</v>
          </cell>
          <cell r="B23" t="str">
            <v>TĐ019</v>
          </cell>
          <cell r="C23" t="str">
            <v>Tai mũi họng</v>
          </cell>
          <cell r="D23" t="str">
            <v>KP022</v>
          </cell>
        </row>
        <row r="24">
          <cell r="A24" t="str">
            <v>Y sỹ</v>
          </cell>
          <cell r="B24" t="str">
            <v>TĐ020</v>
          </cell>
          <cell r="C24" t="str">
            <v>Mắt</v>
          </cell>
          <cell r="D24" t="str">
            <v>KP023</v>
          </cell>
        </row>
        <row r="25">
          <cell r="A25" t="str">
            <v>KTĐH</v>
          </cell>
          <cell r="B25" t="str">
            <v>TĐ021</v>
          </cell>
          <cell r="C25" t="str">
            <v>Răng Hàm Mặt</v>
          </cell>
          <cell r="D25" t="str">
            <v>KP024</v>
          </cell>
        </row>
        <row r="26">
          <cell r="A26" t="str">
            <v>KTCĐ</v>
          </cell>
          <cell r="B26" t="str">
            <v>TĐ022</v>
          </cell>
          <cell r="C26" t="str">
            <v>GM-HS</v>
          </cell>
          <cell r="D26" t="str">
            <v>KP025</v>
          </cell>
        </row>
        <row r="27">
          <cell r="A27" t="str">
            <v>KTTC</v>
          </cell>
          <cell r="B27" t="str">
            <v>TĐ023</v>
          </cell>
          <cell r="C27" t="str">
            <v>Dinh dưỡng</v>
          </cell>
          <cell r="D27" t="str">
            <v>KP026</v>
          </cell>
        </row>
        <row r="28">
          <cell r="A28" t="str">
            <v>Cử nhân QTKD</v>
          </cell>
          <cell r="B28" t="str">
            <v>TĐ024</v>
          </cell>
          <cell r="C28" t="str">
            <v>Khoa Lão</v>
          </cell>
          <cell r="D28" t="str">
            <v>KP027</v>
          </cell>
        </row>
        <row r="29">
          <cell r="A29" t="str">
            <v>Cử nhân TCNH</v>
          </cell>
          <cell r="B29" t="str">
            <v>TĐ025</v>
          </cell>
          <cell r="C29" t="str">
            <v>Dược</v>
          </cell>
          <cell r="D29" t="str">
            <v>KP028</v>
          </cell>
        </row>
        <row r="30">
          <cell r="A30" t="str">
            <v>ĐH CNTT</v>
          </cell>
          <cell r="B30" t="str">
            <v>TĐ026</v>
          </cell>
          <cell r="C30" t="str">
            <v>HH-TM</v>
          </cell>
          <cell r="D30" t="str">
            <v>KP029</v>
          </cell>
        </row>
        <row r="31">
          <cell r="A31" t="str">
            <v>CĐ CNTT</v>
          </cell>
          <cell r="B31" t="str">
            <v>TĐ027</v>
          </cell>
          <cell r="C31" t="str">
            <v>HS-VS</v>
          </cell>
          <cell r="D31" t="str">
            <v>KP030</v>
          </cell>
        </row>
        <row r="32">
          <cell r="A32" t="str">
            <v>TC CNTT</v>
          </cell>
          <cell r="B32" t="str">
            <v>TĐ028</v>
          </cell>
          <cell r="C32" t="str">
            <v>HH-TM lâm sàng</v>
          </cell>
          <cell r="D32" t="str">
            <v>KP031</v>
          </cell>
        </row>
        <row r="33">
          <cell r="A33" t="str">
            <v>Kỹ sư</v>
          </cell>
          <cell r="B33" t="str">
            <v>TĐ029</v>
          </cell>
          <cell r="C33" t="str">
            <v>Vi sinh</v>
          </cell>
          <cell r="D33" t="str">
            <v>KP032</v>
          </cell>
        </row>
        <row r="34">
          <cell r="A34" t="str">
            <v>Chuyên viên</v>
          </cell>
          <cell r="B34" t="str">
            <v>TĐ030</v>
          </cell>
          <cell r="C34" t="str">
            <v>TDCN</v>
          </cell>
          <cell r="D34" t="str">
            <v>KP033</v>
          </cell>
        </row>
        <row r="35">
          <cell r="A35" t="str">
            <v>ĐH QTNL</v>
          </cell>
          <cell r="B35" t="str">
            <v>TĐ031</v>
          </cell>
          <cell r="C35" t="str">
            <v>CĐHA</v>
          </cell>
          <cell r="D35" t="str">
            <v>KP034</v>
          </cell>
        </row>
        <row r="36">
          <cell r="A36" t="str">
            <v>CĐ QTNL</v>
          </cell>
          <cell r="B36" t="str">
            <v>TĐ032</v>
          </cell>
          <cell r="C36" t="str">
            <v>GPB</v>
          </cell>
          <cell r="D36" t="str">
            <v>KP035</v>
          </cell>
        </row>
        <row r="37">
          <cell r="A37" t="str">
            <v>Cử nhân Luật</v>
          </cell>
          <cell r="B37" t="str">
            <v>TĐ033</v>
          </cell>
          <cell r="C37" t="str">
            <v>KSNK</v>
          </cell>
          <cell r="D37" t="str">
            <v>KP036</v>
          </cell>
        </row>
        <row r="38">
          <cell r="A38" t="str">
            <v>Cử nhân BH</v>
          </cell>
          <cell r="B38" t="str">
            <v>TĐ034</v>
          </cell>
          <cell r="C38" t="str">
            <v>Điều dưỡng</v>
          </cell>
          <cell r="D38" t="str">
            <v>KP037</v>
          </cell>
        </row>
        <row r="39">
          <cell r="A39" t="str">
            <v>Cử nhân HC</v>
          </cell>
          <cell r="B39" t="str">
            <v>TĐ035</v>
          </cell>
          <cell r="C39" t="str">
            <v>VT-TTBYT</v>
          </cell>
          <cell r="D39" t="str">
            <v>KP038</v>
          </cell>
        </row>
        <row r="40">
          <cell r="A40" t="str">
            <v>YTCC</v>
          </cell>
          <cell r="B40" t="str">
            <v>TĐ036</v>
          </cell>
          <cell r="C40" t="str">
            <v>TCCB</v>
          </cell>
          <cell r="D40" t="str">
            <v>KP039</v>
          </cell>
        </row>
        <row r="41">
          <cell r="A41" t="str">
            <v>Cử nhân QHCC</v>
          </cell>
          <cell r="B41" t="str">
            <v>TĐ037</v>
          </cell>
          <cell r="C41" t="str">
            <v>HCQT</v>
          </cell>
          <cell r="D41" t="str">
            <v>KP040</v>
          </cell>
        </row>
        <row r="42">
          <cell r="A42" t="str">
            <v>Cử nhân XHH</v>
          </cell>
          <cell r="B42" t="str">
            <v>TĐ038</v>
          </cell>
          <cell r="C42" t="str">
            <v>TCKT</v>
          </cell>
          <cell r="D42" t="str">
            <v>KP041</v>
          </cell>
        </row>
        <row r="43">
          <cell r="A43" t="str">
            <v>Cử nhân Báo chí</v>
          </cell>
          <cell r="B43" t="str">
            <v>TĐ039</v>
          </cell>
          <cell r="C43" t="str">
            <v>KHTH</v>
          </cell>
          <cell r="D43" t="str">
            <v>KP042</v>
          </cell>
        </row>
        <row r="44">
          <cell r="A44" t="str">
            <v>CĐ y sinh</v>
          </cell>
          <cell r="B44" t="str">
            <v>TĐ040</v>
          </cell>
          <cell r="C44" t="str">
            <v>CTXH</v>
          </cell>
          <cell r="D44" t="str">
            <v>KP043</v>
          </cell>
        </row>
        <row r="45">
          <cell r="A45" t="str">
            <v>CV cao đẳng</v>
          </cell>
          <cell r="B45" t="str">
            <v>TĐ041</v>
          </cell>
          <cell r="C45" t="str">
            <v>QLCL</v>
          </cell>
          <cell r="D45" t="str">
            <v>KP044</v>
          </cell>
        </row>
        <row r="46">
          <cell r="A46" t="str">
            <v>Văn thư</v>
          </cell>
          <cell r="B46" t="str">
            <v>TĐ042</v>
          </cell>
          <cell r="C46" t="str">
            <v>Chỉ đạo tuyến</v>
          </cell>
          <cell r="D46" t="str">
            <v>KP045</v>
          </cell>
        </row>
        <row r="47">
          <cell r="A47" t="str">
            <v>Lái xe</v>
          </cell>
          <cell r="B47" t="str">
            <v>TĐ043</v>
          </cell>
          <cell r="C47" t="str">
            <v>CNTT</v>
          </cell>
          <cell r="D47" t="str">
            <v>KP046</v>
          </cell>
        </row>
        <row r="48">
          <cell r="A48" t="str">
            <v>Bảo vệ</v>
          </cell>
          <cell r="B48" t="str">
            <v>TĐ044</v>
          </cell>
        </row>
        <row r="49">
          <cell r="A49" t="str">
            <v>Y công</v>
          </cell>
          <cell r="B49" t="str">
            <v>TĐ045</v>
          </cell>
        </row>
        <row r="50">
          <cell r="A50" t="str">
            <v>NVKT</v>
          </cell>
          <cell r="B50" t="str">
            <v>TĐ046</v>
          </cell>
        </row>
        <row r="51">
          <cell r="A51" t="str">
            <v>Hộ lý</v>
          </cell>
          <cell r="B51" t="str">
            <v>TĐ047</v>
          </cell>
        </row>
        <row r="52">
          <cell r="A52" t="str">
            <v>NVPV</v>
          </cell>
          <cell r="B52" t="str">
            <v>TĐ048</v>
          </cell>
        </row>
        <row r="53">
          <cell r="A53" t="str">
            <v>Dược tá</v>
          </cell>
          <cell r="B53" t="str">
            <v>TĐ049</v>
          </cell>
        </row>
        <row r="54">
          <cell r="A54" t="str">
            <v>Khác</v>
          </cell>
          <cell r="B54" t="str">
            <v>TĐ050</v>
          </cell>
        </row>
        <row r="55">
          <cell r="A55" t="str">
            <v>Y học dự phòng</v>
          </cell>
          <cell r="B55" t="str">
            <v>TĐ051</v>
          </cell>
        </row>
      </sheetData>
      <sheetData sheetId="1"/>
      <sheetData sheetId="2"/>
      <sheetData sheetId="3"/>
      <sheetData sheetId="4"/>
      <sheetData sheetId="5">
        <row r="8">
          <cell r="A8" t="str">
            <v>BV0096</v>
          </cell>
          <cell r="B8">
            <v>2</v>
          </cell>
          <cell r="C8" t="str">
            <v>Hoàng Mạnh Cương</v>
          </cell>
          <cell r="D8" t="str">
            <v>BV0096</v>
          </cell>
          <cell r="E8">
            <v>2008000157</v>
          </cell>
          <cell r="H8">
            <v>30552</v>
          </cell>
          <cell r="J8">
            <v>42</v>
          </cell>
          <cell r="K8" t="str">
            <v>080971371</v>
          </cell>
          <cell r="L8" t="str">
            <v>17/01/2000</v>
          </cell>
          <cell r="M8" t="str">
            <v>CA tỉnh Lạng Sơn</v>
          </cell>
          <cell r="O8" t="str">
            <v>Xã Chiến Thắng</v>
          </cell>
          <cell r="P8" t="str">
            <v>Huyện Bắc Sơn</v>
          </cell>
          <cell r="Q8" t="str">
            <v>Tỉnh Lạng Sơn</v>
          </cell>
          <cell r="R8" t="str">
            <v xml:space="preserve"> Số 47 Tông Đản, tổ 4, khối 11</v>
          </cell>
          <cell r="S8" t="str">
            <v>Phường Hoàng Văn Thụ</v>
          </cell>
          <cell r="T8" t="str">
            <v>Thành phố Lạng Sơn</v>
          </cell>
          <cell r="U8" t="str">
            <v>Tỉnh Lạng Sơn</v>
          </cell>
          <cell r="V8" t="str">
            <v>Phường Hoàng Văn Thụ, Thành phố Lạng Sơn, Tỉnh Lạng Sơn</v>
          </cell>
          <cell r="W8" t="str">
            <v>1/12/2008</v>
          </cell>
          <cell r="X8">
            <v>39356</v>
          </cell>
          <cell r="AA8" t="str">
            <v>Phó giám đốc</v>
          </cell>
          <cell r="AB8" t="str">
            <v>TĐ003</v>
          </cell>
          <cell r="AC8" t="str">
            <v>BLĐ</v>
          </cell>
          <cell r="AD8" t="str">
            <v>KP000</v>
          </cell>
          <cell r="AE8" t="str">
            <v>Viên chức</v>
          </cell>
          <cell r="AF8" t="str">
            <v>V.08.01.02</v>
          </cell>
          <cell r="AG8" t="str">
            <v>Bác sĩ chính (hạng II)</v>
          </cell>
          <cell r="AH8">
            <v>4.74</v>
          </cell>
          <cell r="AI8">
            <v>2</v>
          </cell>
          <cell r="AJ8">
            <v>0</v>
          </cell>
          <cell r="AK8">
            <v>45992</v>
          </cell>
          <cell r="AL8" t="str">
            <v>Đại học</v>
          </cell>
          <cell r="AM8" t="str">
            <v>BSCKI</v>
          </cell>
          <cell r="AN8" t="str">
            <v>Hồi sức CC</v>
          </cell>
          <cell r="AR8" t="str">
            <v>Chuyên viên</v>
          </cell>
          <cell r="AS8" t="str">
            <v>x</v>
          </cell>
          <cell r="AT8" t="str">
            <v>Trung cấp</v>
          </cell>
          <cell r="AU8" t="str">
            <v>Anh C</v>
          </cell>
          <cell r="AW8" t="str">
            <v>B</v>
          </cell>
          <cell r="AY8" t="str">
            <v>Kinh</v>
          </cell>
          <cell r="AZ8">
            <v>43043</v>
          </cell>
          <cell r="BA8" t="e">
            <v>#REF!</v>
          </cell>
          <cell r="BB8" t="e">
            <v>#REF!</v>
          </cell>
        </row>
        <row r="9">
          <cell r="A9" t="str">
            <v>BV0090</v>
          </cell>
          <cell r="B9">
            <v>3</v>
          </cell>
          <cell r="C9" t="str">
            <v>Đặng Huy Du</v>
          </cell>
          <cell r="D9" t="str">
            <v>BV0090</v>
          </cell>
          <cell r="E9">
            <v>1500002050</v>
          </cell>
          <cell r="H9">
            <v>26605</v>
          </cell>
          <cell r="J9">
            <v>53</v>
          </cell>
          <cell r="K9" t="str">
            <v>080900643</v>
          </cell>
          <cell r="L9" t="str">
            <v>10/09/2013</v>
          </cell>
          <cell r="M9" t="str">
            <v>CA tỉnh Lạng Sơn</v>
          </cell>
          <cell r="N9" t="str">
            <v>Phường Vĩnh Trại, thành phố Lạng Sơn</v>
          </cell>
          <cell r="O9" t="str">
            <v>Xã Tân Liên</v>
          </cell>
          <cell r="P9" t="str">
            <v>Huyện Cao Lộc</v>
          </cell>
          <cell r="Q9" t="str">
            <v>Tỉnh Lạng Sơn</v>
          </cell>
          <cell r="R9" t="str">
            <v>Tổ 3 khối 8</v>
          </cell>
          <cell r="S9" t="str">
            <v>Phường Vĩnh Trại</v>
          </cell>
          <cell r="T9" t="str">
            <v>Thành phố Lạng Sơn</v>
          </cell>
          <cell r="U9" t="str">
            <v>Tỉnh Lạng Sơn</v>
          </cell>
          <cell r="V9" t="str">
            <v>Phường Vĩnh Trại, Thành phố Lạng Sơn, Tỉnh Lạng Sơn</v>
          </cell>
          <cell r="W9" t="str">
            <v>20/4/1997</v>
          </cell>
          <cell r="AA9" t="str">
            <v>Phó giám đốc; phụ trách khoa TT-TK</v>
          </cell>
          <cell r="AB9" t="str">
            <v>TĐ001</v>
          </cell>
          <cell r="AC9" t="str">
            <v>BLĐ</v>
          </cell>
          <cell r="AD9" t="str">
            <v>KP000</v>
          </cell>
          <cell r="AE9" t="str">
            <v>Viên chức</v>
          </cell>
          <cell r="AF9" t="str">
            <v>V.08.01.02</v>
          </cell>
          <cell r="AG9" t="str">
            <v>Bác sĩ chính (hạng II)</v>
          </cell>
          <cell r="AH9">
            <v>5.42</v>
          </cell>
          <cell r="AI9">
            <v>4</v>
          </cell>
          <cell r="AJ9">
            <v>0</v>
          </cell>
          <cell r="AK9">
            <v>44986</v>
          </cell>
          <cell r="AL9" t="str">
            <v>Đại học</v>
          </cell>
          <cell r="AM9" t="str">
            <v>BSCKII</v>
          </cell>
          <cell r="AN9" t="str">
            <v>Thần kinh</v>
          </cell>
          <cell r="AO9" t="str">
            <v>Đại học Y Hà Nội</v>
          </cell>
          <cell r="AP9">
            <v>2018</v>
          </cell>
          <cell r="AQ9" t="str">
            <v>12/12</v>
          </cell>
          <cell r="AR9" t="str">
            <v>Chuyên viên</v>
          </cell>
          <cell r="AS9" t="str">
            <v>x</v>
          </cell>
          <cell r="AT9" t="str">
            <v>Cao cấp</v>
          </cell>
          <cell r="AU9" t="str">
            <v>Anh C</v>
          </cell>
          <cell r="AW9" t="str">
            <v>B</v>
          </cell>
          <cell r="AY9" t="str">
            <v>Tày</v>
          </cell>
          <cell r="AZ9">
            <v>37253</v>
          </cell>
          <cell r="BA9" t="e">
            <v>#REF!</v>
          </cell>
          <cell r="BB9" t="e">
            <v>#REF!</v>
          </cell>
          <cell r="BC9" t="str">
            <v>24/6/2013</v>
          </cell>
        </row>
        <row r="10">
          <cell r="A10" t="str">
            <v>BV0174</v>
          </cell>
          <cell r="B10">
            <v>4</v>
          </cell>
          <cell r="C10" t="str">
            <v>Trần Mậu Việt</v>
          </cell>
          <cell r="D10" t="str">
            <v>BV0174</v>
          </cell>
          <cell r="E10">
            <v>1504000546</v>
          </cell>
          <cell r="H10">
            <v>27755</v>
          </cell>
          <cell r="J10">
            <v>50</v>
          </cell>
          <cell r="K10" t="str">
            <v>080964252</v>
          </cell>
          <cell r="L10" t="str">
            <v>08/02/2006</v>
          </cell>
          <cell r="M10" t="str">
            <v>CA tỉnh Lạng Sơn</v>
          </cell>
          <cell r="N10" t="str">
            <v>Thành phố Lạng Sơn, tỉnh Lạng Sơn</v>
          </cell>
          <cell r="O10" t="str">
            <v>Xã Nam Trung</v>
          </cell>
          <cell r="P10" t="str">
            <v>Huyện Nam Đàn</v>
          </cell>
          <cell r="Q10" t="str">
            <v>Tỉnh Nghệ An</v>
          </cell>
          <cell r="R10" t="str">
            <v>Số 17 đường Thác Mạ</v>
          </cell>
          <cell r="S10" t="str">
            <v>Phường Đông Kinh</v>
          </cell>
          <cell r="T10" t="str">
            <v>Thành phố Lạng Sơn</v>
          </cell>
          <cell r="U10" t="str">
            <v>Tỉnh Lạng Sơn</v>
          </cell>
          <cell r="V10" t="str">
            <v>Phường Đông Kinh, Thành phố Lạng Sơn, Tỉnh Lạng Sơn</v>
          </cell>
          <cell r="W10" t="str">
            <v>1/1/2003</v>
          </cell>
          <cell r="AA10" t="str">
            <v>Phó giám đốc/phụ trách khoa</v>
          </cell>
          <cell r="AB10" t="str">
            <v>TĐ001</v>
          </cell>
          <cell r="AC10" t="str">
            <v>BLĐ</v>
          </cell>
          <cell r="AD10" t="str">
            <v>KP000</v>
          </cell>
          <cell r="AE10" t="str">
            <v>Viên chức</v>
          </cell>
          <cell r="AF10" t="str">
            <v>V.08.01.02</v>
          </cell>
          <cell r="AG10" t="str">
            <v>Bác sĩ chính (hạng II)</v>
          </cell>
          <cell r="AH10">
            <v>5.08</v>
          </cell>
          <cell r="AI10">
            <v>3</v>
          </cell>
          <cell r="AJ10">
            <v>0</v>
          </cell>
          <cell r="AK10">
            <v>45108</v>
          </cell>
          <cell r="AL10" t="str">
            <v>Đại học</v>
          </cell>
          <cell r="AM10" t="str">
            <v>BSCKII</v>
          </cell>
          <cell r="AN10" t="str">
            <v>Ngoại khoa</v>
          </cell>
          <cell r="AO10" t="str">
            <v>Đại học Y Hà Nội</v>
          </cell>
          <cell r="AP10">
            <v>2018</v>
          </cell>
          <cell r="AQ10" t="str">
            <v>12/12</v>
          </cell>
          <cell r="AR10" t="str">
            <v>Chuyên viên</v>
          </cell>
          <cell r="AS10" t="str">
            <v>x</v>
          </cell>
          <cell r="AT10" t="str">
            <v>Trung cấp</v>
          </cell>
          <cell r="AU10" t="str">
            <v>Anh C</v>
          </cell>
          <cell r="AW10" t="str">
            <v>B</v>
          </cell>
          <cell r="AY10" t="str">
            <v>Nùng</v>
          </cell>
          <cell r="AZ10">
            <v>38869</v>
          </cell>
          <cell r="BA10" t="e">
            <v>#REF!</v>
          </cell>
          <cell r="BB10" t="e">
            <v>#REF!</v>
          </cell>
          <cell r="BC10" t="str">
            <v>24/06/2013</v>
          </cell>
        </row>
        <row r="11">
          <cell r="A11" t="str">
            <v>BV0004</v>
          </cell>
          <cell r="B11">
            <v>5</v>
          </cell>
          <cell r="C11" t="str">
            <v>Nguyễn Văn Thắng</v>
          </cell>
          <cell r="D11" t="str">
            <v>BV0004</v>
          </cell>
          <cell r="E11">
            <v>1505003020</v>
          </cell>
          <cell r="G11" t="str">
            <v>024078001825
ngày cấp 29/04/2021, nơi cấp: Cục cảnh sát quản lý hành chính và trật tự xã hội</v>
          </cell>
          <cell r="H11">
            <v>28585</v>
          </cell>
          <cell r="J11">
            <v>48</v>
          </cell>
          <cell r="K11" t="str">
            <v>121351186</v>
          </cell>
          <cell r="M11" t="str">
            <v>CA tỉnh Lạng Sơn</v>
          </cell>
          <cell r="O11" t="str">
            <v>Tam Dị</v>
          </cell>
          <cell r="P11" t="str">
            <v>Huyện Lục Ngạn</v>
          </cell>
          <cell r="Q11" t="str">
            <v>Tỉnh Bắc Giang</v>
          </cell>
          <cell r="S11" t="str">
            <v>Phường Chi Lăng</v>
          </cell>
          <cell r="T11" t="str">
            <v>Thành phố Lạng Sơn</v>
          </cell>
          <cell r="U11" t="str">
            <v>Tỉnh Lạng Sơn</v>
          </cell>
          <cell r="V11" t="str">
            <v>Phường Chi Lăng, Thành phố Lạng Sơn, Tỉnh Lạng Sơn</v>
          </cell>
          <cell r="W11" t="str">
            <v>15/2/2005</v>
          </cell>
          <cell r="AA11" t="str">
            <v>Phó trưởng khoa/giao phụ trách khoa</v>
          </cell>
          <cell r="AB11" t="str">
            <v>TĐ001</v>
          </cell>
          <cell r="AC11" t="str">
            <v>Khám bệnh</v>
          </cell>
          <cell r="AD11" t="str">
            <v>KP001</v>
          </cell>
          <cell r="AE11" t="str">
            <v>Viên chức</v>
          </cell>
          <cell r="AF11" t="str">
            <v>V.08.01.02</v>
          </cell>
          <cell r="AG11" t="str">
            <v>Bác sĩ chính (hạng II)</v>
          </cell>
          <cell r="AH11">
            <v>4.74</v>
          </cell>
          <cell r="AI11">
            <v>2</v>
          </cell>
          <cell r="AJ11">
            <v>0</v>
          </cell>
          <cell r="AK11">
            <v>45809</v>
          </cell>
          <cell r="AL11" t="str">
            <v>Đại học</v>
          </cell>
          <cell r="AM11" t="str">
            <v>BSCKII</v>
          </cell>
          <cell r="AN11" t="str">
            <v>Nội khoa</v>
          </cell>
          <cell r="AR11" t="str">
            <v>Chuyên viên</v>
          </cell>
          <cell r="AS11">
            <v>0</v>
          </cell>
          <cell r="AT11" t="str">
            <v>Sơ cấp</v>
          </cell>
          <cell r="AU11" t="str">
            <v>Anh C</v>
          </cell>
          <cell r="AV11" t="str">
            <v>Tày</v>
          </cell>
          <cell r="AW11" t="str">
            <v>Cơ bản</v>
          </cell>
          <cell r="AY11" t="str">
            <v>Kinh</v>
          </cell>
          <cell r="AZ11">
            <v>39898</v>
          </cell>
          <cell r="BA11" t="e">
            <v>#REF!</v>
          </cell>
          <cell r="BB11" t="e">
            <v>#REF!</v>
          </cell>
          <cell r="BC11" t="str">
            <v>24/06/2013</v>
          </cell>
        </row>
        <row r="12">
          <cell r="A12" t="str">
            <v>BV0167</v>
          </cell>
          <cell r="B12">
            <v>6</v>
          </cell>
          <cell r="C12" t="str">
            <v>Hoàng Thị Nga</v>
          </cell>
          <cell r="D12" t="str">
            <v>BV0167</v>
          </cell>
          <cell r="E12">
            <v>1504000563</v>
          </cell>
          <cell r="G12" t="str">
            <v>020170000676
ngày cấp 31/03/2021, nơi cấp: Cục cảnh sát quản lý hành chính và trật tự xã hội</v>
          </cell>
          <cell r="I12">
            <v>25601</v>
          </cell>
          <cell r="J12">
            <v>56</v>
          </cell>
          <cell r="K12" t="str">
            <v>080902650</v>
          </cell>
          <cell r="L12" t="str">
            <v>10/03/2011</v>
          </cell>
          <cell r="M12" t="str">
            <v>CA tỉnh Lạng Sơn</v>
          </cell>
          <cell r="P12" t="str">
            <v>Huyện Văn Lãng</v>
          </cell>
          <cell r="Q12" t="str">
            <v>Tỉnh Lạng Sơn</v>
          </cell>
          <cell r="S12" t="str">
            <v>Phường Chi Lăng</v>
          </cell>
          <cell r="T12" t="str">
            <v>Thành phố Lạng Sơn</v>
          </cell>
          <cell r="U12" t="str">
            <v>Tỉnh Lạng Sơn</v>
          </cell>
          <cell r="V12" t="str">
            <v>Phường Chi Lăng, Thành phố Lạng Sơn, Tỉnh Lạng Sơn</v>
          </cell>
          <cell r="W12" t="str">
            <v>7/11/2006</v>
          </cell>
          <cell r="AA12">
            <v>0</v>
          </cell>
          <cell r="AB12" t="str">
            <v>TĐ011</v>
          </cell>
          <cell r="AC12" t="str">
            <v>Khám bệnh</v>
          </cell>
          <cell r="AD12" t="str">
            <v>KP001</v>
          </cell>
          <cell r="AE12" t="str">
            <v>Viên chức</v>
          </cell>
          <cell r="AF12" t="str">
            <v>V.08.05.12</v>
          </cell>
          <cell r="AG12" t="str">
            <v>Điều dưỡng (hạng III)</v>
          </cell>
          <cell r="AH12">
            <v>3.66</v>
          </cell>
          <cell r="AI12">
            <v>5</v>
          </cell>
          <cell r="AJ12">
            <v>0</v>
          </cell>
          <cell r="AK12">
            <v>45383</v>
          </cell>
          <cell r="AL12" t="str">
            <v>Đại học</v>
          </cell>
          <cell r="AM12" t="str">
            <v>Điều dưỡng ĐH</v>
          </cell>
          <cell r="AO12" t="str">
            <v>Trung học Y tế Bạch Mai</v>
          </cell>
          <cell r="AP12">
            <v>2004</v>
          </cell>
          <cell r="AQ12" t="str">
            <v>12/12</v>
          </cell>
          <cell r="AR12">
            <v>0</v>
          </cell>
          <cell r="AS12">
            <v>0</v>
          </cell>
          <cell r="AT12">
            <v>0</v>
          </cell>
          <cell r="AU12">
            <v>0</v>
          </cell>
          <cell r="AV12" t="str">
            <v>Tày</v>
          </cell>
          <cell r="AW12" t="str">
            <v>A</v>
          </cell>
          <cell r="AY12" t="str">
            <v>Nùng</v>
          </cell>
          <cell r="BA12" t="e">
            <v>#REF!</v>
          </cell>
          <cell r="BB12" t="e">
            <v>#REF!</v>
          </cell>
        </row>
        <row r="13">
          <cell r="A13" t="str">
            <v>BV0009</v>
          </cell>
          <cell r="B13">
            <v>7</v>
          </cell>
          <cell r="C13" t="str">
            <v>Hoàng Hải Yến</v>
          </cell>
          <cell r="D13" t="str">
            <v>BV0009</v>
          </cell>
          <cell r="E13">
            <v>2013000694</v>
          </cell>
          <cell r="G13" t="str">
            <v>020189006031
ngày cấp 20/08/2021, nơi cấp: Cục cảnh sát quản lý hành chính và trật tự xã hội</v>
          </cell>
          <cell r="I13">
            <v>32871</v>
          </cell>
          <cell r="J13">
            <v>36</v>
          </cell>
          <cell r="K13" t="str">
            <v>082098387</v>
          </cell>
          <cell r="L13" t="str">
            <v>07/12/2006</v>
          </cell>
          <cell r="M13" t="str">
            <v>CA tỉnh Lạng Sơn</v>
          </cell>
          <cell r="O13" t="str">
            <v>Xã Chu Túc</v>
          </cell>
          <cell r="P13" t="str">
            <v>Huyện Văn Quan</v>
          </cell>
          <cell r="Q13" t="str">
            <v>Tỉnh Lạng Sơn</v>
          </cell>
          <cell r="S13" t="str">
            <v>Xã Chu Túc</v>
          </cell>
          <cell r="T13" t="str">
            <v>Huyện Văn Quan</v>
          </cell>
          <cell r="U13" t="str">
            <v>Tỉnh Lạng Sơn</v>
          </cell>
          <cell r="V13" t="str">
            <v>Xã Chu Túc, Huyện Văn Quan, Tỉnh Lạng Sơn</v>
          </cell>
          <cell r="W13" t="str">
            <v>05/6/2013</v>
          </cell>
          <cell r="AA13">
            <v>0</v>
          </cell>
          <cell r="AB13" t="str">
            <v>TĐ012</v>
          </cell>
          <cell r="AC13" t="str">
            <v>Khám bệnh</v>
          </cell>
          <cell r="AD13" t="str">
            <v>KP001</v>
          </cell>
          <cell r="AE13" t="str">
            <v>Viên chức</v>
          </cell>
          <cell r="AF13" t="str">
            <v>V.08.05.13</v>
          </cell>
          <cell r="AG13" t="str">
            <v>Điều dưỡng (hạng IV)</v>
          </cell>
          <cell r="AH13">
            <v>3.34</v>
          </cell>
          <cell r="AI13">
            <v>5</v>
          </cell>
          <cell r="AJ13">
            <v>0</v>
          </cell>
          <cell r="AK13">
            <v>45453</v>
          </cell>
          <cell r="AL13" t="str">
            <v>Cao đẳng</v>
          </cell>
          <cell r="AM13" t="str">
            <v>Điều dưỡng CĐ</v>
          </cell>
          <cell r="AO13" t="str">
            <v>Cao đẳng Y tế Lạng Sơn</v>
          </cell>
          <cell r="AP13">
            <v>2010</v>
          </cell>
          <cell r="AQ13" t="str">
            <v>12/12</v>
          </cell>
          <cell r="AR13">
            <v>0</v>
          </cell>
          <cell r="AS13">
            <v>0</v>
          </cell>
          <cell r="AT13">
            <v>0</v>
          </cell>
          <cell r="AU13">
            <v>0</v>
          </cell>
          <cell r="AV13">
            <v>0</v>
          </cell>
          <cell r="AW13" t="str">
            <v>B</v>
          </cell>
          <cell r="AY13" t="str">
            <v>Nùng</v>
          </cell>
          <cell r="BA13" t="e">
            <v>#REF!</v>
          </cell>
          <cell r="BB13" t="e">
            <v>#REF!</v>
          </cell>
          <cell r="BC13" t="str">
            <v>24/06/2013</v>
          </cell>
        </row>
        <row r="14">
          <cell r="A14" t="str">
            <v>BV0222</v>
          </cell>
          <cell r="B14">
            <v>8</v>
          </cell>
          <cell r="C14" t="str">
            <v>Hoàng Thị Thùy</v>
          </cell>
          <cell r="D14" t="str">
            <v>BV0222</v>
          </cell>
          <cell r="E14">
            <v>1507000249</v>
          </cell>
          <cell r="G14" t="str">
            <v>020185002499
ngày cấp 25/04/2021, nơi cấp: Cục cảnh sát quản lý hành chính và trật tự xã hội</v>
          </cell>
          <cell r="I14">
            <v>31124</v>
          </cell>
          <cell r="J14">
            <v>41</v>
          </cell>
          <cell r="K14" t="str">
            <v>081017881</v>
          </cell>
          <cell r="L14" t="str">
            <v>18/02/2003</v>
          </cell>
          <cell r="M14" t="str">
            <v>CA tỉnh Lạng Sơn</v>
          </cell>
          <cell r="N14" t="str">
            <v>Xã Văn An, huyện Văn Quan, tỉnh Lạng Sơn</v>
          </cell>
          <cell r="O14" t="str">
            <v>Phường Tam Thanh</v>
          </cell>
          <cell r="P14" t="str">
            <v>Huyện Văn Quan</v>
          </cell>
          <cell r="Q14" t="str">
            <v>Tỉnh Lạng Sơn</v>
          </cell>
          <cell r="S14" t="str">
            <v>Phường Tam Thanh</v>
          </cell>
          <cell r="T14" t="str">
            <v>Thành phố Lạng Sơn</v>
          </cell>
          <cell r="U14" t="str">
            <v>Tỉnh Lạng Sơn</v>
          </cell>
          <cell r="V14" t="str">
            <v>Phường Tam Thanh, Thành phố Lạng Sơn, Tỉnh Lạng Sơn</v>
          </cell>
          <cell r="W14" t="str">
            <v>01/12/2008</v>
          </cell>
          <cell r="AA14" t="str">
            <v>Phụ trách điều dưỡng</v>
          </cell>
          <cell r="AB14" t="str">
            <v>TĐ011</v>
          </cell>
          <cell r="AC14" t="str">
            <v>KSNK</v>
          </cell>
          <cell r="AD14" t="str">
            <v>KP036</v>
          </cell>
          <cell r="AE14" t="str">
            <v>Viên chức</v>
          </cell>
          <cell r="AF14" t="str">
            <v>V.08.05.12</v>
          </cell>
          <cell r="AG14" t="str">
            <v>Điều dưỡng (hạng III)</v>
          </cell>
          <cell r="AH14">
            <v>3.66</v>
          </cell>
          <cell r="AI14">
            <v>5</v>
          </cell>
          <cell r="AJ14">
            <v>0</v>
          </cell>
          <cell r="AK14">
            <v>45383</v>
          </cell>
          <cell r="AL14" t="str">
            <v>Đại học</v>
          </cell>
          <cell r="AM14" t="str">
            <v>Điều dưỡng ĐH</v>
          </cell>
          <cell r="AO14" t="str">
            <v>Cao đẳng Y tế Lạng Sơn</v>
          </cell>
          <cell r="AP14">
            <v>2015</v>
          </cell>
          <cell r="AQ14" t="str">
            <v>12/12</v>
          </cell>
          <cell r="AR14">
            <v>0</v>
          </cell>
          <cell r="AS14">
            <v>0</v>
          </cell>
          <cell r="AT14">
            <v>0</v>
          </cell>
          <cell r="AU14" t="str">
            <v>Anh B</v>
          </cell>
          <cell r="AV14" t="str">
            <v>Tày</v>
          </cell>
          <cell r="AW14" t="str">
            <v>C</v>
          </cell>
          <cell r="AY14" t="str">
            <v>Tày</v>
          </cell>
          <cell r="AZ14">
            <v>42134</v>
          </cell>
          <cell r="BA14" t="e">
            <v>#REF!</v>
          </cell>
          <cell r="BB14" t="e">
            <v>#REF!</v>
          </cell>
        </row>
        <row r="15">
          <cell r="A15" t="str">
            <v>BV0384</v>
          </cell>
          <cell r="B15">
            <v>9</v>
          </cell>
          <cell r="C15" t="str">
            <v>Trần Ngọc Tú</v>
          </cell>
          <cell r="D15" t="str">
            <v>BV0384</v>
          </cell>
          <cell r="E15">
            <v>1506002732</v>
          </cell>
          <cell r="G15" t="str">
            <v>020181004805
ngày cấp 09/05/2021, nơi cấp: Cục cảnh sát quản lý hành chính và trật tự xã hội</v>
          </cell>
          <cell r="I15">
            <v>29882</v>
          </cell>
          <cell r="J15">
            <v>44</v>
          </cell>
          <cell r="K15" t="str">
            <v>080992308</v>
          </cell>
          <cell r="L15" t="str">
            <v>07/07/1998</v>
          </cell>
          <cell r="M15" t="str">
            <v>CA tỉnh Lạng Sơn</v>
          </cell>
          <cell r="N15" t="str">
            <v>UBND xã Mai Pha, TP. Lạng Sơn</v>
          </cell>
          <cell r="O15" t="str">
            <v>Xã Mai Pha</v>
          </cell>
          <cell r="P15" t="str">
            <v>Thành phố Lạng Sơn</v>
          </cell>
          <cell r="Q15" t="str">
            <v>Tỉnh Lạng Sơn</v>
          </cell>
          <cell r="S15" t="str">
            <v>Xã Mai Pha</v>
          </cell>
          <cell r="T15" t="str">
            <v>Thành phố Lạng Sơn</v>
          </cell>
          <cell r="U15" t="str">
            <v>Tỉnh Lạng Sơn</v>
          </cell>
          <cell r="V15" t="str">
            <v>Xã Mai Pha, Thành phố Lạng Sơn, Tỉnh Lạng Sơn</v>
          </cell>
          <cell r="W15" t="str">
            <v>01/12/2008</v>
          </cell>
          <cell r="AA15" t="e">
            <v>#N/A</v>
          </cell>
          <cell r="AB15" t="e">
            <v>#N/A</v>
          </cell>
          <cell r="AC15" t="e">
            <v>#N/A</v>
          </cell>
          <cell r="AD15" t="e">
            <v>#N/A</v>
          </cell>
          <cell r="AE15" t="e">
            <v>#N/A</v>
          </cell>
          <cell r="AF15" t="str">
            <v>V.08.05.12</v>
          </cell>
          <cell r="AG15" t="e">
            <v>#N/A</v>
          </cell>
          <cell r="AH15">
            <v>3.66</v>
          </cell>
          <cell r="AI15">
            <v>5</v>
          </cell>
          <cell r="AJ15">
            <v>0</v>
          </cell>
          <cell r="AK15">
            <v>45383</v>
          </cell>
          <cell r="AL15" t="str">
            <v>Đại học</v>
          </cell>
          <cell r="AM15" t="e">
            <v>#N/A</v>
          </cell>
          <cell r="AO15" t="str">
            <v>Trung học Y tế Lạng Sơn</v>
          </cell>
          <cell r="AP15">
            <v>2004</v>
          </cell>
          <cell r="AQ15" t="str">
            <v>12/12</v>
          </cell>
          <cell r="AR15">
            <v>0</v>
          </cell>
          <cell r="AS15">
            <v>0</v>
          </cell>
          <cell r="AT15">
            <v>0</v>
          </cell>
          <cell r="AU15" t="str">
            <v>Anh A2</v>
          </cell>
          <cell r="AV15" t="str">
            <v>Tày</v>
          </cell>
          <cell r="AW15" t="str">
            <v>Cơ bản</v>
          </cell>
          <cell r="AY15" t="str">
            <v>Tày</v>
          </cell>
          <cell r="BA15" t="e">
            <v>#REF!</v>
          </cell>
          <cell r="BB15" t="e">
            <v>#REF!</v>
          </cell>
        </row>
        <row r="16">
          <cell r="A16" t="str">
            <v>BV0170</v>
          </cell>
          <cell r="B16">
            <v>10</v>
          </cell>
          <cell r="C16" t="str">
            <v>Trần Thị Hải Yến</v>
          </cell>
          <cell r="D16" t="str">
            <v>BV0170</v>
          </cell>
          <cell r="E16">
            <v>2009000274</v>
          </cell>
          <cell r="G16" t="str">
            <v>20186009334
ngày cấp 27/06/2021, nơi cấp: Cục cảnh sát quản lý hành chính và trật tự xã hội</v>
          </cell>
          <cell r="I16">
            <v>31476</v>
          </cell>
          <cell r="J16">
            <v>40</v>
          </cell>
          <cell r="K16" t="str">
            <v>082006037</v>
          </cell>
          <cell r="L16" t="str">
            <v>09/09/2003</v>
          </cell>
          <cell r="M16" t="str">
            <v>CA tỉnh Lạng Sơn</v>
          </cell>
          <cell r="O16" t="str">
            <v>Xã Đồng Bục</v>
          </cell>
          <cell r="P16" t="str">
            <v>Huyện Lộc Bình</v>
          </cell>
          <cell r="Q16" t="str">
            <v>Tỉnh Lạng Sơn</v>
          </cell>
          <cell r="R16" t="str">
            <v>58 Khu Lao Động</v>
          </cell>
          <cell r="S16" t="str">
            <v>Thị trấn Lộc Bình</v>
          </cell>
          <cell r="T16" t="str">
            <v>Huyện Lộc Bình</v>
          </cell>
          <cell r="U16" t="str">
            <v>Tỉnh Lạng Sơn</v>
          </cell>
          <cell r="V16" t="str">
            <v>Thị trấn Lộc Bình, Huyện Lộc Bình, Tỉnh Lạng Sơn</v>
          </cell>
          <cell r="W16" t="str">
            <v>25/12/2008</v>
          </cell>
          <cell r="AA16">
            <v>0</v>
          </cell>
          <cell r="AB16" t="str">
            <v>TĐ012</v>
          </cell>
          <cell r="AC16" t="str">
            <v>Khám bệnh</v>
          </cell>
          <cell r="AD16" t="str">
            <v>KP001</v>
          </cell>
          <cell r="AE16" t="str">
            <v>Viên chức</v>
          </cell>
          <cell r="AF16" t="str">
            <v>V.08.05.13</v>
          </cell>
          <cell r="AG16" t="str">
            <v>Điều dưỡng (hạng IV)</v>
          </cell>
          <cell r="AH16">
            <v>3.65</v>
          </cell>
          <cell r="AI16">
            <v>6</v>
          </cell>
          <cell r="AJ16">
            <v>0</v>
          </cell>
          <cell r="AK16">
            <v>45839</v>
          </cell>
          <cell r="AL16" t="str">
            <v>Cao đẳng</v>
          </cell>
          <cell r="AM16" t="str">
            <v>Điều dưỡng CĐ</v>
          </cell>
          <cell r="AO16" t="str">
            <v>Cao đẳng Y tế Lạng Sơn</v>
          </cell>
          <cell r="AQ16" t="str">
            <v>12/14</v>
          </cell>
          <cell r="AR16">
            <v>0</v>
          </cell>
          <cell r="AS16">
            <v>0</v>
          </cell>
          <cell r="AT16">
            <v>0</v>
          </cell>
          <cell r="AU16" t="str">
            <v>TOEFL</v>
          </cell>
          <cell r="AV16">
            <v>0</v>
          </cell>
          <cell r="AW16" t="str">
            <v>Cơ bản</v>
          </cell>
          <cell r="AY16" t="str">
            <v>Nùng</v>
          </cell>
          <cell r="BA16" t="e">
            <v>#REF!</v>
          </cell>
          <cell r="BB16" t="e">
            <v>#REF!</v>
          </cell>
        </row>
        <row r="17">
          <cell r="A17" t="str">
            <v>BV0037</v>
          </cell>
          <cell r="B17">
            <v>11</v>
          </cell>
          <cell r="C17" t="str">
            <v>Triệu Thị Thảo</v>
          </cell>
          <cell r="D17" t="str">
            <v>BV0037</v>
          </cell>
          <cell r="E17">
            <v>2009000931</v>
          </cell>
          <cell r="G17" t="str">
            <v>020186002926
ngày cấp 24/04/2021, nơi cấp: Cục cảnh sát quản lý hành chính và trật tự xã hội</v>
          </cell>
          <cell r="I17">
            <v>31417</v>
          </cell>
          <cell r="J17" t="str">
            <v>Đang công tác tại Nội Thận</v>
          </cell>
          <cell r="K17" t="str">
            <v>081008349</v>
          </cell>
          <cell r="L17" t="str">
            <v>23/07/2012</v>
          </cell>
          <cell r="M17" t="str">
            <v>CA tỉnh Lạng Sơn</v>
          </cell>
          <cell r="N17" t="str">
            <v>Xã Chi Lăng, huyện Tràng Định, tỉnh Lạng Sơn</v>
          </cell>
          <cell r="O17" t="str">
            <v>Xã Chi Lăng</v>
          </cell>
          <cell r="P17" t="str">
            <v>Huyện Tràng Định</v>
          </cell>
          <cell r="Q17" t="str">
            <v>Tỉnh Lạng Sơn</v>
          </cell>
          <cell r="S17" t="str">
            <v>Xã Chi Lăng</v>
          </cell>
          <cell r="T17" t="str">
            <v>Huyện Tràng Định</v>
          </cell>
          <cell r="U17" t="str">
            <v>Tỉnh Lạng Sơn</v>
          </cell>
          <cell r="V17" t="str">
            <v>Xã Chi Lăng, Huyện Tràng Định, Tỉnh Lạng Sơn</v>
          </cell>
          <cell r="W17" t="str">
            <v>1/12/2008</v>
          </cell>
          <cell r="AA17">
            <v>0</v>
          </cell>
          <cell r="AB17" t="str">
            <v>TĐ036</v>
          </cell>
          <cell r="AC17" t="str">
            <v>CTXH</v>
          </cell>
          <cell r="AD17" t="str">
            <v>KP043</v>
          </cell>
          <cell r="AE17" t="str">
            <v>Viên chức</v>
          </cell>
          <cell r="AF17" t="str">
            <v>V.08.05.13</v>
          </cell>
          <cell r="AG17" t="str">
            <v>Y tế công cộng (hạng III)</v>
          </cell>
          <cell r="AH17">
            <v>3.33</v>
          </cell>
          <cell r="AI17">
            <v>4</v>
          </cell>
          <cell r="AJ17">
            <v>0</v>
          </cell>
          <cell r="AK17">
            <v>45352</v>
          </cell>
          <cell r="AL17" t="str">
            <v>Trung cấp</v>
          </cell>
          <cell r="AM17" t="str">
            <v>YTCC</v>
          </cell>
          <cell r="AO17" t="str">
            <v>Cao đẳng Y tế Lạng Sơn</v>
          </cell>
          <cell r="AP17">
            <v>2007</v>
          </cell>
          <cell r="AQ17" t="str">
            <v>12/12</v>
          </cell>
          <cell r="AR17">
            <v>0</v>
          </cell>
          <cell r="AS17">
            <v>0</v>
          </cell>
          <cell r="AT17">
            <v>0</v>
          </cell>
          <cell r="AU17">
            <v>0</v>
          </cell>
          <cell r="AV17" t="str">
            <v>Tày</v>
          </cell>
          <cell r="AW17" t="str">
            <v>B</v>
          </cell>
          <cell r="AY17" t="str">
            <v>Nùng</v>
          </cell>
          <cell r="BA17" t="e">
            <v>#REF!</v>
          </cell>
          <cell r="BB17" t="e">
            <v>#REF!</v>
          </cell>
          <cell r="BC17" t="str">
            <v>24/06/2013</v>
          </cell>
        </row>
        <row r="18">
          <cell r="A18" t="str">
            <v>BV0012</v>
          </cell>
          <cell r="B18">
            <v>12</v>
          </cell>
          <cell r="C18" t="str">
            <v>Trần Bích Phương</v>
          </cell>
          <cell r="D18" t="str">
            <v>BV0012</v>
          </cell>
          <cell r="E18">
            <v>2010003182</v>
          </cell>
          <cell r="G18" t="str">
            <v>020188003360
ngày cấp 24/04/2021, nơi cấp: Cục cảnh sát quản lý hành chính và trật tự xã hội</v>
          </cell>
          <cell r="I18">
            <v>32291</v>
          </cell>
          <cell r="J18">
            <v>38</v>
          </cell>
          <cell r="K18" t="str">
            <v>082077511</v>
          </cell>
          <cell r="L18" t="str">
            <v>14/06/2006</v>
          </cell>
          <cell r="M18" t="str">
            <v>CA tỉnh Lạng Sơn</v>
          </cell>
          <cell r="N18" t="str">
            <v>UBND phường Vĩnh Trại, TP. Lạng Sơn</v>
          </cell>
          <cell r="O18" t="str">
            <v>Xã Mai Pha</v>
          </cell>
          <cell r="P18" t="str">
            <v>Thành phố Lạng Sơn</v>
          </cell>
          <cell r="Q18" t="str">
            <v>Tỉnh Lạng Sơn</v>
          </cell>
          <cell r="S18" t="str">
            <v>Xã Mai Pha</v>
          </cell>
          <cell r="T18" t="str">
            <v>Thành phố Lạng Sơn</v>
          </cell>
          <cell r="U18" t="str">
            <v>Tỉnh Lạng Sơn</v>
          </cell>
          <cell r="V18" t="str">
            <v>Xã Mai Pha, Thành phố Lạng Sơn, Tỉnh Lạng Sơn</v>
          </cell>
          <cell r="W18" t="str">
            <v>05/6/2013</v>
          </cell>
          <cell r="AA18">
            <v>0</v>
          </cell>
          <cell r="AB18" t="str">
            <v>TĐ012</v>
          </cell>
          <cell r="AC18" t="str">
            <v>Khám bệnh</v>
          </cell>
          <cell r="AD18" t="str">
            <v>KP001</v>
          </cell>
          <cell r="AE18" t="str">
            <v>Viên chức</v>
          </cell>
          <cell r="AF18" t="str">
            <v>V.08.05.13</v>
          </cell>
          <cell r="AG18" t="str">
            <v>Điều dưỡng (hạng IV)</v>
          </cell>
          <cell r="AH18">
            <v>3.03</v>
          </cell>
          <cell r="AI18">
            <v>4</v>
          </cell>
          <cell r="AJ18">
            <v>0</v>
          </cell>
          <cell r="AK18">
            <v>45270</v>
          </cell>
          <cell r="AL18" t="str">
            <v>Cao đẳng</v>
          </cell>
          <cell r="AM18" t="str">
            <v>Điều dưỡng CĐ</v>
          </cell>
          <cell r="AO18" t="str">
            <v>Cao đẳng Y tế Lạng Sơn</v>
          </cell>
          <cell r="AP18">
            <v>2008</v>
          </cell>
          <cell r="AQ18" t="str">
            <v>12/12</v>
          </cell>
          <cell r="AR18">
            <v>0</v>
          </cell>
          <cell r="AS18">
            <v>0</v>
          </cell>
          <cell r="AT18">
            <v>0</v>
          </cell>
          <cell r="AU18" t="str">
            <v>X</v>
          </cell>
          <cell r="AV18">
            <v>0</v>
          </cell>
          <cell r="AW18" t="str">
            <v>X</v>
          </cell>
          <cell r="AY18" t="str">
            <v>Kinh</v>
          </cell>
          <cell r="AZ18">
            <v>41128</v>
          </cell>
          <cell r="BA18" t="e">
            <v>#REF!</v>
          </cell>
          <cell r="BB18" t="e">
            <v>#REF!</v>
          </cell>
          <cell r="BC18" t="str">
            <v>18/07/2016</v>
          </cell>
        </row>
        <row r="19">
          <cell r="A19" t="str">
            <v>BV0013</v>
          </cell>
          <cell r="B19">
            <v>13</v>
          </cell>
          <cell r="C19" t="str">
            <v>Trương Mai Phương</v>
          </cell>
          <cell r="D19" t="str">
            <v>BV0013</v>
          </cell>
          <cell r="E19">
            <v>2013002121</v>
          </cell>
          <cell r="G19" t="str">
            <v>020190002769
ngày cấp 20/04/2021, nơi cấp: Cục cảnh sát quản lý hành chính và trật tự xã hội</v>
          </cell>
          <cell r="I19">
            <v>32921</v>
          </cell>
          <cell r="J19">
            <v>36</v>
          </cell>
          <cell r="K19" t="str">
            <v>082091647</v>
          </cell>
          <cell r="L19" t="str">
            <v>27/09/2006</v>
          </cell>
          <cell r="M19" t="str">
            <v>CA tỉnh Lạng Sơn</v>
          </cell>
          <cell r="O19" t="str">
            <v>Phường Tam Thanh</v>
          </cell>
          <cell r="P19" t="str">
            <v>Thành phố Lạng Sơn</v>
          </cell>
          <cell r="Q19" t="str">
            <v>Tỉnh Lạng Sơn</v>
          </cell>
          <cell r="S19" t="str">
            <v>Phường Tam Thanh</v>
          </cell>
          <cell r="T19" t="str">
            <v>Thành phố Lạng Sơn</v>
          </cell>
          <cell r="U19" t="str">
            <v>Tỉnh Lạng Sơn</v>
          </cell>
          <cell r="V19" t="str">
            <v>Phường Tam Thanh, Thành phố Lạng Sơn, Tỉnh Lạng Sơn</v>
          </cell>
          <cell r="W19" t="str">
            <v>5/6/2013</v>
          </cell>
          <cell r="AA19">
            <v>0</v>
          </cell>
          <cell r="AB19" t="str">
            <v>TĐ012</v>
          </cell>
          <cell r="AC19" t="str">
            <v>Khám bệnh</v>
          </cell>
          <cell r="AD19" t="str">
            <v>KP001</v>
          </cell>
          <cell r="AE19" t="str">
            <v>Viên chức</v>
          </cell>
          <cell r="AF19" t="str">
            <v>V.08.05.13</v>
          </cell>
          <cell r="AG19" t="str">
            <v>Điều dưỡng (hạng IV)</v>
          </cell>
          <cell r="AH19">
            <v>3.03</v>
          </cell>
          <cell r="AI19">
            <v>4</v>
          </cell>
          <cell r="AJ19">
            <v>0</v>
          </cell>
          <cell r="AK19">
            <v>45453</v>
          </cell>
          <cell r="AL19" t="str">
            <v>Cao đẳng</v>
          </cell>
          <cell r="AM19" t="str">
            <v>Điều dưỡng CĐ</v>
          </cell>
          <cell r="AO19" t="str">
            <v>Cao đẳng Y tế Lạng Sơn</v>
          </cell>
          <cell r="AP19">
            <v>2011</v>
          </cell>
          <cell r="AQ19" t="str">
            <v>12/12</v>
          </cell>
          <cell r="AR19">
            <v>0</v>
          </cell>
          <cell r="AS19">
            <v>0</v>
          </cell>
          <cell r="AT19">
            <v>0</v>
          </cell>
          <cell r="AU19" t="str">
            <v>Anh B</v>
          </cell>
          <cell r="AV19">
            <v>0</v>
          </cell>
          <cell r="AW19" t="str">
            <v>Cơ bản</v>
          </cell>
          <cell r="AY19" t="str">
            <v>Tày</v>
          </cell>
          <cell r="BA19" t="e">
            <v>#REF!</v>
          </cell>
          <cell r="BB19" t="e">
            <v>#REF!</v>
          </cell>
          <cell r="BC19" t="str">
            <v>24/06/2013</v>
          </cell>
        </row>
        <row r="20">
          <cell r="A20" t="str">
            <v>BV0016</v>
          </cell>
          <cell r="B20">
            <v>14</v>
          </cell>
          <cell r="C20" t="str">
            <v>Hoàng Thị Cả</v>
          </cell>
          <cell r="D20" t="str">
            <v>BV0016</v>
          </cell>
          <cell r="E20">
            <v>1598025093</v>
          </cell>
          <cell r="G20" t="str">
            <v>020170001210
ngày cấp 11/04/2021, nơi cấp: Cục cảnh sát quản lý hành chính và trật tự xã hội</v>
          </cell>
          <cell r="I20">
            <v>25895</v>
          </cell>
          <cell r="J20">
            <v>55</v>
          </cell>
          <cell r="K20" t="str">
            <v>080923338</v>
          </cell>
          <cell r="L20" t="str">
            <v>11/07/1970</v>
          </cell>
          <cell r="M20" t="str">
            <v>CA tỉnh Lạng Sơn</v>
          </cell>
          <cell r="N20" t="str">
            <v>Xã Hoàng Đồng, TP. Lạng Sơn</v>
          </cell>
          <cell r="O20" t="str">
            <v>Xã Hoàng Đồng</v>
          </cell>
          <cell r="P20" t="str">
            <v>Thành phố Lạng Sơn</v>
          </cell>
          <cell r="Q20" t="str">
            <v>Tỉnh Lạng Sơn</v>
          </cell>
          <cell r="S20" t="str">
            <v>Xã Hoàng Đồng</v>
          </cell>
          <cell r="T20" t="str">
            <v>Thành phố Lạng Sơn</v>
          </cell>
          <cell r="U20" t="str">
            <v>Tỉnh Lạng Sơn</v>
          </cell>
          <cell r="V20" t="str">
            <v>Xã Hoàng Đồng, Thành phố Lạng Sơn, Tỉnh Lạng Sơn</v>
          </cell>
          <cell r="W20" t="str">
            <v>19/1/2005</v>
          </cell>
          <cell r="AA20">
            <v>0</v>
          </cell>
          <cell r="AB20" t="str">
            <v>TĐ013</v>
          </cell>
          <cell r="AC20" t="str">
            <v>Khám bệnh</v>
          </cell>
          <cell r="AD20" t="str">
            <v>KP001</v>
          </cell>
          <cell r="AE20" t="str">
            <v>Viên chức</v>
          </cell>
          <cell r="AF20" t="str">
            <v>V.08.05.13</v>
          </cell>
          <cell r="AG20" t="str">
            <v>Điều dưỡng (hạng IV)</v>
          </cell>
          <cell r="AH20">
            <v>3.86</v>
          </cell>
          <cell r="AI20">
            <v>11</v>
          </cell>
          <cell r="AJ20">
            <v>0</v>
          </cell>
          <cell r="AK20">
            <v>45505</v>
          </cell>
          <cell r="AL20" t="str">
            <v>Trung cấp</v>
          </cell>
          <cell r="AM20" t="str">
            <v>Điều dưỡng TC</v>
          </cell>
          <cell r="AO20" t="str">
            <v>Cao đẳng Y tế Lạng Sơn</v>
          </cell>
          <cell r="AP20">
            <v>1996</v>
          </cell>
          <cell r="AQ20" t="str">
            <v>12/12</v>
          </cell>
          <cell r="AR20">
            <v>0</v>
          </cell>
          <cell r="AS20">
            <v>0</v>
          </cell>
          <cell r="AT20">
            <v>0</v>
          </cell>
          <cell r="AU20">
            <v>0</v>
          </cell>
          <cell r="AV20">
            <v>0</v>
          </cell>
          <cell r="AW20" t="str">
            <v>A</v>
          </cell>
          <cell r="AY20" t="str">
            <v>Tày</v>
          </cell>
          <cell r="BA20" t="e">
            <v>#REF!</v>
          </cell>
          <cell r="BB20" t="e">
            <v>#REF!</v>
          </cell>
        </row>
        <row r="21">
          <cell r="A21" t="str">
            <v>BV0028</v>
          </cell>
          <cell r="B21">
            <v>15</v>
          </cell>
          <cell r="C21" t="str">
            <v>Hoàng Văn Thiện</v>
          </cell>
          <cell r="D21" t="str">
            <v>BV0028</v>
          </cell>
          <cell r="E21">
            <v>2011000007</v>
          </cell>
          <cell r="G21" t="str">
            <v>020083002540
ngày cấp 29/04/2021, nơi cấp: Cục cảnh sát quản lý hành chính và trật tự xã hội</v>
          </cell>
          <cell r="H21">
            <v>30447</v>
          </cell>
          <cell r="J21">
            <v>43</v>
          </cell>
          <cell r="K21" t="str">
            <v>081016798</v>
          </cell>
          <cell r="L21" t="str">
            <v>12/03/2003</v>
          </cell>
          <cell r="M21" t="str">
            <v>CA tỉnh Lạng Sơn</v>
          </cell>
          <cell r="O21" t="str">
            <v>Chi Lăng</v>
          </cell>
          <cell r="P21" t="str">
            <v>Huyện Chi Lăng</v>
          </cell>
          <cell r="Q21" t="str">
            <v>Tỉnh Lạng Sơn</v>
          </cell>
          <cell r="S21" t="str">
            <v>Làng Ngữa</v>
          </cell>
          <cell r="T21" t="str">
            <v>Huyện Chi Lăng</v>
          </cell>
          <cell r="U21" t="str">
            <v>Tỉnh Lạng Sơn</v>
          </cell>
          <cell r="V21" t="str">
            <v>Làng Ngữa, Huyện Chi Lăng, Tỉnh Lạng Sơn</v>
          </cell>
          <cell r="W21" t="str">
            <v>1/12/2010</v>
          </cell>
          <cell r="AA21">
            <v>0</v>
          </cell>
          <cell r="AB21" t="str">
            <v>TĐ012</v>
          </cell>
          <cell r="AC21" t="str">
            <v>Ngoại Thận - Tiết niệu</v>
          </cell>
          <cell r="AD21" t="str">
            <v>KP012</v>
          </cell>
          <cell r="AE21" t="str">
            <v>Viên chức</v>
          </cell>
          <cell r="AF21" t="str">
            <v>V.08.05.13</v>
          </cell>
          <cell r="AG21" t="str">
            <v>Điều dưỡng (hạng IV)</v>
          </cell>
          <cell r="AH21">
            <v>3.34</v>
          </cell>
          <cell r="AI21">
            <v>5</v>
          </cell>
          <cell r="AJ21">
            <v>0</v>
          </cell>
          <cell r="AK21">
            <v>44927</v>
          </cell>
          <cell r="AL21" t="str">
            <v>Cao đẳng</v>
          </cell>
          <cell r="AM21" t="str">
            <v>Điều dưỡng CĐ</v>
          </cell>
          <cell r="AO21" t="str">
            <v>Cao đẳng Y tế Lạng Sơn</v>
          </cell>
          <cell r="AP21">
            <v>2007</v>
          </cell>
          <cell r="AQ21" t="str">
            <v>12/12</v>
          </cell>
          <cell r="AR21">
            <v>0</v>
          </cell>
          <cell r="AS21">
            <v>0</v>
          </cell>
          <cell r="AT21">
            <v>0</v>
          </cell>
          <cell r="AU21" t="str">
            <v>Anh B</v>
          </cell>
          <cell r="AV21">
            <v>0</v>
          </cell>
          <cell r="AW21" t="str">
            <v>B</v>
          </cell>
          <cell r="AY21" t="str">
            <v>Tày</v>
          </cell>
          <cell r="AZ21">
            <v>43222</v>
          </cell>
          <cell r="BA21" t="e">
            <v>#REF!</v>
          </cell>
          <cell r="BB21" t="e">
            <v>#REF!</v>
          </cell>
          <cell r="BC21" t="str">
            <v>24/06/2013</v>
          </cell>
        </row>
        <row r="22">
          <cell r="A22" t="str">
            <v>BV0031</v>
          </cell>
          <cell r="B22">
            <v>16</v>
          </cell>
          <cell r="C22" t="str">
            <v>Trần Thị Liễu Thúy</v>
          </cell>
          <cell r="D22" t="str">
            <v>BV0031</v>
          </cell>
          <cell r="E22">
            <v>2010000172</v>
          </cell>
          <cell r="G22" t="str">
            <v>020186000205
ngày cấp 13/11/2021, nơi cấp: Cục cảnh sát quản lý hành chính và trật tự xã hội</v>
          </cell>
          <cell r="I22">
            <v>31628</v>
          </cell>
          <cell r="J22">
            <v>39</v>
          </cell>
          <cell r="K22" t="str">
            <v>080827319</v>
          </cell>
          <cell r="L22" t="str">
            <v>11/06/2003</v>
          </cell>
          <cell r="M22" t="str">
            <v>CA tỉnh Lạng Sơn</v>
          </cell>
          <cell r="O22" t="str">
            <v>Thị trấn Đình Lập</v>
          </cell>
          <cell r="P22" t="str">
            <v>Huyện Đình Lập</v>
          </cell>
          <cell r="Q22" t="str">
            <v>Tỉnh Lạng Sơn</v>
          </cell>
          <cell r="R22" t="str">
            <v>Khu 7</v>
          </cell>
          <cell r="S22" t="str">
            <v>Tam Quang</v>
          </cell>
          <cell r="T22" t="str">
            <v>Huyện Vũ Thư</v>
          </cell>
          <cell r="U22" t="str">
            <v>Tỉnh Thái Bình</v>
          </cell>
          <cell r="V22" t="str">
            <v>Tam Quang, Huyện Vũ Thư, Tỉnh Thái Bình</v>
          </cell>
          <cell r="W22" t="str">
            <v>15/1/2010</v>
          </cell>
          <cell r="AA22">
            <v>0</v>
          </cell>
          <cell r="AB22" t="str">
            <v>TĐ012</v>
          </cell>
          <cell r="AC22" t="str">
            <v>Khám bệnh</v>
          </cell>
          <cell r="AD22" t="str">
            <v>KP001</v>
          </cell>
          <cell r="AE22" t="str">
            <v>Viên chức</v>
          </cell>
          <cell r="AF22" t="str">
            <v>V.08.05.13</v>
          </cell>
          <cell r="AG22" t="str">
            <v>Điều dưỡng (hạng IV)</v>
          </cell>
          <cell r="AH22">
            <v>3.34</v>
          </cell>
          <cell r="AI22">
            <v>5</v>
          </cell>
          <cell r="AJ22">
            <v>0</v>
          </cell>
          <cell r="AK22">
            <v>44927</v>
          </cell>
          <cell r="AL22" t="str">
            <v>Cao đẳng</v>
          </cell>
          <cell r="AM22" t="str">
            <v>Điều dưỡng CĐ</v>
          </cell>
          <cell r="AO22" t="str">
            <v>Cao đẳng Y tế Lạng Sơn</v>
          </cell>
          <cell r="AP22">
            <v>2008</v>
          </cell>
          <cell r="AQ22" t="str">
            <v>12/12</v>
          </cell>
          <cell r="AR22">
            <v>0</v>
          </cell>
          <cell r="AS22">
            <v>0</v>
          </cell>
          <cell r="AT22">
            <v>0</v>
          </cell>
          <cell r="AU22" t="str">
            <v>Anh B</v>
          </cell>
          <cell r="AV22">
            <v>0</v>
          </cell>
          <cell r="AW22" t="str">
            <v>B</v>
          </cell>
          <cell r="AY22" t="str">
            <v>Kinh</v>
          </cell>
          <cell r="BA22" t="e">
            <v>#REF!</v>
          </cell>
          <cell r="BB22" t="e">
            <v>#REF!</v>
          </cell>
          <cell r="BC22" t="str">
            <v>24/06/2013</v>
          </cell>
        </row>
        <row r="23">
          <cell r="A23" t="str">
            <v>BV0038</v>
          </cell>
          <cell r="B23">
            <v>17</v>
          </cell>
          <cell r="C23" t="str">
            <v>Đàm Thúy Ngân</v>
          </cell>
          <cell r="D23" t="str">
            <v>BV0038</v>
          </cell>
          <cell r="E23">
            <v>2011004061</v>
          </cell>
          <cell r="G23" t="str">
            <v>020190008097
ngày cấp 24/06/2021, nơi cấp: Cục cảnh sát quản lý hành chính và trật tự xã hội</v>
          </cell>
          <cell r="I23">
            <v>32936</v>
          </cell>
          <cell r="J23">
            <v>36</v>
          </cell>
          <cell r="K23" t="str">
            <v>082062470</v>
          </cell>
          <cell r="L23" t="str">
            <v>15/12/2005</v>
          </cell>
          <cell r="M23" t="str">
            <v>CA tỉnh Lạng Sơn</v>
          </cell>
          <cell r="N23" t="str">
            <v>UBND Thị trấn Thất Khê, huyện Thất Khê, tỉnh Lạng Sơn</v>
          </cell>
          <cell r="O23" t="str">
            <v>Thị trấn Thất Khê</v>
          </cell>
          <cell r="P23" t="str">
            <v>Huyện Tràng Định</v>
          </cell>
          <cell r="Q23" t="str">
            <v>Tỉnh Lạng Sơn</v>
          </cell>
          <cell r="S23" t="str">
            <v>Thị trấn Thất Khê</v>
          </cell>
          <cell r="T23" t="str">
            <v>Huyện Tràng Định</v>
          </cell>
          <cell r="U23" t="str">
            <v>Tỉnh Lạng Sơn</v>
          </cell>
          <cell r="V23" t="str">
            <v>Thị trấn Thất Khê, Huyện Tràng Định, Tỉnh Lạng Sơn</v>
          </cell>
          <cell r="W23" t="str">
            <v>5/6/2013</v>
          </cell>
          <cell r="AA23">
            <v>0</v>
          </cell>
          <cell r="AB23" t="str">
            <v>TĐ012</v>
          </cell>
          <cell r="AC23" t="str">
            <v>Khám bệnh</v>
          </cell>
          <cell r="AD23" t="str">
            <v>KP001</v>
          </cell>
          <cell r="AE23" t="str">
            <v>Viên chức</v>
          </cell>
          <cell r="AF23" t="str">
            <v>V.08.05.13</v>
          </cell>
          <cell r="AG23" t="str">
            <v>Điều dưỡng (hạng IV)</v>
          </cell>
          <cell r="AH23">
            <v>3.03</v>
          </cell>
          <cell r="AI23">
            <v>4</v>
          </cell>
          <cell r="AJ23">
            <v>0</v>
          </cell>
          <cell r="AK23">
            <v>45261</v>
          </cell>
          <cell r="AL23" t="str">
            <v>Cao đẳng</v>
          </cell>
          <cell r="AM23" t="str">
            <v>Điều dưỡng CĐ</v>
          </cell>
          <cell r="AO23" t="str">
            <v>Cao đẳng Y tế Lạng Sơn</v>
          </cell>
          <cell r="AP23">
            <v>2010</v>
          </cell>
          <cell r="AQ23" t="str">
            <v>12/12</v>
          </cell>
          <cell r="AR23">
            <v>0</v>
          </cell>
          <cell r="AS23">
            <v>0</v>
          </cell>
          <cell r="AT23">
            <v>0</v>
          </cell>
          <cell r="AU23" t="str">
            <v>TOEIC</v>
          </cell>
          <cell r="AV23">
            <v>0</v>
          </cell>
          <cell r="AW23" t="str">
            <v>Cơ bản</v>
          </cell>
          <cell r="AY23" t="str">
            <v>Nùng</v>
          </cell>
          <cell r="BA23" t="e">
            <v>#REF!</v>
          </cell>
          <cell r="BB23" t="e">
            <v>#REF!</v>
          </cell>
          <cell r="BC23" t="str">
            <v>24/06/2013</v>
          </cell>
        </row>
        <row r="24">
          <cell r="A24" t="str">
            <v>BV0201</v>
          </cell>
          <cell r="B24">
            <v>18</v>
          </cell>
          <cell r="C24" t="str">
            <v>Trần Thị Hoàng Anh</v>
          </cell>
          <cell r="D24" t="str">
            <v>BV0201</v>
          </cell>
          <cell r="E24">
            <v>2014002798</v>
          </cell>
          <cell r="G24" t="str">
            <v>020193002204
ngày cấp 29/04/2021, nơi cấp: Cục cảnh sát quản lý hành chính và trật tự xã hội</v>
          </cell>
          <cell r="I24">
            <v>34191</v>
          </cell>
          <cell r="J24">
            <v>32</v>
          </cell>
          <cell r="K24" t="str">
            <v>082250001</v>
          </cell>
          <cell r="L24" t="str">
            <v>02/11/2010</v>
          </cell>
          <cell r="M24" t="str">
            <v>CA tỉnh Lạng Sơn</v>
          </cell>
          <cell r="O24" t="str">
            <v>Phường Chi Lăng</v>
          </cell>
          <cell r="P24" t="str">
            <v>Thành phố Lạng Sơn</v>
          </cell>
          <cell r="Q24" t="str">
            <v>Tỉnh Lạng Sơn</v>
          </cell>
          <cell r="S24" t="str">
            <v>Phường Chi Lăng</v>
          </cell>
          <cell r="T24" t="str">
            <v>Thành phố Lạng Sơn</v>
          </cell>
          <cell r="U24" t="str">
            <v>Tỉnh Lạng Sơn</v>
          </cell>
          <cell r="V24" t="str">
            <v>Phường Chi Lăng, Thành phố Lạng Sơn, Tỉnh Lạng Sơn</v>
          </cell>
          <cell r="W24" t="str">
            <v>01/11/2014</v>
          </cell>
          <cell r="AA24">
            <v>0</v>
          </cell>
          <cell r="AB24" t="str">
            <v>TĐ011</v>
          </cell>
          <cell r="AC24" t="str">
            <v>Khám bệnh</v>
          </cell>
          <cell r="AD24" t="str">
            <v>KP001</v>
          </cell>
          <cell r="AE24" t="str">
            <v>Viên chức</v>
          </cell>
          <cell r="AF24" t="str">
            <v>V.08.05.12</v>
          </cell>
          <cell r="AG24" t="str">
            <v>Điều dưỡng (hạng III)</v>
          </cell>
          <cell r="AH24">
            <v>3.33</v>
          </cell>
          <cell r="AI24">
            <v>4</v>
          </cell>
          <cell r="AJ24">
            <v>0</v>
          </cell>
          <cell r="AK24">
            <v>45839</v>
          </cell>
          <cell r="AL24" t="str">
            <v>Đại học</v>
          </cell>
          <cell r="AM24" t="str">
            <v>Điều dưỡng ĐH</v>
          </cell>
          <cell r="AO24" t="str">
            <v>Cao đẳng Y tế Lạng Sơn</v>
          </cell>
          <cell r="AQ24" t="str">
            <v>12/13</v>
          </cell>
          <cell r="AR24">
            <v>0</v>
          </cell>
          <cell r="AS24">
            <v>0</v>
          </cell>
          <cell r="AT24">
            <v>0</v>
          </cell>
          <cell r="AU24" t="str">
            <v>TOEIC</v>
          </cell>
          <cell r="AV24">
            <v>0</v>
          </cell>
          <cell r="AW24" t="str">
            <v>Cơ bản</v>
          </cell>
          <cell r="AY24" t="str">
            <v>Tày</v>
          </cell>
          <cell r="BA24" t="e">
            <v>#REF!</v>
          </cell>
          <cell r="BB24" t="e">
            <v>#REF!</v>
          </cell>
          <cell r="BC24" t="str">
            <v>24/06/2013</v>
          </cell>
        </row>
        <row r="25">
          <cell r="A25" t="str">
            <v>BV0431</v>
          </cell>
          <cell r="B25">
            <v>19</v>
          </cell>
          <cell r="C25" t="str">
            <v>Liễu Kim Hoa</v>
          </cell>
          <cell r="D25" t="str">
            <v>BV0431</v>
          </cell>
          <cell r="E25">
            <v>1504001666</v>
          </cell>
          <cell r="G25" t="str">
            <v>081062116
ngày cấp 09/05/2021, nơi cấp: Cục cảnh sát quản lý hành chính và trật tự xã hội</v>
          </cell>
          <cell r="I25">
            <v>28231</v>
          </cell>
          <cell r="J25">
            <v>49</v>
          </cell>
          <cell r="K25" t="str">
            <v>081062116</v>
          </cell>
          <cell r="L25" t="str">
            <v>18/01/2013</v>
          </cell>
          <cell r="M25" t="str">
            <v>CA tỉnh Lạng Sơn</v>
          </cell>
          <cell r="P25" t="str">
            <v>Huyện Văn Quan</v>
          </cell>
          <cell r="Q25" t="str">
            <v>Tỉnh Lạng Sơn</v>
          </cell>
          <cell r="S25" t="str">
            <v>Phường Vĩnh Trại</v>
          </cell>
          <cell r="T25" t="str">
            <v>Thành phố Lạng Sơn</v>
          </cell>
          <cell r="U25" t="str">
            <v>Tỉnh Lạng Sơn</v>
          </cell>
          <cell r="V25" t="str">
            <v>Phường Vĩnh Trại, Thành phố Lạng Sơn, Tỉnh Lạng Sơn</v>
          </cell>
          <cell r="W25" t="str">
            <v>23/7/2003</v>
          </cell>
          <cell r="AA25">
            <v>0</v>
          </cell>
          <cell r="AB25" t="str">
            <v>TĐ012</v>
          </cell>
          <cell r="AC25" t="str">
            <v>Khám bệnh</v>
          </cell>
          <cell r="AD25" t="str">
            <v>KP001</v>
          </cell>
          <cell r="AE25" t="str">
            <v>Viên chức</v>
          </cell>
          <cell r="AF25" t="str">
            <v>V.08.07.19</v>
          </cell>
          <cell r="AG25" t="str">
            <v>Điều dưỡng (hạng IV)</v>
          </cell>
          <cell r="AH25">
            <v>3.96</v>
          </cell>
          <cell r="AI25">
            <v>7</v>
          </cell>
          <cell r="AJ25">
            <v>0</v>
          </cell>
          <cell r="AK25">
            <v>45352</v>
          </cell>
          <cell r="AL25" t="str">
            <v>Cao đẳng</v>
          </cell>
          <cell r="AM25" t="str">
            <v>Điều dưỡng CĐ</v>
          </cell>
          <cell r="AQ25" t="str">
            <v>12/12</v>
          </cell>
          <cell r="AR25">
            <v>0</v>
          </cell>
          <cell r="AS25">
            <v>0</v>
          </cell>
          <cell r="AT25">
            <v>0</v>
          </cell>
          <cell r="AU25">
            <v>0</v>
          </cell>
          <cell r="AV25">
            <v>0</v>
          </cell>
          <cell r="AW25" t="str">
            <v>A</v>
          </cell>
          <cell r="AY25" t="str">
            <v>Tày</v>
          </cell>
          <cell r="BA25" t="e">
            <v>#REF!</v>
          </cell>
          <cell r="BB25" t="e">
            <v>#REF!</v>
          </cell>
          <cell r="BC25" t="str">
            <v>25/06/2013</v>
          </cell>
        </row>
        <row r="26">
          <cell r="A26" t="str">
            <v>BV0049</v>
          </cell>
          <cell r="B26">
            <v>20</v>
          </cell>
          <cell r="C26" t="str">
            <v>Đinh Vĩnh Thái</v>
          </cell>
          <cell r="D26" t="str">
            <v>BV0049</v>
          </cell>
          <cell r="E26">
            <v>1505002493</v>
          </cell>
          <cell r="G26" t="str">
            <v>CCCD: 012079000876, 
Ngày cấp 25/04/2021, 
Tại Cục cảnh sát quản lý hành chính về trật tự xã hội</v>
          </cell>
          <cell r="H26">
            <v>29206</v>
          </cell>
          <cell r="J26">
            <v>46</v>
          </cell>
          <cell r="K26" t="str">
            <v>040254539</v>
          </cell>
          <cell r="L26" t="str">
            <v>18/03/2011</v>
          </cell>
          <cell r="M26" t="str">
            <v>CA tỉnh Lạng Sơn</v>
          </cell>
          <cell r="O26" t="str">
            <v>Xã An lễ</v>
          </cell>
          <cell r="P26" t="str">
            <v>Huyện Quỳnh Phụ</v>
          </cell>
          <cell r="Q26" t="str">
            <v>Tỉnh Thái Bình</v>
          </cell>
          <cell r="S26" t="str">
            <v>Phường Tam Thanh</v>
          </cell>
          <cell r="T26" t="str">
            <v>Thành phố Lạng Sơn</v>
          </cell>
          <cell r="U26" t="str">
            <v>Tỉnh Lạng Sơn</v>
          </cell>
          <cell r="V26" t="str">
            <v>Phường Tam Thanh, Thành phố Lạng Sơn, Tỉnh Lạng Sơn</v>
          </cell>
          <cell r="W26" t="str">
            <v>19/01/2005</v>
          </cell>
          <cell r="AA26" t="str">
            <v>Trưởng khoa</v>
          </cell>
          <cell r="AB26" t="str">
            <v>TĐ001</v>
          </cell>
          <cell r="AC26" t="str">
            <v>Cấp cứu</v>
          </cell>
          <cell r="AD26" t="str">
            <v>KP002</v>
          </cell>
          <cell r="AE26" t="str">
            <v>Viên chức</v>
          </cell>
          <cell r="AF26" t="str">
            <v>V.08.01.02</v>
          </cell>
          <cell r="AG26" t="str">
            <v>Bác sĩ chính (hạng II)</v>
          </cell>
          <cell r="AH26">
            <v>4.74</v>
          </cell>
          <cell r="AI26">
            <v>2</v>
          </cell>
          <cell r="AJ26">
            <v>0</v>
          </cell>
          <cell r="AK26">
            <v>45627</v>
          </cell>
          <cell r="AL26" t="str">
            <v>Đại học</v>
          </cell>
          <cell r="AM26" t="str">
            <v>BSCKII</v>
          </cell>
          <cell r="AN26" t="str">
            <v>HSCC</v>
          </cell>
          <cell r="AO26" t="str">
            <v>Đại học Y Hà Nội</v>
          </cell>
          <cell r="AP26">
            <v>2018</v>
          </cell>
          <cell r="AQ26" t="str">
            <v>12/12</v>
          </cell>
          <cell r="AR26" t="str">
            <v>Chuyên viên</v>
          </cell>
          <cell r="AS26" t="str">
            <v>x</v>
          </cell>
          <cell r="AT26" t="str">
            <v>Sơ cấp</v>
          </cell>
          <cell r="AU26" t="str">
            <v>B</v>
          </cell>
          <cell r="AV26" t="str">
            <v>Tày</v>
          </cell>
          <cell r="AW26" t="str">
            <v>Cơ bản</v>
          </cell>
          <cell r="AY26" t="str">
            <v>Kinh</v>
          </cell>
          <cell r="AZ26">
            <v>41006</v>
          </cell>
          <cell r="BA26" t="e">
            <v>#REF!</v>
          </cell>
          <cell r="BB26" t="e">
            <v>#REF!</v>
          </cell>
          <cell r="BC26" t="str">
            <v>24/06/2013</v>
          </cell>
        </row>
        <row r="27">
          <cell r="A27" t="str">
            <v>BV0178</v>
          </cell>
          <cell r="B27">
            <v>21</v>
          </cell>
          <cell r="C27" t="str">
            <v>Triệu Đức Anh</v>
          </cell>
          <cell r="D27" t="str">
            <v>BV0178</v>
          </cell>
          <cell r="E27">
            <v>2011004224</v>
          </cell>
          <cell r="G27" t="str">
            <v>CMT: 082005982, 
Ngày cấp 21/09/2013, 
CA tỉnh Lạng Sơn</v>
          </cell>
          <cell r="H27">
            <v>31681</v>
          </cell>
          <cell r="J27">
            <v>39</v>
          </cell>
          <cell r="K27" t="str">
            <v>082005982</v>
          </cell>
          <cell r="L27" t="str">
            <v>21/09/2013</v>
          </cell>
          <cell r="M27" t="str">
            <v>CA tỉnh Lạng Sơn</v>
          </cell>
          <cell r="N27" t="str">
            <v>Thị trấn Hữu Lũng, tỉnh Lạng Sơn</v>
          </cell>
          <cell r="O27" t="str">
            <v>Phường Chi Lăng</v>
          </cell>
          <cell r="P27" t="str">
            <v>Thành phố Lạng Sơn</v>
          </cell>
          <cell r="Q27" t="str">
            <v>Tỉnh Lạng Sơn</v>
          </cell>
          <cell r="S27" t="str">
            <v>Phường Chi Lăng</v>
          </cell>
          <cell r="T27" t="str">
            <v>Thành phố Lạng Sơn</v>
          </cell>
          <cell r="U27" t="str">
            <v>Tỉnh Lạng Sơn</v>
          </cell>
          <cell r="V27" t="str">
            <v>Phường Chi Lăng, Thành phố Lạng Sơn, Tỉnh Lạng Sơn</v>
          </cell>
          <cell r="W27" t="str">
            <v>05/6/2013</v>
          </cell>
          <cell r="AA27" t="str">
            <v>Phó trưởng khoa</v>
          </cell>
          <cell r="AB27" t="str">
            <v>TĐ001</v>
          </cell>
          <cell r="AC27" t="str">
            <v>Ngoại Thận - Tiết niệu</v>
          </cell>
          <cell r="AD27" t="str">
            <v>KP012</v>
          </cell>
          <cell r="AE27" t="str">
            <v>Viên chức</v>
          </cell>
          <cell r="AF27" t="str">
            <v>V.08.01.03</v>
          </cell>
          <cell r="AG27" t="str">
            <v>Bác sĩ chính (hạng II)</v>
          </cell>
          <cell r="AH27">
            <v>4.4000000000000004</v>
          </cell>
          <cell r="AI27">
            <v>1</v>
          </cell>
          <cell r="AJ27">
            <v>0</v>
          </cell>
          <cell r="AK27">
            <v>45809</v>
          </cell>
          <cell r="AL27" t="str">
            <v>Đại học</v>
          </cell>
          <cell r="AM27" t="str">
            <v>BSCKII</v>
          </cell>
          <cell r="AN27" t="str">
            <v>Ngoại khoa</v>
          </cell>
          <cell r="AQ27" t="str">
            <v>12/12</v>
          </cell>
          <cell r="AR27">
            <v>0</v>
          </cell>
          <cell r="AS27" t="str">
            <v>x</v>
          </cell>
          <cell r="AT27">
            <v>0</v>
          </cell>
          <cell r="AU27">
            <v>0</v>
          </cell>
          <cell r="AV27" t="str">
            <v>Tày</v>
          </cell>
          <cell r="AW27" t="str">
            <v>Cơ bản</v>
          </cell>
          <cell r="AY27" t="str">
            <v>Nùng</v>
          </cell>
          <cell r="AZ27">
            <v>44326</v>
          </cell>
          <cell r="BA27" t="e">
            <v>#REF!</v>
          </cell>
          <cell r="BB27" t="e">
            <v>#REF!</v>
          </cell>
          <cell r="BC27" t="str">
            <v>24/06/2013</v>
          </cell>
        </row>
        <row r="28">
          <cell r="A28" t="str">
            <v>BV0676</v>
          </cell>
          <cell r="B28">
            <v>22</v>
          </cell>
          <cell r="C28" t="str">
            <v>Lương Văn Lực</v>
          </cell>
          <cell r="D28" t="str">
            <v>BV0676</v>
          </cell>
          <cell r="E28">
            <v>2016000974</v>
          </cell>
          <cell r="G28" t="str">
            <v>CMT: 082077014, 
Ngày cấp 27/05/2017, 
CA tỉnh Lạng Sơn</v>
          </cell>
          <cell r="H28" t="str">
            <v>12/02/1990</v>
          </cell>
          <cell r="J28">
            <v>36</v>
          </cell>
          <cell r="K28" t="str">
            <v>082077014</v>
          </cell>
          <cell r="L28" t="str">
            <v>24/3/2008</v>
          </cell>
          <cell r="M28" t="str">
            <v>CA tỉnh Lạng Sơn</v>
          </cell>
          <cell r="S28" t="str">
            <v>Xã Quyết Thắng</v>
          </cell>
          <cell r="T28" t="str">
            <v>Huyện Hữu Lũng</v>
          </cell>
          <cell r="U28" t="str">
            <v>Tỉnh Lạng Sơn</v>
          </cell>
          <cell r="V28" t="str">
            <v>Xã Quyết Thắng, Huyện Hữu Lũng, Tỉnh Lạng Sơn</v>
          </cell>
          <cell r="W28" t="str">
            <v>21/10/2016</v>
          </cell>
          <cell r="AA28">
            <v>0</v>
          </cell>
          <cell r="AB28" t="str">
            <v>TĐ003</v>
          </cell>
          <cell r="AC28" t="str">
            <v>Nội Tiêu hóa</v>
          </cell>
          <cell r="AD28" t="str">
            <v>KP008</v>
          </cell>
          <cell r="AE28" t="str">
            <v>Viên chức</v>
          </cell>
          <cell r="AF28" t="str">
            <v>V.08.01.03</v>
          </cell>
          <cell r="AG28" t="str">
            <v>Bác sĩ (hạng III)</v>
          </cell>
          <cell r="AH28">
            <v>3.33</v>
          </cell>
          <cell r="AI28">
            <v>4</v>
          </cell>
          <cell r="AJ28">
            <v>0</v>
          </cell>
          <cell r="AK28">
            <v>45768</v>
          </cell>
          <cell r="AL28" t="str">
            <v>Đại học</v>
          </cell>
          <cell r="AM28" t="str">
            <v>BSCKI</v>
          </cell>
          <cell r="AN28" t="str">
            <v>HSCC</v>
          </cell>
          <cell r="AR28">
            <v>0</v>
          </cell>
          <cell r="AS28" t="str">
            <v>x</v>
          </cell>
          <cell r="AT28" t="str">
            <v>x</v>
          </cell>
          <cell r="AU28" t="str">
            <v>B</v>
          </cell>
          <cell r="AV28">
            <v>0</v>
          </cell>
          <cell r="AW28" t="str">
            <v>B</v>
          </cell>
          <cell r="AY28" t="str">
            <v>Cao lan</v>
          </cell>
          <cell r="BC28" t="str">
            <v>24/06/2013</v>
          </cell>
        </row>
        <row r="29">
          <cell r="A29" t="str">
            <v>BV0848</v>
          </cell>
          <cell r="B29">
            <v>23</v>
          </cell>
          <cell r="C29" t="str">
            <v>Lành Thị Quỳnh Nga</v>
          </cell>
          <cell r="D29" t="str">
            <v>BV0848</v>
          </cell>
          <cell r="E29" t="str">
            <v>2016001046</v>
          </cell>
          <cell r="G29" t="str">
            <v>CCCD: 020191000623, 
Ngày cấp 02/04/2021, 
Tại Cục cảnh sát quản lý hành chính về trật tự xã hội</v>
          </cell>
          <cell r="I29" t="str">
            <v>02/9/1991</v>
          </cell>
          <cell r="J29">
            <v>34</v>
          </cell>
          <cell r="K29" t="str">
            <v>082085927</v>
          </cell>
          <cell r="L29" t="str">
            <v>21/07/2011</v>
          </cell>
          <cell r="M29" t="str">
            <v>CA tỉnh Lạng Sơn</v>
          </cell>
          <cell r="N29" t="str">
            <v>Xã Hợp Thành, huyện Cao Lộc, tỉnh Lạng Sơn</v>
          </cell>
          <cell r="V29" t="str">
            <v>Thị trấn Cao Lộc, Huyện Cao Lộc, Tỉnh Lạng Sơn</v>
          </cell>
          <cell r="W29" t="str">
            <v>04/05/2016</v>
          </cell>
          <cell r="X29" t="str">
            <v>20/8/2018</v>
          </cell>
          <cell r="AA29">
            <v>0</v>
          </cell>
          <cell r="AB29" t="str">
            <v>TĐ003</v>
          </cell>
          <cell r="AC29" t="str">
            <v>Cấp cứu</v>
          </cell>
          <cell r="AD29" t="str">
            <v>KP002</v>
          </cell>
          <cell r="AE29" t="str">
            <v>Viên chức</v>
          </cell>
          <cell r="AF29" t="str">
            <v>V.08.01.03</v>
          </cell>
          <cell r="AG29" t="str">
            <v>Bác sĩ (hạng III)</v>
          </cell>
          <cell r="AH29">
            <v>3.33</v>
          </cell>
          <cell r="AI29">
            <v>4</v>
          </cell>
          <cell r="AJ29">
            <v>0</v>
          </cell>
          <cell r="AK29">
            <v>46146</v>
          </cell>
          <cell r="AL29" t="str">
            <v>Đại học</v>
          </cell>
          <cell r="AM29" t="str">
            <v>BSCKI</v>
          </cell>
          <cell r="AN29" t="str">
            <v>HSCC</v>
          </cell>
          <cell r="AO29" t="str">
            <v>Đại học Y dược Thái Nguyên</v>
          </cell>
          <cell r="AP29">
            <v>2015</v>
          </cell>
          <cell r="AQ29" t="str">
            <v>12/12</v>
          </cell>
          <cell r="AR29">
            <v>0</v>
          </cell>
          <cell r="AS29">
            <v>0</v>
          </cell>
          <cell r="AT29" t="str">
            <v>Sơ cấp</v>
          </cell>
          <cell r="AU29" t="str">
            <v>A2</v>
          </cell>
          <cell r="AV29">
            <v>0</v>
          </cell>
          <cell r="AW29" t="str">
            <v>Cơ bản</v>
          </cell>
          <cell r="AY29" t="str">
            <v>tày</v>
          </cell>
          <cell r="BA29" t="e">
            <v>#REF!</v>
          </cell>
          <cell r="BB29" t="e">
            <v>#REF!</v>
          </cell>
          <cell r="BC29" t="str">
            <v>24/06/2013</v>
          </cell>
        </row>
        <row r="30">
          <cell r="A30" t="str">
            <v>BV0890</v>
          </cell>
          <cell r="B30">
            <v>24</v>
          </cell>
          <cell r="C30" t="str">
            <v>Nông Quốc Thiên</v>
          </cell>
          <cell r="D30" t="str">
            <v>BV0890</v>
          </cell>
          <cell r="E30" t="str">
            <v>2020863575</v>
          </cell>
          <cell r="G30" t="str">
            <v>CCCD: 020094010940, 
Ngày cấp 24/06/2021, 
Tại Cục cảnh sát quản lý hành chính về trật tự xã hội</v>
          </cell>
          <cell r="H30" t="str">
            <v>10/09/1994</v>
          </cell>
          <cell r="J30">
            <v>31</v>
          </cell>
          <cell r="K30" t="str">
            <v>082236491</v>
          </cell>
          <cell r="L30" t="str">
            <v>02/06/2010</v>
          </cell>
          <cell r="M30" t="str">
            <v>CA tỉnh Lạng Sơn</v>
          </cell>
          <cell r="W30" t="str">
            <v>05/04/2019</v>
          </cell>
          <cell r="AA30">
            <v>0</v>
          </cell>
          <cell r="AB30" t="str">
            <v>TĐ003</v>
          </cell>
          <cell r="AC30" t="str">
            <v>Cấp cứu</v>
          </cell>
          <cell r="AD30" t="str">
            <v>KP002</v>
          </cell>
          <cell r="AE30" t="str">
            <v>Viên chức</v>
          </cell>
          <cell r="AF30" t="str">
            <v>V.08.01.03</v>
          </cell>
          <cell r="AG30" t="str">
            <v>Bác sĩ (hạng III)</v>
          </cell>
          <cell r="AH30">
            <v>3</v>
          </cell>
          <cell r="AI30">
            <v>3</v>
          </cell>
          <cell r="AJ30">
            <v>0</v>
          </cell>
          <cell r="AK30">
            <v>45839</v>
          </cell>
          <cell r="AL30" t="str">
            <v>Đại học</v>
          </cell>
          <cell r="AM30" t="str">
            <v>BSCKI</v>
          </cell>
          <cell r="AN30" t="str">
            <v>Y đa khoa</v>
          </cell>
          <cell r="AQ30" t="str">
            <v>12/12</v>
          </cell>
          <cell r="AR30">
            <v>0</v>
          </cell>
          <cell r="AS30">
            <v>0</v>
          </cell>
          <cell r="AT30">
            <v>0</v>
          </cell>
          <cell r="AU30" t="str">
            <v>A2</v>
          </cell>
          <cell r="AV30">
            <v>0</v>
          </cell>
          <cell r="AW30" t="str">
            <v>IC3</v>
          </cell>
          <cell r="AY30" t="str">
            <v>Nùng</v>
          </cell>
          <cell r="BC30" t="str">
            <v>24/06/2013</v>
          </cell>
        </row>
        <row r="31">
          <cell r="A31" t="str">
            <v>BV0125</v>
          </cell>
          <cell r="B31">
            <v>25</v>
          </cell>
          <cell r="C31" t="str">
            <v>Nông Văn Tôn</v>
          </cell>
          <cell r="D31" t="str">
            <v>BV0125</v>
          </cell>
          <cell r="E31">
            <v>2013002122</v>
          </cell>
          <cell r="G31" t="str">
            <v>CCCD: 020091005623, 
Ngày cấp 25/06/2021, 
Tại Cục cảnh sát quản lý hành chính về trật tự xã hội</v>
          </cell>
          <cell r="H31">
            <v>33427</v>
          </cell>
          <cell r="J31">
            <v>34</v>
          </cell>
          <cell r="K31" t="str">
            <v>082099356</v>
          </cell>
          <cell r="L31" t="str">
            <v>14/12/2006</v>
          </cell>
          <cell r="M31" t="str">
            <v>CA tỉnh Lạng Sơn</v>
          </cell>
          <cell r="N31" t="str">
            <v>Xã Trung Thành, huyện Tràng Định, tỉnh Lạng Sơn</v>
          </cell>
          <cell r="O31" t="str">
            <v>Xã Trung Thành</v>
          </cell>
          <cell r="P31" t="str">
            <v>Huyện Tràng Định</v>
          </cell>
          <cell r="Q31" t="str">
            <v>Tỉnh Lạng Sơn</v>
          </cell>
          <cell r="S31" t="str">
            <v>Xã Trung Thành</v>
          </cell>
          <cell r="T31" t="str">
            <v>Huyện Tràng Định</v>
          </cell>
          <cell r="U31" t="str">
            <v>Tỉnh Lạng Sơn</v>
          </cell>
          <cell r="V31" t="str">
            <v>Xã Trung Thành, Huyện Tràng Định, Tỉnh Lạng Sơn</v>
          </cell>
          <cell r="W31" t="str">
            <v>10/6/2013</v>
          </cell>
          <cell r="AA31" t="e">
            <v>#N/A</v>
          </cell>
          <cell r="AB31" t="e">
            <v>#N/A</v>
          </cell>
          <cell r="AC31" t="e">
            <v>#N/A</v>
          </cell>
          <cell r="AD31" t="e">
            <v>#N/A</v>
          </cell>
          <cell r="AE31" t="e">
            <v>#N/A</v>
          </cell>
          <cell r="AF31" t="str">
            <v>V.08.05.12</v>
          </cell>
          <cell r="AG31" t="e">
            <v>#N/A</v>
          </cell>
          <cell r="AH31">
            <v>3.66</v>
          </cell>
          <cell r="AI31">
            <v>5</v>
          </cell>
          <cell r="AJ31">
            <v>0</v>
          </cell>
          <cell r="AK31">
            <v>45383</v>
          </cell>
          <cell r="AL31" t="str">
            <v>Đại học</v>
          </cell>
          <cell r="AM31" t="e">
            <v>#N/A</v>
          </cell>
          <cell r="AO31" t="str">
            <v>Cao đẳng Y tế Lạng  Sơn</v>
          </cell>
          <cell r="AP31">
            <v>2012</v>
          </cell>
          <cell r="AQ31" t="str">
            <v>12/12</v>
          </cell>
          <cell r="AR31">
            <v>0</v>
          </cell>
          <cell r="AS31">
            <v>0</v>
          </cell>
          <cell r="AT31" t="str">
            <v>Sơ cấp</v>
          </cell>
          <cell r="AU31" t="str">
            <v>A2</v>
          </cell>
          <cell r="AV31" t="str">
            <v>Tày</v>
          </cell>
          <cell r="AW31" t="str">
            <v>Cơ bản</v>
          </cell>
          <cell r="AY31" t="str">
            <v>Tày</v>
          </cell>
          <cell r="BA31" t="e">
            <v>#REF!</v>
          </cell>
          <cell r="BB31" t="e">
            <v>#REF!</v>
          </cell>
          <cell r="BC31" t="str">
            <v>25/06/2013</v>
          </cell>
        </row>
        <row r="32">
          <cell r="A32" t="str">
            <v>BV0136</v>
          </cell>
          <cell r="B32">
            <v>26</v>
          </cell>
          <cell r="C32" t="str">
            <v>Lâm Thị Thiện</v>
          </cell>
          <cell r="D32" t="str">
            <v>BV0136</v>
          </cell>
          <cell r="E32">
            <v>2010000123</v>
          </cell>
          <cell r="G32" t="str">
            <v>CCCD: 020185002429, 
Ngày cấp 17/04/2021, 
Tại Cục cảnh sát quản lý hành chính về trật tự xã hội</v>
          </cell>
          <cell r="I32">
            <v>31334</v>
          </cell>
          <cell r="J32">
            <v>40</v>
          </cell>
          <cell r="K32" t="str">
            <v>082009660</v>
          </cell>
          <cell r="L32" t="str">
            <v>05/09/2003</v>
          </cell>
          <cell r="M32" t="str">
            <v>CA tỉnh Lạng Sơn</v>
          </cell>
          <cell r="O32" t="str">
            <v>Xã Tân Thành</v>
          </cell>
          <cell r="P32" t="str">
            <v>Huyện Cao Lộc</v>
          </cell>
          <cell r="Q32" t="str">
            <v>Tỉnh Lạng Sơn</v>
          </cell>
          <cell r="R32" t="str">
            <v>Đường Trần Quang Khải</v>
          </cell>
          <cell r="S32" t="str">
            <v>Phường Chi Lăng</v>
          </cell>
          <cell r="T32" t="str">
            <v>Thành phố Lạng Sơn</v>
          </cell>
          <cell r="U32" t="str">
            <v>Tỉnh Lạng Sơn</v>
          </cell>
          <cell r="V32" t="str">
            <v>Phường Chi Lăng, Thành phố Lạng Sơn, Tỉnh Lạng Sơn</v>
          </cell>
          <cell r="W32" t="str">
            <v>15/1/2010</v>
          </cell>
          <cell r="AA32">
            <v>0</v>
          </cell>
          <cell r="AB32" t="str">
            <v>TĐ012</v>
          </cell>
          <cell r="AC32" t="str">
            <v>Cấp cứu</v>
          </cell>
          <cell r="AD32" t="str">
            <v>KP002</v>
          </cell>
          <cell r="AE32" t="str">
            <v>Viên chức</v>
          </cell>
          <cell r="AF32" t="str">
            <v>V.08.05.13</v>
          </cell>
          <cell r="AG32" t="str">
            <v>Điều dưỡng (hạng IV)</v>
          </cell>
          <cell r="AH32">
            <v>3.65</v>
          </cell>
          <cell r="AI32">
            <v>6</v>
          </cell>
          <cell r="AJ32">
            <v>0</v>
          </cell>
          <cell r="AK32">
            <v>45839</v>
          </cell>
          <cell r="AL32" t="str">
            <v>Cao đẳng</v>
          </cell>
          <cell r="AM32" t="str">
            <v>Điều dưỡng CĐ</v>
          </cell>
          <cell r="AO32" t="str">
            <v>Trung học Y tế Lạng Sơn</v>
          </cell>
          <cell r="AP32">
            <v>2006</v>
          </cell>
          <cell r="AQ32" t="str">
            <v>12/12</v>
          </cell>
          <cell r="AR32">
            <v>0</v>
          </cell>
          <cell r="AS32">
            <v>0</v>
          </cell>
          <cell r="AT32" t="str">
            <v>Sơ cấp</v>
          </cell>
          <cell r="AU32">
            <v>0</v>
          </cell>
          <cell r="AV32" t="str">
            <v>Tày</v>
          </cell>
          <cell r="AW32">
            <v>0</v>
          </cell>
          <cell r="AY32" t="str">
            <v>Nùng</v>
          </cell>
          <cell r="BA32" t="e">
            <v>#REF!</v>
          </cell>
          <cell r="BB32" t="e">
            <v>#REF!</v>
          </cell>
          <cell r="BC32" t="str">
            <v>24/06/2013</v>
          </cell>
        </row>
        <row r="33">
          <cell r="A33" t="str">
            <v>BV0331</v>
          </cell>
          <cell r="B33">
            <v>27</v>
          </cell>
          <cell r="C33" t="str">
            <v>Hoàng Thị Thúy</v>
          </cell>
          <cell r="D33" t="str">
            <v>BV0331</v>
          </cell>
          <cell r="E33">
            <v>2013002131</v>
          </cell>
          <cell r="G33" t="str">
            <v>CCCD: 020190009345, 
Ngày cấp 11/08/2021, 
Tại Cục cảnh sát quản lý hành chính về trật tự xã hội</v>
          </cell>
          <cell r="I33">
            <v>33223</v>
          </cell>
          <cell r="J33">
            <v>35</v>
          </cell>
          <cell r="K33" t="str">
            <v>082041748</v>
          </cell>
          <cell r="L33" t="str">
            <v>05/01/2005</v>
          </cell>
          <cell r="M33" t="str">
            <v>CA tỉnh Lạng Sơn</v>
          </cell>
          <cell r="P33" t="str">
            <v>Huyện Văn Lãng</v>
          </cell>
          <cell r="Q33" t="str">
            <v>Tỉnh Lạng Sơn</v>
          </cell>
          <cell r="S33" t="str">
            <v>Xã Hoàng Văn Thụ</v>
          </cell>
          <cell r="T33" t="str">
            <v>Huyện Văn Lãng</v>
          </cell>
          <cell r="U33" t="str">
            <v>Tỉnh Lạng Sơn</v>
          </cell>
          <cell r="V33" t="str">
            <v>Xã Hoàng Văn Thụ, Huyện Văn Lãng, Tỉnh Lạng Sơn</v>
          </cell>
          <cell r="W33" t="str">
            <v>10/6/2013</v>
          </cell>
          <cell r="AA33">
            <v>0</v>
          </cell>
          <cell r="AB33" t="str">
            <v>TĐ011</v>
          </cell>
          <cell r="AC33" t="str">
            <v>Cấp cứu</v>
          </cell>
          <cell r="AD33" t="str">
            <v>KP002</v>
          </cell>
          <cell r="AE33" t="str">
            <v>Viên chức</v>
          </cell>
          <cell r="AF33" t="str">
            <v>V.08.05.12</v>
          </cell>
          <cell r="AG33" t="str">
            <v>Điều dưỡng (hạng III)</v>
          </cell>
          <cell r="AH33">
            <v>3.33</v>
          </cell>
          <cell r="AI33">
            <v>4</v>
          </cell>
          <cell r="AJ33">
            <v>0</v>
          </cell>
          <cell r="AK33">
            <v>45383</v>
          </cell>
          <cell r="AL33" t="str">
            <v>Đại học</v>
          </cell>
          <cell r="AM33" t="str">
            <v>Điều dưỡng ĐH</v>
          </cell>
          <cell r="AR33">
            <v>0</v>
          </cell>
          <cell r="AS33">
            <v>0</v>
          </cell>
          <cell r="AT33" t="str">
            <v>Sơ cấp</v>
          </cell>
          <cell r="AU33" t="str">
            <v>B</v>
          </cell>
          <cell r="AV33" t="str">
            <v>Tày</v>
          </cell>
          <cell r="AW33" t="str">
            <v>Cơ bản</v>
          </cell>
          <cell r="AY33" t="str">
            <v>Tày</v>
          </cell>
          <cell r="BA33" t="e">
            <v>#REF!</v>
          </cell>
          <cell r="BB33" t="e">
            <v>#REF!</v>
          </cell>
        </row>
        <row r="34">
          <cell r="A34" t="str">
            <v>BV0070</v>
          </cell>
          <cell r="B34">
            <v>28</v>
          </cell>
          <cell r="C34" t="str">
            <v>Mai Thị Thúy</v>
          </cell>
          <cell r="D34" t="str">
            <v>BV0070</v>
          </cell>
          <cell r="E34">
            <v>2011000008</v>
          </cell>
          <cell r="G34" t="str">
            <v>CCCD: 020187003170, 
Ngày cấp 29/04/2021, 
Tại Cục cảnh sát quản lý hành chính về trật tự xã hội</v>
          </cell>
          <cell r="I34">
            <v>31826</v>
          </cell>
          <cell r="J34">
            <v>39</v>
          </cell>
          <cell r="K34" t="str">
            <v>082060163</v>
          </cell>
          <cell r="L34" t="str">
            <v>19/01/2010</v>
          </cell>
          <cell r="M34" t="str">
            <v>CA tỉnh Lạng Sơn</v>
          </cell>
          <cell r="O34" t="str">
            <v>Xã Cường Lợi</v>
          </cell>
          <cell r="P34" t="str">
            <v>Huyện Đình Lập</v>
          </cell>
          <cell r="Q34" t="str">
            <v>Tỉnh Lạng Sơn</v>
          </cell>
          <cell r="S34" t="str">
            <v>Xã Cường Lợi</v>
          </cell>
          <cell r="T34" t="str">
            <v>Huyện Đình Lập</v>
          </cell>
          <cell r="U34" t="str">
            <v>Tỉnh Lạng Sơn</v>
          </cell>
          <cell r="V34" t="str">
            <v>17 đường Ngô Quyền. Phường Vĩnh Trại, TP. Lạng Sơn</v>
          </cell>
          <cell r="W34" t="str">
            <v>1/12/2010</v>
          </cell>
          <cell r="AA34" t="e">
            <v>#N/A</v>
          </cell>
          <cell r="AB34" t="e">
            <v>#N/A</v>
          </cell>
          <cell r="AC34" t="e">
            <v>#N/A</v>
          </cell>
          <cell r="AD34" t="e">
            <v>#N/A</v>
          </cell>
          <cell r="AE34" t="e">
            <v>#N/A</v>
          </cell>
          <cell r="AF34" t="str">
            <v>V.08.05.13</v>
          </cell>
          <cell r="AG34" t="e">
            <v>#N/A</v>
          </cell>
          <cell r="AH34">
            <v>3.34</v>
          </cell>
          <cell r="AI34">
            <v>5</v>
          </cell>
          <cell r="AJ34">
            <v>0</v>
          </cell>
          <cell r="AK34">
            <v>45261</v>
          </cell>
          <cell r="AL34" t="str">
            <v>Cao đẳng</v>
          </cell>
          <cell r="AM34" t="e">
            <v>#N/A</v>
          </cell>
          <cell r="AO34" t="str">
            <v>Cao đẳng Y tế Lạng Sơn</v>
          </cell>
          <cell r="AP34">
            <v>2008</v>
          </cell>
          <cell r="AQ34" t="str">
            <v>12/12</v>
          </cell>
          <cell r="AR34">
            <v>0</v>
          </cell>
          <cell r="AS34">
            <v>0</v>
          </cell>
          <cell r="AT34">
            <v>0</v>
          </cell>
          <cell r="AU34">
            <v>0</v>
          </cell>
          <cell r="AV34">
            <v>0</v>
          </cell>
          <cell r="AW34" t="str">
            <v>B</v>
          </cell>
          <cell r="AY34" t="str">
            <v>Tày</v>
          </cell>
          <cell r="BA34" t="e">
            <v>#REF!</v>
          </cell>
          <cell r="BB34" t="e">
            <v>#REF!</v>
          </cell>
          <cell r="BC34" t="str">
            <v>24/06/2013</v>
          </cell>
        </row>
        <row r="35">
          <cell r="A35" t="str">
            <v>BV0059</v>
          </cell>
          <cell r="B35">
            <v>29</v>
          </cell>
          <cell r="C35" t="str">
            <v>Dương Thị Niên</v>
          </cell>
          <cell r="D35" t="str">
            <v>BV0059</v>
          </cell>
          <cell r="E35">
            <v>2009000938</v>
          </cell>
          <cell r="G35" t="str">
            <v>CCCD: 020185006032, 
Ngày cấp 09/05/2021, 
Tại Cục cảnh sát quản lý hành chính về trật tự xã hội</v>
          </cell>
          <cell r="I35">
            <v>31359</v>
          </cell>
          <cell r="J35">
            <v>40</v>
          </cell>
          <cell r="K35" t="str">
            <v>092030713</v>
          </cell>
          <cell r="L35" t="str">
            <v>14/03/1985</v>
          </cell>
          <cell r="M35" t="str">
            <v>CA tỉnh Lạng Sơn</v>
          </cell>
          <cell r="O35" t="str">
            <v>Xã Tân Văn</v>
          </cell>
          <cell r="P35" t="str">
            <v>Huyện Bình Gia</v>
          </cell>
          <cell r="Q35" t="str">
            <v>Tỉnh Lạng Sơn</v>
          </cell>
          <cell r="S35" t="str">
            <v>Phường Tam Thanh</v>
          </cell>
          <cell r="T35" t="str">
            <v>Thành phố Lạng Sơn</v>
          </cell>
          <cell r="U35" t="str">
            <v>Tỉnh Lạng Sơn</v>
          </cell>
          <cell r="V35" t="str">
            <v>Phường Tam Thanh, Thành phố Lạng Sơn, Tỉnh Lạng Sơn</v>
          </cell>
          <cell r="W35" t="str">
            <v>1/12/2008</v>
          </cell>
          <cell r="AA35" t="str">
            <v>Điều dưỡng trưởng</v>
          </cell>
          <cell r="AB35" t="str">
            <v>TĐ011</v>
          </cell>
          <cell r="AC35" t="str">
            <v>Cấp cứu</v>
          </cell>
          <cell r="AD35" t="str">
            <v>KP002</v>
          </cell>
          <cell r="AE35" t="str">
            <v>Viên chức</v>
          </cell>
          <cell r="AF35" t="str">
            <v>V.08.05.12</v>
          </cell>
          <cell r="AG35" t="str">
            <v>Điều dưỡng (hạng III)</v>
          </cell>
          <cell r="AH35">
            <v>3.66</v>
          </cell>
          <cell r="AI35">
            <v>5</v>
          </cell>
          <cell r="AJ35">
            <v>0</v>
          </cell>
          <cell r="AK35">
            <v>45383</v>
          </cell>
          <cell r="AL35" t="str">
            <v>Đại học</v>
          </cell>
          <cell r="AM35" t="str">
            <v>Điều dưỡng ĐH</v>
          </cell>
          <cell r="AO35" t="str">
            <v>Cao đẳng Y tế Lạng Sơn</v>
          </cell>
          <cell r="AP35">
            <v>2007</v>
          </cell>
          <cell r="AQ35" t="str">
            <v>12/12</v>
          </cell>
          <cell r="AR35">
            <v>0</v>
          </cell>
          <cell r="AS35">
            <v>0</v>
          </cell>
          <cell r="AT35" t="str">
            <v>Sơ cấp</v>
          </cell>
          <cell r="AU35" t="str">
            <v>B</v>
          </cell>
          <cell r="AV35" t="str">
            <v>Tày</v>
          </cell>
          <cell r="AW35" t="str">
            <v>Cơ bản</v>
          </cell>
          <cell r="AY35" t="str">
            <v>Tày</v>
          </cell>
          <cell r="AZ35">
            <v>44204</v>
          </cell>
          <cell r="BA35" t="e">
            <v>#REF!</v>
          </cell>
          <cell r="BB35" t="e">
            <v>#REF!</v>
          </cell>
          <cell r="BC35" t="str">
            <v>24/06/2013</v>
          </cell>
        </row>
        <row r="36">
          <cell r="A36" t="str">
            <v>BV0060</v>
          </cell>
          <cell r="B36">
            <v>30</v>
          </cell>
          <cell r="C36" t="str">
            <v>Bế Thị Thắm</v>
          </cell>
          <cell r="D36" t="str">
            <v>BV0060</v>
          </cell>
          <cell r="E36">
            <v>2009002287</v>
          </cell>
          <cell r="G36" t="str">
            <v>CCCD: 020180001946, 
Ngày cấp 20/04/2021, 
Tại Cục cảnh sát quản lý hành chính về trật tự xã hội</v>
          </cell>
          <cell r="I36">
            <v>29474</v>
          </cell>
          <cell r="J36">
            <v>45</v>
          </cell>
          <cell r="K36" t="str">
            <v>080926990</v>
          </cell>
          <cell r="L36" t="str">
            <v>21/01/2013</v>
          </cell>
          <cell r="M36" t="str">
            <v>CA tỉnh Lạng Sơn</v>
          </cell>
          <cell r="N36" t="str">
            <v>Xã Kháng Chiến, huyện Tràng Định, tỉnh Lạng Sơn</v>
          </cell>
          <cell r="O36" t="str">
            <v>Xã Kháng Chiến</v>
          </cell>
          <cell r="P36" t="str">
            <v>Huyện Tràng Định</v>
          </cell>
          <cell r="Q36" t="str">
            <v>Tỉnh Lạng Sơn</v>
          </cell>
          <cell r="S36" t="str">
            <v>Xã Kháng Chiến</v>
          </cell>
          <cell r="T36" t="str">
            <v>Huyện Tràng Định</v>
          </cell>
          <cell r="U36" t="str">
            <v>Tỉnh Lạng Sơn</v>
          </cell>
          <cell r="V36" t="str">
            <v>Xã Kháng Chiến, Huyện Tràng Định, Tỉnh Lạng Sơn</v>
          </cell>
          <cell r="W36" t="str">
            <v>1/12/2008</v>
          </cell>
          <cell r="AA36">
            <v>0</v>
          </cell>
          <cell r="AB36" t="str">
            <v>TĐ012</v>
          </cell>
          <cell r="AC36" t="str">
            <v>Cấp cứu</v>
          </cell>
          <cell r="AD36" t="str">
            <v>KP002</v>
          </cell>
          <cell r="AE36" t="str">
            <v>Viên chức</v>
          </cell>
          <cell r="AF36" t="str">
            <v>V.08.05.13</v>
          </cell>
          <cell r="AG36" t="str">
            <v>Điều dưỡng (hạng IV)</v>
          </cell>
          <cell r="AH36">
            <v>3.65</v>
          </cell>
          <cell r="AI36">
            <v>6</v>
          </cell>
          <cell r="AJ36">
            <v>0</v>
          </cell>
          <cell r="AK36">
            <v>45839</v>
          </cell>
          <cell r="AL36" t="str">
            <v>Cao đẳng</v>
          </cell>
          <cell r="AM36" t="str">
            <v>Điều dưỡng CĐ</v>
          </cell>
          <cell r="AO36" t="str">
            <v>Trung học Y tế Lạng Sơn</v>
          </cell>
          <cell r="AP36">
            <v>2004</v>
          </cell>
          <cell r="AQ36" t="str">
            <v>12/12</v>
          </cell>
          <cell r="AR36">
            <v>0</v>
          </cell>
          <cell r="AS36">
            <v>0</v>
          </cell>
          <cell r="AT36">
            <v>0</v>
          </cell>
          <cell r="AU36" t="str">
            <v>B</v>
          </cell>
          <cell r="AV36">
            <v>0</v>
          </cell>
          <cell r="AW36" t="str">
            <v>Cơ bản</v>
          </cell>
          <cell r="AY36" t="str">
            <v>Tày</v>
          </cell>
          <cell r="BA36" t="e">
            <v>#REF!</v>
          </cell>
          <cell r="BB36" t="e">
            <v>#REF!</v>
          </cell>
          <cell r="BC36" t="str">
            <v>01/12/2017</v>
          </cell>
        </row>
        <row r="37">
          <cell r="A37" t="str">
            <v>BV0061</v>
          </cell>
          <cell r="B37">
            <v>31</v>
          </cell>
          <cell r="C37" t="str">
            <v>Thi Văn Thắng</v>
          </cell>
          <cell r="D37" t="str">
            <v>BV0061</v>
          </cell>
          <cell r="E37">
            <v>2009000912</v>
          </cell>
          <cell r="G37" t="str">
            <v xml:space="preserve">CMT: 081065269, 
Ngày cấp 09/04/2010,
CA tỉnh Lạng Sơn </v>
          </cell>
          <cell r="H37">
            <v>31723</v>
          </cell>
          <cell r="J37">
            <v>39</v>
          </cell>
          <cell r="K37" t="str">
            <v>081065269</v>
          </cell>
          <cell r="L37" t="str">
            <v>09/04/2010</v>
          </cell>
          <cell r="M37" t="str">
            <v>CA tỉnh Lạng Sơn</v>
          </cell>
          <cell r="O37" t="str">
            <v>Xã Gia Cát</v>
          </cell>
          <cell r="P37" t="str">
            <v>Huyện Cao Lộc</v>
          </cell>
          <cell r="Q37" t="str">
            <v>Tỉnh Lạng Sơn</v>
          </cell>
          <cell r="S37" t="str">
            <v>Xã Gia Cát</v>
          </cell>
          <cell r="T37" t="str">
            <v>Huyện Cao Lộc</v>
          </cell>
          <cell r="U37" t="str">
            <v>Tỉnh Lạng Sơn</v>
          </cell>
          <cell r="V37" t="str">
            <v>Xã Gia Cát, Huyện Cao Lộc, Tỉnh Lạng Sơn</v>
          </cell>
          <cell r="W37" t="str">
            <v>2/1/2009</v>
          </cell>
          <cell r="AA37">
            <v>0</v>
          </cell>
          <cell r="AB37" t="str">
            <v>TĐ012</v>
          </cell>
          <cell r="AC37" t="str">
            <v>Cấp cứu</v>
          </cell>
          <cell r="AD37" t="str">
            <v>KP002</v>
          </cell>
          <cell r="AE37" t="str">
            <v>Viên chức</v>
          </cell>
          <cell r="AF37" t="str">
            <v>V.08.05.13</v>
          </cell>
          <cell r="AG37" t="str">
            <v>Điều dưỡng (hạng IV)</v>
          </cell>
          <cell r="AH37">
            <v>3.65</v>
          </cell>
          <cell r="AI37">
            <v>6</v>
          </cell>
          <cell r="AJ37">
            <v>0</v>
          </cell>
          <cell r="AK37">
            <v>45839</v>
          </cell>
          <cell r="AL37" t="str">
            <v>Cao đẳng</v>
          </cell>
          <cell r="AM37" t="str">
            <v>Điều dưỡng CĐ</v>
          </cell>
          <cell r="AO37" t="str">
            <v>Cao đẳng Y tế Lạng Sơn</v>
          </cell>
          <cell r="AP37">
            <v>2007</v>
          </cell>
          <cell r="AQ37" t="str">
            <v>12/12</v>
          </cell>
          <cell r="AR37">
            <v>0</v>
          </cell>
          <cell r="AS37">
            <v>0</v>
          </cell>
          <cell r="AT37">
            <v>0</v>
          </cell>
          <cell r="AU37" t="str">
            <v>A</v>
          </cell>
          <cell r="AV37">
            <v>0</v>
          </cell>
          <cell r="AW37" t="str">
            <v>A</v>
          </cell>
          <cell r="AY37" t="str">
            <v>Tày</v>
          </cell>
          <cell r="BA37" t="e">
            <v>#REF!</v>
          </cell>
          <cell r="BB37" t="e">
            <v>#REF!</v>
          </cell>
          <cell r="BC37" t="str">
            <v>01/06/2016</v>
          </cell>
        </row>
        <row r="38">
          <cell r="A38" t="str">
            <v>BV0218</v>
          </cell>
          <cell r="B38">
            <v>32</v>
          </cell>
          <cell r="C38" t="str">
            <v>Thi Thị Thiện</v>
          </cell>
          <cell r="D38" t="str">
            <v>BV0218</v>
          </cell>
          <cell r="E38">
            <v>1506002935</v>
          </cell>
          <cell r="G38" t="str">
            <v>CCCD: 020182007690, 
Ngày cấp 25/06/2021, 
Tại Cục cảnh sát quản lý hành chính về trật tự xã hội</v>
          </cell>
          <cell r="I38">
            <v>30227</v>
          </cell>
          <cell r="J38">
            <v>43</v>
          </cell>
          <cell r="K38" t="str">
            <v>080998097</v>
          </cell>
          <cell r="L38" t="str">
            <v>25/6/1999</v>
          </cell>
          <cell r="M38" t="str">
            <v>CA tỉnh Lạng Sơn</v>
          </cell>
          <cell r="N38" t="str">
            <v>Tỉnh Lạng Sơn</v>
          </cell>
          <cell r="O38" t="str">
            <v>Xã Gia Cát</v>
          </cell>
          <cell r="P38" t="str">
            <v>Huyện Cao Lộc</v>
          </cell>
          <cell r="Q38" t="str">
            <v>Tỉnh Lạng Sơn</v>
          </cell>
          <cell r="S38" t="str">
            <v>Xã Gia Cát</v>
          </cell>
          <cell r="T38" t="str">
            <v>Huyện Cao Lộc</v>
          </cell>
          <cell r="U38" t="str">
            <v>Tỉnh Lạng Sơn</v>
          </cell>
          <cell r="V38" t="str">
            <v>Xã Gia Cát, Huyện Cao Lộc, Tỉnh Lạng Sơn</v>
          </cell>
          <cell r="W38" t="str">
            <v>7/11/2006</v>
          </cell>
          <cell r="AA38">
            <v>0</v>
          </cell>
          <cell r="AB38" t="str">
            <v>TĐ012</v>
          </cell>
          <cell r="AC38" t="str">
            <v>Cấp cứu</v>
          </cell>
          <cell r="AD38" t="str">
            <v>KP002</v>
          </cell>
          <cell r="AE38" t="str">
            <v>Viên chức</v>
          </cell>
          <cell r="AF38" t="str">
            <v>V.08.05.13</v>
          </cell>
          <cell r="AG38" t="str">
            <v>Điều dưỡng (hạng IV)</v>
          </cell>
          <cell r="AH38">
            <v>3.65</v>
          </cell>
          <cell r="AI38">
            <v>6</v>
          </cell>
          <cell r="AJ38">
            <v>0</v>
          </cell>
          <cell r="AK38">
            <v>45231</v>
          </cell>
          <cell r="AL38" t="str">
            <v>Cao đẳng</v>
          </cell>
          <cell r="AM38" t="str">
            <v>Điều dưỡng CĐ</v>
          </cell>
          <cell r="AO38" t="str">
            <v>TH Y tế Lạng Sơn</v>
          </cell>
          <cell r="AP38">
            <v>2005</v>
          </cell>
          <cell r="AQ38" t="str">
            <v>12/12</v>
          </cell>
          <cell r="AR38">
            <v>0</v>
          </cell>
          <cell r="AS38">
            <v>0</v>
          </cell>
          <cell r="AT38">
            <v>0</v>
          </cell>
          <cell r="AU38" t="str">
            <v>A</v>
          </cell>
          <cell r="AV38" t="str">
            <v>Tày</v>
          </cell>
          <cell r="AW38" t="str">
            <v>Cơ bản</v>
          </cell>
          <cell r="AY38" t="str">
            <v>Tày</v>
          </cell>
          <cell r="BA38" t="e">
            <v>#REF!</v>
          </cell>
          <cell r="BB38" t="e">
            <v>#REF!</v>
          </cell>
          <cell r="BC38" t="str">
            <v>24/06/2013</v>
          </cell>
        </row>
        <row r="39">
          <cell r="A39" t="str">
            <v>BV0051</v>
          </cell>
          <cell r="B39">
            <v>33</v>
          </cell>
          <cell r="C39" t="str">
            <v>Đỗ Quang Hiếu</v>
          </cell>
          <cell r="D39" t="str">
            <v>BV0051</v>
          </cell>
          <cell r="E39">
            <v>2015002113</v>
          </cell>
          <cell r="G39" t="str">
            <v xml:space="preserve">CCCD: 020090004711; Ngày cấp: 25/06/2021; Nơi cấp: Cục trưởng cục cảnh sát quản lý hành chính về trật tự xã hội </v>
          </cell>
          <cell r="H39">
            <v>33232</v>
          </cell>
          <cell r="J39">
            <v>35</v>
          </cell>
          <cell r="K39" t="str">
            <v>082113902</v>
          </cell>
          <cell r="L39" t="str">
            <v>23/11/2007</v>
          </cell>
          <cell r="M39" t="str">
            <v>CA tỉnh Lạng Sơn</v>
          </cell>
          <cell r="N39" t="str">
            <v>Phường Đông Kinh, TP. Lạng Sơn</v>
          </cell>
          <cell r="O39" t="str">
            <v>Phường Đông Kinh</v>
          </cell>
          <cell r="P39" t="str">
            <v>Thành phố Lạng Sơn</v>
          </cell>
          <cell r="Q39" t="str">
            <v>Tỉnh Lạng Sơn</v>
          </cell>
          <cell r="S39" t="str">
            <v>Phường Đông Kinh</v>
          </cell>
          <cell r="T39" t="str">
            <v>Thành phố Lạng Sơn</v>
          </cell>
          <cell r="U39" t="str">
            <v>Tỉnh Lạng Sơn</v>
          </cell>
          <cell r="V39" t="str">
            <v>Phường Đông Kinh, Thành phố Lạng Sơn, Tỉnh Lạng Sơn</v>
          </cell>
          <cell r="W39" t="str">
            <v>01/11/2014</v>
          </cell>
          <cell r="AA39" t="str">
            <v>Phó trưởng khoa/giao phụ trách khoa</v>
          </cell>
          <cell r="AB39" t="str">
            <v>TĐ003</v>
          </cell>
          <cell r="AC39" t="str">
            <v>Nội Tổng hợp</v>
          </cell>
          <cell r="AD39" t="str">
            <v>KP007</v>
          </cell>
          <cell r="AE39" t="str">
            <v>Viên chức</v>
          </cell>
          <cell r="AF39" t="str">
            <v>V.08.01.03</v>
          </cell>
          <cell r="AG39" t="str">
            <v>Bác sĩ chính (hạng II)</v>
          </cell>
          <cell r="AH39">
            <v>4.4000000000000004</v>
          </cell>
          <cell r="AI39">
            <v>1</v>
          </cell>
          <cell r="AJ39">
            <v>0</v>
          </cell>
          <cell r="AK39">
            <v>45809</v>
          </cell>
          <cell r="AL39" t="str">
            <v>Đại học</v>
          </cell>
          <cell r="AM39" t="str">
            <v>BSCKI</v>
          </cell>
          <cell r="AN39" t="str">
            <v>Đa khoa</v>
          </cell>
          <cell r="AO39" t="str">
            <v>Đại học Y dược Thái Nguyên</v>
          </cell>
          <cell r="AP39">
            <v>2014</v>
          </cell>
          <cell r="AQ39" t="str">
            <v>12/12</v>
          </cell>
          <cell r="AR39">
            <v>0</v>
          </cell>
          <cell r="AS39" t="str">
            <v>x</v>
          </cell>
          <cell r="AT39" t="str">
            <v>Sơ cấp</v>
          </cell>
          <cell r="AU39" t="str">
            <v>Bậc 3</v>
          </cell>
          <cell r="AV39" t="str">
            <v>Tày</v>
          </cell>
          <cell r="AW39" t="str">
            <v>Cơ bản</v>
          </cell>
          <cell r="AY39" t="str">
            <v>Nùng</v>
          </cell>
          <cell r="AZ39">
            <v>41630</v>
          </cell>
          <cell r="BA39" t="e">
            <v>#REF!</v>
          </cell>
          <cell r="BB39" t="e">
            <v>#REF!</v>
          </cell>
          <cell r="BC39" t="str">
            <v>24/06/2013</v>
          </cell>
        </row>
        <row r="40">
          <cell r="A40" t="str">
            <v>BV0774</v>
          </cell>
          <cell r="B40">
            <v>34</v>
          </cell>
          <cell r="C40" t="str">
            <v>Nguyễn Thành Đô</v>
          </cell>
          <cell r="D40" t="str">
            <v>BV0774</v>
          </cell>
          <cell r="E40" t="str">
            <v>2020008295</v>
          </cell>
          <cell r="G40" t="str">
            <v xml:space="preserve">CCCD: 020091007749; ngày cấp 06/09/2021; Nơi cấp: Cục trưởng cục cảnh sát quản lý hành chính về trật tự xã hội </v>
          </cell>
          <cell r="H40">
            <v>33457</v>
          </cell>
          <cell r="J40">
            <v>34</v>
          </cell>
          <cell r="K40" t="str">
            <v>082160667</v>
          </cell>
          <cell r="L40" t="str">
            <v>18/3/2009</v>
          </cell>
          <cell r="M40" t="str">
            <v>CA tỉnh Lạng Sơn</v>
          </cell>
          <cell r="N40" t="str">
            <v>TP. Lạng Sơn</v>
          </cell>
          <cell r="O40" t="str">
            <v>Gia Trung</v>
          </cell>
          <cell r="P40" t="str">
            <v>Gia Viễn</v>
          </cell>
          <cell r="Q40" t="str">
            <v>Ninh Bình</v>
          </cell>
          <cell r="R40" t="str">
            <v>Số 152 Lê Lai, khối 9, Phường Hoàng Văn Thụ, TP. Lạng Sơn</v>
          </cell>
          <cell r="V40" t="str">
            <v>Số 152 Lê Lai, khối 9, Phường Hoàng Văn Thụ, TP. Lạng Sơn</v>
          </cell>
          <cell r="W40" t="str">
            <v>20/3/2018</v>
          </cell>
          <cell r="X40" t="str">
            <v xml:space="preserve"> 01/9/2017</v>
          </cell>
          <cell r="Y40">
            <v>565</v>
          </cell>
          <cell r="Z40" t="str">
            <v>18/3/2018</v>
          </cell>
          <cell r="AA40" t="str">
            <v>Phó trưởng khoa/giao phụ trách khoa</v>
          </cell>
          <cell r="AB40" t="str">
            <v>TĐ003</v>
          </cell>
          <cell r="AC40" t="str">
            <v>HSTC-CĐ</v>
          </cell>
          <cell r="AD40" t="str">
            <v>KP003</v>
          </cell>
          <cell r="AE40" t="str">
            <v>Viên chức</v>
          </cell>
          <cell r="AF40" t="str">
            <v>V.08.01.03</v>
          </cell>
          <cell r="AG40" t="str">
            <v>Bác sĩ (hạng III)</v>
          </cell>
          <cell r="AH40">
            <v>3</v>
          </cell>
          <cell r="AI40">
            <v>3</v>
          </cell>
          <cell r="AJ40">
            <v>0</v>
          </cell>
          <cell r="AK40">
            <v>45474</v>
          </cell>
          <cell r="AL40" t="str">
            <v>Đại học</v>
          </cell>
          <cell r="AM40" t="str">
            <v>BSCKI</v>
          </cell>
          <cell r="AN40" t="str">
            <v>Đa khoa</v>
          </cell>
          <cell r="AO40" t="str">
            <v>Đại học Y dược Hải Phòng</v>
          </cell>
          <cell r="AP40">
            <v>2017</v>
          </cell>
          <cell r="AQ40" t="str">
            <v>12/12</v>
          </cell>
          <cell r="AR40">
            <v>0</v>
          </cell>
          <cell r="AS40">
            <v>0</v>
          </cell>
          <cell r="AT40" t="str">
            <v>Sơ cấp</v>
          </cell>
          <cell r="AU40" t="str">
            <v>Anh B</v>
          </cell>
          <cell r="AV40">
            <v>0</v>
          </cell>
          <cell r="AW40" t="str">
            <v>B</v>
          </cell>
          <cell r="AY40" t="str">
            <v>Tày</v>
          </cell>
        </row>
        <row r="41">
          <cell r="A41" t="str">
            <v>BV0940</v>
          </cell>
          <cell r="B41">
            <v>35</v>
          </cell>
          <cell r="C41" t="str">
            <v>Vũ Hoàng Đức</v>
          </cell>
          <cell r="D41" t="str">
            <v>BV0940</v>
          </cell>
          <cell r="E41" t="str">
            <v>2020863586</v>
          </cell>
          <cell r="G41" t="str">
            <v xml:space="preserve">CCCD: 020095006351; Ngày cấp 04/05/2021; Nơi cấp: Cục trưởng cục cảnh sát quản lý hành chính về trật tự xã hội </v>
          </cell>
          <cell r="H41">
            <v>34909</v>
          </cell>
          <cell r="J41">
            <v>30</v>
          </cell>
          <cell r="K41" t="str">
            <v>082291541</v>
          </cell>
          <cell r="L41">
            <v>41347</v>
          </cell>
          <cell r="R41" t="str">
            <v>142 Tông Đản</v>
          </cell>
          <cell r="S41" t="str">
            <v>Hoàng Văn Thụ</v>
          </cell>
          <cell r="T41" t="str">
            <v>TP Lạng Sơn</v>
          </cell>
          <cell r="U41" t="str">
            <v>Lạng Sơn</v>
          </cell>
          <cell r="W41" t="str">
            <v>01/4/2020</v>
          </cell>
          <cell r="X41" t="str">
            <v>05/3/2021</v>
          </cell>
          <cell r="AA41">
            <v>0</v>
          </cell>
          <cell r="AC41" t="str">
            <v>HSTC-CĐ</v>
          </cell>
          <cell r="AD41" t="str">
            <v>KP003</v>
          </cell>
          <cell r="AE41" t="str">
            <v>Viên chức</v>
          </cell>
          <cell r="AF41" t="str">
            <v>V.08.01.03</v>
          </cell>
          <cell r="AG41" t="str">
            <v>Bác sĩ (hạng III)</v>
          </cell>
          <cell r="AH41">
            <v>3</v>
          </cell>
          <cell r="AI41">
            <v>3</v>
          </cell>
          <cell r="AJ41">
            <v>0</v>
          </cell>
          <cell r="AK41">
            <v>46023</v>
          </cell>
          <cell r="AL41" t="str">
            <v>Đại học</v>
          </cell>
          <cell r="AM41" t="str">
            <v>Bác sĩ</v>
          </cell>
          <cell r="AN41" t="str">
            <v>Đa khoa</v>
          </cell>
          <cell r="AY41" t="str">
            <v>Tày</v>
          </cell>
          <cell r="AZ41">
            <v>42715</v>
          </cell>
        </row>
        <row r="42">
          <cell r="A42" t="str">
            <v>BV0068</v>
          </cell>
          <cell r="B42">
            <v>36</v>
          </cell>
          <cell r="C42" t="str">
            <v>Hoàng Thị Nga</v>
          </cell>
          <cell r="D42" t="str">
            <v>BV0068</v>
          </cell>
          <cell r="E42">
            <v>2010000137</v>
          </cell>
          <cell r="G42" t="str">
            <v xml:space="preserve">CCCD: 020188006649; Ngày cấp 25/06/2021; Nơi cấp: Cục trưởng cục cảnh sát quản lý hành chính về trật tự xã hội </v>
          </cell>
          <cell r="I42">
            <v>32183</v>
          </cell>
          <cell r="J42">
            <v>38</v>
          </cell>
          <cell r="K42" t="str">
            <v>082074325</v>
          </cell>
          <cell r="L42" t="str">
            <v>22/12/2005</v>
          </cell>
          <cell r="M42" t="str">
            <v>CA tỉnh Lạng Sơn</v>
          </cell>
          <cell r="O42" t="str">
            <v>Xã Chu Túc</v>
          </cell>
          <cell r="P42" t="str">
            <v>Huyện Văn Quan</v>
          </cell>
          <cell r="Q42" t="str">
            <v>Tỉnh Lạng Sơn</v>
          </cell>
          <cell r="S42" t="str">
            <v>Xã Chu Túc</v>
          </cell>
          <cell r="T42" t="str">
            <v>Huyện Văn Quan</v>
          </cell>
          <cell r="U42" t="str">
            <v>Tỉnh Lạng Sơn</v>
          </cell>
          <cell r="V42" t="str">
            <v>Xã Chu Túc, Huyện Văn Quan, Tỉnh Lạng Sơn</v>
          </cell>
          <cell r="W42" t="str">
            <v>15/1/2010</v>
          </cell>
          <cell r="AA42">
            <v>0</v>
          </cell>
          <cell r="AB42" t="str">
            <v>TĐ012</v>
          </cell>
          <cell r="AC42" t="str">
            <v>Nội Tổng hợp</v>
          </cell>
          <cell r="AD42" t="str">
            <v>KP007</v>
          </cell>
          <cell r="AE42" t="str">
            <v>Viên chức</v>
          </cell>
          <cell r="AF42" t="str">
            <v>V.08.05.13</v>
          </cell>
          <cell r="AG42" t="str">
            <v>Điều dưỡng (hạng IV)</v>
          </cell>
          <cell r="AH42">
            <v>3.34</v>
          </cell>
          <cell r="AI42">
            <v>5</v>
          </cell>
          <cell r="AJ42">
            <v>0</v>
          </cell>
          <cell r="AK42">
            <v>44927</v>
          </cell>
          <cell r="AL42" t="str">
            <v>Cao đẳng</v>
          </cell>
          <cell r="AM42" t="str">
            <v>Điều dưỡng CĐ</v>
          </cell>
          <cell r="AO42" t="str">
            <v>Cao đẳng Y tế Lạng Sơn</v>
          </cell>
          <cell r="AP42">
            <v>2008</v>
          </cell>
          <cell r="AQ42" t="str">
            <v>12/12</v>
          </cell>
          <cell r="AR42">
            <v>0</v>
          </cell>
          <cell r="AS42">
            <v>0</v>
          </cell>
          <cell r="AT42">
            <v>0</v>
          </cell>
          <cell r="AU42">
            <v>0</v>
          </cell>
          <cell r="AV42" t="str">
            <v>Tày</v>
          </cell>
          <cell r="AW42" t="str">
            <v>Cơ bản</v>
          </cell>
          <cell r="AY42" t="str">
            <v>Nùng</v>
          </cell>
          <cell r="BA42" t="e">
            <v>#REF!</v>
          </cell>
          <cell r="BB42" t="e">
            <v>#REF!</v>
          </cell>
          <cell r="BC42" t="str">
            <v>24/06/2013</v>
          </cell>
        </row>
        <row r="43">
          <cell r="A43" t="str">
            <v>BV0053</v>
          </cell>
          <cell r="B43">
            <v>37</v>
          </cell>
          <cell r="C43" t="str">
            <v>Lê Thị Hà</v>
          </cell>
          <cell r="D43" t="str">
            <v>BV0053</v>
          </cell>
          <cell r="E43">
            <v>1506002944</v>
          </cell>
          <cell r="G43" t="str">
            <v>CMND: 001182010943; Ngày cấp: 21/09/2015; Nơi cấp: Cục trưởng cục cảnh sát ĐKQL cư trú và DLQG về dân cư</v>
          </cell>
          <cell r="I43">
            <v>30024</v>
          </cell>
          <cell r="J43">
            <v>44</v>
          </cell>
          <cell r="K43" t="str">
            <v>111668730</v>
          </cell>
          <cell r="L43" t="str">
            <v>01/03/2000</v>
          </cell>
          <cell r="M43" t="str">
            <v>Công an tỉnh Hà tây</v>
          </cell>
          <cell r="N43" t="str">
            <v>Xã Phú Túc, xã Phú Xuyên, tỉnh Hà Tây</v>
          </cell>
          <cell r="O43" t="str">
            <v>Xã Phú Túc</v>
          </cell>
          <cell r="P43" t="str">
            <v>Huyện Phú Xuyên</v>
          </cell>
          <cell r="Q43" t="str">
            <v>Tỉnh Hà Tây</v>
          </cell>
          <cell r="S43" t="str">
            <v>Phường Tam Thanh</v>
          </cell>
          <cell r="T43" t="str">
            <v>Thành phố Lạng Sơn</v>
          </cell>
          <cell r="U43" t="str">
            <v>Tỉnh Lạng Sơn</v>
          </cell>
          <cell r="V43" t="str">
            <v>Phường Tam Thanh, Thành phố Lạng Sơn, Tỉnh Lạng Sơn</v>
          </cell>
          <cell r="W43" t="str">
            <v>30/10/2006</v>
          </cell>
          <cell r="AA43" t="str">
            <v>Điều dưỡng trưởng</v>
          </cell>
          <cell r="AB43" t="str">
            <v>TĐ011</v>
          </cell>
          <cell r="AC43" t="str">
            <v>HSTC-CĐ</v>
          </cell>
          <cell r="AD43" t="str">
            <v>KP003</v>
          </cell>
          <cell r="AE43" t="str">
            <v>Viên chức</v>
          </cell>
          <cell r="AF43" t="str">
            <v>V.08.05.12</v>
          </cell>
          <cell r="AG43" t="str">
            <v>Điều dưỡng (hạng III)</v>
          </cell>
          <cell r="AH43">
            <v>4.32</v>
          </cell>
          <cell r="AI43">
            <v>7</v>
          </cell>
          <cell r="AJ43">
            <v>0</v>
          </cell>
          <cell r="AK43">
            <v>45597</v>
          </cell>
          <cell r="AL43" t="str">
            <v>Đại học</v>
          </cell>
          <cell r="AM43" t="str">
            <v>Điều dưỡng ĐH</v>
          </cell>
          <cell r="AO43" t="str">
            <v>Cao đẳng Y tế Nam Định</v>
          </cell>
          <cell r="AP43">
            <v>2003</v>
          </cell>
          <cell r="AQ43" t="str">
            <v>12/12</v>
          </cell>
          <cell r="AR43">
            <v>0</v>
          </cell>
          <cell r="AS43">
            <v>0</v>
          </cell>
          <cell r="AT43" t="str">
            <v>Sơ cấp</v>
          </cell>
          <cell r="AU43" t="str">
            <v>Anh A2</v>
          </cell>
          <cell r="AV43" t="str">
            <v>Tày</v>
          </cell>
          <cell r="AW43" t="str">
            <v>Cơ bản</v>
          </cell>
          <cell r="AY43" t="str">
            <v>Kinh</v>
          </cell>
          <cell r="AZ43">
            <v>42657</v>
          </cell>
          <cell r="BA43" t="e">
            <v>#REF!</v>
          </cell>
          <cell r="BB43" t="e">
            <v>#REF!</v>
          </cell>
          <cell r="BC43" t="str">
            <v>28/06/2012</v>
          </cell>
        </row>
        <row r="44">
          <cell r="A44" t="str">
            <v>BV0072</v>
          </cell>
          <cell r="B44">
            <v>38</v>
          </cell>
          <cell r="C44" t="str">
            <v>Nông Văn Lập</v>
          </cell>
          <cell r="D44" t="str">
            <v>BV0072</v>
          </cell>
          <cell r="E44">
            <v>2009000934</v>
          </cell>
          <cell r="G44" t="str">
            <v xml:space="preserve">CCCD: 020085008813; Ngày cấp 25/06/2021; Nơi cấp: Cục trưởng cục cảnh sát quản lý hành chính về trật tự xã hội </v>
          </cell>
          <cell r="H44">
            <v>31084</v>
          </cell>
          <cell r="J44">
            <v>41</v>
          </cell>
          <cell r="K44" t="str">
            <v>082026334</v>
          </cell>
          <cell r="L44" t="str">
            <v>07/10/2004</v>
          </cell>
          <cell r="M44" t="str">
            <v>CA tỉnh Lạng Sơn</v>
          </cell>
          <cell r="N44" t="str">
            <v>Xã Cao Lâu, huyện Cao Lộc, tỉnh Lạng Sơn</v>
          </cell>
          <cell r="O44" t="str">
            <v>Xã Cao Lâu</v>
          </cell>
          <cell r="P44" t="str">
            <v>Huyện Cao Lộc</v>
          </cell>
          <cell r="Q44" t="str">
            <v>Tỉnh Lạng Sơn</v>
          </cell>
          <cell r="S44" t="str">
            <v>Phường Tam Thanh</v>
          </cell>
          <cell r="T44" t="str">
            <v>Thành phố Lạng Sơn</v>
          </cell>
          <cell r="U44" t="str">
            <v>Tỉnh Lạng Sơn</v>
          </cell>
          <cell r="V44" t="str">
            <v>Phường Tam Thanh, Thành phố Lạng Sơn, Tỉnh Lạng Sơn</v>
          </cell>
          <cell r="W44" t="str">
            <v>1/12/2008</v>
          </cell>
          <cell r="AA44">
            <v>0</v>
          </cell>
          <cell r="AB44" t="str">
            <v>TĐ012</v>
          </cell>
          <cell r="AC44" t="str">
            <v>HSTC-CĐ</v>
          </cell>
          <cell r="AD44" t="str">
            <v>KP003</v>
          </cell>
          <cell r="AE44" t="str">
            <v>Viên chức</v>
          </cell>
          <cell r="AF44" t="str">
            <v>V.08.05.13</v>
          </cell>
          <cell r="AG44" t="str">
            <v>Điều dưỡng (hạng IV)</v>
          </cell>
          <cell r="AH44">
            <v>3.34</v>
          </cell>
          <cell r="AI44">
            <v>5</v>
          </cell>
          <cell r="AJ44">
            <v>0</v>
          </cell>
          <cell r="AK44">
            <v>44896</v>
          </cell>
          <cell r="AL44" t="str">
            <v>Cao đẳng</v>
          </cell>
          <cell r="AM44" t="str">
            <v>Điều dưỡng CĐ</v>
          </cell>
          <cell r="AO44" t="str">
            <v>Cao đẳng Y tế Lạng Sơn</v>
          </cell>
          <cell r="AP44">
            <v>2015</v>
          </cell>
          <cell r="AQ44" t="str">
            <v>12/12</v>
          </cell>
          <cell r="AR44">
            <v>0</v>
          </cell>
          <cell r="AS44">
            <v>0</v>
          </cell>
          <cell r="AT44">
            <v>0</v>
          </cell>
          <cell r="AU44">
            <v>0</v>
          </cell>
          <cell r="AV44" t="str">
            <v>Tày</v>
          </cell>
          <cell r="AW44" t="str">
            <v>Cơ bản</v>
          </cell>
          <cell r="AY44" t="str">
            <v>Tày</v>
          </cell>
          <cell r="BA44" t="e">
            <v>#REF!</v>
          </cell>
          <cell r="BB44" t="e">
            <v>#REF!</v>
          </cell>
          <cell r="BC44" t="str">
            <v>01/06/2016</v>
          </cell>
        </row>
        <row r="45">
          <cell r="A45" t="str">
            <v>BV0833</v>
          </cell>
          <cell r="B45">
            <v>39</v>
          </cell>
          <cell r="C45" t="str">
            <v>Nông Thị Khánh Linh</v>
          </cell>
          <cell r="D45" t="str">
            <v>BV0833</v>
          </cell>
          <cell r="E45" t="str">
            <v>2020139338</v>
          </cell>
          <cell r="G45" t="str">
            <v xml:space="preserve">CCCD: 020193009199; Ngày cấp 25/06/2021; Nơi cấp: Cục trưởng cục cảnh sát quản lý hành chính về trật tự xã hội </v>
          </cell>
          <cell r="I45">
            <v>34121</v>
          </cell>
          <cell r="J45">
            <v>33</v>
          </cell>
          <cell r="K45" t="str">
            <v>082196214</v>
          </cell>
          <cell r="L45" t="str">
            <v>14/4/2009</v>
          </cell>
          <cell r="M45" t="str">
            <v>CA tỉnh Lạng Sơn</v>
          </cell>
          <cell r="N45" t="str">
            <v>Xã Đại Đồng, huyện Tràng Định, tỉnh Lạng Sơn</v>
          </cell>
          <cell r="O45" t="str">
            <v>Đại Đồng</v>
          </cell>
          <cell r="P45" t="str">
            <v>Tràng Định</v>
          </cell>
          <cell r="Q45" t="str">
            <v>Lạng Sơn</v>
          </cell>
          <cell r="R45" t="str">
            <v>Thôn Khòn Cà, Xã Đại Đồng, huyện Tràng Định, tỉnh Lạng Sơn</v>
          </cell>
          <cell r="V45" t="str">
            <v>Thôn Khòn Cà, Xã Đại Đồng, huyện Tràng Định, tỉnh Lạng Sơn</v>
          </cell>
          <cell r="W45" t="str">
            <v>20/3/2018</v>
          </cell>
          <cell r="Y45">
            <v>562</v>
          </cell>
          <cell r="Z45" t="str">
            <v>18/3/2018</v>
          </cell>
          <cell r="AA45">
            <v>0</v>
          </cell>
          <cell r="AB45" t="str">
            <v>TĐ012</v>
          </cell>
          <cell r="AC45" t="str">
            <v>HSTC-CĐ</v>
          </cell>
          <cell r="AD45" t="str">
            <v>KP003</v>
          </cell>
          <cell r="AE45" t="str">
            <v>Viên chức</v>
          </cell>
          <cell r="AF45" t="str">
            <v>V.08.05.13</v>
          </cell>
          <cell r="AG45" t="str">
            <v>Điều dưỡng (hạng IV)</v>
          </cell>
          <cell r="AH45">
            <v>2.72</v>
          </cell>
          <cell r="AI45">
            <v>3</v>
          </cell>
          <cell r="AJ45">
            <v>0</v>
          </cell>
          <cell r="AK45">
            <v>44927</v>
          </cell>
          <cell r="AL45" t="str">
            <v>Cao đẳng</v>
          </cell>
          <cell r="AM45" t="str">
            <v>Điều dưỡng CĐ</v>
          </cell>
          <cell r="AO45" t="str">
            <v>Cao đẳng Y tế Thái Nguyên</v>
          </cell>
          <cell r="AP45">
            <v>2015</v>
          </cell>
          <cell r="AQ45" t="str">
            <v>12/12</v>
          </cell>
          <cell r="AR45">
            <v>0</v>
          </cell>
          <cell r="AS45">
            <v>0</v>
          </cell>
          <cell r="AT45" t="str">
            <v>Sơ cấp</v>
          </cell>
          <cell r="AU45" t="str">
            <v>Anh B</v>
          </cell>
          <cell r="AV45">
            <v>0</v>
          </cell>
          <cell r="AW45" t="str">
            <v>B</v>
          </cell>
          <cell r="AY45" t="str">
            <v>Tày</v>
          </cell>
          <cell r="BC45" t="str">
            <v>10/03/2017</v>
          </cell>
        </row>
        <row r="46">
          <cell r="A46" t="str">
            <v>BV0057</v>
          </cell>
          <cell r="B46">
            <v>40</v>
          </cell>
          <cell r="C46" t="str">
            <v>Bế Thị Quyên</v>
          </cell>
          <cell r="D46" t="str">
            <v>BV0057</v>
          </cell>
          <cell r="E46">
            <v>1506002941</v>
          </cell>
          <cell r="G46" t="str">
            <v xml:space="preserve">CCCD: 020182001088; ngày cấp 31/03/2021; Nơi cấp: Cục trưởng cục cảnh sát quản lý hành chính về trật tự xã hội </v>
          </cell>
          <cell r="I46">
            <v>30241</v>
          </cell>
          <cell r="J46">
            <v>43</v>
          </cell>
          <cell r="K46" t="str">
            <v>080937465</v>
          </cell>
          <cell r="L46" t="str">
            <v>10/03/2000</v>
          </cell>
          <cell r="M46" t="str">
            <v>CA tỉnh Lạng Sơn</v>
          </cell>
          <cell r="N46" t="str">
            <v>Xã Tri Phương, huyện Tràng Định, tỉnh Lạng Sơn</v>
          </cell>
          <cell r="O46" t="str">
            <v>Xã Tri Phương</v>
          </cell>
          <cell r="P46" t="str">
            <v>Huyện Tràng Định</v>
          </cell>
          <cell r="Q46" t="str">
            <v>Tỉnh Lạng Sơn</v>
          </cell>
          <cell r="S46" t="str">
            <v>Phường Tam Thanh</v>
          </cell>
          <cell r="T46" t="str">
            <v>Thành phố Lạng Sơn</v>
          </cell>
          <cell r="U46" t="str">
            <v>Tỉnh Lạng Sơn</v>
          </cell>
          <cell r="V46" t="str">
            <v>Phường Tam Thanh, Thành phố Lạng Sơn, Tỉnh Lạng Sơn</v>
          </cell>
          <cell r="W46" t="str">
            <v>7/11/2006</v>
          </cell>
          <cell r="AA46">
            <v>0</v>
          </cell>
          <cell r="AB46" t="str">
            <v>TĐ012</v>
          </cell>
          <cell r="AC46" t="str">
            <v>HSTC-CĐ</v>
          </cell>
          <cell r="AD46" t="str">
            <v>KP003</v>
          </cell>
          <cell r="AE46" t="str">
            <v>Viên chức</v>
          </cell>
          <cell r="AF46" t="str">
            <v>V.08.05.13</v>
          </cell>
          <cell r="AG46" t="str">
            <v>Điều dưỡng (hạng IV)</v>
          </cell>
          <cell r="AH46">
            <v>3.65</v>
          </cell>
          <cell r="AI46">
            <v>6</v>
          </cell>
          <cell r="AJ46">
            <v>0</v>
          </cell>
          <cell r="AK46">
            <v>45413</v>
          </cell>
          <cell r="AL46" t="str">
            <v>Cao đẳng</v>
          </cell>
          <cell r="AM46" t="str">
            <v>Điều dưỡng CĐ</v>
          </cell>
          <cell r="AO46" t="str">
            <v>Trung học Y tế Lạng Sơn</v>
          </cell>
          <cell r="AP46">
            <v>2005</v>
          </cell>
          <cell r="AQ46" t="str">
            <v>12/12</v>
          </cell>
          <cell r="AR46">
            <v>0</v>
          </cell>
          <cell r="AS46">
            <v>0</v>
          </cell>
          <cell r="AT46">
            <v>0</v>
          </cell>
          <cell r="AU46">
            <v>0</v>
          </cell>
          <cell r="AV46">
            <v>0</v>
          </cell>
          <cell r="AW46" t="str">
            <v>Cơ bản</v>
          </cell>
          <cell r="AY46" t="str">
            <v>Tày</v>
          </cell>
          <cell r="BA46" t="e">
            <v>#REF!</v>
          </cell>
          <cell r="BB46" t="e">
            <v>#REF!</v>
          </cell>
          <cell r="BC46" t="str">
            <v>24/06/2013</v>
          </cell>
        </row>
        <row r="47">
          <cell r="A47" t="str">
            <v>BV0054</v>
          </cell>
          <cell r="B47">
            <v>41</v>
          </cell>
          <cell r="C47" t="str">
            <v>Lương Thị Thuyên</v>
          </cell>
          <cell r="D47" t="str">
            <v>BV0054</v>
          </cell>
          <cell r="E47" t="str">
            <v>1500002073</v>
          </cell>
          <cell r="G47" t="str">
            <v xml:space="preserve">CCCD: 020173008501; Ngày cấp 28/06/2021; Nơi cấp: Cục trưởng cục cảnh sát quản lý hành chính về trật tự xã hội </v>
          </cell>
          <cell r="I47">
            <v>26947</v>
          </cell>
          <cell r="J47">
            <v>52</v>
          </cell>
          <cell r="K47" t="str">
            <v>081064016</v>
          </cell>
          <cell r="L47" t="str">
            <v>31/10/2002</v>
          </cell>
          <cell r="M47" t="str">
            <v>CA tỉnh Lạng Sơn</v>
          </cell>
          <cell r="N47" t="str">
            <v>huyện Bình Gia, tỉnh Lạng Sơn</v>
          </cell>
          <cell r="O47" t="str">
            <v>Xã Tô Hiệu</v>
          </cell>
          <cell r="P47" t="str">
            <v>Huyện Bình Gia</v>
          </cell>
          <cell r="Q47" t="str">
            <v>Tỉnh Lạng Sơn</v>
          </cell>
          <cell r="S47" t="str">
            <v>Phường Tam Thanh</v>
          </cell>
          <cell r="T47" t="str">
            <v>Thành phố Lạng Sơn</v>
          </cell>
          <cell r="U47" t="str">
            <v>Tỉnh Lạng Sơn</v>
          </cell>
          <cell r="V47" t="str">
            <v>Phường Tam Thanh, Thành phố Lạng Sơn, Tỉnh Lạng Sơn</v>
          </cell>
          <cell r="W47" t="str">
            <v>1/5/1999</v>
          </cell>
          <cell r="AA47">
            <v>0</v>
          </cell>
          <cell r="AB47" t="str">
            <v>TĐ012</v>
          </cell>
          <cell r="AC47" t="str">
            <v>HSTC-CĐ</v>
          </cell>
          <cell r="AD47" t="str">
            <v>KP003</v>
          </cell>
          <cell r="AE47" t="str">
            <v>Viên chức</v>
          </cell>
          <cell r="AF47" t="str">
            <v>V.08.05.13</v>
          </cell>
          <cell r="AG47" t="str">
            <v>Điều dưỡng (hạng IV)</v>
          </cell>
          <cell r="AH47">
            <v>3.96</v>
          </cell>
          <cell r="AI47">
            <v>7</v>
          </cell>
          <cell r="AJ47">
            <v>0</v>
          </cell>
          <cell r="AK47">
            <v>45352</v>
          </cell>
          <cell r="AL47" t="str">
            <v>Cao đẳng</v>
          </cell>
          <cell r="AM47" t="str">
            <v>Điều dưỡng CĐ</v>
          </cell>
          <cell r="AO47" t="str">
            <v>Trung học Y tế Lạng Sơn</v>
          </cell>
          <cell r="AP47">
            <v>1995</v>
          </cell>
          <cell r="AQ47" t="str">
            <v>12/12</v>
          </cell>
          <cell r="AR47">
            <v>0</v>
          </cell>
          <cell r="AS47">
            <v>0</v>
          </cell>
          <cell r="AT47">
            <v>0</v>
          </cell>
          <cell r="AU47">
            <v>0</v>
          </cell>
          <cell r="AV47" t="str">
            <v>Tày</v>
          </cell>
          <cell r="AW47" t="str">
            <v>Cơ bản</v>
          </cell>
          <cell r="AY47" t="str">
            <v>Nùng</v>
          </cell>
          <cell r="BA47" t="e">
            <v>#REF!</v>
          </cell>
          <cell r="BB47" t="e">
            <v>#REF!</v>
          </cell>
          <cell r="BC47" t="str">
            <v>24/08/2016</v>
          </cell>
        </row>
        <row r="48">
          <cell r="A48" t="str">
            <v>BV0065</v>
          </cell>
          <cell r="B48">
            <v>42</v>
          </cell>
          <cell r="C48" t="str">
            <v>Lý Văn Mạnh</v>
          </cell>
          <cell r="D48" t="str">
            <v>BV0065</v>
          </cell>
          <cell r="E48">
            <v>2010000136</v>
          </cell>
          <cell r="G48" t="str">
            <v xml:space="preserve">CCCD: 020085011286; Ngày cấp 05/ 07/2021; Nơi cấp: Cục trưởng cục cảnh sát quản lý hành chính về trật tự xã hội </v>
          </cell>
          <cell r="H48">
            <v>31391</v>
          </cell>
          <cell r="J48">
            <v>40</v>
          </cell>
          <cell r="K48" t="str">
            <v>081068789</v>
          </cell>
          <cell r="L48" t="str">
            <v>27/05/2009</v>
          </cell>
          <cell r="M48" t="str">
            <v>CA tỉnh Lạng Sơn</v>
          </cell>
          <cell r="O48" t="str">
            <v>Xã Tân Thành</v>
          </cell>
          <cell r="P48" t="str">
            <v>Huyện Hữu Lũng</v>
          </cell>
          <cell r="Q48" t="str">
            <v>Tỉnh Lạng Sơn</v>
          </cell>
          <cell r="S48" t="str">
            <v>Xã Tân Thành</v>
          </cell>
          <cell r="T48" t="str">
            <v>Huyện Hữu Lũng</v>
          </cell>
          <cell r="U48" t="str">
            <v>Tỉnh Lạng Sơn</v>
          </cell>
          <cell r="V48" t="str">
            <v>Xã Tân Thành, Huyện Hữu Lũng, Tỉnh Lạng Sơn</v>
          </cell>
          <cell r="W48" t="str">
            <v>15/1/2010</v>
          </cell>
          <cell r="AB48" t="str">
            <v>TĐ011</v>
          </cell>
          <cell r="AC48" t="str">
            <v>UB-YHHN</v>
          </cell>
          <cell r="AD48" t="str">
            <v>KP011</v>
          </cell>
          <cell r="AE48" t="str">
            <v>Viên chức</v>
          </cell>
          <cell r="AF48" t="str">
            <v>V.08.05.12</v>
          </cell>
          <cell r="AG48" t="str">
            <v>Điều dưỡng (hạng III)</v>
          </cell>
          <cell r="AH48">
            <v>3.66</v>
          </cell>
          <cell r="AI48">
            <v>5</v>
          </cell>
          <cell r="AJ48">
            <v>0</v>
          </cell>
          <cell r="AK48">
            <v>45383</v>
          </cell>
          <cell r="AL48" t="str">
            <v>Đại học</v>
          </cell>
          <cell r="AM48" t="str">
            <v>Điều dưỡng ĐH</v>
          </cell>
          <cell r="AQ48" t="str">
            <v>12/12</v>
          </cell>
          <cell r="AR48">
            <v>0</v>
          </cell>
          <cell r="AS48">
            <v>0</v>
          </cell>
          <cell r="AT48" t="str">
            <v>Sơ cấp</v>
          </cell>
          <cell r="AU48" t="str">
            <v xml:space="preserve">Anh A2 </v>
          </cell>
          <cell r="AV48">
            <v>0</v>
          </cell>
          <cell r="AW48" t="str">
            <v>Cơ bản</v>
          </cell>
          <cell r="AY48" t="str">
            <v>Nùng</v>
          </cell>
          <cell r="AZ48">
            <v>43222</v>
          </cell>
          <cell r="BA48" t="e">
            <v>#REF!</v>
          </cell>
          <cell r="BB48" t="e">
            <v>#REF!</v>
          </cell>
          <cell r="BC48" t="str">
            <v>24/06/2013</v>
          </cell>
        </row>
        <row r="49">
          <cell r="A49" t="str">
            <v>BV0082</v>
          </cell>
          <cell r="B49">
            <v>43</v>
          </cell>
          <cell r="C49" t="str">
            <v>Hà Thị Kiều Oanh</v>
          </cell>
          <cell r="D49" t="str">
            <v>BV0082</v>
          </cell>
          <cell r="E49">
            <v>2011000161</v>
          </cell>
          <cell r="G49" t="str">
            <v xml:space="preserve">CCCD: 020188002923; Ngày cấp 29/04/2021; Nơi cấp: Cục trưởng cục cảnh sát quản lý hành chính về trật tự xã hội </v>
          </cell>
          <cell r="I49">
            <v>32410</v>
          </cell>
          <cell r="J49">
            <v>37</v>
          </cell>
          <cell r="K49" t="str">
            <v>082081299</v>
          </cell>
          <cell r="L49" t="str">
            <v>20/03/2006</v>
          </cell>
          <cell r="M49" t="str">
            <v>CA tỉnh Lạng Sơn</v>
          </cell>
          <cell r="O49" t="str">
            <v>Thị trấn Cao Lộc</v>
          </cell>
          <cell r="P49" t="str">
            <v>Huyện Cao Lộc</v>
          </cell>
          <cell r="Q49" t="str">
            <v>Tỉnh Lạng Sơn</v>
          </cell>
          <cell r="S49" t="str">
            <v>Thị trấn Cao Lộc</v>
          </cell>
          <cell r="T49" t="str">
            <v>Huyện Cao Lộc</v>
          </cell>
          <cell r="U49" t="str">
            <v>Tỉnh Lạng Sơn</v>
          </cell>
          <cell r="V49" t="str">
            <v>Thị trấn Cao Lộc, Huyện Cao Lộc, Tỉnh Lạng Sơn</v>
          </cell>
          <cell r="W49" t="str">
            <v>14/1/2011</v>
          </cell>
          <cell r="AA49">
            <v>0</v>
          </cell>
          <cell r="AB49" t="str">
            <v>TĐ012</v>
          </cell>
          <cell r="AC49" t="str">
            <v>HSTC-CĐ</v>
          </cell>
          <cell r="AD49" t="str">
            <v>KP003</v>
          </cell>
          <cell r="AE49" t="str">
            <v>Viên chức</v>
          </cell>
          <cell r="AF49" t="str">
            <v>V.08.05.13</v>
          </cell>
          <cell r="AG49" t="str">
            <v>Điều dưỡng (hạng IV)</v>
          </cell>
          <cell r="AH49">
            <v>3.34</v>
          </cell>
          <cell r="AI49">
            <v>5</v>
          </cell>
          <cell r="AJ49">
            <v>0</v>
          </cell>
          <cell r="AK49">
            <v>45597</v>
          </cell>
          <cell r="AL49" t="str">
            <v>Cao đẳng</v>
          </cell>
          <cell r="AM49" t="str">
            <v>Điều dưỡng CĐ</v>
          </cell>
          <cell r="AQ49" t="str">
            <v>12/12</v>
          </cell>
          <cell r="AR49">
            <v>0</v>
          </cell>
          <cell r="AS49">
            <v>0</v>
          </cell>
          <cell r="AT49">
            <v>0</v>
          </cell>
          <cell r="AU49">
            <v>0</v>
          </cell>
          <cell r="AV49" t="str">
            <v>Tày</v>
          </cell>
          <cell r="AW49" t="str">
            <v>Cơ bản</v>
          </cell>
          <cell r="AY49" t="str">
            <v>Nùng</v>
          </cell>
          <cell r="BA49" t="e">
            <v>#REF!</v>
          </cell>
          <cell r="BB49" t="e">
            <v>#REF!</v>
          </cell>
          <cell r="BC49" t="str">
            <v>01/06/2016</v>
          </cell>
        </row>
        <row r="50">
          <cell r="A50" t="str">
            <v>BV0069</v>
          </cell>
          <cell r="B50">
            <v>44</v>
          </cell>
          <cell r="C50" t="str">
            <v>Hoàng Thị SLao</v>
          </cell>
          <cell r="D50" t="str">
            <v>BV0069</v>
          </cell>
          <cell r="E50">
            <v>2010000182</v>
          </cell>
          <cell r="G50" t="str">
            <v xml:space="preserve">CCCD: 020186002927; Ngày cấp 29/04/2021; Nơi cấp: Cục trưởng cục cảnh sát quản lý hành chính về trật tự xã hội </v>
          </cell>
          <cell r="I50">
            <v>31752</v>
          </cell>
          <cell r="J50">
            <v>39</v>
          </cell>
          <cell r="K50" t="str">
            <v>082041427</v>
          </cell>
          <cell r="L50" t="str">
            <v>07/01/2005</v>
          </cell>
          <cell r="M50" t="str">
            <v>CA tỉnh Lạng Sơn</v>
          </cell>
          <cell r="O50" t="str">
            <v>Xã Tân Mỹ</v>
          </cell>
          <cell r="P50" t="str">
            <v>Huyện Văn Lãng</v>
          </cell>
          <cell r="Q50" t="str">
            <v>Tỉnh Lạng Sơn</v>
          </cell>
          <cell r="R50" t="str">
            <v>Thôn Thâm Kéo</v>
          </cell>
          <cell r="S50" t="str">
            <v>Xã Tân Mỹ</v>
          </cell>
          <cell r="T50" t="str">
            <v>Huyện Văn Lãng</v>
          </cell>
          <cell r="U50" t="str">
            <v>Tỉnh Lạng Sơn</v>
          </cell>
          <cell r="V50" t="str">
            <v>Xã Tân Mỹ, Huyện Văn Lãng, Tỉnh Lạng Sơn</v>
          </cell>
          <cell r="W50" t="str">
            <v>15/1/2010</v>
          </cell>
          <cell r="AA50">
            <v>0</v>
          </cell>
          <cell r="AB50" t="str">
            <v>TĐ012</v>
          </cell>
          <cell r="AC50" t="str">
            <v>HSTC-CĐ</v>
          </cell>
          <cell r="AD50" t="str">
            <v>KP003</v>
          </cell>
          <cell r="AE50" t="str">
            <v>Viên chức</v>
          </cell>
          <cell r="AF50" t="str">
            <v>V.08.05.13</v>
          </cell>
          <cell r="AG50" t="str">
            <v>Điều dưỡng (hạng IV)</v>
          </cell>
          <cell r="AH50">
            <v>3.34</v>
          </cell>
          <cell r="AI50">
            <v>5</v>
          </cell>
          <cell r="AJ50">
            <v>0</v>
          </cell>
          <cell r="AK50">
            <v>44927</v>
          </cell>
          <cell r="AL50" t="str">
            <v>Cao đẳng</v>
          </cell>
          <cell r="AM50" t="str">
            <v>Điều dưỡng CĐ</v>
          </cell>
          <cell r="AO50" t="str">
            <v>Cao đẳng Y tế Lạng Sơn</v>
          </cell>
          <cell r="AP50">
            <v>2007</v>
          </cell>
          <cell r="AQ50" t="str">
            <v>12/12</v>
          </cell>
          <cell r="AR50">
            <v>0</v>
          </cell>
          <cell r="AS50">
            <v>0</v>
          </cell>
          <cell r="AT50">
            <v>0</v>
          </cell>
          <cell r="AU50">
            <v>0</v>
          </cell>
          <cell r="AV50" t="str">
            <v>Tày</v>
          </cell>
          <cell r="AW50" t="str">
            <v>Cơ bản</v>
          </cell>
          <cell r="AY50" t="str">
            <v>Nùng</v>
          </cell>
          <cell r="BA50" t="e">
            <v>#REF!</v>
          </cell>
          <cell r="BB50" t="e">
            <v>#REF!</v>
          </cell>
          <cell r="BC50" t="str">
            <v>01/06/2016</v>
          </cell>
        </row>
        <row r="51">
          <cell r="A51" t="str">
            <v>BV0075</v>
          </cell>
          <cell r="B51">
            <v>45</v>
          </cell>
          <cell r="C51" t="str">
            <v>Hồ Thị Chiến</v>
          </cell>
          <cell r="D51" t="str">
            <v>BV0075</v>
          </cell>
          <cell r="E51">
            <v>1596007565</v>
          </cell>
          <cell r="G51" t="str">
            <v>CCCD: 020169009396, ngày cấp: 09/5/2021, nơi cấp: Cục cảnh sát quản lý hành chính về trật tự xã hội</v>
          </cell>
          <cell r="I51">
            <v>25342</v>
          </cell>
          <cell r="J51">
            <v>57</v>
          </cell>
          <cell r="K51" t="str">
            <v>080889133</v>
          </cell>
          <cell r="L51" t="str">
            <v>06/05/2003</v>
          </cell>
          <cell r="M51" t="str">
            <v>CA tỉnh Lạng Sơn</v>
          </cell>
          <cell r="O51" t="str">
            <v>Phường Đông Kinh</v>
          </cell>
          <cell r="P51" t="str">
            <v>Thành phố Lạng Sơn</v>
          </cell>
          <cell r="Q51" t="str">
            <v>Tỉnh Lạng Sơn</v>
          </cell>
          <cell r="S51" t="str">
            <v>Phường Đông Kinh</v>
          </cell>
          <cell r="T51" t="str">
            <v>Thành phố Lạng Sơn</v>
          </cell>
          <cell r="U51" t="str">
            <v>Tỉnh Lạng Sơn</v>
          </cell>
          <cell r="V51" t="str">
            <v>Phường Đông Kinh, Thành phố Lạng Sơn, Tỉnh Lạng Sơn</v>
          </cell>
          <cell r="W51" t="str">
            <v>1/7/1996</v>
          </cell>
          <cell r="AA51" t="e">
            <v>#N/A</v>
          </cell>
          <cell r="AB51" t="e">
            <v>#N/A</v>
          </cell>
          <cell r="AC51" t="e">
            <v>#N/A</v>
          </cell>
          <cell r="AD51" t="e">
            <v>#N/A</v>
          </cell>
          <cell r="AE51" t="e">
            <v>#N/A</v>
          </cell>
          <cell r="AF51" t="str">
            <v>V.08.01.02</v>
          </cell>
          <cell r="AG51" t="e">
            <v>#N/A</v>
          </cell>
          <cell r="AH51">
            <v>5.42</v>
          </cell>
          <cell r="AI51">
            <v>4</v>
          </cell>
          <cell r="AJ51">
            <v>0</v>
          </cell>
          <cell r="AK51">
            <v>45231</v>
          </cell>
          <cell r="AL51" t="str">
            <v>Đại học</v>
          </cell>
          <cell r="AM51" t="e">
            <v>#N/A</v>
          </cell>
          <cell r="AN51" t="str">
            <v>Nội khoa</v>
          </cell>
          <cell r="AO51" t="str">
            <v>Đại học Y Hà Nội</v>
          </cell>
          <cell r="AP51">
            <v>2004</v>
          </cell>
          <cell r="AQ51" t="str">
            <v>12/12</v>
          </cell>
          <cell r="AR51" t="str">
            <v>Chuyên viên</v>
          </cell>
          <cell r="AS51" t="str">
            <v>x</v>
          </cell>
          <cell r="AT51" t="str">
            <v>Trung cấp</v>
          </cell>
          <cell r="AU51" t="str">
            <v>B</v>
          </cell>
          <cell r="AV51" t="str">
            <v>x</v>
          </cell>
          <cell r="AW51" t="str">
            <v>B</v>
          </cell>
          <cell r="AY51" t="str">
            <v>Nùng</v>
          </cell>
          <cell r="AZ51">
            <v>36893</v>
          </cell>
          <cell r="BA51" t="e">
            <v>#REF!</v>
          </cell>
          <cell r="BB51" t="e">
            <v>#REF!</v>
          </cell>
          <cell r="BC51" t="str">
            <v>24/06/2013</v>
          </cell>
        </row>
        <row r="52">
          <cell r="A52" t="str">
            <v>BV0077</v>
          </cell>
          <cell r="B52">
            <v>46</v>
          </cell>
          <cell r="C52" t="str">
            <v>Hoàng Thị Minh Hồng</v>
          </cell>
          <cell r="D52" t="str">
            <v>BV0077</v>
          </cell>
          <cell r="E52">
            <v>1596007564</v>
          </cell>
          <cell r="G52" t="str">
            <v>CCCD: 020170006326, ngày cấp: 25/6/2021
Tại Cục cảnh sát quản lý hành chính về trật tự xã hội</v>
          </cell>
          <cell r="I52">
            <v>25913</v>
          </cell>
          <cell r="J52">
            <v>55</v>
          </cell>
          <cell r="K52" t="str">
            <v>090711448</v>
          </cell>
          <cell r="L52" t="str">
            <v>25/08/2009</v>
          </cell>
          <cell r="M52" t="str">
            <v>CA tỉnh Lạng Sơn</v>
          </cell>
          <cell r="N52" t="str">
            <v>Phường Tam Thanh, TP. Lạng Sơn</v>
          </cell>
          <cell r="O52" t="str">
            <v>Xã Hùng Sơn</v>
          </cell>
          <cell r="P52" t="str">
            <v>Huyện Tràng Định</v>
          </cell>
          <cell r="Q52" t="str">
            <v>Tỉnh Lạng Sơn</v>
          </cell>
          <cell r="S52" t="str">
            <v>Phường Tam Thanh</v>
          </cell>
          <cell r="T52" t="str">
            <v>Thành phố Lạng Sơn</v>
          </cell>
          <cell r="U52" t="str">
            <v>Tỉnh Lạng Sơn</v>
          </cell>
          <cell r="V52" t="str">
            <v>Phường Tam Thanh, Thành phố Lạng Sơn, Tỉnh Lạng Sơn</v>
          </cell>
          <cell r="W52" t="str">
            <v>10/1/1996</v>
          </cell>
          <cell r="AA52" t="str">
            <v>Phó trưởng khoa</v>
          </cell>
          <cell r="AB52" t="str">
            <v>TĐ003</v>
          </cell>
          <cell r="AC52" t="str">
            <v>Lão - CXK</v>
          </cell>
          <cell r="AD52" t="str">
            <v>KP004</v>
          </cell>
          <cell r="AE52" t="str">
            <v>Viên chức</v>
          </cell>
          <cell r="AF52" t="str">
            <v>V.08.01.03</v>
          </cell>
          <cell r="AG52" t="str">
            <v>Bác sĩ (hạng III)</v>
          </cell>
          <cell r="AH52">
            <v>4.9800000000000004</v>
          </cell>
          <cell r="AI52">
            <v>9</v>
          </cell>
          <cell r="AJ52">
            <v>7.0000000000000007E-2</v>
          </cell>
          <cell r="AK52">
            <v>45962</v>
          </cell>
          <cell r="AL52" t="str">
            <v>Đại học</v>
          </cell>
          <cell r="AM52" t="str">
            <v>BSCKI</v>
          </cell>
          <cell r="AN52" t="str">
            <v>Nội khoa</v>
          </cell>
          <cell r="AR52">
            <v>0</v>
          </cell>
          <cell r="AS52">
            <v>0</v>
          </cell>
          <cell r="AT52">
            <v>0</v>
          </cell>
          <cell r="AU52" t="str">
            <v>C</v>
          </cell>
          <cell r="AV52">
            <v>0</v>
          </cell>
          <cell r="AW52" t="str">
            <v>C</v>
          </cell>
          <cell r="AY52" t="str">
            <v>Tày</v>
          </cell>
          <cell r="AZ52">
            <v>39261</v>
          </cell>
          <cell r="BA52" t="e">
            <v>#REF!</v>
          </cell>
          <cell r="BB52" t="e">
            <v>#REF!</v>
          </cell>
          <cell r="BC52" t="str">
            <v>24/06/2013</v>
          </cell>
        </row>
        <row r="53">
          <cell r="A53" t="str">
            <v>BV0685</v>
          </cell>
          <cell r="B53">
            <v>47</v>
          </cell>
          <cell r="C53" t="str">
            <v>Hoàng Sĩ Hoa</v>
          </cell>
          <cell r="D53" t="str">
            <v>BV0685</v>
          </cell>
          <cell r="E53">
            <v>2016000977</v>
          </cell>
          <cell r="G53" t="str">
            <v>CCCD: 020190006385, ngày cấp: 25/6/2021
Tại Cục cảnh sát quản lý hành chính về trật tự xã hội</v>
          </cell>
          <cell r="I53" t="str">
            <v>10/6/1990</v>
          </cell>
          <cell r="J53">
            <v>36</v>
          </cell>
          <cell r="K53" t="str">
            <v>082025815</v>
          </cell>
          <cell r="L53" t="str">
            <v>06/02/2013</v>
          </cell>
          <cell r="M53" t="str">
            <v>CA tỉnh Lạng Sơn</v>
          </cell>
          <cell r="N53" t="str">
            <v>Xã Hòa Cư, huyện Cao Lộc, tỉnh Lạng Sơn</v>
          </cell>
          <cell r="S53" t="str">
            <v>Xã Hòa Cư</v>
          </cell>
          <cell r="T53" t="str">
            <v>Huyện Cao Lộc</v>
          </cell>
          <cell r="U53" t="str">
            <v>Tỉnh Lạng Sơn</v>
          </cell>
          <cell r="V53" t="str">
            <v>Xã Hòa Cư, Huyện Cao Lộc, Tỉnh Lạng Sơn</v>
          </cell>
          <cell r="W53" t="str">
            <v>10/01/2016</v>
          </cell>
          <cell r="AA53" t="str">
            <v>Phụ trách khoa Dinh dưỡng</v>
          </cell>
          <cell r="AB53" t="str">
            <v>TĐ003</v>
          </cell>
          <cell r="AC53" t="str">
            <v>Lão - CXK</v>
          </cell>
          <cell r="AD53" t="str">
            <v>KP004</v>
          </cell>
          <cell r="AE53" t="str">
            <v>Viên chức</v>
          </cell>
          <cell r="AF53" t="str">
            <v>V.08.01.03</v>
          </cell>
          <cell r="AG53" t="str">
            <v>Bác sĩ (hạng III)</v>
          </cell>
          <cell r="AH53">
            <v>3.33</v>
          </cell>
          <cell r="AI53">
            <v>4</v>
          </cell>
          <cell r="AJ53">
            <v>0</v>
          </cell>
          <cell r="AK53">
            <v>45768</v>
          </cell>
          <cell r="AL53" t="str">
            <v>Đại học</v>
          </cell>
          <cell r="AM53" t="str">
            <v>BSCKI</v>
          </cell>
          <cell r="AN53" t="str">
            <v>Nội khoa</v>
          </cell>
          <cell r="AO53" t="str">
            <v>Đại học Y dược Thái Nguyên</v>
          </cell>
          <cell r="AP53">
            <v>2015</v>
          </cell>
          <cell r="AQ53" t="str">
            <v>12/12</v>
          </cell>
          <cell r="AR53">
            <v>0</v>
          </cell>
          <cell r="AS53">
            <v>0</v>
          </cell>
          <cell r="AT53" t="str">
            <v>Sơ cấp</v>
          </cell>
          <cell r="AU53" t="str">
            <v>C</v>
          </cell>
          <cell r="AV53">
            <v>0</v>
          </cell>
          <cell r="AW53" t="str">
            <v>B</v>
          </cell>
          <cell r="AY53" t="str">
            <v>Nùng</v>
          </cell>
          <cell r="AZ53">
            <v>44848</v>
          </cell>
          <cell r="BA53" t="e">
            <v>#REF!</v>
          </cell>
          <cell r="BB53" t="e">
            <v>#REF!</v>
          </cell>
          <cell r="BC53" t="str">
            <v>24/06/2013</v>
          </cell>
        </row>
        <row r="54">
          <cell r="A54" t="str">
            <v>BV0210</v>
          </cell>
          <cell r="B54">
            <v>48</v>
          </cell>
          <cell r="C54" t="str">
            <v>Hoàng Thị Thu Huyền</v>
          </cell>
          <cell r="D54" t="str">
            <v>BV0210</v>
          </cell>
          <cell r="E54">
            <v>1506001859</v>
          </cell>
          <cell r="G54" t="str">
            <v>CCCD: 020182002689, ngày cấp: 29/4/2021
Tại Cục cảnh sát quản lý hành chính về trật tự xã hội</v>
          </cell>
          <cell r="I54">
            <v>30234</v>
          </cell>
          <cell r="J54">
            <v>43</v>
          </cell>
          <cell r="K54" t="str">
            <v>080968837</v>
          </cell>
          <cell r="L54" t="str">
            <v>06/07/2006</v>
          </cell>
          <cell r="M54" t="str">
            <v>CA tỉnh Lạng Sơn</v>
          </cell>
          <cell r="N54" t="str">
            <v>Xã Đồng Mỏ, huyện Chi Lăng, tỉnh Lạng Sơn</v>
          </cell>
          <cell r="O54" t="str">
            <v>Xã Gia Lộc</v>
          </cell>
          <cell r="P54" t="str">
            <v>Huyện Chi Lăng</v>
          </cell>
          <cell r="Q54" t="str">
            <v>Tỉnh Lạng Sơn</v>
          </cell>
          <cell r="R54" t="str">
            <v>Số 60 khối Đại Thắng</v>
          </cell>
          <cell r="S54" t="str">
            <v>Phường Chi Lăng</v>
          </cell>
          <cell r="T54" t="str">
            <v>Thành phố Lạng Sơn</v>
          </cell>
          <cell r="U54" t="str">
            <v>Tỉnh Lạng Sơn</v>
          </cell>
          <cell r="V54" t="str">
            <v>Phường Chi Lăng, Thành phố Lạng Sơn, Tỉnh Lạng Sơn</v>
          </cell>
          <cell r="W54" t="str">
            <v>17/3/2006</v>
          </cell>
          <cell r="AA54" t="str">
            <v>Điều dưỡng trưởng</v>
          </cell>
          <cell r="AB54" t="str">
            <v>TĐ011</v>
          </cell>
          <cell r="AC54" t="str">
            <v>Lão - CXK</v>
          </cell>
          <cell r="AD54" t="str">
            <v>KP004</v>
          </cell>
          <cell r="AE54" t="str">
            <v>Viên chức</v>
          </cell>
          <cell r="AF54" t="str">
            <v>V.08.05.12</v>
          </cell>
          <cell r="AG54" t="str">
            <v>Điều dưỡng (hạng III)</v>
          </cell>
          <cell r="AH54">
            <v>3.99</v>
          </cell>
          <cell r="AI54">
            <v>6</v>
          </cell>
          <cell r="AJ54">
            <v>0</v>
          </cell>
          <cell r="AK54">
            <v>45778</v>
          </cell>
          <cell r="AL54" t="str">
            <v>Đại học</v>
          </cell>
          <cell r="AM54" t="str">
            <v>Điều dưỡng ĐH</v>
          </cell>
          <cell r="AO54" t="str">
            <v>Đại học Y dược Thái Nguyên</v>
          </cell>
          <cell r="AP54">
            <v>2012</v>
          </cell>
          <cell r="AQ54" t="str">
            <v>12/12</v>
          </cell>
          <cell r="AR54">
            <v>0</v>
          </cell>
          <cell r="AS54">
            <v>0</v>
          </cell>
          <cell r="AT54" t="str">
            <v>Sơ cấp</v>
          </cell>
          <cell r="AU54">
            <v>0</v>
          </cell>
          <cell r="AV54" t="str">
            <v>x</v>
          </cell>
          <cell r="AW54" t="str">
            <v>B</v>
          </cell>
          <cell r="AY54" t="str">
            <v>Nùng</v>
          </cell>
          <cell r="AZ54">
            <v>43066</v>
          </cell>
          <cell r="BA54" t="e">
            <v>#REF!</v>
          </cell>
          <cell r="BB54" t="e">
            <v>#REF!</v>
          </cell>
          <cell r="BC54" t="str">
            <v>24/06/2013</v>
          </cell>
        </row>
        <row r="55">
          <cell r="A55" t="str">
            <v>BV0410</v>
          </cell>
          <cell r="B55">
            <v>49</v>
          </cell>
          <cell r="C55" t="str">
            <v>Vy Lan Anh</v>
          </cell>
          <cell r="D55" t="str">
            <v>BV0410</v>
          </cell>
          <cell r="E55">
            <v>1500002055</v>
          </cell>
          <cell r="G55" t="str">
            <v>CCCD: 020174004647, ngày cấp: 25/6/2021
Tại Cục cảnh sát quản lý hành chính về trật tự xã hội</v>
          </cell>
          <cell r="I55">
            <v>27337</v>
          </cell>
          <cell r="J55">
            <v>51</v>
          </cell>
          <cell r="K55" t="str">
            <v>082020238</v>
          </cell>
          <cell r="L55" t="str">
            <v>17/01/2005</v>
          </cell>
          <cell r="M55" t="str">
            <v>CA tỉnh Lạng Sơn</v>
          </cell>
          <cell r="N55" t="str">
            <v>Thị xã Lạng Sơn</v>
          </cell>
          <cell r="P55" t="str">
            <v>Huyện Lộc Bình</v>
          </cell>
          <cell r="Q55" t="str">
            <v>Tỉnh Lạng Sơn</v>
          </cell>
          <cell r="S55" t="str">
            <v>Phường Đông Kinh</v>
          </cell>
          <cell r="T55" t="str">
            <v>Thành phố Lạng Sơn</v>
          </cell>
          <cell r="U55" t="str">
            <v>Tỉnh Lạng Sơn</v>
          </cell>
          <cell r="V55" t="str">
            <v>Phường Đông Kinh, Thành phố Lạng Sơn, Tỉnh Lạng Sơn</v>
          </cell>
          <cell r="W55" t="str">
            <v>26/4/1999</v>
          </cell>
          <cell r="AA55">
            <v>0</v>
          </cell>
          <cell r="AB55" t="str">
            <v>TĐ011</v>
          </cell>
          <cell r="AC55" t="str">
            <v>Khám bệnh</v>
          </cell>
          <cell r="AD55" t="str">
            <v>KP001</v>
          </cell>
          <cell r="AE55" t="str">
            <v>Viên chức</v>
          </cell>
          <cell r="AF55" t="str">
            <v>V.08.05.12</v>
          </cell>
          <cell r="AG55" t="str">
            <v>Điều dưỡng (hạng III)</v>
          </cell>
          <cell r="AH55">
            <v>4.6500000000000004</v>
          </cell>
          <cell r="AI55">
            <v>8</v>
          </cell>
          <cell r="AJ55">
            <v>0</v>
          </cell>
          <cell r="AK55">
            <v>45809</v>
          </cell>
          <cell r="AL55" t="str">
            <v>Đại học</v>
          </cell>
          <cell r="AM55" t="str">
            <v>Điều dưỡng ĐH</v>
          </cell>
          <cell r="AQ55" t="str">
            <v>12/12</v>
          </cell>
          <cell r="AR55">
            <v>0</v>
          </cell>
          <cell r="AS55">
            <v>0</v>
          </cell>
          <cell r="AT55" t="str">
            <v>Sơ cấp</v>
          </cell>
          <cell r="AU55" t="str">
            <v>B</v>
          </cell>
          <cell r="AV55" t="str">
            <v>x</v>
          </cell>
          <cell r="AW55" t="str">
            <v>B</v>
          </cell>
          <cell r="AY55" t="str">
            <v>Tày</v>
          </cell>
          <cell r="AZ55">
            <v>41396</v>
          </cell>
          <cell r="BA55" t="e">
            <v>#REF!</v>
          </cell>
          <cell r="BB55" t="e">
            <v>#REF!</v>
          </cell>
          <cell r="BC55" t="str">
            <v>01/06/2016</v>
          </cell>
        </row>
        <row r="56">
          <cell r="A56" t="str">
            <v>BV0055</v>
          </cell>
          <cell r="B56">
            <v>50</v>
          </cell>
          <cell r="C56" t="str">
            <v>Hoàng Mạnh Châu</v>
          </cell>
          <cell r="D56" t="str">
            <v>BV0055</v>
          </cell>
          <cell r="E56">
            <v>2009000939</v>
          </cell>
          <cell r="G56" t="str">
            <v>CCCD: 020085006668, cấp ngày 25/6/2021
Tại Cục cảnh sát quản lý hành chính về trật tự xã hội</v>
          </cell>
          <cell r="H56">
            <v>31108</v>
          </cell>
          <cell r="J56">
            <v>41</v>
          </cell>
          <cell r="K56" t="str">
            <v>080953848</v>
          </cell>
          <cell r="L56" t="str">
            <v>23/03/2004</v>
          </cell>
          <cell r="M56" t="str">
            <v>CA tỉnh Lạng Sơn</v>
          </cell>
          <cell r="N56" t="str">
            <v>Phường Tam Thanh, TP. Lạng Sơn</v>
          </cell>
          <cell r="O56" t="str">
            <v>Phường Tam Thanh</v>
          </cell>
          <cell r="P56" t="str">
            <v>Thành phố Lạng Sơn</v>
          </cell>
          <cell r="Q56" t="str">
            <v>Tỉnh Lạng Sơn</v>
          </cell>
          <cell r="S56" t="str">
            <v>Phường Tam Thanh</v>
          </cell>
          <cell r="T56" t="str">
            <v>Thành phố Lạng Sơn</v>
          </cell>
          <cell r="U56" t="str">
            <v>Tỉnh Lạng Sơn</v>
          </cell>
          <cell r="V56" t="str">
            <v>Phường Tam Thanh, Thành phố Lạng Sơn, Tỉnh Lạng Sơn</v>
          </cell>
          <cell r="W56" t="str">
            <v>01/12/2008</v>
          </cell>
          <cell r="AA56">
            <v>0</v>
          </cell>
          <cell r="AB56" t="str">
            <v>TĐ011</v>
          </cell>
          <cell r="AC56" t="str">
            <v>Nội Thận-TN-LM</v>
          </cell>
          <cell r="AD56" t="str">
            <v>KP009</v>
          </cell>
          <cell r="AE56" t="str">
            <v>Viên chức</v>
          </cell>
          <cell r="AF56" t="str">
            <v>V.08.05.13</v>
          </cell>
          <cell r="AG56" t="str">
            <v>Điều dưỡng (hạng III)</v>
          </cell>
          <cell r="AH56">
            <v>3.66</v>
          </cell>
          <cell r="AI56">
            <v>5</v>
          </cell>
          <cell r="AJ56">
            <v>0</v>
          </cell>
          <cell r="AK56">
            <v>45778</v>
          </cell>
          <cell r="AL56" t="str">
            <v>Đại học</v>
          </cell>
          <cell r="AM56" t="str">
            <v>Điều dưỡng ĐH</v>
          </cell>
          <cell r="AO56" t="str">
            <v>Cao đẳng Y tế Lạng Sơn</v>
          </cell>
          <cell r="AP56">
            <v>2007</v>
          </cell>
          <cell r="AQ56" t="str">
            <v>12/12</v>
          </cell>
          <cell r="AR56">
            <v>0</v>
          </cell>
          <cell r="AS56">
            <v>0</v>
          </cell>
          <cell r="AT56">
            <v>0</v>
          </cell>
          <cell r="AU56" t="str">
            <v>x</v>
          </cell>
          <cell r="AV56">
            <v>0</v>
          </cell>
          <cell r="AW56" t="str">
            <v>x</v>
          </cell>
          <cell r="AY56" t="str">
            <v>Tày</v>
          </cell>
          <cell r="BA56" t="e">
            <v>#REF!</v>
          </cell>
          <cell r="BB56" t="e">
            <v>#REF!</v>
          </cell>
          <cell r="BC56" t="str">
            <v>22/08/2013</v>
          </cell>
        </row>
        <row r="57">
          <cell r="A57" t="str">
            <v>BV0071</v>
          </cell>
          <cell r="B57">
            <v>51</v>
          </cell>
          <cell r="C57" t="str">
            <v>Lành Thị Hồng Vân</v>
          </cell>
          <cell r="D57" t="str">
            <v>BV0071</v>
          </cell>
          <cell r="E57">
            <v>2010000143</v>
          </cell>
          <cell r="G57" t="str">
            <v>CCCD: 020186002923, ngày cấp: 29/4/2021
Tại Cục cảnh sát quản lý hành chính về trật tự xã hội</v>
          </cell>
          <cell r="I57">
            <v>31684</v>
          </cell>
          <cell r="J57">
            <v>39</v>
          </cell>
          <cell r="K57" t="str">
            <v>082026370</v>
          </cell>
          <cell r="L57" t="str">
            <v>20/10/2004</v>
          </cell>
          <cell r="M57" t="str">
            <v>CA tỉnh Lạng Sơn</v>
          </cell>
          <cell r="O57" t="str">
            <v>Xã lộc Yên</v>
          </cell>
          <cell r="P57" t="str">
            <v>Huyện Cao Lộc</v>
          </cell>
          <cell r="Q57" t="str">
            <v>Tỉnh Lạng Sơn</v>
          </cell>
          <cell r="S57" t="str">
            <v>Thị trấn Cao Lộc</v>
          </cell>
          <cell r="T57" t="str">
            <v>Huyện Cao Lộc</v>
          </cell>
          <cell r="U57" t="str">
            <v>Tỉnh Lạng Sơn</v>
          </cell>
          <cell r="V57" t="str">
            <v>Thị trấn Cao Lộc, Huyện Cao Lộc, Tỉnh Lạng Sơn</v>
          </cell>
          <cell r="W57" t="str">
            <v>15/1/2010</v>
          </cell>
          <cell r="AA57">
            <v>0</v>
          </cell>
          <cell r="AB57" t="str">
            <v>TĐ011</v>
          </cell>
          <cell r="AC57" t="str">
            <v>Lão - CXK</v>
          </cell>
          <cell r="AD57" t="str">
            <v>KP004</v>
          </cell>
          <cell r="AE57" t="str">
            <v>Viên chức</v>
          </cell>
          <cell r="AF57" t="str">
            <v>V.08.05.12</v>
          </cell>
          <cell r="AG57" t="str">
            <v>Điều dưỡng (hạng III)</v>
          </cell>
          <cell r="AH57">
            <v>3.66</v>
          </cell>
          <cell r="AI57">
            <v>5</v>
          </cell>
          <cell r="AJ57">
            <v>0</v>
          </cell>
          <cell r="AK57">
            <v>45383</v>
          </cell>
          <cell r="AL57" t="str">
            <v>Đại học</v>
          </cell>
          <cell r="AM57" t="str">
            <v>Điều dưỡng ĐH</v>
          </cell>
          <cell r="AO57" t="str">
            <v>Cao đẳng Y tế Lạng Sơn</v>
          </cell>
          <cell r="AP57">
            <v>2007</v>
          </cell>
          <cell r="AQ57" t="str">
            <v>12/12</v>
          </cell>
          <cell r="AR57">
            <v>0</v>
          </cell>
          <cell r="AS57">
            <v>0</v>
          </cell>
          <cell r="AT57">
            <v>0</v>
          </cell>
          <cell r="AU57">
            <v>0</v>
          </cell>
          <cell r="AV57">
            <v>0</v>
          </cell>
          <cell r="AW57">
            <v>0</v>
          </cell>
          <cell r="AY57" t="str">
            <v>Tày</v>
          </cell>
          <cell r="BA57" t="e">
            <v>#REF!</v>
          </cell>
          <cell r="BB57" t="e">
            <v>#REF!</v>
          </cell>
          <cell r="BC57" t="str">
            <v>24/6/2013</v>
          </cell>
        </row>
        <row r="58">
          <cell r="A58" t="str">
            <v>BV0160</v>
          </cell>
          <cell r="B58">
            <v>52</v>
          </cell>
          <cell r="C58" t="str">
            <v>Dương Thị Tám</v>
          </cell>
          <cell r="D58" t="str">
            <v>BV0160</v>
          </cell>
          <cell r="E58" t="str">
            <v>1596007597</v>
          </cell>
          <cell r="G58" t="str">
            <v>CCCD: 020173006948, ngày cấp: 26/11/2021
Tại Cục cảnh sát quản lý hành chính về trật tự xã hội</v>
          </cell>
          <cell r="I58">
            <v>26923</v>
          </cell>
          <cell r="J58">
            <v>52</v>
          </cell>
          <cell r="K58" t="str">
            <v>080889172</v>
          </cell>
          <cell r="L58" t="str">
            <v>08/05/2003</v>
          </cell>
          <cell r="M58" t="str">
            <v>CA tỉnh Lạng Sơn</v>
          </cell>
          <cell r="P58" t="str">
            <v>Huyện Bắc Sơn</v>
          </cell>
          <cell r="Q58" t="str">
            <v>Tỉnh Lạng Sơn</v>
          </cell>
          <cell r="S58" t="str">
            <v>Phường Vĩnh Trại</v>
          </cell>
          <cell r="T58" t="str">
            <v>Thành phố Lạng Sơn</v>
          </cell>
          <cell r="U58" t="str">
            <v>Tỉnh Lạng Sơn</v>
          </cell>
          <cell r="V58" t="str">
            <v>Phường Vĩnh Trại, Thành phố Lạng Sơn, Tỉnh Lạng Sơn</v>
          </cell>
          <cell r="W58" t="str">
            <v>1/11/1994</v>
          </cell>
          <cell r="AA58">
            <v>0</v>
          </cell>
          <cell r="AB58" t="str">
            <v>TĐ019</v>
          </cell>
          <cell r="AC58" t="str">
            <v>Lão - CXK</v>
          </cell>
          <cell r="AD58" t="str">
            <v>KP004</v>
          </cell>
          <cell r="AE58" t="str">
            <v>Viên chức</v>
          </cell>
          <cell r="AF58" t="str">
            <v>V.08.06.16</v>
          </cell>
          <cell r="AG58" t="str">
            <v>Hộ sinh (hạng IV)</v>
          </cell>
          <cell r="AH58">
            <v>4.0599999999999996</v>
          </cell>
          <cell r="AI58">
            <v>12</v>
          </cell>
          <cell r="AJ58">
            <v>0.12</v>
          </cell>
          <cell r="AK58">
            <v>45962</v>
          </cell>
          <cell r="AL58" t="str">
            <v>Trung cấp</v>
          </cell>
          <cell r="AM58" t="str">
            <v>Hộ sinh TC</v>
          </cell>
          <cell r="AR58">
            <v>0</v>
          </cell>
          <cell r="AS58">
            <v>0</v>
          </cell>
          <cell r="AT58" t="str">
            <v>Sơ cấp</v>
          </cell>
          <cell r="AU58">
            <v>0</v>
          </cell>
          <cell r="AV58">
            <v>0</v>
          </cell>
          <cell r="AW58">
            <v>0</v>
          </cell>
          <cell r="AY58" t="str">
            <v>Tày</v>
          </cell>
          <cell r="AZ58">
            <v>40725</v>
          </cell>
          <cell r="BA58" t="e">
            <v>#REF!</v>
          </cell>
          <cell r="BB58" t="e">
            <v>#REF!</v>
          </cell>
        </row>
        <row r="59">
          <cell r="A59" t="str">
            <v>BV0956</v>
          </cell>
          <cell r="B59">
            <v>53</v>
          </cell>
          <cell r="C59" t="str">
            <v>Trịnh Thị Việt Hà</v>
          </cell>
          <cell r="D59" t="str">
            <v>BV0956</v>
          </cell>
          <cell r="E59" t="str">
            <v>1501001214</v>
          </cell>
          <cell r="G59" t="str">
            <v>020175004619, ngày cấp 09/5/2021, nơi cấp cục cảnh sát quản lý hành chính về trật tự xã hội</v>
          </cell>
          <cell r="I59">
            <v>27600</v>
          </cell>
          <cell r="J59">
            <v>50</v>
          </cell>
          <cell r="K59">
            <v>20175004619</v>
          </cell>
          <cell r="L59">
            <v>44325</v>
          </cell>
          <cell r="M59" t="str">
            <v>Cục Cảnh sát quản lý hành chính về trật tự xã hội</v>
          </cell>
          <cell r="V59" t="str">
            <v>Đèo Giang, Phường Chi Lăng, TP Lạng Sơn</v>
          </cell>
          <cell r="W59" t="str">
            <v>19/07/2000</v>
          </cell>
          <cell r="AA59" t="str">
            <v>Phó trưởng khoa</v>
          </cell>
          <cell r="AB59" t="str">
            <v>TĐ003</v>
          </cell>
          <cell r="AC59" t="str">
            <v>Tâm thần - Thần kinh</v>
          </cell>
          <cell r="AD59" t="str">
            <v>KP006</v>
          </cell>
          <cell r="AE59" t="str">
            <v>Viên chức</v>
          </cell>
          <cell r="AF59" t="str">
            <v>V.08.01.03</v>
          </cell>
          <cell r="AG59" t="str">
            <v>Bác sĩ hạng III</v>
          </cell>
          <cell r="AH59">
            <v>5.08</v>
          </cell>
          <cell r="AI59">
            <v>3</v>
          </cell>
          <cell r="AJ59">
            <v>0</v>
          </cell>
          <cell r="AK59">
            <v>45413</v>
          </cell>
          <cell r="AL59" t="str">
            <v>Đại học</v>
          </cell>
          <cell r="AM59" t="str">
            <v>BSCKI</v>
          </cell>
          <cell r="AN59" t="str">
            <v>Tâm thần</v>
          </cell>
          <cell r="AR59" t="str">
            <v>Chuyên viên</v>
          </cell>
          <cell r="AS59">
            <v>0</v>
          </cell>
          <cell r="AT59" t="str">
            <v>Sơ cấp</v>
          </cell>
          <cell r="AU59" t="str">
            <v>Anh B</v>
          </cell>
          <cell r="AV59">
            <v>0</v>
          </cell>
          <cell r="AW59" t="str">
            <v>Tin B</v>
          </cell>
          <cell r="AY59" t="str">
            <v>Kinh</v>
          </cell>
          <cell r="AZ59">
            <v>41159</v>
          </cell>
        </row>
        <row r="60">
          <cell r="A60" t="str">
            <v>BV0190</v>
          </cell>
          <cell r="B60">
            <v>54</v>
          </cell>
          <cell r="C60" t="str">
            <v>Trịnh Xuân Trường</v>
          </cell>
          <cell r="D60" t="str">
            <v>BV0190</v>
          </cell>
          <cell r="E60">
            <v>1507000396</v>
          </cell>
          <cell r="G60" t="str">
            <v xml:space="preserve">020082002995, ngày cấp 29/4/2021,  nơi cấp cục cảnh sát quản lý hành chính về trật tự xã hội </v>
          </cell>
          <cell r="H60">
            <v>30094</v>
          </cell>
          <cell r="J60">
            <v>44</v>
          </cell>
          <cell r="K60" t="str">
            <v>080997227</v>
          </cell>
          <cell r="L60" t="str">
            <v>23/03/2000</v>
          </cell>
          <cell r="M60" t="str">
            <v>CA tỉnh Lạng Sơn</v>
          </cell>
          <cell r="N60" t="str">
            <v>Thị trấn Hữu Lũng, huyện Hữu Lũng, tỉnh Lạng Sơn</v>
          </cell>
          <cell r="P60" t="str">
            <v>Thị xã Hưng Yên</v>
          </cell>
          <cell r="Q60" t="str">
            <v>Tỉnh Hưng Yên</v>
          </cell>
          <cell r="T60" t="str">
            <v>Thành phố Lạng Sơn</v>
          </cell>
          <cell r="U60" t="str">
            <v>Tỉnh Lạng Sơn</v>
          </cell>
          <cell r="V60" t="str">
            <v>, Thành phố Lạng Sơn, Tỉnh Lạng Sơn</v>
          </cell>
          <cell r="W60" t="str">
            <v>30/10/2006</v>
          </cell>
          <cell r="AA60">
            <v>0</v>
          </cell>
          <cell r="AB60" t="str">
            <v>TĐ003</v>
          </cell>
          <cell r="AC60" t="str">
            <v>Tâm thần - Thần kinh</v>
          </cell>
          <cell r="AD60" t="str">
            <v>KP006</v>
          </cell>
          <cell r="AE60" t="str">
            <v>Viên chức</v>
          </cell>
          <cell r="AF60" t="str">
            <v>V.08.05.13</v>
          </cell>
          <cell r="AG60" t="str">
            <v>Bác sĩ (hạng III)</v>
          </cell>
          <cell r="AH60">
            <v>3.99</v>
          </cell>
          <cell r="AI60">
            <v>6</v>
          </cell>
          <cell r="AJ60">
            <v>0</v>
          </cell>
          <cell r="AK60">
            <v>45778</v>
          </cell>
          <cell r="AL60" t="str">
            <v>Đại học</v>
          </cell>
          <cell r="AM60" t="str">
            <v>BSCKI</v>
          </cell>
          <cell r="AN60" t="str">
            <v>Đa khoa</v>
          </cell>
          <cell r="AO60" t="str">
            <v>Đại học Y dược Hải Phòng</v>
          </cell>
          <cell r="AP60">
            <v>2017</v>
          </cell>
          <cell r="AQ60" t="str">
            <v>12/12</v>
          </cell>
          <cell r="AR60">
            <v>0</v>
          </cell>
          <cell r="AS60" t="str">
            <v>x</v>
          </cell>
          <cell r="AT60">
            <v>0</v>
          </cell>
          <cell r="AU60" t="str">
            <v>Anh B</v>
          </cell>
          <cell r="AV60" t="str">
            <v>Tày</v>
          </cell>
          <cell r="AW60">
            <v>0</v>
          </cell>
          <cell r="AY60" t="str">
            <v>Kinh</v>
          </cell>
          <cell r="BA60" t="e">
            <v>#REF!</v>
          </cell>
          <cell r="BB60" t="e">
            <v>#REF!</v>
          </cell>
          <cell r="BC60" t="str">
            <v>24/06/2013</v>
          </cell>
        </row>
        <row r="61">
          <cell r="A61" t="str">
            <v>BV0103</v>
          </cell>
          <cell r="B61">
            <v>55</v>
          </cell>
          <cell r="C61" t="str">
            <v>Nông Văn Đào</v>
          </cell>
          <cell r="D61" t="str">
            <v>BV0103</v>
          </cell>
          <cell r="E61">
            <v>2014002796</v>
          </cell>
          <cell r="G61" t="str">
            <v>020091005235,  nơi cấp cục cảnh sát quản lý hành chính về trật tự xã hội</v>
          </cell>
          <cell r="H61">
            <v>33531</v>
          </cell>
          <cell r="J61">
            <v>34</v>
          </cell>
          <cell r="K61" t="str">
            <v>082134956</v>
          </cell>
          <cell r="L61" t="str">
            <v>23/10/2007</v>
          </cell>
          <cell r="M61" t="str">
            <v>CA tỉnh Lạng Sơn</v>
          </cell>
          <cell r="N61" t="str">
            <v>Xã Hòa Bình, huyện Chi Lăng, tỉnh Lạng Sơn</v>
          </cell>
          <cell r="O61" t="str">
            <v>Xã Hòa Bình</v>
          </cell>
          <cell r="P61" t="str">
            <v>Huyện Chi Lăng</v>
          </cell>
          <cell r="Q61" t="str">
            <v>Tỉnh Lạng Sơn</v>
          </cell>
          <cell r="S61" t="str">
            <v>Xã Hòa Bình</v>
          </cell>
          <cell r="T61" t="str">
            <v>Huyện Chi Lăng</v>
          </cell>
          <cell r="U61" t="str">
            <v>Tỉnh Lạng Sơn</v>
          </cell>
          <cell r="V61" t="str">
            <v>Xã Hòa Bình, Huyện Chi Lăng, Tỉnh Lạng Sơn</v>
          </cell>
          <cell r="W61" t="str">
            <v>01/11/2014</v>
          </cell>
          <cell r="AA61">
            <v>0</v>
          </cell>
          <cell r="AB61" t="str">
            <v>TĐ012</v>
          </cell>
          <cell r="AC61" t="str">
            <v>Tâm thần - Thần kinh</v>
          </cell>
          <cell r="AD61" t="str">
            <v>KP006</v>
          </cell>
          <cell r="AE61" t="str">
            <v>Viên chức</v>
          </cell>
          <cell r="AF61" t="str">
            <v>V.08.05.13</v>
          </cell>
          <cell r="AG61" t="str">
            <v>Điều dưỡng (hạng IV)</v>
          </cell>
          <cell r="AH61">
            <v>3.03</v>
          </cell>
          <cell r="AI61">
            <v>4</v>
          </cell>
          <cell r="AJ61">
            <v>0</v>
          </cell>
          <cell r="AK61">
            <v>45413</v>
          </cell>
          <cell r="AL61" t="str">
            <v>Cao đẳng</v>
          </cell>
          <cell r="AM61" t="str">
            <v>Điều dưỡng CĐ</v>
          </cell>
          <cell r="AO61" t="str">
            <v>Cao đẳng Y tế Lạng  Sơn</v>
          </cell>
          <cell r="AP61">
            <v>2012</v>
          </cell>
          <cell r="AQ61" t="str">
            <v xml:space="preserve">12/12                                                                                                                                                                                                                                                                                                                                                                                                                                                                                                                           </v>
          </cell>
          <cell r="AR61">
            <v>0</v>
          </cell>
          <cell r="AS61">
            <v>0</v>
          </cell>
          <cell r="AT61" t="str">
            <v>Sơ cấp</v>
          </cell>
          <cell r="AU61" t="str">
            <v>Anh B</v>
          </cell>
          <cell r="AV61">
            <v>0</v>
          </cell>
          <cell r="AW61" t="str">
            <v>Tin B</v>
          </cell>
          <cell r="AY61" t="str">
            <v>Nùng</v>
          </cell>
          <cell r="BA61" t="str">
            <v>003320/LS-CCHN</v>
          </cell>
          <cell r="BB61" t="str">
            <v>Thực hiện phạm vi hoạt động chuyên môn theo qui định tại Thông tư số 26/2015/TTLT-BYT-BNV ngày 07/10/2015 qui định mã số, tiêu chuẩn chức danh nghề nghiệp điều dưỡng, hộ sinh, kỹ thuật y</v>
          </cell>
          <cell r="BC61" t="str">
            <v>31/12/2014</v>
          </cell>
        </row>
        <row r="62">
          <cell r="A62" t="str">
            <v>BV0112</v>
          </cell>
          <cell r="B62">
            <v>56</v>
          </cell>
          <cell r="C62" t="str">
            <v>Hoàng Thị Mai Vân</v>
          </cell>
          <cell r="D62" t="str">
            <v>BV0112</v>
          </cell>
          <cell r="E62">
            <v>2009000945</v>
          </cell>
          <cell r="G62" t="str">
            <v>020183010171,  ngày cấp 09/5/2021,  nơi cấpcục cảnh sát quản lý hành chính về trật tự xã hội</v>
          </cell>
          <cell r="I62">
            <v>30547</v>
          </cell>
          <cell r="J62">
            <v>42</v>
          </cell>
          <cell r="K62" t="str">
            <v>081029222</v>
          </cell>
          <cell r="L62" t="str">
            <v>23/10/2007</v>
          </cell>
          <cell r="M62" t="str">
            <v>CA tỉnh Lạng Sơn</v>
          </cell>
          <cell r="N62" t="str">
            <v>Xã Sao Mai, huyện Chi Lăng, tỉnh Lạng Sơn</v>
          </cell>
          <cell r="P62" t="str">
            <v>Huyện Chi Lăng</v>
          </cell>
          <cell r="Q62" t="str">
            <v>Tỉnh Lạng Sơn</v>
          </cell>
          <cell r="S62" t="str">
            <v>Phường Vĩnh Trại</v>
          </cell>
          <cell r="T62" t="str">
            <v>Thành phố Lạng Sơn</v>
          </cell>
          <cell r="U62" t="str">
            <v>Tỉnh Lạng Sơn</v>
          </cell>
          <cell r="V62" t="str">
            <v>Phường Vĩnh Trại, Thành phố Lạng Sơn, Tỉnh Lạng Sơn</v>
          </cell>
          <cell r="W62" t="str">
            <v>01/12/2008</v>
          </cell>
          <cell r="AA62">
            <v>0</v>
          </cell>
          <cell r="AB62" t="str">
            <v>TĐ012</v>
          </cell>
          <cell r="AC62" t="str">
            <v>Tâm thần - Thần kinh</v>
          </cell>
          <cell r="AD62" t="str">
            <v>KP006</v>
          </cell>
          <cell r="AE62" t="str">
            <v>Viên chức</v>
          </cell>
          <cell r="AF62" t="str">
            <v>V.08.05.13</v>
          </cell>
          <cell r="AG62" t="str">
            <v>Điều dưỡng (hạng IV)</v>
          </cell>
          <cell r="AH62">
            <v>3.65</v>
          </cell>
          <cell r="AI62">
            <v>6</v>
          </cell>
          <cell r="AJ62">
            <v>0</v>
          </cell>
          <cell r="AK62">
            <v>45992</v>
          </cell>
          <cell r="AL62" t="str">
            <v>Cao đẳng</v>
          </cell>
          <cell r="AM62" t="str">
            <v>Điều dưỡng CĐ</v>
          </cell>
          <cell r="AO62" t="str">
            <v>Cao đẳng Y tế Lạng  Sơn</v>
          </cell>
          <cell r="AP62">
            <v>2006</v>
          </cell>
          <cell r="AQ62" t="str">
            <v>12/12</v>
          </cell>
          <cell r="AR62">
            <v>0</v>
          </cell>
          <cell r="AS62">
            <v>0</v>
          </cell>
          <cell r="AT62" t="str">
            <v>Sơ cấp</v>
          </cell>
          <cell r="AU62" t="str">
            <v>Anh B</v>
          </cell>
          <cell r="AV62" t="str">
            <v>Tày</v>
          </cell>
          <cell r="AW62" t="str">
            <v>Cơ bản</v>
          </cell>
          <cell r="AY62" t="str">
            <v>Tày</v>
          </cell>
          <cell r="BA62" t="e">
            <v>#REF!</v>
          </cell>
          <cell r="BB62" t="e">
            <v>#REF!</v>
          </cell>
          <cell r="BC62" t="str">
            <v>24/06/2013</v>
          </cell>
        </row>
        <row r="63">
          <cell r="A63" t="str">
            <v>BV0109</v>
          </cell>
          <cell r="B63">
            <v>57</v>
          </cell>
          <cell r="C63" t="str">
            <v>Đặng Thị Kiều</v>
          </cell>
          <cell r="D63" t="str">
            <v>BV0109</v>
          </cell>
          <cell r="E63">
            <v>1505002510</v>
          </cell>
          <cell r="G63" t="str">
            <v>033174005246, ngày cấp 08/4/2021,  nơi cấp cục cảnh sát quản lý hành chính về trật tự xã hội</v>
          </cell>
          <cell r="I63">
            <v>27230</v>
          </cell>
          <cell r="J63">
            <v>51</v>
          </cell>
          <cell r="K63" t="str">
            <v>080959269</v>
          </cell>
          <cell r="L63" t="str">
            <v>17/09/2004</v>
          </cell>
          <cell r="M63" t="str">
            <v>CA tỉnh Lạng Sơn</v>
          </cell>
          <cell r="N63" t="str">
            <v>Xã Vân Du, huyện Kim Thi, tỉnh Lạng Sơn</v>
          </cell>
          <cell r="P63" t="str">
            <v>Kim Thi</v>
          </cell>
          <cell r="Q63" t="str">
            <v>Tỉnh Hưng Yên</v>
          </cell>
          <cell r="S63" t="str">
            <v>Phường Hoàng Văn Thụ</v>
          </cell>
          <cell r="T63" t="str">
            <v>Thành phố Lạng Sơn</v>
          </cell>
          <cell r="U63" t="str">
            <v>Tỉnh Lạng Sơn</v>
          </cell>
          <cell r="V63" t="str">
            <v>Phường Hoàng Văn Thụ, Thành phố Lạng Sơn, Tỉnh Lạng Sơn</v>
          </cell>
          <cell r="W63" t="str">
            <v>19/01/2005</v>
          </cell>
          <cell r="AA63">
            <v>0</v>
          </cell>
          <cell r="AB63" t="str">
            <v>TĐ012</v>
          </cell>
          <cell r="AC63" t="str">
            <v>Tâm thần - Thần kinh</v>
          </cell>
          <cell r="AD63" t="str">
            <v>KP006</v>
          </cell>
          <cell r="AE63" t="str">
            <v>Viên chức</v>
          </cell>
          <cell r="AF63" t="str">
            <v>V.08.05.13</v>
          </cell>
          <cell r="AG63" t="str">
            <v>Điều dưỡng (hạng IV)</v>
          </cell>
          <cell r="AH63">
            <v>4.2699999999999996</v>
          </cell>
          <cell r="AI63">
            <v>8</v>
          </cell>
          <cell r="AJ63">
            <v>0</v>
          </cell>
          <cell r="AK63">
            <v>45839</v>
          </cell>
          <cell r="AL63" t="str">
            <v>Cao đẳng</v>
          </cell>
          <cell r="AM63" t="str">
            <v>Điều dưỡng CĐ</v>
          </cell>
          <cell r="AO63" t="str">
            <v>Trung học Y tế Lạng Sơn</v>
          </cell>
          <cell r="AP63">
            <v>1998</v>
          </cell>
          <cell r="AQ63" t="str">
            <v>12/12</v>
          </cell>
          <cell r="AR63">
            <v>0</v>
          </cell>
          <cell r="AS63">
            <v>0</v>
          </cell>
          <cell r="AT63" t="str">
            <v>Sơ cấp</v>
          </cell>
          <cell r="AU63" t="str">
            <v>Anh B</v>
          </cell>
          <cell r="AV63" t="str">
            <v>Tày</v>
          </cell>
          <cell r="AW63" t="str">
            <v>Tin C</v>
          </cell>
          <cell r="AY63" t="str">
            <v>Kinh</v>
          </cell>
          <cell r="BA63" t="e">
            <v>#REF!</v>
          </cell>
          <cell r="BB63" t="e">
            <v>#REF!</v>
          </cell>
          <cell r="BC63" t="str">
            <v>18/07/2016</v>
          </cell>
        </row>
        <row r="64">
          <cell r="A64" t="str">
            <v>BV0114</v>
          </cell>
          <cell r="B64">
            <v>58</v>
          </cell>
          <cell r="C64" t="str">
            <v>Lăng Thị Huệ</v>
          </cell>
          <cell r="D64" t="str">
            <v>BV0114</v>
          </cell>
          <cell r="E64">
            <v>2011000020</v>
          </cell>
          <cell r="G64" t="str">
            <v>020189011934, ngày cấp 25/6/2021, nơi cấp cục cảnh sát quản lý hành chính về trật tự xã hội</v>
          </cell>
          <cell r="I64">
            <v>32764</v>
          </cell>
          <cell r="J64">
            <v>36</v>
          </cell>
          <cell r="K64" t="str">
            <v>082028856</v>
          </cell>
          <cell r="L64" t="str">
            <v>21/09/2004</v>
          </cell>
          <cell r="M64" t="str">
            <v>CA tỉnh Lạng Sơn</v>
          </cell>
          <cell r="O64" t="str">
            <v>Xã Văn An</v>
          </cell>
          <cell r="P64" t="str">
            <v>Huyện Văn Quan</v>
          </cell>
          <cell r="Q64" t="str">
            <v>Tỉnh Lạng Sơn</v>
          </cell>
          <cell r="S64" t="str">
            <v>Xã Văn An</v>
          </cell>
          <cell r="T64" t="str">
            <v>Huyện Văn Quan</v>
          </cell>
          <cell r="U64" t="str">
            <v>Tỉnh Lạng Sơn</v>
          </cell>
          <cell r="V64" t="str">
            <v>Xã Văn An, Huyện Văn Quan, Tỉnh Lạng Sơn</v>
          </cell>
          <cell r="W64" t="str">
            <v>1/12/2010</v>
          </cell>
          <cell r="AA64">
            <v>0</v>
          </cell>
          <cell r="AB64" t="str">
            <v>TĐ012</v>
          </cell>
          <cell r="AC64" t="str">
            <v>Tâm thần - Thần kinh</v>
          </cell>
          <cell r="AD64" t="str">
            <v>KP006</v>
          </cell>
          <cell r="AE64" t="str">
            <v>Viên chức</v>
          </cell>
          <cell r="AF64" t="str">
            <v>V.08.05.13</v>
          </cell>
          <cell r="AG64" t="str">
            <v>Điều dưỡng (hạng IV)</v>
          </cell>
          <cell r="AH64">
            <v>3.65</v>
          </cell>
          <cell r="AI64">
            <v>6</v>
          </cell>
          <cell r="AJ64">
            <v>0</v>
          </cell>
          <cell r="AK64">
            <v>45839</v>
          </cell>
          <cell r="AL64" t="str">
            <v>Cao đẳng</v>
          </cell>
          <cell r="AM64" t="str">
            <v>Điều dưỡng CĐ</v>
          </cell>
          <cell r="AO64" t="str">
            <v>Cao đẳng Y tế Lạng  Sơn</v>
          </cell>
          <cell r="AP64">
            <v>2009</v>
          </cell>
          <cell r="AQ64" t="str">
            <v>12/12</v>
          </cell>
          <cell r="AR64">
            <v>0</v>
          </cell>
          <cell r="AS64">
            <v>0</v>
          </cell>
          <cell r="AT64">
            <v>0</v>
          </cell>
          <cell r="AU64" t="str">
            <v>Anh B</v>
          </cell>
          <cell r="AV64">
            <v>0</v>
          </cell>
          <cell r="AW64" t="str">
            <v>Tin B</v>
          </cell>
          <cell r="AY64" t="str">
            <v>Tày</v>
          </cell>
          <cell r="BA64" t="e">
            <v>#REF!</v>
          </cell>
          <cell r="BB64" t="e">
            <v>#REF!</v>
          </cell>
        </row>
        <row r="65">
          <cell r="A65" t="str">
            <v>BV0130</v>
          </cell>
          <cell r="B65">
            <v>59</v>
          </cell>
          <cell r="C65" t="str">
            <v>Nông Bích Hiền</v>
          </cell>
          <cell r="D65" t="str">
            <v>BV0130</v>
          </cell>
          <cell r="E65">
            <v>1506002923</v>
          </cell>
          <cell r="G65" t="str">
            <v>024176003080, ngày cấp 29/4/2021,  nơi cấp cục cảnh sát quản lý hành chính về trật tự xã hội</v>
          </cell>
          <cell r="I65">
            <v>28015</v>
          </cell>
          <cell r="J65">
            <v>49</v>
          </cell>
          <cell r="K65" t="str">
            <v>081025853</v>
          </cell>
          <cell r="L65" t="str">
            <v>29/01/2013</v>
          </cell>
          <cell r="M65" t="str">
            <v>CA tỉnh Lạng Sơn</v>
          </cell>
          <cell r="O65" t="str">
            <v>Phường Tam Thanh</v>
          </cell>
          <cell r="P65" t="str">
            <v>Huyện Văn Quan</v>
          </cell>
          <cell r="Q65" t="str">
            <v>Tỉnh Lạng Sơn</v>
          </cell>
          <cell r="S65" t="str">
            <v>Phường Tam Thanh</v>
          </cell>
          <cell r="T65" t="str">
            <v>Thành phố Lạng Sơn</v>
          </cell>
          <cell r="U65" t="str">
            <v>Tỉnh Lạng Sơn</v>
          </cell>
          <cell r="V65" t="str">
            <v>Phường Tam Thanh, Thành phố Lạng Sơn, Tỉnh Lạng Sơn</v>
          </cell>
          <cell r="W65" t="str">
            <v>6/11/2006</v>
          </cell>
          <cell r="AA65" t="e">
            <v>#N/A</v>
          </cell>
          <cell r="AB65" t="e">
            <v>#N/A</v>
          </cell>
          <cell r="AC65" t="e">
            <v>#N/A</v>
          </cell>
          <cell r="AD65" t="e">
            <v>#N/A</v>
          </cell>
          <cell r="AE65" t="e">
            <v>#N/A</v>
          </cell>
          <cell r="AF65" t="str">
            <v>V.08.05.13</v>
          </cell>
          <cell r="AG65" t="e">
            <v>#N/A</v>
          </cell>
          <cell r="AH65">
            <v>3.65</v>
          </cell>
          <cell r="AI65">
            <v>6</v>
          </cell>
          <cell r="AJ65">
            <v>0</v>
          </cell>
          <cell r="AK65">
            <v>45474</v>
          </cell>
          <cell r="AL65" t="str">
            <v>Cao đẳng</v>
          </cell>
          <cell r="AM65" t="e">
            <v>#N/A</v>
          </cell>
          <cell r="AQ65" t="str">
            <v>12/12</v>
          </cell>
          <cell r="AR65">
            <v>0</v>
          </cell>
          <cell r="AS65">
            <v>0</v>
          </cell>
          <cell r="AT65">
            <v>0</v>
          </cell>
          <cell r="AU65" t="str">
            <v>Anh B</v>
          </cell>
          <cell r="AV65" t="str">
            <v>Tày</v>
          </cell>
          <cell r="AW65" t="str">
            <v>Cơ bản</v>
          </cell>
          <cell r="AY65" t="str">
            <v>Nùng</v>
          </cell>
          <cell r="BA65" t="e">
            <v>#REF!</v>
          </cell>
          <cell r="BB65" t="e">
            <v>#REF!</v>
          </cell>
          <cell r="BC65" t="str">
            <v>24/06/2013</v>
          </cell>
        </row>
        <row r="66">
          <cell r="A66" t="str">
            <v>BV0098</v>
          </cell>
          <cell r="B66">
            <v>60</v>
          </cell>
          <cell r="C66" t="str">
            <v>Nguyễn Kim Chung</v>
          </cell>
          <cell r="D66" t="str">
            <v>BV0098</v>
          </cell>
          <cell r="E66">
            <v>1596004117</v>
          </cell>
          <cell r="G66" t="str">
            <v>CCCD: 020169007770 
cấp ngày 25/6/2021 
Tại Cục cảnh sát quản lý hành chính về trật tự xã hội</v>
          </cell>
          <cell r="I66">
            <v>25561</v>
          </cell>
          <cell r="J66">
            <v>56</v>
          </cell>
          <cell r="K66" t="str">
            <v>080812869</v>
          </cell>
          <cell r="L66" t="str">
            <v>24/01/2013</v>
          </cell>
          <cell r="M66" t="str">
            <v>CA tỉnh Lạng Sơn</v>
          </cell>
          <cell r="O66" t="str">
            <v>Xã Vũ Lễ</v>
          </cell>
          <cell r="P66" t="str">
            <v>Huyện Bắc Sơn</v>
          </cell>
          <cell r="Q66" t="str">
            <v>Tỉnh Lạng Sơn</v>
          </cell>
          <cell r="S66" t="str">
            <v>Phường Tam Thanh</v>
          </cell>
          <cell r="T66" t="str">
            <v>Thành phố Lạng Sơn</v>
          </cell>
          <cell r="U66" t="str">
            <v>Tỉnh Lạng Sơn</v>
          </cell>
          <cell r="V66" t="str">
            <v>Phường Tam Thanh, Thành phố Lạng Sơn, Tỉnh Lạng Sơn</v>
          </cell>
          <cell r="W66" t="str">
            <v>2/3/1992</v>
          </cell>
          <cell r="AA66">
            <v>0</v>
          </cell>
          <cell r="AB66" t="str">
            <v>TĐ011</v>
          </cell>
          <cell r="AC66" t="str">
            <v>Nội Tổng hợp</v>
          </cell>
          <cell r="AD66" t="str">
            <v>KP007</v>
          </cell>
          <cell r="AE66" t="str">
            <v>Viên chức</v>
          </cell>
          <cell r="AF66" t="str">
            <v>V.08.05.12</v>
          </cell>
          <cell r="AG66" t="str">
            <v>Điều dưỡng (hạng III)</v>
          </cell>
          <cell r="AH66">
            <v>4.9800000000000004</v>
          </cell>
          <cell r="AI66">
            <v>9</v>
          </cell>
          <cell r="AJ66">
            <v>0.05</v>
          </cell>
          <cell r="AK66">
            <v>45962</v>
          </cell>
          <cell r="AL66" t="str">
            <v>Đại học</v>
          </cell>
          <cell r="AM66" t="str">
            <v>Điều dưỡng ĐH</v>
          </cell>
          <cell r="AO66" t="str">
            <v>Đại học Y dược Thái Nguyên</v>
          </cell>
          <cell r="AP66">
            <v>2010</v>
          </cell>
          <cell r="AQ66" t="str">
            <v>12/12</v>
          </cell>
          <cell r="AR66">
            <v>0</v>
          </cell>
          <cell r="AS66">
            <v>0</v>
          </cell>
          <cell r="AT66">
            <v>0</v>
          </cell>
          <cell r="AU66" t="str">
            <v>Anh B</v>
          </cell>
          <cell r="AV66">
            <v>0</v>
          </cell>
          <cell r="AW66" t="str">
            <v>Tin B</v>
          </cell>
          <cell r="AY66" t="str">
            <v>Kinh</v>
          </cell>
          <cell r="BA66" t="e">
            <v>#REF!</v>
          </cell>
          <cell r="BB66" t="e">
            <v>#REF!</v>
          </cell>
          <cell r="BC66" t="str">
            <v>24/06/2013</v>
          </cell>
        </row>
        <row r="67">
          <cell r="A67" t="str">
            <v>BV0023</v>
          </cell>
          <cell r="B67">
            <v>61</v>
          </cell>
          <cell r="C67" t="str">
            <v>Nguyễn Thị Bích Ngọc</v>
          </cell>
          <cell r="D67" t="str">
            <v>BV0023</v>
          </cell>
          <cell r="E67">
            <v>1507000584</v>
          </cell>
          <cell r="G67" t="str">
            <v>CCCD: 025186004751 
cấp ngày 11/4/2021 
Tại Cục cảnh sát quản lý hành chính về trật tự xã hội</v>
          </cell>
          <cell r="I67">
            <v>31610</v>
          </cell>
          <cell r="J67">
            <v>39</v>
          </cell>
          <cell r="K67" t="str">
            <v>131408394</v>
          </cell>
          <cell r="L67" t="str">
            <v>26/10/2011</v>
          </cell>
          <cell r="M67" t="str">
            <v>CA tỉnh Lạng Sơn</v>
          </cell>
          <cell r="O67" t="str">
            <v>Xã Tây Cốc</v>
          </cell>
          <cell r="P67" t="str">
            <v>Huyện Đoan Hùng</v>
          </cell>
          <cell r="Q67" t="str">
            <v>Tỉnh Phú Thọ</v>
          </cell>
          <cell r="S67" t="str">
            <v>Phường Tam Thanh</v>
          </cell>
          <cell r="T67" t="str">
            <v>Thành phố Lạng Sơn</v>
          </cell>
          <cell r="U67" t="str">
            <v>Tỉnh Lạng Sơn</v>
          </cell>
          <cell r="V67" t="str">
            <v>Phường Tam Thanh, Thành phố Lạng Sơn, Tỉnh Lạng Sơn</v>
          </cell>
          <cell r="W67" t="str">
            <v>01/01/2009</v>
          </cell>
          <cell r="AA67" t="str">
            <v>Điều dưỡng trưởng</v>
          </cell>
          <cell r="AB67" t="str">
            <v>TĐ011</v>
          </cell>
          <cell r="AC67" t="str">
            <v>Nội Tiêu hóa</v>
          </cell>
          <cell r="AD67" t="str">
            <v>KP008</v>
          </cell>
          <cell r="AE67" t="str">
            <v>Viên chức</v>
          </cell>
          <cell r="AF67" t="str">
            <v>V.08.05.12</v>
          </cell>
          <cell r="AG67" t="str">
            <v>Điều dưỡng (hạng III)</v>
          </cell>
          <cell r="AH67">
            <v>3.66</v>
          </cell>
          <cell r="AI67">
            <v>5</v>
          </cell>
          <cell r="AJ67">
            <v>0</v>
          </cell>
          <cell r="AK67">
            <v>45658</v>
          </cell>
          <cell r="AL67" t="str">
            <v>Đại học</v>
          </cell>
          <cell r="AM67" t="str">
            <v>Điều dưỡng ĐH</v>
          </cell>
          <cell r="AO67" t="str">
            <v>Đại học Điều dưỡng Nam Định</v>
          </cell>
          <cell r="AP67">
            <v>2016</v>
          </cell>
          <cell r="AQ67" t="str">
            <v>12/12</v>
          </cell>
          <cell r="AR67">
            <v>0</v>
          </cell>
          <cell r="AS67">
            <v>0</v>
          </cell>
          <cell r="AT67" t="str">
            <v>Sơ cấp</v>
          </cell>
          <cell r="AU67" t="str">
            <v>Anh B</v>
          </cell>
          <cell r="AV67" t="str">
            <v>Tày</v>
          </cell>
          <cell r="AW67" t="str">
            <v>Tin B</v>
          </cell>
          <cell r="AY67" t="str">
            <v>Kinh</v>
          </cell>
          <cell r="AZ67">
            <v>41461</v>
          </cell>
          <cell r="BA67" t="e">
            <v>#REF!</v>
          </cell>
          <cell r="BB67" t="e">
            <v>#REF!</v>
          </cell>
          <cell r="BC67" t="str">
            <v>19/07/2013</v>
          </cell>
        </row>
        <row r="68">
          <cell r="A68" t="str">
            <v>BV0920</v>
          </cell>
          <cell r="B68">
            <v>62</v>
          </cell>
          <cell r="C68" t="str">
            <v>Phùng Thị Thùy Linh</v>
          </cell>
          <cell r="D68" t="str">
            <v>BV0920</v>
          </cell>
          <cell r="E68" t="str">
            <v>1914820002</v>
          </cell>
          <cell r="G68" t="str">
            <v>CCCD: 020193006464 
cấp ngày 25/6/2021 
Tại Cục cảnh sát quản lý hành chính về trật tự xã hội</v>
          </cell>
          <cell r="I68">
            <v>34122</v>
          </cell>
          <cell r="J68">
            <v>33</v>
          </cell>
          <cell r="K68" t="str">
            <v>082210977</v>
          </cell>
          <cell r="L68">
            <v>40372</v>
          </cell>
          <cell r="R68" t="str">
            <v>Thôn Thủy Sản</v>
          </cell>
          <cell r="S68" t="str">
            <v>Hòa Lạc</v>
          </cell>
          <cell r="T68" t="str">
            <v>Hữu Lũng</v>
          </cell>
          <cell r="U68" t="str">
            <v>Lạng Sơn</v>
          </cell>
          <cell r="V68" t="str">
            <v>Thị trấn Chi Lăng, huyện Chi Lăng, tỉnh Lạng Sơn</v>
          </cell>
          <cell r="W68" t="str">
            <v>01/2/2017</v>
          </cell>
          <cell r="AA68">
            <v>0</v>
          </cell>
          <cell r="AB68" t="str">
            <v>TĐ011</v>
          </cell>
          <cell r="AC68" t="str">
            <v>Điều dưỡng</v>
          </cell>
          <cell r="AD68" t="str">
            <v>KP037</v>
          </cell>
          <cell r="AE68" t="str">
            <v>Viên chức</v>
          </cell>
          <cell r="AF68" t="str">
            <v>V.08.01.03</v>
          </cell>
          <cell r="AG68" t="str">
            <v>Điều dưỡng (hạng IV)</v>
          </cell>
          <cell r="AH68">
            <v>3.03</v>
          </cell>
          <cell r="AI68">
            <v>4</v>
          </cell>
          <cell r="AJ68">
            <v>0</v>
          </cell>
          <cell r="AK68">
            <v>45839</v>
          </cell>
          <cell r="AL68" t="str">
            <v>Cao đẳng</v>
          </cell>
          <cell r="AM68" t="str">
            <v>Điều dưỡng ĐH</v>
          </cell>
          <cell r="AR68">
            <v>0</v>
          </cell>
          <cell r="AS68">
            <v>0</v>
          </cell>
          <cell r="AT68">
            <v>0</v>
          </cell>
          <cell r="AU68" t="str">
            <v>Anh B</v>
          </cell>
          <cell r="AV68">
            <v>0</v>
          </cell>
          <cell r="AW68" t="str">
            <v>Cơ bản</v>
          </cell>
          <cell r="AY68" t="str">
            <v>Nùng</v>
          </cell>
          <cell r="BC68" t="str">
            <v>24/06/2013</v>
          </cell>
        </row>
        <row r="69">
          <cell r="A69" t="str">
            <v>BV0101</v>
          </cell>
          <cell r="B69">
            <v>63</v>
          </cell>
          <cell r="C69" t="str">
            <v>Đàm Thùy Mai</v>
          </cell>
          <cell r="D69" t="str">
            <v>BV0101</v>
          </cell>
          <cell r="E69">
            <v>2013002133</v>
          </cell>
          <cell r="G69" t="str">
            <v>CCCD: 020191012426
 cấp ngày 28/6/2021 
Tại Cục cảnh sát quản lý hành chính về trật tự xã hội</v>
          </cell>
          <cell r="I69">
            <v>33552</v>
          </cell>
          <cell r="J69">
            <v>34</v>
          </cell>
          <cell r="K69" t="str">
            <v>082097715</v>
          </cell>
          <cell r="L69" t="str">
            <v>04/12/2006</v>
          </cell>
          <cell r="M69" t="str">
            <v>CA tỉnh Lạng Sơn</v>
          </cell>
          <cell r="N69" t="str">
            <v xml:space="preserve">Xã Chu Túc, huyện Văn Quan, tỉnh Lạng Sơn </v>
          </cell>
          <cell r="O69" t="str">
            <v>Xã Chu Túc</v>
          </cell>
          <cell r="P69" t="str">
            <v>Huyện Văn Quan</v>
          </cell>
          <cell r="Q69" t="str">
            <v>Tỉnh Lạng Sơn</v>
          </cell>
          <cell r="S69" t="str">
            <v>Phường Đông Kinh</v>
          </cell>
          <cell r="T69" t="str">
            <v>Thành phố Lạng Sơn</v>
          </cell>
          <cell r="U69" t="str">
            <v>Tỉnh Lạng Sơn</v>
          </cell>
          <cell r="V69" t="str">
            <v>Phường Đông Kinh, Thành phố Lạng Sơn, Tỉnh Lạng Sơn</v>
          </cell>
          <cell r="W69" t="str">
            <v>05/6/2013</v>
          </cell>
          <cell r="AA69">
            <v>0</v>
          </cell>
          <cell r="AB69" t="str">
            <v>TĐ011</v>
          </cell>
          <cell r="AC69" t="str">
            <v>Nội Tổng hợp</v>
          </cell>
          <cell r="AD69" t="str">
            <v>KP007</v>
          </cell>
          <cell r="AE69" t="str">
            <v>Viên chức</v>
          </cell>
          <cell r="AF69" t="str">
            <v>V.08.05.13</v>
          </cell>
          <cell r="AG69" t="str">
            <v>Điều dưỡng (hạng III)</v>
          </cell>
          <cell r="AH69">
            <v>3.66</v>
          </cell>
          <cell r="AI69">
            <v>5</v>
          </cell>
          <cell r="AJ69">
            <v>0</v>
          </cell>
          <cell r="AK69">
            <v>45778</v>
          </cell>
          <cell r="AL69" t="str">
            <v>Cao đẳng</v>
          </cell>
          <cell r="AM69" t="str">
            <v>Điều dưỡng ĐH</v>
          </cell>
          <cell r="AO69" t="str">
            <v>Cao đẳng Y tế Lạng  Sơn</v>
          </cell>
          <cell r="AP69">
            <v>2012</v>
          </cell>
          <cell r="AQ69" t="str">
            <v>12/12</v>
          </cell>
          <cell r="AR69">
            <v>0</v>
          </cell>
          <cell r="AS69">
            <v>0</v>
          </cell>
          <cell r="AT69" t="str">
            <v>Sơ cấp</v>
          </cell>
          <cell r="AU69" t="str">
            <v>Anh B</v>
          </cell>
          <cell r="AV69">
            <v>0</v>
          </cell>
          <cell r="AW69" t="str">
            <v>Cơ bản</v>
          </cell>
          <cell r="AY69" t="str">
            <v>Nùng</v>
          </cell>
          <cell r="BA69" t="e">
            <v>#REF!</v>
          </cell>
          <cell r="BB69" t="e">
            <v>#REF!</v>
          </cell>
        </row>
        <row r="70">
          <cell r="A70" t="str">
            <v>BV0117</v>
          </cell>
          <cell r="B70">
            <v>64</v>
          </cell>
          <cell r="C70" t="str">
            <v>Ba Thị Quyên</v>
          </cell>
          <cell r="D70" t="str">
            <v>BV0117</v>
          </cell>
          <cell r="E70">
            <v>2009001775</v>
          </cell>
          <cell r="G70" t="str">
            <v>CCCD: 020186009139 
cấp ngày 25/6/2021 
Tại Cục cảnh sát quản lý hành chính về trật tự xã hội</v>
          </cell>
          <cell r="I70">
            <v>31630</v>
          </cell>
          <cell r="J70">
            <v>39</v>
          </cell>
          <cell r="K70" t="str">
            <v>082018718</v>
          </cell>
          <cell r="L70" t="str">
            <v>09/06/2004</v>
          </cell>
          <cell r="M70" t="str">
            <v>CA tỉnh Lạng Sơn</v>
          </cell>
          <cell r="N70" t="str">
            <v>Phường Đông Kinh, TP. Lạng Sơn</v>
          </cell>
          <cell r="O70" t="str">
            <v>Xã Hợp Thành</v>
          </cell>
          <cell r="P70" t="str">
            <v>Huyện Cao Lộc</v>
          </cell>
          <cell r="Q70" t="str">
            <v>Tỉnh Lạng Sơn</v>
          </cell>
          <cell r="S70" t="str">
            <v>Phường Đông Kinh</v>
          </cell>
          <cell r="T70" t="str">
            <v>Thành phố Lạng Sơn</v>
          </cell>
          <cell r="U70" t="str">
            <v>Tỉnh Lạng Sơn</v>
          </cell>
          <cell r="V70" t="str">
            <v>Phường Đông Kinh, Thành phố Lạng Sơn, Tỉnh Lạng Sơn</v>
          </cell>
          <cell r="W70" t="str">
            <v>25/12/2008</v>
          </cell>
          <cell r="AA70">
            <v>0</v>
          </cell>
          <cell r="AB70" t="str">
            <v>TĐ012</v>
          </cell>
          <cell r="AC70" t="str">
            <v>Nội Tổng hợp</v>
          </cell>
          <cell r="AD70" t="str">
            <v>KP007</v>
          </cell>
          <cell r="AE70" t="str">
            <v>Viên chức</v>
          </cell>
          <cell r="AF70" t="str">
            <v>V.08.05.13</v>
          </cell>
          <cell r="AG70" t="str">
            <v>Điều dưỡng (hạng IV)</v>
          </cell>
          <cell r="AH70">
            <v>3.34</v>
          </cell>
          <cell r="AI70">
            <v>5</v>
          </cell>
          <cell r="AJ70">
            <v>0</v>
          </cell>
          <cell r="AK70">
            <v>44927</v>
          </cell>
          <cell r="AL70" t="str">
            <v>Cao đẳng</v>
          </cell>
          <cell r="AM70" t="str">
            <v>Điều dưỡng CĐ</v>
          </cell>
          <cell r="AO70" t="str">
            <v>Cao đẳng Y tế Lạng  Sơn</v>
          </cell>
          <cell r="AP70">
            <v>2007</v>
          </cell>
          <cell r="AQ70" t="str">
            <v>12/12</v>
          </cell>
          <cell r="AR70">
            <v>0</v>
          </cell>
          <cell r="AS70">
            <v>0</v>
          </cell>
          <cell r="AT70">
            <v>0</v>
          </cell>
          <cell r="AU70" t="str">
            <v>Anh B</v>
          </cell>
          <cell r="AV70">
            <v>0</v>
          </cell>
          <cell r="AW70" t="str">
            <v>Cơ bản</v>
          </cell>
          <cell r="AY70" t="str">
            <v>Nùng</v>
          </cell>
          <cell r="AZ70">
            <v>40843</v>
          </cell>
          <cell r="BA70" t="e">
            <v>#REF!</v>
          </cell>
          <cell r="BB70" t="e">
            <v>#REF!</v>
          </cell>
        </row>
        <row r="71">
          <cell r="A71" t="str">
            <v>BV0347</v>
          </cell>
          <cell r="B71">
            <v>65</v>
          </cell>
          <cell r="C71" t="str">
            <v>Nguyễn Thị Tiền</v>
          </cell>
          <cell r="D71" t="str">
            <v>BV0347</v>
          </cell>
          <cell r="E71">
            <v>2208005830</v>
          </cell>
          <cell r="G71" t="str">
            <v>CCCD: 020186002921 
cấp ngày 29/4/2021 
Tại Cục cảnh sát quản lý hành chính về trật tự xã hội</v>
          </cell>
          <cell r="I71">
            <v>31464</v>
          </cell>
          <cell r="J71">
            <v>40</v>
          </cell>
          <cell r="K71" t="str">
            <v>081016981</v>
          </cell>
          <cell r="L71" t="str">
            <v>18/04/2009</v>
          </cell>
          <cell r="M71" t="str">
            <v>CA tỉnh Lạng Sơn</v>
          </cell>
          <cell r="N71" t="str">
            <v>Xã Quan Sơn, huyện Chi Lăng, tỉnh Lạng Sơn</v>
          </cell>
          <cell r="O71" t="str">
            <v>Xã Quan Sơn</v>
          </cell>
          <cell r="P71" t="str">
            <v>Huyện Chi Lăng</v>
          </cell>
          <cell r="Q71" t="str">
            <v>Tỉnh Lạng Sơn</v>
          </cell>
          <cell r="S71" t="str">
            <v>Xã Quan Sơn</v>
          </cell>
          <cell r="T71" t="str">
            <v>Huyện Chi Lăng</v>
          </cell>
          <cell r="U71" t="str">
            <v>Tỉnh Lạng Sơn</v>
          </cell>
          <cell r="V71" t="str">
            <v>Xã Quan Sơn, Huyện Chi Lăng, Tỉnh Lạng Sơn</v>
          </cell>
          <cell r="W71" t="str">
            <v>1/1/2009</v>
          </cell>
          <cell r="AA71" t="e">
            <v>#N/A</v>
          </cell>
          <cell r="AB71" t="e">
            <v>#N/A</v>
          </cell>
          <cell r="AC71" t="e">
            <v>#N/A</v>
          </cell>
          <cell r="AD71" t="e">
            <v>#N/A</v>
          </cell>
          <cell r="AE71" t="e">
            <v>#N/A</v>
          </cell>
          <cell r="AF71" t="str">
            <v>V.08.05.12</v>
          </cell>
          <cell r="AG71" t="e">
            <v>#N/A</v>
          </cell>
          <cell r="AH71">
            <v>3.66</v>
          </cell>
          <cell r="AI71">
            <v>5</v>
          </cell>
          <cell r="AJ71">
            <v>0</v>
          </cell>
          <cell r="AK71">
            <v>45474</v>
          </cell>
          <cell r="AL71" t="str">
            <v>Đại học</v>
          </cell>
          <cell r="AM71" t="e">
            <v>#N/A</v>
          </cell>
          <cell r="AO71" t="str">
            <v>Đại học Điều dưỡng Nam Định</v>
          </cell>
          <cell r="AP71">
            <v>2017</v>
          </cell>
          <cell r="AQ71" t="str">
            <v>12/12</v>
          </cell>
          <cell r="AR71">
            <v>0</v>
          </cell>
          <cell r="AS71">
            <v>0</v>
          </cell>
          <cell r="AT71" t="str">
            <v>Sơ cấp</v>
          </cell>
          <cell r="AU71" t="str">
            <v>Anh A2</v>
          </cell>
          <cell r="AV71" t="str">
            <v>Tày</v>
          </cell>
          <cell r="AW71" t="str">
            <v>Tin B</v>
          </cell>
          <cell r="AY71" t="str">
            <v>Tày</v>
          </cell>
          <cell r="BA71" t="e">
            <v>#REF!</v>
          </cell>
          <cell r="BB71" t="e">
            <v>#REF!</v>
          </cell>
          <cell r="BC71" t="str">
            <v>24/06/2013</v>
          </cell>
        </row>
        <row r="72">
          <cell r="A72" t="str">
            <v>BV0162</v>
          </cell>
          <cell r="B72">
            <v>66</v>
          </cell>
          <cell r="C72" t="str">
            <v>Bế Thái Hưng</v>
          </cell>
          <cell r="D72" t="str">
            <v>BV0162</v>
          </cell>
          <cell r="E72">
            <v>1596004113</v>
          </cell>
          <cell r="G72" t="str">
            <v>CCCD: 020068001743,
Ngày cấp 29/4/2021, 
Tại Cục cảnh sát quản lý hành chính về trật tự xã hội</v>
          </cell>
          <cell r="H72">
            <v>24924</v>
          </cell>
          <cell r="J72">
            <v>58</v>
          </cell>
          <cell r="K72" t="str">
            <v>080873444</v>
          </cell>
          <cell r="L72" t="str">
            <v>27/08/2010</v>
          </cell>
          <cell r="M72" t="str">
            <v>CA tỉnh Lạng Sơn</v>
          </cell>
          <cell r="P72" t="str">
            <v>Huyện Văn Lãng</v>
          </cell>
          <cell r="Q72" t="str">
            <v>Tỉnh Lạng Sơn</v>
          </cell>
          <cell r="S72" t="str">
            <v>Phường Tam Thanh</v>
          </cell>
          <cell r="T72" t="str">
            <v>Thành phố Lạng Sơn</v>
          </cell>
          <cell r="U72" t="str">
            <v>Tỉnh Lạng Sơn</v>
          </cell>
          <cell r="V72" t="str">
            <v>Phường Tam Thanh, Thành phố Lạng Sơn, Tỉnh Lạng Sơn</v>
          </cell>
          <cell r="W72" t="str">
            <v>26/4/1994</v>
          </cell>
          <cell r="AA72" t="str">
            <v>Trưởng khoa</v>
          </cell>
          <cell r="AB72" t="str">
            <v>TĐ001</v>
          </cell>
          <cell r="AC72" t="str">
            <v>Nội Tiêu hóa</v>
          </cell>
          <cell r="AD72" t="str">
            <v>KP008</v>
          </cell>
          <cell r="AE72" t="str">
            <v>Viên chức</v>
          </cell>
          <cell r="AF72" t="str">
            <v>V.08.01.02</v>
          </cell>
          <cell r="AG72" t="str">
            <v>Bác sĩ chính (hạng II)</v>
          </cell>
          <cell r="AH72">
            <v>6.1</v>
          </cell>
          <cell r="AI72">
            <v>6</v>
          </cell>
          <cell r="AJ72">
            <v>0</v>
          </cell>
          <cell r="AK72">
            <v>44927</v>
          </cell>
          <cell r="AL72" t="str">
            <v>Đại học</v>
          </cell>
          <cell r="AM72" t="str">
            <v>BSCKII</v>
          </cell>
          <cell r="AN72" t="str">
            <v>Nội khoa</v>
          </cell>
          <cell r="AO72" t="str">
            <v>Đại học Y Hà Nội</v>
          </cell>
          <cell r="AP72">
            <v>2014</v>
          </cell>
          <cell r="AR72" t="str">
            <v>Chuyên viên</v>
          </cell>
          <cell r="AS72" t="str">
            <v>x</v>
          </cell>
          <cell r="AT72" t="str">
            <v>Trung cấp</v>
          </cell>
          <cell r="AU72" t="str">
            <v>Anh B</v>
          </cell>
          <cell r="AV72">
            <v>0</v>
          </cell>
          <cell r="AW72" t="str">
            <v>B</v>
          </cell>
          <cell r="AY72" t="str">
            <v>Nùng</v>
          </cell>
          <cell r="AZ72">
            <v>38834</v>
          </cell>
          <cell r="BA72" t="e">
            <v>#REF!</v>
          </cell>
          <cell r="BB72" t="e">
            <v>#REF!</v>
          </cell>
          <cell r="BC72" t="str">
            <v>24/06/2013</v>
          </cell>
        </row>
        <row r="73">
          <cell r="A73" t="str">
            <v>BV0005</v>
          </cell>
          <cell r="B73">
            <v>67</v>
          </cell>
          <cell r="C73" t="str">
            <v>Hoàng Văn Hiệp</v>
          </cell>
          <cell r="D73" t="str">
            <v>BV0005</v>
          </cell>
          <cell r="E73">
            <v>1596012579</v>
          </cell>
          <cell r="G73" t="str">
            <v>CCCD: 020068001744, 
Ngày cấp 29/4/2021, 
Tại Cục cảnh sát quản lý hành chính về trật tự xã hội</v>
          </cell>
          <cell r="H73">
            <v>24936</v>
          </cell>
          <cell r="J73">
            <v>58</v>
          </cell>
          <cell r="K73" t="str">
            <v>080959689</v>
          </cell>
          <cell r="L73" t="str">
            <v>14/11/2006</v>
          </cell>
          <cell r="M73" t="str">
            <v>CA tỉnh Lạng Sơn</v>
          </cell>
          <cell r="O73" t="str">
            <v>Xã Mông Ân</v>
          </cell>
          <cell r="P73" t="str">
            <v>Huyện Bình Gia</v>
          </cell>
          <cell r="Q73" t="str">
            <v>Tỉnh Lạng Sơn</v>
          </cell>
          <cell r="S73" t="str">
            <v>Phường Vĩnh Trại</v>
          </cell>
          <cell r="T73" t="str">
            <v>Thành phố Lạng Sơn</v>
          </cell>
          <cell r="U73" t="str">
            <v>Tỉnh Lạng Sơn</v>
          </cell>
          <cell r="V73" t="str">
            <v>Phường Vĩnh Trại, Thành phố Lạng Sơn, Tỉnh Lạng Sơn</v>
          </cell>
          <cell r="W73" t="str">
            <v>29/7/1991</v>
          </cell>
          <cell r="AA73">
            <v>0</v>
          </cell>
          <cell r="AB73" t="str">
            <v>TĐ004</v>
          </cell>
          <cell r="AC73" t="str">
            <v>Nội Tổng hợp</v>
          </cell>
          <cell r="AD73" t="str">
            <v>KP007</v>
          </cell>
          <cell r="AE73" t="str">
            <v>Viên chức</v>
          </cell>
          <cell r="AF73" t="str">
            <v>V.08.01.02</v>
          </cell>
          <cell r="AG73" t="str">
            <v>Bác sĩ chính (hạng II)</v>
          </cell>
          <cell r="AH73">
            <v>5.08</v>
          </cell>
          <cell r="AI73">
            <v>3</v>
          </cell>
          <cell r="AJ73">
            <v>0</v>
          </cell>
          <cell r="AK73">
            <v>44986</v>
          </cell>
          <cell r="AL73" t="str">
            <v>Đại học</v>
          </cell>
          <cell r="AM73" t="str">
            <v>Thạc sỹ</v>
          </cell>
          <cell r="AN73" t="str">
            <v>Nội khoa</v>
          </cell>
          <cell r="AO73" t="str">
            <v>Học viện Quân y</v>
          </cell>
          <cell r="AP73">
            <v>2011</v>
          </cell>
          <cell r="AQ73" t="str">
            <v>12/12</v>
          </cell>
          <cell r="AR73">
            <v>0</v>
          </cell>
          <cell r="AS73">
            <v>0</v>
          </cell>
          <cell r="AT73">
            <v>0</v>
          </cell>
          <cell r="AU73" t="str">
            <v>Anh C</v>
          </cell>
          <cell r="AV73" t="str">
            <v>Tày</v>
          </cell>
          <cell r="AW73" t="str">
            <v>B</v>
          </cell>
          <cell r="AY73" t="str">
            <v>Tày</v>
          </cell>
          <cell r="BA73" t="e">
            <v>#REF!</v>
          </cell>
          <cell r="BB73" t="e">
            <v>#REF!</v>
          </cell>
          <cell r="BC73" t="str">
            <v>24/06/2013</v>
          </cell>
        </row>
        <row r="74">
          <cell r="A74" t="str">
            <v>BV0851</v>
          </cell>
          <cell r="B74">
            <v>68</v>
          </cell>
          <cell r="C74" t="str">
            <v>Hoàng Thị Anh Tú</v>
          </cell>
          <cell r="D74" t="str">
            <v>BV0851</v>
          </cell>
          <cell r="E74" t="str">
            <v>2020625142</v>
          </cell>
          <cell r="G74" t="str">
            <v>CCCD: 020193007054, 
Ngày cấp 25/06/2021, 
Tại Cục cảnh sát quản lý hành chính về trật tự xã hội</v>
          </cell>
          <cell r="I74">
            <v>34177</v>
          </cell>
          <cell r="J74">
            <v>32</v>
          </cell>
          <cell r="K74" t="str">
            <v>082238965</v>
          </cell>
          <cell r="L74" t="str">
            <v>03/08/2010</v>
          </cell>
          <cell r="M74" t="str">
            <v>CA tỉnh Lạng Sơn</v>
          </cell>
          <cell r="N74" t="str">
            <v>Bằng Mạc, Chi Lăng, Lạng Sơn</v>
          </cell>
          <cell r="O74" t="str">
            <v>Bằng Mạc</v>
          </cell>
          <cell r="P74" t="str">
            <v>Chi Lăng</v>
          </cell>
          <cell r="Q74" t="str">
            <v>Lạng Sơn</v>
          </cell>
          <cell r="R74" t="str">
            <v>Đồng Chùa</v>
          </cell>
          <cell r="S74" t="str">
            <v>Bằng Mạc</v>
          </cell>
          <cell r="T74" t="str">
            <v>Chi Lăng</v>
          </cell>
          <cell r="U74" t="str">
            <v>Lạng Sơn</v>
          </cell>
          <cell r="V74" t="str">
            <v>Xã Bằng Mạc, huyện Chi Lăng, tỉnh Lạng Sơn</v>
          </cell>
          <cell r="W74" t="str">
            <v>01/11/2018</v>
          </cell>
          <cell r="X74" t="str">
            <v>01/11/2018</v>
          </cell>
          <cell r="AA74">
            <v>0</v>
          </cell>
          <cell r="AB74" t="str">
            <v>TĐ003</v>
          </cell>
          <cell r="AC74" t="str">
            <v>Nội Tiêu hóa</v>
          </cell>
          <cell r="AD74" t="str">
            <v>KP008</v>
          </cell>
          <cell r="AE74" t="str">
            <v>Viên chức</v>
          </cell>
          <cell r="AF74" t="str">
            <v>V.08.01.03</v>
          </cell>
          <cell r="AG74" t="str">
            <v>Bác sĩ (hạng III)</v>
          </cell>
          <cell r="AH74">
            <v>3</v>
          </cell>
          <cell r="AI74">
            <v>3</v>
          </cell>
          <cell r="AJ74">
            <v>0</v>
          </cell>
          <cell r="AK74">
            <v>45689</v>
          </cell>
          <cell r="AL74" t="str">
            <v>Đại học</v>
          </cell>
          <cell r="AM74" t="str">
            <v>BSCKI</v>
          </cell>
          <cell r="AN74" t="str">
            <v>Đa khoa</v>
          </cell>
          <cell r="AR74">
            <v>0</v>
          </cell>
          <cell r="AS74">
            <v>0</v>
          </cell>
          <cell r="AT74">
            <v>0</v>
          </cell>
          <cell r="AU74" t="str">
            <v>Anh A2</v>
          </cell>
          <cell r="AV74">
            <v>0</v>
          </cell>
          <cell r="AW74" t="str">
            <v>IC3</v>
          </cell>
          <cell r="AY74" t="str">
            <v>Tày</v>
          </cell>
          <cell r="AZ74">
            <v>42868</v>
          </cell>
          <cell r="BC74" t="str">
            <v>24/06/2013</v>
          </cell>
        </row>
        <row r="75">
          <cell r="A75" t="str">
            <v>BV0777</v>
          </cell>
          <cell r="B75">
            <v>69</v>
          </cell>
          <cell r="C75" t="str">
            <v>Bế Thị Ly La</v>
          </cell>
          <cell r="D75" t="str">
            <v>BV0777</v>
          </cell>
          <cell r="E75" t="str">
            <v>2020228700</v>
          </cell>
          <cell r="G75" t="str">
            <v>CCCD: 020192000497, 
Ngày cấp 26/3/2021,
Tại Cục cảnh sát quản lý hành chính về trật tự xã hội</v>
          </cell>
          <cell r="I75">
            <v>33817</v>
          </cell>
          <cell r="J75">
            <v>33</v>
          </cell>
          <cell r="K75" t="str">
            <v>082119209</v>
          </cell>
          <cell r="L75" t="str">
            <v>11/4/2007</v>
          </cell>
          <cell r="M75" t="str">
            <v>CA tỉnh Lạng Sơn</v>
          </cell>
          <cell r="N75" t="str">
            <v>Xã Hoàng Việt, huyện Văn Lãng, tỉnh Lạng Sơn</v>
          </cell>
          <cell r="O75" t="str">
            <v>Hoàng Việt</v>
          </cell>
          <cell r="P75" t="str">
            <v>Văn Lãng</v>
          </cell>
          <cell r="Q75" t="str">
            <v>Lạng Sơn</v>
          </cell>
          <cell r="R75" t="str">
            <v>Xã Hoàng Việt, huyện Văn Lãng, tỉnh Lạng Sơn</v>
          </cell>
          <cell r="V75" t="str">
            <v>Xã Hoàng Việt, huyện Văn Lãng, tỉnh Lạng Sơn</v>
          </cell>
          <cell r="W75" t="str">
            <v>20/3/2018</v>
          </cell>
          <cell r="X75" t="str">
            <v xml:space="preserve"> 01/9/2017</v>
          </cell>
          <cell r="Y75">
            <v>572</v>
          </cell>
          <cell r="Z75" t="str">
            <v>18/3/2018</v>
          </cell>
          <cell r="AA75">
            <v>0</v>
          </cell>
          <cell r="AB75" t="str">
            <v>TĐ003</v>
          </cell>
          <cell r="AC75" t="str">
            <v>Nội Tổng hợp</v>
          </cell>
          <cell r="AD75" t="str">
            <v>KP007</v>
          </cell>
          <cell r="AE75" t="str">
            <v>Viên chức</v>
          </cell>
          <cell r="AF75" t="str">
            <v>V.08.01.03</v>
          </cell>
          <cell r="AG75" t="str">
            <v>Bác sĩ (hạng III)</v>
          </cell>
          <cell r="AH75">
            <v>3</v>
          </cell>
          <cell r="AI75">
            <v>3</v>
          </cell>
          <cell r="AJ75">
            <v>0</v>
          </cell>
          <cell r="AK75">
            <v>45474</v>
          </cell>
          <cell r="AL75" t="str">
            <v>Đại học</v>
          </cell>
          <cell r="AM75" t="str">
            <v>BSCKI</v>
          </cell>
          <cell r="AN75" t="str">
            <v>Nội khoa</v>
          </cell>
          <cell r="AO75" t="str">
            <v>Đại học Y Dược Thái Nguyên</v>
          </cell>
          <cell r="AP75">
            <v>2017</v>
          </cell>
          <cell r="AQ75" t="str">
            <v>12/12</v>
          </cell>
          <cell r="AR75">
            <v>0</v>
          </cell>
          <cell r="AS75">
            <v>0</v>
          </cell>
          <cell r="AT75" t="str">
            <v>Sơ cấp</v>
          </cell>
          <cell r="AU75" t="str">
            <v>Anh A2</v>
          </cell>
          <cell r="AV75" t="str">
            <v>Tày</v>
          </cell>
          <cell r="AW75" t="str">
            <v>IC3</v>
          </cell>
          <cell r="AY75" t="str">
            <v>Nùng</v>
          </cell>
          <cell r="BA75" t="e">
            <v>#REF!</v>
          </cell>
          <cell r="BB75" t="e">
            <v>#REF!</v>
          </cell>
          <cell r="BC75" t="str">
            <v>24/06/2013</v>
          </cell>
        </row>
        <row r="76">
          <cell r="A76" t="str">
            <v>BV0343</v>
          </cell>
          <cell r="B76">
            <v>70</v>
          </cell>
          <cell r="C76" t="str">
            <v>Đoàn Thị Thanh Thúy</v>
          </cell>
          <cell r="D76" t="str">
            <v>BV0343</v>
          </cell>
          <cell r="E76">
            <v>1505002498</v>
          </cell>
          <cell r="G76" t="str">
            <v>CCCD: 037179008631, Ngày cấp 25/06/2021, cục cảnh sát QLHCVTTXH</v>
          </cell>
          <cell r="I76">
            <v>29132</v>
          </cell>
          <cell r="J76">
            <v>46</v>
          </cell>
          <cell r="K76" t="str">
            <v>164065352</v>
          </cell>
          <cell r="L76" t="str">
            <v>02/04/2013</v>
          </cell>
          <cell r="M76" t="str">
            <v>CA tỉnh Lạng Sơn</v>
          </cell>
          <cell r="P76" t="str">
            <v>Huyện Hoa Lư</v>
          </cell>
          <cell r="Q76" t="str">
            <v>Tỉnh Ninh Bình</v>
          </cell>
          <cell r="S76" t="str">
            <v>Phường Tam Thanh</v>
          </cell>
          <cell r="T76" t="str">
            <v>Thành phố Lạng Sơn</v>
          </cell>
          <cell r="U76" t="str">
            <v>Tỉnh Lạng Sơn</v>
          </cell>
          <cell r="V76" t="str">
            <v>Phường Tam Thanh, Thành phố Lạng Sơn, Tỉnh Lạng Sơn</v>
          </cell>
          <cell r="W76" t="str">
            <v>19/01/2005</v>
          </cell>
          <cell r="AA76" t="str">
            <v>Điều dưỡng trưởng</v>
          </cell>
          <cell r="AB76" t="str">
            <v>TĐ011</v>
          </cell>
          <cell r="AC76" t="str">
            <v>Nội Tổng hợp</v>
          </cell>
          <cell r="AD76" t="str">
            <v>KP007</v>
          </cell>
          <cell r="AE76" t="str">
            <v>Viên chức</v>
          </cell>
          <cell r="AF76" t="str">
            <v>V.08.05.12</v>
          </cell>
          <cell r="AG76" t="str">
            <v>Điều dưỡng (hạng III)</v>
          </cell>
          <cell r="AH76">
            <v>3.99</v>
          </cell>
          <cell r="AI76">
            <v>6</v>
          </cell>
          <cell r="AJ76">
            <v>0</v>
          </cell>
          <cell r="AK76">
            <v>45170</v>
          </cell>
          <cell r="AL76" t="str">
            <v>Đại học</v>
          </cell>
          <cell r="AM76" t="str">
            <v>Điều dưỡng ĐH</v>
          </cell>
          <cell r="AO76" t="str">
            <v>Đại học Y dược Thái Nguyên</v>
          </cell>
          <cell r="AP76">
            <v>2010</v>
          </cell>
          <cell r="AQ76" t="str">
            <v>12/12</v>
          </cell>
          <cell r="AR76" t="str">
            <v>Chuyên viên</v>
          </cell>
          <cell r="AS76" t="str">
            <v>X</v>
          </cell>
          <cell r="AT76" t="str">
            <v>Sơ cấp</v>
          </cell>
          <cell r="AU76" t="str">
            <v>Anh B</v>
          </cell>
          <cell r="AV76" t="str">
            <v>Tày</v>
          </cell>
          <cell r="AW76" t="str">
            <v>B</v>
          </cell>
          <cell r="AY76" t="str">
            <v>Kinh</v>
          </cell>
          <cell r="AZ76">
            <v>37685</v>
          </cell>
          <cell r="BA76" t="e">
            <v>#REF!</v>
          </cell>
          <cell r="BB76" t="e">
            <v>#REF!</v>
          </cell>
          <cell r="BC76" t="str">
            <v>24/06/2013</v>
          </cell>
        </row>
        <row r="77">
          <cell r="A77" t="str">
            <v>BV0086</v>
          </cell>
          <cell r="B77">
            <v>71</v>
          </cell>
          <cell r="C77" t="str">
            <v>Triệu Thị Thanh Hòa</v>
          </cell>
          <cell r="D77" t="str">
            <v>BV0086</v>
          </cell>
          <cell r="E77">
            <v>2009000924</v>
          </cell>
          <cell r="G77" t="str">
            <v>CCCD: 020186009648
ngày cấp 25/6/2021
Tại Cục cảnh sát quản lý hành chính về trật tự xã hội</v>
          </cell>
          <cell r="I77">
            <v>31713</v>
          </cell>
          <cell r="J77">
            <v>39</v>
          </cell>
          <cell r="K77" t="str">
            <v>082002616</v>
          </cell>
          <cell r="L77" t="str">
            <v>11/11/2003</v>
          </cell>
          <cell r="M77" t="str">
            <v>CA tỉnh Lạng Sơn</v>
          </cell>
          <cell r="N77" t="str">
            <v>Xã Thượng Cường, huyện Chi Lăng, tỉnh Lạng Sơn</v>
          </cell>
          <cell r="O77" t="str">
            <v>Xã Thượng Cường</v>
          </cell>
          <cell r="P77" t="str">
            <v>Huyện Chi Lăng</v>
          </cell>
          <cell r="Q77" t="str">
            <v>Tỉnh Lạng Sơn</v>
          </cell>
          <cell r="S77" t="str">
            <v>Xã Thượng Cường</v>
          </cell>
          <cell r="T77" t="str">
            <v>Huyện Chi Lăng</v>
          </cell>
          <cell r="U77" t="str">
            <v>Tỉnh Lạng Sơn</v>
          </cell>
          <cell r="V77" t="str">
            <v>Xã Thượng Cường, Huyện Chi Lăng, Tỉnh Lạng Sơn</v>
          </cell>
          <cell r="W77" t="str">
            <v>8/12/2008</v>
          </cell>
          <cell r="AA77">
            <v>0</v>
          </cell>
          <cell r="AB77" t="str">
            <v>TĐ012</v>
          </cell>
          <cell r="AC77" t="str">
            <v>Nội Tiêu hóa</v>
          </cell>
          <cell r="AD77" t="str">
            <v>KP008</v>
          </cell>
          <cell r="AE77" t="str">
            <v>Viên chức</v>
          </cell>
          <cell r="AF77" t="str">
            <v>V.08.05.13</v>
          </cell>
          <cell r="AG77" t="str">
            <v>Điều dưỡng (hạng IV)</v>
          </cell>
          <cell r="AH77">
            <v>3.34</v>
          </cell>
          <cell r="AI77">
            <v>5</v>
          </cell>
          <cell r="AJ77">
            <v>0</v>
          </cell>
          <cell r="AK77">
            <v>44927</v>
          </cell>
          <cell r="AL77" t="str">
            <v>Cao đẳng</v>
          </cell>
          <cell r="AM77" t="str">
            <v>Điều dưỡng CĐ</v>
          </cell>
          <cell r="AO77" t="str">
            <v>Cao đẳng Y tế Lạng  Sơn</v>
          </cell>
          <cell r="AP77">
            <v>2007</v>
          </cell>
          <cell r="AQ77" t="str">
            <v>12/12</v>
          </cell>
          <cell r="AR77">
            <v>0</v>
          </cell>
          <cell r="AS77">
            <v>0</v>
          </cell>
          <cell r="AT77" t="str">
            <v>Sơ cấp</v>
          </cell>
          <cell r="AU77">
            <v>0</v>
          </cell>
          <cell r="AV77" t="str">
            <v>Tày</v>
          </cell>
          <cell r="AW77" t="str">
            <v>B</v>
          </cell>
          <cell r="AY77" t="str">
            <v>Nùng</v>
          </cell>
          <cell r="BA77" t="e">
            <v>#REF!</v>
          </cell>
          <cell r="BB77" t="e">
            <v>#REF!</v>
          </cell>
          <cell r="BC77" t="str">
            <v>01/12/2007</v>
          </cell>
        </row>
        <row r="78">
          <cell r="A78" t="str">
            <v>BV0139</v>
          </cell>
          <cell r="B78">
            <v>72</v>
          </cell>
          <cell r="C78" t="str">
            <v>Trần Thị Nhình</v>
          </cell>
          <cell r="D78" t="str">
            <v>BV0139</v>
          </cell>
          <cell r="E78">
            <v>2010000145</v>
          </cell>
          <cell r="G78" t="str">
            <v>CCCD: 020186005566
ngày cấp 26/08/2021
Tại Cục cảnh sát quản lý hành chính về trật tự xã hội</v>
          </cell>
          <cell r="I78">
            <v>31486</v>
          </cell>
          <cell r="J78">
            <v>40</v>
          </cell>
          <cell r="K78" t="str">
            <v>082032047</v>
          </cell>
          <cell r="L78" t="str">
            <v>10/06/2004</v>
          </cell>
          <cell r="M78" t="str">
            <v>CA tỉnh Lạng Sơn</v>
          </cell>
          <cell r="O78" t="str">
            <v>Xã Tú Đoạn</v>
          </cell>
          <cell r="P78" t="str">
            <v>Huyện Lộc Bình</v>
          </cell>
          <cell r="Q78" t="str">
            <v>Tỉnh Lạng Sơn</v>
          </cell>
          <cell r="S78" t="str">
            <v>Xã Hoàng Đồng</v>
          </cell>
          <cell r="T78" t="str">
            <v>Thành phố Lạng Sơn</v>
          </cell>
          <cell r="U78" t="str">
            <v>Tỉnh Lạng Sơn</v>
          </cell>
          <cell r="V78" t="str">
            <v>Xã Hoàng Đồng, Thành phố Lạng Sơn, Tỉnh Lạng Sơn</v>
          </cell>
          <cell r="W78" t="str">
            <v>15/1/2010</v>
          </cell>
          <cell r="AA78">
            <v>0</v>
          </cell>
          <cell r="AB78" t="str">
            <v>TĐ011</v>
          </cell>
          <cell r="AC78" t="str">
            <v>Nội Tiêu hóa</v>
          </cell>
          <cell r="AD78" t="str">
            <v>KP008</v>
          </cell>
          <cell r="AE78" t="str">
            <v>Viên chức</v>
          </cell>
          <cell r="AF78" t="str">
            <v>V.08.05.12</v>
          </cell>
          <cell r="AG78" t="str">
            <v>Điều dưỡng (hạng III)</v>
          </cell>
          <cell r="AH78">
            <v>3.66</v>
          </cell>
          <cell r="AI78">
            <v>5</v>
          </cell>
          <cell r="AJ78">
            <v>0</v>
          </cell>
          <cell r="AK78">
            <v>45383</v>
          </cell>
          <cell r="AL78" t="str">
            <v>Đại học</v>
          </cell>
          <cell r="AM78" t="str">
            <v>Điều dưỡng ĐH</v>
          </cell>
          <cell r="AO78" t="str">
            <v>Cao đẳng Y tế Lạng  Sơn</v>
          </cell>
          <cell r="AP78">
            <v>2008</v>
          </cell>
          <cell r="AQ78" t="str">
            <v>12/12</v>
          </cell>
          <cell r="AR78">
            <v>0</v>
          </cell>
          <cell r="AS78">
            <v>0</v>
          </cell>
          <cell r="AT78" t="str">
            <v>Sơ cấp</v>
          </cell>
          <cell r="AU78" t="str">
            <v>TOEIC</v>
          </cell>
          <cell r="AV78" t="str">
            <v>Tày</v>
          </cell>
          <cell r="AW78" t="str">
            <v>Cơ bản</v>
          </cell>
          <cell r="AY78" t="str">
            <v>Nùng</v>
          </cell>
          <cell r="BA78" t="e">
            <v>#REF!</v>
          </cell>
          <cell r="BB78" t="e">
            <v>#REF!</v>
          </cell>
        </row>
        <row r="79">
          <cell r="A79" t="str">
            <v>BV0133</v>
          </cell>
          <cell r="B79">
            <v>73</v>
          </cell>
          <cell r="C79" t="str">
            <v>Hoàng Văn Học</v>
          </cell>
          <cell r="D79" t="str">
            <v>BV0133</v>
          </cell>
          <cell r="E79">
            <v>2008002392</v>
          </cell>
          <cell r="G79" t="str">
            <v>20086001802 ngày cấp 11/4/2021, Cục cảnh sát quản lý hành chính về trật tự xã hội</v>
          </cell>
          <cell r="H79">
            <v>31532</v>
          </cell>
          <cell r="J79">
            <v>40</v>
          </cell>
          <cell r="K79" t="str">
            <v>081008438</v>
          </cell>
          <cell r="L79" t="str">
            <v>05/04/2003</v>
          </cell>
          <cell r="M79" t="str">
            <v>CA tỉnh Lạng Sơn</v>
          </cell>
          <cell r="N79" t="str">
            <v>Xã Đề Thám, huyện Tràng Định, tỉnh Lạng Sơn</v>
          </cell>
          <cell r="P79" t="str">
            <v>Huyện Tràng Định</v>
          </cell>
          <cell r="Q79" t="str">
            <v>Tỉnh Lạng Sơn</v>
          </cell>
          <cell r="S79" t="str">
            <v>Phường Tam Thanh</v>
          </cell>
          <cell r="T79" t="str">
            <v>Thành phố Lạng Sơn</v>
          </cell>
          <cell r="U79" t="str">
            <v>Tỉnh Lạng Sơn</v>
          </cell>
          <cell r="V79" t="str">
            <v>Phường Tam Thanh, Thành phố Lạng Sơn, Tỉnh Lạng Sơn</v>
          </cell>
          <cell r="W79" t="str">
            <v>1/12/2008</v>
          </cell>
          <cell r="AA79">
            <v>0</v>
          </cell>
          <cell r="AB79" t="str">
            <v>TĐ012</v>
          </cell>
          <cell r="AC79" t="str">
            <v>Truyền nhiễm</v>
          </cell>
          <cell r="AD79" t="str">
            <v>KP018</v>
          </cell>
          <cell r="AE79" t="str">
            <v>Viên chức</v>
          </cell>
          <cell r="AF79" t="str">
            <v>V.08.05.13</v>
          </cell>
          <cell r="AG79" t="str">
            <v>Điều dưỡng (hạng IV)</v>
          </cell>
          <cell r="AH79">
            <v>3.65</v>
          </cell>
          <cell r="AI79">
            <v>6</v>
          </cell>
          <cell r="AJ79">
            <v>0</v>
          </cell>
          <cell r="AK79">
            <v>45809</v>
          </cell>
          <cell r="AL79" t="str">
            <v>Cao đẳng</v>
          </cell>
          <cell r="AM79" t="str">
            <v>Điều dưỡng CĐ</v>
          </cell>
          <cell r="AO79" t="str">
            <v>Trung cấp Y tế Ninh Bình</v>
          </cell>
          <cell r="AP79">
            <v>2007</v>
          </cell>
          <cell r="AR79">
            <v>0</v>
          </cell>
          <cell r="AS79">
            <v>0</v>
          </cell>
          <cell r="AT79">
            <v>0</v>
          </cell>
          <cell r="AU79">
            <v>0</v>
          </cell>
          <cell r="AV79" t="str">
            <v>Tày</v>
          </cell>
          <cell r="AW79" t="str">
            <v>Cơ bản</v>
          </cell>
          <cell r="AY79" t="str">
            <v>Nùng</v>
          </cell>
          <cell r="BA79" t="e">
            <v>#REF!</v>
          </cell>
          <cell r="BB79" t="e">
            <v>#REF!</v>
          </cell>
          <cell r="BC79" t="str">
            <v>01/06/2016</v>
          </cell>
        </row>
        <row r="80">
          <cell r="A80" t="str">
            <v>BV0019</v>
          </cell>
          <cell r="B80">
            <v>74</v>
          </cell>
          <cell r="C80" t="str">
            <v>Bế Thị Liễu</v>
          </cell>
          <cell r="D80" t="str">
            <v>BV0019</v>
          </cell>
          <cell r="E80">
            <v>1506002933</v>
          </cell>
          <cell r="G80" t="str">
            <v>CCCD: 020184010044
ngày cấp 06/12/2021
Tại Cục cảnh sát quản lý hành chính về trật tự xã hội</v>
          </cell>
          <cell r="I80">
            <v>30884</v>
          </cell>
          <cell r="J80">
            <v>41</v>
          </cell>
          <cell r="K80" t="str">
            <v>081002193</v>
          </cell>
          <cell r="L80" t="str">
            <v>20/03/2002</v>
          </cell>
          <cell r="M80" t="str">
            <v>CA tỉnh Lạng Sơn</v>
          </cell>
          <cell r="N80" t="str">
            <v>Thị trấn Đình Lập, huyện Đình Lập, tỉnh Lạng Sơn</v>
          </cell>
          <cell r="O80" t="str">
            <v>Xã Bính Xá</v>
          </cell>
          <cell r="P80" t="str">
            <v>Huyện Đình Lập</v>
          </cell>
          <cell r="Q80" t="str">
            <v>Tỉnh Lạng Sơn</v>
          </cell>
          <cell r="S80" t="str">
            <v>Thị trấn Đình Lập</v>
          </cell>
          <cell r="T80" t="str">
            <v>Huyện Đình Lập</v>
          </cell>
          <cell r="U80" t="str">
            <v>Tỉnh Lạng Sơn</v>
          </cell>
          <cell r="V80" t="str">
            <v>Thị trấn Đình Lập, Huyện Đình Lập, Tỉnh Lạng Sơn</v>
          </cell>
          <cell r="W80" t="str">
            <v>7/11/2006</v>
          </cell>
          <cell r="AA80">
            <v>0</v>
          </cell>
          <cell r="AB80" t="str">
            <v>TĐ011</v>
          </cell>
          <cell r="AC80" t="str">
            <v>Nội Tiêu hóa</v>
          </cell>
          <cell r="AD80" t="str">
            <v>KP008</v>
          </cell>
          <cell r="AE80" t="str">
            <v>Viên chức</v>
          </cell>
          <cell r="AF80" t="str">
            <v>V.08.05.12</v>
          </cell>
          <cell r="AG80" t="str">
            <v>Điều dưỡng (hạng III)</v>
          </cell>
          <cell r="AH80">
            <v>3.99</v>
          </cell>
          <cell r="AI80">
            <v>6</v>
          </cell>
          <cell r="AJ80">
            <v>0</v>
          </cell>
          <cell r="AK80">
            <v>45778</v>
          </cell>
          <cell r="AL80" t="str">
            <v>Đại học</v>
          </cell>
          <cell r="AM80" t="str">
            <v>Điều dưỡng ĐH</v>
          </cell>
          <cell r="AO80" t="str">
            <v>Trung học Y tế Lạng Sơn</v>
          </cell>
          <cell r="AP80">
            <v>2005</v>
          </cell>
          <cell r="AQ80" t="str">
            <v>12/12</v>
          </cell>
          <cell r="AR80">
            <v>0</v>
          </cell>
          <cell r="AS80">
            <v>0</v>
          </cell>
          <cell r="AT80">
            <v>0</v>
          </cell>
          <cell r="AU80" t="str">
            <v>TOEIC</v>
          </cell>
          <cell r="AV80" t="str">
            <v>Tày</v>
          </cell>
          <cell r="AW80" t="str">
            <v>Cơ bản</v>
          </cell>
          <cell r="AY80" t="str">
            <v>Tày</v>
          </cell>
          <cell r="BA80" t="e">
            <v>#REF!</v>
          </cell>
          <cell r="BB80" t="e">
            <v>#REF!</v>
          </cell>
          <cell r="BC80" t="str">
            <v>24/06/2013</v>
          </cell>
        </row>
        <row r="81">
          <cell r="A81" t="str">
            <v>BV0020</v>
          </cell>
          <cell r="B81">
            <v>75</v>
          </cell>
          <cell r="C81" t="str">
            <v>Nguyễn Thị Hiền</v>
          </cell>
          <cell r="D81" t="str">
            <v>BV0020</v>
          </cell>
          <cell r="E81">
            <v>2009000942</v>
          </cell>
          <cell r="G81" t="str">
            <v>CCCD: 020184009125
ngày cấp 25/6/2021
Tại Cục cảnh sát quản lý hành chính về trật tự xã hội</v>
          </cell>
          <cell r="I81">
            <v>31033</v>
          </cell>
          <cell r="J81">
            <v>41</v>
          </cell>
          <cell r="K81" t="str">
            <v>082011645</v>
          </cell>
          <cell r="L81" t="str">
            <v>09/02/2004</v>
          </cell>
          <cell r="M81" t="str">
            <v>CA tỉnh Lạng Sơn</v>
          </cell>
          <cell r="N81" t="str">
            <v>Xã Đại An, huyện Văn Quan, tỉnh Lạng Sơn</v>
          </cell>
          <cell r="O81" t="str">
            <v>Xã Đại An</v>
          </cell>
          <cell r="P81" t="str">
            <v>Huyện Văn Quan</v>
          </cell>
          <cell r="Q81" t="str">
            <v>Tỉnh Lạng Sơn</v>
          </cell>
          <cell r="S81" t="str">
            <v>Phường Đông Kinh</v>
          </cell>
          <cell r="T81" t="str">
            <v>Thành phố Lạng Sơn</v>
          </cell>
          <cell r="U81" t="str">
            <v>Tỉnh Lạng Sơn</v>
          </cell>
          <cell r="V81" t="str">
            <v>Phường Đông Kinh, Thành phố Lạng Sơn, Tỉnh Lạng Sơn</v>
          </cell>
          <cell r="W81" t="str">
            <v>1/12/2008</v>
          </cell>
          <cell r="AA81">
            <v>0</v>
          </cell>
          <cell r="AB81" t="str">
            <v>TĐ012</v>
          </cell>
          <cell r="AC81" t="str">
            <v>Nội Tổng hợp</v>
          </cell>
          <cell r="AD81" t="str">
            <v>KP007</v>
          </cell>
          <cell r="AE81" t="str">
            <v>Viên chức</v>
          </cell>
          <cell r="AF81" t="str">
            <v>V.08.05.13</v>
          </cell>
          <cell r="AG81" t="str">
            <v>Điều dưỡng (hạng IV)</v>
          </cell>
          <cell r="AH81">
            <v>3.65</v>
          </cell>
          <cell r="AI81">
            <v>6</v>
          </cell>
          <cell r="AJ81">
            <v>0</v>
          </cell>
          <cell r="AK81">
            <v>45839</v>
          </cell>
          <cell r="AL81" t="str">
            <v>Cao đẳng</v>
          </cell>
          <cell r="AM81" t="str">
            <v>Điều dưỡng CĐ</v>
          </cell>
          <cell r="AR81">
            <v>0</v>
          </cell>
          <cell r="AS81">
            <v>0</v>
          </cell>
          <cell r="AT81" t="str">
            <v>Sơ cấp</v>
          </cell>
          <cell r="AU81">
            <v>0</v>
          </cell>
          <cell r="AV81" t="str">
            <v>Tày</v>
          </cell>
          <cell r="AW81" t="str">
            <v>Cơ bản</v>
          </cell>
          <cell r="AY81" t="str">
            <v>Tày</v>
          </cell>
          <cell r="BA81" t="e">
            <v>#REF!</v>
          </cell>
          <cell r="BB81" t="e">
            <v>#REF!</v>
          </cell>
          <cell r="BC81" t="str">
            <v>01/06/2016</v>
          </cell>
        </row>
        <row r="82">
          <cell r="A82" t="str">
            <v>BV0131</v>
          </cell>
          <cell r="B82">
            <v>76</v>
          </cell>
          <cell r="C82" t="str">
            <v>Hoàng Thị Thu</v>
          </cell>
          <cell r="D82" t="str">
            <v>BV0131</v>
          </cell>
          <cell r="E82">
            <v>1506001849</v>
          </cell>
          <cell r="G82" t="str">
            <v>CCCD: 020181004827
ngày cấp 25/6/2021
Tại Cục cảnh sát quản lý hành chính về trật tự xã hội</v>
          </cell>
          <cell r="I82">
            <v>29621</v>
          </cell>
          <cell r="J82">
            <v>45</v>
          </cell>
          <cell r="K82" t="str">
            <v>080926988</v>
          </cell>
          <cell r="L82" t="str">
            <v>25/01/2013</v>
          </cell>
          <cell r="M82" t="str">
            <v>CA tỉnh Lạng Sơn</v>
          </cell>
          <cell r="N82" t="str">
            <v>Xã Tô Hiệu, huyện Bình Gia, tỉnh Lạng Sơn</v>
          </cell>
          <cell r="P82" t="str">
            <v>Huyện Tràng Định</v>
          </cell>
          <cell r="Q82" t="str">
            <v>Tỉnh Lạng Sơn</v>
          </cell>
          <cell r="S82" t="str">
            <v>Phường Đông Kinh</v>
          </cell>
          <cell r="T82" t="str">
            <v>Thành phố Lạng Sơn</v>
          </cell>
          <cell r="U82" t="str">
            <v>Tỉnh Lạng Sơn</v>
          </cell>
          <cell r="V82" t="str">
            <v>Phường Đông Kinh, Thành phố Lạng Sơn, Tỉnh Lạng Sơn</v>
          </cell>
          <cell r="W82" t="str">
            <v>6/11/2006</v>
          </cell>
          <cell r="AA82">
            <v>0</v>
          </cell>
          <cell r="AB82" t="str">
            <v>TĐ011</v>
          </cell>
          <cell r="AC82" t="str">
            <v>Nội Tiêu hóa</v>
          </cell>
          <cell r="AD82" t="str">
            <v>KP008</v>
          </cell>
          <cell r="AE82" t="str">
            <v>Viên chức</v>
          </cell>
          <cell r="AF82" t="str">
            <v>V.08.05.12</v>
          </cell>
          <cell r="AG82" t="str">
            <v>Điều dưỡng (hạng III)</v>
          </cell>
          <cell r="AH82">
            <v>3.99</v>
          </cell>
          <cell r="AI82">
            <v>6</v>
          </cell>
          <cell r="AJ82">
            <v>0</v>
          </cell>
          <cell r="AK82">
            <v>45778</v>
          </cell>
          <cell r="AL82" t="str">
            <v>Đại học</v>
          </cell>
          <cell r="AM82" t="str">
            <v>Điều dưỡng ĐH</v>
          </cell>
          <cell r="AO82" t="str">
            <v>Cao đẳng Y tế Lạng  Sơn</v>
          </cell>
          <cell r="AP82">
            <v>2018</v>
          </cell>
          <cell r="AQ82" t="str">
            <v>12/12</v>
          </cell>
          <cell r="AR82">
            <v>0</v>
          </cell>
          <cell r="AS82">
            <v>0</v>
          </cell>
          <cell r="AT82" t="str">
            <v>Sơ cấp</v>
          </cell>
          <cell r="AU82" t="str">
            <v>Anh A2</v>
          </cell>
          <cell r="AV82" t="str">
            <v>Tày</v>
          </cell>
          <cell r="AW82" t="str">
            <v>Cơ bản</v>
          </cell>
          <cell r="AY82" t="str">
            <v>Tày</v>
          </cell>
          <cell r="BA82" t="e">
            <v>#REF!</v>
          </cell>
          <cell r="BB82" t="e">
            <v>#REF!</v>
          </cell>
          <cell r="BC82" t="str">
            <v>24/06/2013</v>
          </cell>
        </row>
        <row r="83">
          <cell r="A83" t="str">
            <v>BV0138</v>
          </cell>
          <cell r="B83">
            <v>77</v>
          </cell>
          <cell r="C83" t="str">
            <v>Nguyễn Thị Liên</v>
          </cell>
          <cell r="D83" t="str">
            <v>BV0138</v>
          </cell>
          <cell r="E83">
            <v>2011000012</v>
          </cell>
          <cell r="G83" t="str">
            <v>CCCD: 020186011783
ngày cấp 12/8/2021
Tại Cục cảnh sát quản lý hành chính về trật tự xã hội</v>
          </cell>
          <cell r="I83">
            <v>31752</v>
          </cell>
          <cell r="J83">
            <v>39</v>
          </cell>
          <cell r="K83" t="str">
            <v>081008957</v>
          </cell>
          <cell r="L83" t="str">
            <v>05/07/2012</v>
          </cell>
          <cell r="M83" t="str">
            <v>CA tỉnh Lạng Sơn</v>
          </cell>
          <cell r="N83" t="str">
            <v>Xã Hùng Sơn, huyện Tràng Định, tỉnh Lạng Sơn</v>
          </cell>
          <cell r="O83" t="str">
            <v>Xã Hùng Sơn</v>
          </cell>
          <cell r="P83" t="str">
            <v>Huyện Tràng Định</v>
          </cell>
          <cell r="Q83" t="str">
            <v>Tỉnh Lạng Sơn</v>
          </cell>
          <cell r="S83" t="str">
            <v>Xã Hùng Sơn</v>
          </cell>
          <cell r="T83" t="str">
            <v>Huyện Tràng Định</v>
          </cell>
          <cell r="U83" t="str">
            <v>Tỉnh Lạng Sơn</v>
          </cell>
          <cell r="V83" t="str">
            <v>Xã Hùng Sơn, Huyện Tràng Định, Tỉnh Lạng Sơn</v>
          </cell>
          <cell r="W83" t="str">
            <v>1/12/2010</v>
          </cell>
          <cell r="AA83">
            <v>0</v>
          </cell>
          <cell r="AB83" t="str">
            <v>TĐ012</v>
          </cell>
          <cell r="AC83" t="str">
            <v>Nội Tổng hợp</v>
          </cell>
          <cell r="AD83" t="str">
            <v>KP007</v>
          </cell>
          <cell r="AE83" t="str">
            <v>Viên chức</v>
          </cell>
          <cell r="AF83" t="str">
            <v>V.08.05.13</v>
          </cell>
          <cell r="AG83" t="str">
            <v>Điều dưỡng (hạng IV)</v>
          </cell>
          <cell r="AH83">
            <v>3.34</v>
          </cell>
          <cell r="AI83">
            <v>5</v>
          </cell>
          <cell r="AJ83">
            <v>0</v>
          </cell>
          <cell r="AK83">
            <v>45261</v>
          </cell>
          <cell r="AL83" t="str">
            <v>Cao đẳng</v>
          </cell>
          <cell r="AM83" t="str">
            <v>Điều dưỡng CĐ</v>
          </cell>
          <cell r="AO83" t="str">
            <v>Cao đẳng Y tế Lạng  Sơn</v>
          </cell>
          <cell r="AP83">
            <v>2008</v>
          </cell>
          <cell r="AQ83" t="str">
            <v>12/12</v>
          </cell>
          <cell r="AR83">
            <v>0</v>
          </cell>
          <cell r="AS83">
            <v>0</v>
          </cell>
          <cell r="AT83">
            <v>0</v>
          </cell>
          <cell r="AU83" t="str">
            <v>Anh bậc 4</v>
          </cell>
          <cell r="AV83" t="str">
            <v>Tày</v>
          </cell>
          <cell r="AW83" t="str">
            <v>Cơ bản</v>
          </cell>
          <cell r="AY83" t="str">
            <v>Tày</v>
          </cell>
          <cell r="BA83" t="e">
            <v>#REF!</v>
          </cell>
          <cell r="BB83" t="e">
            <v>#REF!</v>
          </cell>
          <cell r="BC83" t="str">
            <v>24/06/2013</v>
          </cell>
        </row>
        <row r="84">
          <cell r="A84" t="str">
            <v>BV0345</v>
          </cell>
          <cell r="B84">
            <v>78</v>
          </cell>
          <cell r="C84" t="str">
            <v>Lâm Lệ Thu</v>
          </cell>
          <cell r="D84" t="str">
            <v>BV0345</v>
          </cell>
          <cell r="E84">
            <v>1504000551</v>
          </cell>
          <cell r="G84" t="str">
            <v>CCCD: 020177004799
ngày cấp 09/05/2021
Tại Cục cảnh sát quản lý hành chính về trật tự xã hội</v>
          </cell>
          <cell r="I84">
            <v>28432</v>
          </cell>
          <cell r="J84">
            <v>48</v>
          </cell>
          <cell r="K84" t="str">
            <v>081047613</v>
          </cell>
          <cell r="L84" t="str">
            <v>29/01/2013</v>
          </cell>
          <cell r="M84" t="str">
            <v>CA tỉnh Lạng Sơn</v>
          </cell>
          <cell r="O84" t="str">
            <v>Xã Vạn Linh</v>
          </cell>
          <cell r="P84" t="str">
            <v>Huyện Chi Lăng</v>
          </cell>
          <cell r="Q84" t="str">
            <v>Tỉnh Lạng Sơn</v>
          </cell>
          <cell r="S84" t="str">
            <v>Phường Chi Lăng</v>
          </cell>
          <cell r="T84" t="str">
            <v>Thành phố Lạng Sơn</v>
          </cell>
          <cell r="U84" t="str">
            <v>Tỉnh Lạng Sơn</v>
          </cell>
          <cell r="V84" t="str">
            <v>Phường Chi Lăng, Thành phố Lạng Sơn, Tỉnh Lạng Sơn</v>
          </cell>
          <cell r="W84" t="str">
            <v>16/2/2005</v>
          </cell>
          <cell r="AA84">
            <v>0</v>
          </cell>
          <cell r="AB84" t="str">
            <v>TĐ012</v>
          </cell>
          <cell r="AC84" t="str">
            <v>Nội Tiêu hóa</v>
          </cell>
          <cell r="AD84" t="str">
            <v>KP008</v>
          </cell>
          <cell r="AE84" t="str">
            <v>Viên chức</v>
          </cell>
          <cell r="AF84" t="str">
            <v>V.08.05.13</v>
          </cell>
          <cell r="AG84" t="str">
            <v>Điều dưỡng (hạng IV)</v>
          </cell>
          <cell r="AH84">
            <v>3.96</v>
          </cell>
          <cell r="AI84">
            <v>7</v>
          </cell>
          <cell r="AJ84">
            <v>0</v>
          </cell>
          <cell r="AK84">
            <v>45170</v>
          </cell>
          <cell r="AL84" t="str">
            <v>Cao đẳng</v>
          </cell>
          <cell r="AM84" t="str">
            <v>Điều dưỡng CĐ</v>
          </cell>
          <cell r="AO84" t="str">
            <v>Cao đẳng Y tế Lạng  Sơn</v>
          </cell>
          <cell r="AP84">
            <v>2018</v>
          </cell>
          <cell r="AQ84" t="str">
            <v>12/12</v>
          </cell>
          <cell r="AR84">
            <v>0</v>
          </cell>
          <cell r="AS84">
            <v>0</v>
          </cell>
          <cell r="AT84" t="str">
            <v>Sơ cấp</v>
          </cell>
          <cell r="AU84">
            <v>0</v>
          </cell>
          <cell r="AV84" t="str">
            <v>Tày</v>
          </cell>
          <cell r="AW84" t="str">
            <v>A</v>
          </cell>
          <cell r="AY84" t="str">
            <v>Nùng</v>
          </cell>
          <cell r="AZ84">
            <v>40287</v>
          </cell>
          <cell r="BA84" t="e">
            <v>#REF!</v>
          </cell>
          <cell r="BB84" t="e">
            <v>#REF!</v>
          </cell>
          <cell r="BC84" t="str">
            <v>24/06/2013</v>
          </cell>
        </row>
        <row r="85">
          <cell r="A85" t="str">
            <v>BV0145</v>
          </cell>
          <cell r="B85">
            <v>79</v>
          </cell>
          <cell r="C85" t="str">
            <v>Tạ Văn Hùng</v>
          </cell>
          <cell r="D85" t="str">
            <v>BV0145</v>
          </cell>
          <cell r="E85">
            <v>2008000158</v>
          </cell>
          <cell r="G85" t="str">
            <v>27082004220 cấp ngày 25/4/2021, nơi cấp: Cục cảnh sát quản lý hành chính và trật tự xã hội</v>
          </cell>
          <cell r="H85">
            <v>30015</v>
          </cell>
          <cell r="J85">
            <v>44</v>
          </cell>
          <cell r="K85" t="str">
            <v>121434792</v>
          </cell>
          <cell r="L85" t="str">
            <v>05/03/1982</v>
          </cell>
          <cell r="M85" t="str">
            <v>CA tỉnh Lạng Sơn</v>
          </cell>
          <cell r="N85" t="str">
            <v>Xã Song Mai, TP. Bắc Giang</v>
          </cell>
          <cell r="O85" t="str">
            <v>Tương Giang</v>
          </cell>
          <cell r="P85" t="str">
            <v>Từ Sơn</v>
          </cell>
          <cell r="Q85" t="str">
            <v>Tỉnh Bắc Ninh</v>
          </cell>
          <cell r="S85" t="str">
            <v>Xã Tương Giang</v>
          </cell>
          <cell r="T85" t="str">
            <v>Thị xã  Từ Sơn</v>
          </cell>
          <cell r="U85" t="str">
            <v>Tỉnh Bắc Ninh</v>
          </cell>
          <cell r="V85" t="str">
            <v>Xã Tương Giang, Thị xã  Từ Sơn, Tỉnh Bắc Ninh</v>
          </cell>
          <cell r="W85" t="str">
            <v>01/12/2008</v>
          </cell>
          <cell r="AA85" t="str">
            <v>Trưởng khoa</v>
          </cell>
          <cell r="AB85" t="str">
            <v>TĐ003</v>
          </cell>
          <cell r="AC85" t="str">
            <v>Nội Thận-TN-LM</v>
          </cell>
          <cell r="AD85" t="str">
            <v>KP009</v>
          </cell>
          <cell r="AE85" t="str">
            <v>Viên chức</v>
          </cell>
          <cell r="AF85" t="str">
            <v>V.08.01.02</v>
          </cell>
          <cell r="AG85" t="str">
            <v>Bác sĩ chính (hạng II)</v>
          </cell>
          <cell r="AH85">
            <v>4.74</v>
          </cell>
          <cell r="AI85">
            <v>2</v>
          </cell>
          <cell r="AJ85">
            <v>0</v>
          </cell>
          <cell r="AK85">
            <v>45992</v>
          </cell>
          <cell r="AL85" t="str">
            <v>Đại học</v>
          </cell>
          <cell r="AM85" t="str">
            <v>BSCKI</v>
          </cell>
          <cell r="AN85" t="str">
            <v>Nội khoa</v>
          </cell>
          <cell r="AO85" t="str">
            <v>Đại học Y Hà Nội</v>
          </cell>
          <cell r="AP85">
            <v>2016</v>
          </cell>
          <cell r="AQ85" t="str">
            <v>12/12</v>
          </cell>
          <cell r="AR85" t="str">
            <v>Chuyên viên</v>
          </cell>
          <cell r="AS85" t="str">
            <v>x</v>
          </cell>
          <cell r="AT85" t="str">
            <v>Trung cấp</v>
          </cell>
          <cell r="AU85" t="str">
            <v>Pháp B</v>
          </cell>
          <cell r="AV85" t="str">
            <v>x</v>
          </cell>
          <cell r="AW85" t="str">
            <v>B</v>
          </cell>
          <cell r="AY85" t="str">
            <v>Kinh</v>
          </cell>
          <cell r="AZ85">
            <v>41032</v>
          </cell>
          <cell r="BA85" t="e">
            <v>#REF!</v>
          </cell>
          <cell r="BB85" t="e">
            <v>#REF!</v>
          </cell>
          <cell r="BC85" t="str">
            <v>24/06/2013</v>
          </cell>
        </row>
        <row r="86">
          <cell r="A86" t="str">
            <v>BV0146</v>
          </cell>
          <cell r="B86">
            <v>80</v>
          </cell>
          <cell r="C86" t="str">
            <v>Hà Long Sơn</v>
          </cell>
          <cell r="D86" t="str">
            <v>BV0146</v>
          </cell>
          <cell r="E86">
            <v>2010000125</v>
          </cell>
          <cell r="G86" t="str">
            <v>020083002550 cấp ngày 29/4/2021, nơi cấp: Cục cảnh sát quản lý hành chính và trật tự xã hội</v>
          </cell>
          <cell r="H86">
            <v>30519</v>
          </cell>
          <cell r="J86">
            <v>42</v>
          </cell>
          <cell r="K86" t="str">
            <v>080991917</v>
          </cell>
          <cell r="L86" t="str">
            <v>24/05/2000</v>
          </cell>
          <cell r="M86" t="str">
            <v>CA tỉnh Lạng Sơn</v>
          </cell>
          <cell r="O86" t="str">
            <v>Xã Xuân Mai</v>
          </cell>
          <cell r="P86" t="str">
            <v>Huyện Văn Quan</v>
          </cell>
          <cell r="Q86" t="str">
            <v>Tỉnh Lạng Sơn</v>
          </cell>
          <cell r="S86" t="str">
            <v>Xã Xuân Mai</v>
          </cell>
          <cell r="T86" t="str">
            <v>Huyện Văn Quan</v>
          </cell>
          <cell r="U86" t="str">
            <v>Tỉnh Lạng Sơn</v>
          </cell>
          <cell r="V86" t="str">
            <v>Xã Xuân Mai, Huyện Văn Quan, Tỉnh Lạng Sơn</v>
          </cell>
          <cell r="W86" t="str">
            <v>15/1/2010</v>
          </cell>
          <cell r="AA86" t="str">
            <v>Phó trưởng khoa</v>
          </cell>
          <cell r="AB86" t="str">
            <v>TĐ003</v>
          </cell>
          <cell r="AC86" t="str">
            <v>Nội Thận-TN-LM</v>
          </cell>
          <cell r="AD86" t="str">
            <v>KP009</v>
          </cell>
          <cell r="AE86" t="str">
            <v>Viên chức</v>
          </cell>
          <cell r="AF86" t="str">
            <v>V.08.01.03</v>
          </cell>
          <cell r="AG86" t="str">
            <v>Bác sĩ (hạng III)</v>
          </cell>
          <cell r="AH86">
            <v>3.99</v>
          </cell>
          <cell r="AI86">
            <v>6</v>
          </cell>
          <cell r="AJ86">
            <v>0</v>
          </cell>
          <cell r="AK86">
            <v>45566</v>
          </cell>
          <cell r="AL86" t="str">
            <v>Đại học</v>
          </cell>
          <cell r="AM86" t="str">
            <v>BSCKI</v>
          </cell>
          <cell r="AN86" t="str">
            <v>Nội khoa</v>
          </cell>
          <cell r="AO86" t="str">
            <v>Đại học Y Dược Thái Nguyên</v>
          </cell>
          <cell r="AP86">
            <v>2009</v>
          </cell>
          <cell r="AQ86" t="str">
            <v>12/12</v>
          </cell>
          <cell r="AR86">
            <v>0</v>
          </cell>
          <cell r="AS86">
            <v>0</v>
          </cell>
          <cell r="AT86">
            <v>0</v>
          </cell>
          <cell r="AU86">
            <v>0</v>
          </cell>
          <cell r="AV86">
            <v>0</v>
          </cell>
          <cell r="AW86" t="str">
            <v>B</v>
          </cell>
          <cell r="AY86" t="str">
            <v>Tày</v>
          </cell>
          <cell r="BA86" t="e">
            <v>#REF!</v>
          </cell>
          <cell r="BB86" t="e">
            <v>#REF!</v>
          </cell>
          <cell r="BC86" t="str">
            <v>24/06/2013</v>
          </cell>
        </row>
        <row r="87">
          <cell r="A87" t="str">
            <v>BV0681</v>
          </cell>
          <cell r="B87">
            <v>81</v>
          </cell>
          <cell r="C87" t="str">
            <v>Hoàng Thị Thoa</v>
          </cell>
          <cell r="D87" t="str">
            <v>BV0681</v>
          </cell>
          <cell r="E87">
            <v>2016000981</v>
          </cell>
          <cell r="G87" t="str">
            <v>020189003593 ngày cấp 10/5/2021, nơi cấp: Cục cảnh sát quản lý hành chính và trật tự xã hội</v>
          </cell>
          <cell r="I87" t="str">
            <v>10/5/1989</v>
          </cell>
          <cell r="J87">
            <v>37</v>
          </cell>
          <cell r="K87" t="str">
            <v>082094972</v>
          </cell>
          <cell r="L87" t="str">
            <v>14/05/2014</v>
          </cell>
          <cell r="M87" t="str">
            <v>CA tỉnh Lạng Sơn</v>
          </cell>
          <cell r="N87" t="str">
            <v>Xã Yên Bình, huyện Hữu Lũng, tỉnh Lạng Sơn</v>
          </cell>
          <cell r="S87" t="str">
            <v>Xã Yên Bình</v>
          </cell>
          <cell r="T87" t="str">
            <v>Huyện Hữu Lũng</v>
          </cell>
          <cell r="U87" t="str">
            <v>Tỉnh Lạng Sơn</v>
          </cell>
          <cell r="V87" t="str">
            <v>Xã Yên Bình, Huyện Hữu Lũng, Tỉnh Lạng Sơn</v>
          </cell>
          <cell r="W87" t="str">
            <v>10/01/2016</v>
          </cell>
          <cell r="AA87">
            <v>0</v>
          </cell>
          <cell r="AB87" t="str">
            <v>TĐ003</v>
          </cell>
          <cell r="AC87" t="str">
            <v>Nội Thận-TN-LM</v>
          </cell>
          <cell r="AD87" t="str">
            <v>KP009</v>
          </cell>
          <cell r="AE87" t="str">
            <v>Viên chức</v>
          </cell>
          <cell r="AF87" t="str">
            <v>V.08.01.03</v>
          </cell>
          <cell r="AG87" t="str">
            <v>Bác sĩ (hạng III)</v>
          </cell>
          <cell r="AH87">
            <v>3.33</v>
          </cell>
          <cell r="AI87">
            <v>4</v>
          </cell>
          <cell r="AJ87">
            <v>0</v>
          </cell>
          <cell r="AK87">
            <v>45768</v>
          </cell>
          <cell r="AL87" t="str">
            <v>Đại học</v>
          </cell>
          <cell r="AM87" t="str">
            <v>BSCKI</v>
          </cell>
          <cell r="AN87" t="str">
            <v>Nội khoa</v>
          </cell>
          <cell r="AO87" t="str">
            <v>Đại học Y Dược Thái Nguyên</v>
          </cell>
          <cell r="AP87">
            <v>2015</v>
          </cell>
          <cell r="AQ87" t="str">
            <v>12/12</v>
          </cell>
          <cell r="AR87">
            <v>0</v>
          </cell>
          <cell r="AS87">
            <v>0</v>
          </cell>
          <cell r="AT87">
            <v>0</v>
          </cell>
          <cell r="AU87" t="str">
            <v>Anh B</v>
          </cell>
          <cell r="AV87">
            <v>0</v>
          </cell>
          <cell r="AW87" t="str">
            <v>B</v>
          </cell>
          <cell r="AY87" t="str">
            <v>Nùng</v>
          </cell>
          <cell r="BA87" t="e">
            <v>#REF!</v>
          </cell>
          <cell r="BB87" t="e">
            <v>#REF!</v>
          </cell>
        </row>
        <row r="88">
          <cell r="A88" t="str">
            <v>BV0845</v>
          </cell>
          <cell r="B88">
            <v>82</v>
          </cell>
          <cell r="C88" t="str">
            <v>Dương Thị Huyền Trang</v>
          </cell>
          <cell r="D88" t="str">
            <v>BV0845</v>
          </cell>
          <cell r="E88">
            <v>2016006772</v>
          </cell>
          <cell r="G88" t="str">
            <v xml:space="preserve">20191011819, ngày cấp: 07/3/2021, nơi cấp: Cục quản lý hành chính về trật tự xã hội </v>
          </cell>
          <cell r="I88" t="str">
            <v>09/6/1991</v>
          </cell>
          <cell r="J88">
            <v>35</v>
          </cell>
          <cell r="K88" t="str">
            <v>082160669</v>
          </cell>
          <cell r="L88" t="str">
            <v>08/7/2016</v>
          </cell>
          <cell r="M88" t="str">
            <v>CA tỉnh Lạng Sơn</v>
          </cell>
          <cell r="N88" t="str">
            <v>Xã Yên Trạch, huyện Cao Lộc, tỉnh Lạng Sơn</v>
          </cell>
          <cell r="O88" t="str">
            <v>Vũ Sơn</v>
          </cell>
          <cell r="P88" t="str">
            <v>Bắc Sơn</v>
          </cell>
          <cell r="Q88" t="str">
            <v>Lạng Sơn</v>
          </cell>
          <cell r="R88" t="str">
            <v>Khòn Phổ</v>
          </cell>
          <cell r="S88" t="str">
            <v>Mai Pha</v>
          </cell>
          <cell r="T88" t="str">
            <v>TP. Lạng Sơn</v>
          </cell>
          <cell r="U88" t="str">
            <v>Lạng Sơn</v>
          </cell>
          <cell r="V88" t="str">
            <v>Mai Pha, TP. Lạng Sơn, Lạng Sơn</v>
          </cell>
          <cell r="W88" t="str">
            <v>01/02/2017</v>
          </cell>
          <cell r="X88" t="str">
            <v>Trung tâm phòng chống bệnh xã hội</v>
          </cell>
          <cell r="Y88" t="str">
            <v>489/QĐ-SYT</v>
          </cell>
          <cell r="Z88" t="str">
            <v>19/01/2017</v>
          </cell>
          <cell r="AA88">
            <v>0</v>
          </cell>
          <cell r="AB88" t="str">
            <v>TĐ003</v>
          </cell>
          <cell r="AC88" t="str">
            <v>Nội Thận-TN-LM</v>
          </cell>
          <cell r="AD88" t="str">
            <v>KP009</v>
          </cell>
          <cell r="AE88" t="str">
            <v>Viên chức</v>
          </cell>
          <cell r="AF88" t="str">
            <v>V.08.01.03</v>
          </cell>
          <cell r="AG88" t="str">
            <v>Bác sĩ (hạng III)</v>
          </cell>
          <cell r="AH88">
            <v>3.33</v>
          </cell>
          <cell r="AI88">
            <v>4</v>
          </cell>
          <cell r="AJ88">
            <v>0</v>
          </cell>
          <cell r="AK88">
            <v>46147</v>
          </cell>
          <cell r="AL88" t="str">
            <v>Đại học</v>
          </cell>
          <cell r="AM88" t="str">
            <v>BSCKI</v>
          </cell>
          <cell r="AN88" t="str">
            <v>Đa khoa</v>
          </cell>
          <cell r="AO88" t="str">
            <v>Đại học Y dược Thái Bình</v>
          </cell>
          <cell r="AP88">
            <v>2016</v>
          </cell>
          <cell r="AQ88" t="str">
            <v>12/12</v>
          </cell>
          <cell r="AR88">
            <v>0</v>
          </cell>
          <cell r="AS88">
            <v>0</v>
          </cell>
          <cell r="AT88">
            <v>0</v>
          </cell>
          <cell r="AU88" t="str">
            <v>Anh B</v>
          </cell>
          <cell r="AV88">
            <v>0</v>
          </cell>
          <cell r="AW88" t="str">
            <v>B</v>
          </cell>
          <cell r="AY88" t="str">
            <v>Tày</v>
          </cell>
        </row>
        <row r="89">
          <cell r="A89" t="str">
            <v>BV0147</v>
          </cell>
          <cell r="B89">
            <v>83</v>
          </cell>
          <cell r="C89" t="str">
            <v>Đinh Thị Nghĩa</v>
          </cell>
          <cell r="D89" t="str">
            <v>BV0147</v>
          </cell>
          <cell r="E89">
            <v>2013002683</v>
          </cell>
          <cell r="G89" t="str">
            <v>037190012646 cấp ngày 24/6/2021, nơi cấp: Cục cảnh sát quản lý hành chính và trật tự xã hội</v>
          </cell>
          <cell r="I89">
            <v>32879</v>
          </cell>
          <cell r="J89">
            <v>36</v>
          </cell>
          <cell r="K89" t="str">
            <v>164381518</v>
          </cell>
          <cell r="L89" t="str">
            <v>29/03/2006</v>
          </cell>
          <cell r="M89" t="str">
            <v>CA tỉnh Lạng Sơn</v>
          </cell>
          <cell r="N89" t="str">
            <v>Xã Yên Thắng, huyện Yên Mô, tỉnh Ninh Bình</v>
          </cell>
          <cell r="P89" t="str">
            <v>Yên Mô</v>
          </cell>
          <cell r="Q89" t="str">
            <v>Tỉnh Ninh Bình</v>
          </cell>
          <cell r="S89" t="str">
            <v>Phường Tam Thanh</v>
          </cell>
          <cell r="T89" t="str">
            <v>Thành phố Lạng Sơn</v>
          </cell>
          <cell r="U89" t="str">
            <v>Tỉnh Lạng Sơn</v>
          </cell>
          <cell r="V89" t="str">
            <v>Phường Tam Thanh, Thành phố Lạng Sơn, Tỉnh Lạng Sơn</v>
          </cell>
          <cell r="W89" t="str">
            <v>10/6/2013</v>
          </cell>
          <cell r="AA89">
            <v>0</v>
          </cell>
          <cell r="AB89" t="str">
            <v>TĐ011</v>
          </cell>
          <cell r="AC89" t="str">
            <v>Nội Thận-TN-LM</v>
          </cell>
          <cell r="AD89" t="str">
            <v>KP009</v>
          </cell>
          <cell r="AE89" t="str">
            <v>Viên chức</v>
          </cell>
          <cell r="AF89" t="str">
            <v>V.08.05.12</v>
          </cell>
          <cell r="AG89" t="str">
            <v>Điều dưỡng (hạng III)</v>
          </cell>
          <cell r="AH89">
            <v>3.66</v>
          </cell>
          <cell r="AI89">
            <v>5</v>
          </cell>
          <cell r="AJ89">
            <v>0</v>
          </cell>
          <cell r="AK89">
            <v>46001</v>
          </cell>
          <cell r="AL89" t="str">
            <v>Đại học</v>
          </cell>
          <cell r="AM89" t="str">
            <v>Điều dưỡng ĐH</v>
          </cell>
          <cell r="AO89" t="str">
            <v>Đại học Y Dược Thái Nguyên</v>
          </cell>
          <cell r="AP89">
            <v>2012</v>
          </cell>
          <cell r="AQ89" t="str">
            <v>12/12</v>
          </cell>
          <cell r="AR89">
            <v>0</v>
          </cell>
          <cell r="AS89">
            <v>0</v>
          </cell>
          <cell r="AT89" t="str">
            <v>Sơ cấp</v>
          </cell>
          <cell r="AU89" t="str">
            <v>Anh B</v>
          </cell>
          <cell r="AV89">
            <v>0</v>
          </cell>
          <cell r="AW89" t="str">
            <v>B</v>
          </cell>
          <cell r="AY89" t="str">
            <v>Kinh</v>
          </cell>
          <cell r="BA89" t="e">
            <v>#REF!</v>
          </cell>
          <cell r="BB89" t="e">
            <v>#REF!</v>
          </cell>
        </row>
        <row r="90">
          <cell r="A90" t="str">
            <v>BV0058</v>
          </cell>
          <cell r="B90">
            <v>84</v>
          </cell>
          <cell r="C90" t="str">
            <v>Vy Thị Thu Hằng</v>
          </cell>
          <cell r="D90" t="str">
            <v>BV0058</v>
          </cell>
          <cell r="E90">
            <v>1506002945</v>
          </cell>
          <cell r="G90" t="str">
            <v>CCCD: 008183001214
Ngày cấp: 08/4/2021
Tại Cục cảnh sát quản lý hành chính về trật tự xã hội</v>
          </cell>
          <cell r="I90">
            <v>30391</v>
          </cell>
          <cell r="J90">
            <v>43</v>
          </cell>
          <cell r="K90" t="str">
            <v>081005551</v>
          </cell>
          <cell r="L90" t="str">
            <v>11/02/2000</v>
          </cell>
          <cell r="M90" t="str">
            <v>CA tỉnh Lạng Sơn</v>
          </cell>
          <cell r="N90" t="str">
            <v>Xã Kim Phú, huyện Yên Sơn, Hà Tuyên</v>
          </cell>
          <cell r="O90" t="str">
            <v>Xã Khuất Xá</v>
          </cell>
          <cell r="P90" t="str">
            <v>huyện Lộc Bình</v>
          </cell>
          <cell r="Q90" t="str">
            <v>Tỉnh Lạng Sơn</v>
          </cell>
          <cell r="S90" t="str">
            <v>Thị trấn Cao Lộc</v>
          </cell>
          <cell r="T90" t="str">
            <v>Huyện Cao Lộc</v>
          </cell>
          <cell r="U90" t="str">
            <v>Tỉnh Lạng Sơn</v>
          </cell>
          <cell r="V90" t="str">
            <v>Thị trấn Cao Lộc, Huyện Cao Lộc, Tỉnh Lạng Sơn</v>
          </cell>
          <cell r="W90" t="str">
            <v>7/11/2006</v>
          </cell>
          <cell r="AA90" t="str">
            <v>Trưởng phòng</v>
          </cell>
          <cell r="AB90" t="str">
            <v>TĐ011</v>
          </cell>
          <cell r="AC90" t="str">
            <v>HCQT</v>
          </cell>
          <cell r="AD90" t="str">
            <v>KP040</v>
          </cell>
          <cell r="AE90" t="str">
            <v>Viên chức</v>
          </cell>
          <cell r="AF90" t="str">
            <v>V.08.05.12</v>
          </cell>
          <cell r="AG90" t="str">
            <v>Điều dưỡng (hạng III)</v>
          </cell>
          <cell r="AH90" t="str">
            <v>3.99</v>
          </cell>
          <cell r="AI90">
            <v>6</v>
          </cell>
          <cell r="AJ90">
            <v>0</v>
          </cell>
          <cell r="AK90">
            <v>45778</v>
          </cell>
          <cell r="AL90" t="str">
            <v>Đại học</v>
          </cell>
          <cell r="AM90" t="str">
            <v>Điều dưỡng ĐH</v>
          </cell>
          <cell r="AO90" t="str">
            <v>Trung học Y tế Lạng Sơn</v>
          </cell>
          <cell r="AP90">
            <v>2005</v>
          </cell>
          <cell r="AQ90" t="str">
            <v>12/12</v>
          </cell>
          <cell r="AR90">
            <v>0</v>
          </cell>
          <cell r="AS90">
            <v>0</v>
          </cell>
          <cell r="AT90" t="str">
            <v>Sơ cấp</v>
          </cell>
          <cell r="AU90" t="str">
            <v>Anh A2</v>
          </cell>
          <cell r="AV90" t="str">
            <v>Tày</v>
          </cell>
          <cell r="AW90" t="str">
            <v>Cơ bản</v>
          </cell>
          <cell r="AY90" t="str">
            <v>Tày</v>
          </cell>
          <cell r="AZ90">
            <v>43355</v>
          </cell>
          <cell r="BA90" t="e">
            <v>#REF!</v>
          </cell>
          <cell r="BB90" t="e">
            <v>#REF!</v>
          </cell>
          <cell r="BC90" t="str">
            <v>24/06/2013</v>
          </cell>
        </row>
        <row r="91">
          <cell r="A91" t="str">
            <v>BV0151</v>
          </cell>
          <cell r="B91">
            <v>85</v>
          </cell>
          <cell r="C91" t="str">
            <v>Thi Văn Hiển</v>
          </cell>
          <cell r="D91" t="str">
            <v>BV0151</v>
          </cell>
          <cell r="E91">
            <v>1506002942</v>
          </cell>
          <cell r="G91" t="str">
            <v>020079001584 cấp ngày 11/4/2021, nơi cấp: Cục cảnh sát quản lý hành chính và trật tự xã hội</v>
          </cell>
          <cell r="H91">
            <v>29028</v>
          </cell>
          <cell r="J91">
            <v>47</v>
          </cell>
          <cell r="K91" t="str">
            <v>080949292</v>
          </cell>
          <cell r="L91" t="str">
            <v>29/11/2012</v>
          </cell>
          <cell r="M91" t="str">
            <v>CA tỉnh Lạng Sơn</v>
          </cell>
          <cell r="N91" t="str">
            <v>Xã Gia Cát, huyện Cao Lộc, tỉnh Lạng Sơn</v>
          </cell>
          <cell r="P91" t="str">
            <v>Huyện Cao Lộc</v>
          </cell>
          <cell r="Q91" t="str">
            <v>Tỉnh Lạng Sơn</v>
          </cell>
          <cell r="S91" t="str">
            <v>Xã Gia Cát</v>
          </cell>
          <cell r="T91" t="str">
            <v>Huyện Cao Lộc</v>
          </cell>
          <cell r="U91" t="str">
            <v>Tỉnh Lạng Sơn</v>
          </cell>
          <cell r="V91" t="str">
            <v>Xã Gia Cát, Huyện Cao Lộc, Tỉnh Lạng Sơn</v>
          </cell>
          <cell r="W91" t="str">
            <v>7/11/2006</v>
          </cell>
          <cell r="AA91">
            <v>0</v>
          </cell>
          <cell r="AB91" t="str">
            <v>TĐ011</v>
          </cell>
          <cell r="AC91" t="str">
            <v>Nội Thận-TN-LM</v>
          </cell>
          <cell r="AD91" t="str">
            <v>KP009</v>
          </cell>
          <cell r="AE91" t="str">
            <v>Viên chức</v>
          </cell>
          <cell r="AF91" t="str">
            <v>V.08.05.12</v>
          </cell>
          <cell r="AG91" t="str">
            <v>Điều dưỡng (hạng III)</v>
          </cell>
          <cell r="AH91">
            <v>3.99</v>
          </cell>
          <cell r="AI91">
            <v>6</v>
          </cell>
          <cell r="AJ91">
            <v>0</v>
          </cell>
          <cell r="AK91">
            <v>45962</v>
          </cell>
          <cell r="AL91" t="str">
            <v>Đại học</v>
          </cell>
          <cell r="AM91" t="str">
            <v>Điều dưỡng ĐH</v>
          </cell>
          <cell r="AO91" t="str">
            <v>Cao đẳng Y tế Lạng Sơn</v>
          </cell>
          <cell r="AP91">
            <v>2015</v>
          </cell>
          <cell r="AR91">
            <v>0</v>
          </cell>
          <cell r="AS91">
            <v>0</v>
          </cell>
          <cell r="AT91">
            <v>0</v>
          </cell>
          <cell r="AU91" t="str">
            <v>Anh A2</v>
          </cell>
          <cell r="AV91">
            <v>0</v>
          </cell>
          <cell r="AW91" t="str">
            <v>Cơ bản</v>
          </cell>
          <cell r="AY91" t="str">
            <v>Tày</v>
          </cell>
          <cell r="BA91" t="e">
            <v>#REF!</v>
          </cell>
          <cell r="BB91" t="e">
            <v>#REF!</v>
          </cell>
          <cell r="BC91" t="str">
            <v>26/12/2013</v>
          </cell>
        </row>
        <row r="92">
          <cell r="A92" t="str">
            <v>BV0150</v>
          </cell>
          <cell r="B92">
            <v>86</v>
          </cell>
          <cell r="C92" t="str">
            <v>Nông Thị Ngọc</v>
          </cell>
          <cell r="D92" t="str">
            <v>BV0150</v>
          </cell>
          <cell r="E92">
            <v>2009000915</v>
          </cell>
          <cell r="G92" t="str">
            <v>020182002807 cấp ngày 23/4/2021, nơi cấp: Cục cảnh sát quản lý hành chính và trật tự xã hội</v>
          </cell>
          <cell r="I92">
            <v>30198</v>
          </cell>
          <cell r="J92">
            <v>43</v>
          </cell>
          <cell r="K92" t="str">
            <v>082003685</v>
          </cell>
          <cell r="L92" t="str">
            <v>28/01/2013</v>
          </cell>
          <cell r="M92" t="str">
            <v>CA tỉnh Lạng Sơn</v>
          </cell>
          <cell r="N92" t="str">
            <v>Xã Tô Hiệu, huyện Bình Gia, tỉnh Lạng Sơn</v>
          </cell>
          <cell r="P92" t="str">
            <v>Huyện Bình Gia</v>
          </cell>
          <cell r="Q92" t="str">
            <v>Tỉnh Lạng Sơn</v>
          </cell>
          <cell r="T92" t="str">
            <v>Thành phố Lạng Sơn</v>
          </cell>
          <cell r="U92" t="str">
            <v>Tỉnh Lạng Sơn</v>
          </cell>
          <cell r="V92" t="str">
            <v>, Thành phố Lạng Sơn, Tỉnh Lạng Sơn</v>
          </cell>
          <cell r="W92" t="str">
            <v>29/12/2008</v>
          </cell>
          <cell r="AA92">
            <v>0</v>
          </cell>
          <cell r="AB92" t="str">
            <v>TĐ011</v>
          </cell>
          <cell r="AC92" t="str">
            <v>Răng Hàm Mặt</v>
          </cell>
          <cell r="AD92" t="str">
            <v>KP024</v>
          </cell>
          <cell r="AE92" t="str">
            <v>Viên chức</v>
          </cell>
          <cell r="AF92" t="str">
            <v>V.08.05.12</v>
          </cell>
          <cell r="AG92" t="str">
            <v>Điều dưỡng (hạng III)</v>
          </cell>
          <cell r="AH92">
            <v>3.66</v>
          </cell>
          <cell r="AI92">
            <v>5</v>
          </cell>
          <cell r="AJ92">
            <v>0</v>
          </cell>
          <cell r="AK92">
            <v>45383</v>
          </cell>
          <cell r="AL92" t="str">
            <v>Đại học</v>
          </cell>
          <cell r="AM92" t="str">
            <v>Điều dưỡng ĐH</v>
          </cell>
          <cell r="AO92" t="str">
            <v>Cao đẳng Y tế Lạng Sơn</v>
          </cell>
          <cell r="AP92">
            <v>2018</v>
          </cell>
          <cell r="AQ92" t="str">
            <v>12/12</v>
          </cell>
          <cell r="AR92">
            <v>0</v>
          </cell>
          <cell r="AS92">
            <v>0</v>
          </cell>
          <cell r="AT92">
            <v>0</v>
          </cell>
          <cell r="AU92" t="str">
            <v>Anh A2</v>
          </cell>
          <cell r="AV92">
            <v>0</v>
          </cell>
          <cell r="AW92" t="str">
            <v>Cơ bản</v>
          </cell>
          <cell r="AY92" t="str">
            <v>Nùng</v>
          </cell>
          <cell r="BA92" t="e">
            <v>#REF!</v>
          </cell>
          <cell r="BB92" t="e">
            <v>#REF!</v>
          </cell>
          <cell r="BC92" t="str">
            <v>28/06/2012</v>
          </cell>
        </row>
        <row r="93">
          <cell r="A93" t="str">
            <v>BV0157</v>
          </cell>
          <cell r="B93">
            <v>87</v>
          </cell>
          <cell r="C93" t="str">
            <v>Hoàng Thị Lý</v>
          </cell>
          <cell r="D93" t="str">
            <v>BV0157</v>
          </cell>
          <cell r="E93">
            <v>2009000927</v>
          </cell>
          <cell r="G93" t="str">
            <v>020185005333 cấp ngày 25/6/2021, nơi cấp: Cục cảnh sát quản lý hành chính và trật tự xã hội</v>
          </cell>
          <cell r="I93">
            <v>31186</v>
          </cell>
          <cell r="J93">
            <v>41</v>
          </cell>
          <cell r="K93" t="str">
            <v>081024680</v>
          </cell>
          <cell r="L93" t="str">
            <v>16/05/2011</v>
          </cell>
          <cell r="M93" t="str">
            <v>CA tỉnh Lạng Sơn</v>
          </cell>
          <cell r="N93" t="str">
            <v>Xã Đồng Tiến, huyện Hữu Lũng, tỉnh Lạng Sơn</v>
          </cell>
          <cell r="P93" t="str">
            <v>Huyện Hữu Lũng</v>
          </cell>
          <cell r="Q93" t="str">
            <v>Tỉnh Lạng Sơn</v>
          </cell>
          <cell r="S93" t="str">
            <v>Thị trấn Lộc Binh</v>
          </cell>
          <cell r="T93" t="str">
            <v>Huyện Lộc Bình</v>
          </cell>
          <cell r="U93" t="str">
            <v>Tỉnh Lạng Sơn</v>
          </cell>
          <cell r="V93" t="str">
            <v>Thị trấn Lộc Binh, Huyện Lộc Bình, Tỉnh Lạng Sơn</v>
          </cell>
          <cell r="W93" t="str">
            <v>8/12/2008</v>
          </cell>
          <cell r="AA93">
            <v>0</v>
          </cell>
          <cell r="AB93" t="str">
            <v>TĐ012</v>
          </cell>
          <cell r="AC93" t="str">
            <v>Nội Thận-TN-LM</v>
          </cell>
          <cell r="AD93" t="str">
            <v>KP009</v>
          </cell>
          <cell r="AE93" t="str">
            <v>Viên chức</v>
          </cell>
          <cell r="AF93" t="str">
            <v>V.08.05.13</v>
          </cell>
          <cell r="AG93" t="str">
            <v>Điều dưỡng (hạng IV)</v>
          </cell>
          <cell r="AH93">
            <v>3.65</v>
          </cell>
          <cell r="AI93">
            <v>6</v>
          </cell>
          <cell r="AJ93">
            <v>0</v>
          </cell>
          <cell r="AK93">
            <v>45809</v>
          </cell>
          <cell r="AL93" t="str">
            <v>Cao đẳng</v>
          </cell>
          <cell r="AM93" t="str">
            <v>Điều dưỡng CĐ</v>
          </cell>
          <cell r="AO93" t="str">
            <v>Cao đẳng Y tế Lạng Sơn</v>
          </cell>
          <cell r="AP93">
            <v>2007</v>
          </cell>
          <cell r="AQ93" t="str">
            <v>12/12</v>
          </cell>
          <cell r="AR93">
            <v>0</v>
          </cell>
          <cell r="AS93">
            <v>0</v>
          </cell>
          <cell r="AT93">
            <v>0</v>
          </cell>
          <cell r="AU93" t="str">
            <v>TOEFL</v>
          </cell>
          <cell r="AV93">
            <v>0</v>
          </cell>
          <cell r="AW93" t="str">
            <v>Cơ bản</v>
          </cell>
          <cell r="AY93" t="str">
            <v>Nùng</v>
          </cell>
          <cell r="BA93" t="e">
            <v>#REF!</v>
          </cell>
          <cell r="BB93" t="e">
            <v>#REF!</v>
          </cell>
          <cell r="BC93" t="str">
            <v>24/08/2016</v>
          </cell>
        </row>
        <row r="94">
          <cell r="A94" t="str">
            <v>BV0085</v>
          </cell>
          <cell r="B94">
            <v>88</v>
          </cell>
          <cell r="C94" t="str">
            <v>Lương Thị Thu Hương</v>
          </cell>
          <cell r="D94" t="str">
            <v>BV0085</v>
          </cell>
          <cell r="E94">
            <v>1507002260</v>
          </cell>
          <cell r="G94" t="str">
            <v>020185009234 cấp ngày 25/6/2021, nơi cấp: Cục cảnh sát quản lý hành chính và trật tự xã hội</v>
          </cell>
          <cell r="I94">
            <v>31128</v>
          </cell>
          <cell r="J94">
            <v>41</v>
          </cell>
          <cell r="K94" t="str">
            <v>081000907</v>
          </cell>
          <cell r="L94" t="str">
            <v>27/10/2000</v>
          </cell>
          <cell r="M94" t="str">
            <v>CA tỉnh Lạng Sơn</v>
          </cell>
          <cell r="N94" t="str">
            <v>Thị trấn Thất Khê, huyện Tràng Định, tỉnh Lạng Sơn</v>
          </cell>
          <cell r="O94" t="str">
            <v>Xã Tri Phương</v>
          </cell>
          <cell r="P94" t="str">
            <v>Huyện Tràng Định</v>
          </cell>
          <cell r="Q94" t="str">
            <v>Tỉnh Lạng Sơn</v>
          </cell>
          <cell r="R94" t="str">
            <v>Số 6B đường Ngô Thì Nhậm</v>
          </cell>
          <cell r="S94" t="str">
            <v>Phường Tam Thanh</v>
          </cell>
          <cell r="T94" t="str">
            <v>Thành phố Lạng Sơn</v>
          </cell>
          <cell r="U94" t="str">
            <v>Tỉnh Lạng Sơn</v>
          </cell>
          <cell r="V94" t="str">
            <v>Phường Tam Thanh, Thành phố Lạng Sơn, Tỉnh Lạng Sơn</v>
          </cell>
          <cell r="W94" t="str">
            <v>15/01/2010</v>
          </cell>
          <cell r="AA94">
            <v>0</v>
          </cell>
          <cell r="AB94" t="str">
            <v>TĐ012</v>
          </cell>
          <cell r="AC94" t="str">
            <v>Nội Thận-TN-LM</v>
          </cell>
          <cell r="AD94" t="str">
            <v>KP009</v>
          </cell>
          <cell r="AE94" t="str">
            <v>Viên chức</v>
          </cell>
          <cell r="AF94" t="str">
            <v>V.08.05.13</v>
          </cell>
          <cell r="AG94" t="str">
            <v>Điều dưỡng (hạng IV)</v>
          </cell>
          <cell r="AH94">
            <v>3.65</v>
          </cell>
          <cell r="AI94">
            <v>6</v>
          </cell>
          <cell r="AJ94">
            <v>0</v>
          </cell>
          <cell r="AK94">
            <v>45839</v>
          </cell>
          <cell r="AL94" t="str">
            <v>Cao đẳng</v>
          </cell>
          <cell r="AM94" t="str">
            <v>Điều dưỡng CĐ</v>
          </cell>
          <cell r="AO94" t="str">
            <v>Trung học Y tế Thái Nguyên</v>
          </cell>
          <cell r="AP94">
            <v>2006</v>
          </cell>
          <cell r="AQ94" t="str">
            <v>12/12</v>
          </cell>
          <cell r="AR94">
            <v>0</v>
          </cell>
          <cell r="AS94">
            <v>0</v>
          </cell>
          <cell r="AT94">
            <v>0</v>
          </cell>
          <cell r="AU94" t="str">
            <v>Anh B</v>
          </cell>
          <cell r="AV94">
            <v>0</v>
          </cell>
          <cell r="AW94" t="str">
            <v>Cơ bản</v>
          </cell>
          <cell r="AY94" t="str">
            <v>Nùng</v>
          </cell>
          <cell r="BA94" t="e">
            <v>#REF!</v>
          </cell>
          <cell r="BB94" t="e">
            <v>#REF!</v>
          </cell>
          <cell r="BC94" t="str">
            <v>24/08/2016</v>
          </cell>
        </row>
        <row r="95">
          <cell r="A95" t="str">
            <v>BV0111</v>
          </cell>
          <cell r="B95">
            <v>89</v>
          </cell>
          <cell r="C95" t="str">
            <v>Vương Quỳnh Chi</v>
          </cell>
          <cell r="D95" t="str">
            <v>BV0111</v>
          </cell>
          <cell r="E95">
            <v>2009000930</v>
          </cell>
          <cell r="G95" t="str">
            <v>020185002828 cấp ngày 29/4/2021, nơi cấp: Cục cảnh sát quản lý hành chính và trật tự xã hội</v>
          </cell>
          <cell r="I95">
            <v>31315</v>
          </cell>
          <cell r="J95">
            <v>40</v>
          </cell>
          <cell r="K95" t="str">
            <v>082015070</v>
          </cell>
          <cell r="L95" t="str">
            <v>12/03/2004</v>
          </cell>
          <cell r="M95" t="str">
            <v>CA tỉnh Lạng Sơn</v>
          </cell>
          <cell r="P95" t="str">
            <v>Huyện Hữu Lũng</v>
          </cell>
          <cell r="Q95" t="str">
            <v>Tỉnh Lạng Sơn</v>
          </cell>
          <cell r="S95" t="str">
            <v>Phường Đông Kinh</v>
          </cell>
          <cell r="T95" t="str">
            <v>Thành phố Lạng Sơn</v>
          </cell>
          <cell r="U95" t="str">
            <v>Tỉnh Lạng Sơn</v>
          </cell>
          <cell r="V95" t="str">
            <v>Phường Đông Kinh, Thành phố Lạng Sơn, Tỉnh Lạng Sơn</v>
          </cell>
          <cell r="W95" t="str">
            <v>1/12/2008</v>
          </cell>
          <cell r="AA95">
            <v>0</v>
          </cell>
          <cell r="AB95" t="str">
            <v>TĐ012</v>
          </cell>
          <cell r="AC95" t="str">
            <v>Nội Thận-TN-LM</v>
          </cell>
          <cell r="AD95" t="str">
            <v>KP009</v>
          </cell>
          <cell r="AE95" t="str">
            <v>Viên chức</v>
          </cell>
          <cell r="AF95" t="str">
            <v>V.08.05.13</v>
          </cell>
          <cell r="AG95" t="str">
            <v>Điều dưỡng (hạng IV)</v>
          </cell>
          <cell r="AH95">
            <v>3.34</v>
          </cell>
          <cell r="AI95">
            <v>5</v>
          </cell>
          <cell r="AJ95">
            <v>0</v>
          </cell>
          <cell r="AK95">
            <v>44927</v>
          </cell>
          <cell r="AL95" t="str">
            <v>Cao đẳng</v>
          </cell>
          <cell r="AM95" t="str">
            <v>Điều dưỡng CĐ</v>
          </cell>
          <cell r="AO95" t="str">
            <v>Cao đẳng Y tế Lạng Sơn</v>
          </cell>
          <cell r="AP95">
            <v>2007</v>
          </cell>
          <cell r="AQ95" t="str">
            <v>12/12</v>
          </cell>
          <cell r="AR95">
            <v>0</v>
          </cell>
          <cell r="AS95">
            <v>0</v>
          </cell>
          <cell r="AT95">
            <v>0</v>
          </cell>
          <cell r="AU95" t="str">
            <v>TOEFL</v>
          </cell>
          <cell r="AV95">
            <v>0</v>
          </cell>
          <cell r="AW95" t="str">
            <v>Cơ bản</v>
          </cell>
          <cell r="AY95" t="str">
            <v>Nùng</v>
          </cell>
          <cell r="BA95" t="e">
            <v>#REF!</v>
          </cell>
          <cell r="BB95" t="e">
            <v>#REF!</v>
          </cell>
          <cell r="BC95" t="str">
            <v>24/08/2016</v>
          </cell>
        </row>
        <row r="96">
          <cell r="A96" t="str">
            <v>BV0152</v>
          </cell>
          <cell r="B96">
            <v>90</v>
          </cell>
          <cell r="C96" t="str">
            <v>Hoàng Thị Thắm</v>
          </cell>
          <cell r="D96" t="str">
            <v>BV0152</v>
          </cell>
          <cell r="E96">
            <v>2010000142</v>
          </cell>
          <cell r="G96" t="str">
            <v>020186007434 cấp ngày 25/6/2021, nơi cấp: Cục cảnh sát quản lý hành chính và trật tự xã hội</v>
          </cell>
          <cell r="I96">
            <v>31493</v>
          </cell>
          <cell r="J96">
            <v>40</v>
          </cell>
          <cell r="K96" t="str">
            <v>081006035</v>
          </cell>
          <cell r="L96" t="str">
            <v>04/05/2009</v>
          </cell>
          <cell r="M96" t="str">
            <v>CA tỉnh Lạng Sơn</v>
          </cell>
          <cell r="O96" t="str">
            <v>Xã Đại Đồng</v>
          </cell>
          <cell r="P96" t="str">
            <v>Huyện Tràng Định</v>
          </cell>
          <cell r="Q96" t="str">
            <v>Tỉnh Lạng Sơn</v>
          </cell>
          <cell r="R96" t="str">
            <v>Ngõ 1 Tông Đản</v>
          </cell>
          <cell r="S96" t="str">
            <v>Phường Hoàng Văn Thụ</v>
          </cell>
          <cell r="T96" t="str">
            <v>Thành phố Lạng Sơn</v>
          </cell>
          <cell r="U96" t="str">
            <v>Tỉnh Lạng Sơn</v>
          </cell>
          <cell r="V96" t="str">
            <v>Phường Hoàng Văn Thụ, Thành phố Lạng Sơn, Tỉnh Lạng Sơn</v>
          </cell>
          <cell r="W96" t="str">
            <v>15/1/2010</v>
          </cell>
          <cell r="AA96">
            <v>0</v>
          </cell>
          <cell r="AB96" t="str">
            <v>TĐ012</v>
          </cell>
          <cell r="AC96" t="str">
            <v>Nội Thận-TN-LM</v>
          </cell>
          <cell r="AD96" t="str">
            <v>KP009</v>
          </cell>
          <cell r="AE96" t="str">
            <v>Viên chức</v>
          </cell>
          <cell r="AF96" t="str">
            <v>V.08.05.13</v>
          </cell>
          <cell r="AG96" t="str">
            <v>Điều dưỡng (hạng IV)</v>
          </cell>
          <cell r="AH96">
            <v>3.65</v>
          </cell>
          <cell r="AI96">
            <v>6</v>
          </cell>
          <cell r="AJ96">
            <v>0</v>
          </cell>
          <cell r="AK96">
            <v>45839</v>
          </cell>
          <cell r="AL96" t="str">
            <v>Cao đẳng</v>
          </cell>
          <cell r="AM96" t="str">
            <v>Điều dưỡng CĐ</v>
          </cell>
          <cell r="AO96" t="str">
            <v>Cao đẳng Y tế Lạng Sơn</v>
          </cell>
          <cell r="AP96">
            <v>2008</v>
          </cell>
          <cell r="AQ96" t="str">
            <v>12/12</v>
          </cell>
          <cell r="AR96">
            <v>0</v>
          </cell>
          <cell r="AS96">
            <v>0</v>
          </cell>
          <cell r="AT96">
            <v>0</v>
          </cell>
          <cell r="AU96" t="str">
            <v>TOEFL</v>
          </cell>
          <cell r="AV96">
            <v>0</v>
          </cell>
          <cell r="AW96" t="str">
            <v>Cơ bản</v>
          </cell>
          <cell r="AY96" t="str">
            <v>Tày</v>
          </cell>
          <cell r="AZ96">
            <v>42554</v>
          </cell>
          <cell r="BA96" t="e">
            <v>#REF!</v>
          </cell>
          <cell r="BB96" t="e">
            <v>#REF!</v>
          </cell>
          <cell r="BC96" t="str">
            <v>24/06/2013</v>
          </cell>
        </row>
        <row r="97">
          <cell r="A97" t="str">
            <v>BV0156</v>
          </cell>
          <cell r="B97">
            <v>91</v>
          </cell>
          <cell r="C97" t="str">
            <v>Nông Công Trọng</v>
          </cell>
          <cell r="D97" t="str">
            <v>BV0156</v>
          </cell>
          <cell r="E97">
            <v>2011000021</v>
          </cell>
          <cell r="G97" t="str">
            <v>020084001194 cấp ngày 8/4/2021, nơi cấp: Cục cảnh sát quản lý hành chính và trật tự xã hội</v>
          </cell>
          <cell r="H97">
            <v>30829</v>
          </cell>
          <cell r="J97">
            <v>42</v>
          </cell>
          <cell r="K97" t="str">
            <v>081001210</v>
          </cell>
          <cell r="L97" t="str">
            <v>14/01/2003</v>
          </cell>
          <cell r="M97" t="str">
            <v>CA tỉnh Lạng Sơn</v>
          </cell>
          <cell r="O97" t="str">
            <v>Xã Trùng Quán</v>
          </cell>
          <cell r="P97" t="str">
            <v>Huyện Văn Lãng</v>
          </cell>
          <cell r="Q97" t="str">
            <v>Tỉnh Lạng Sơn</v>
          </cell>
          <cell r="S97" t="str">
            <v>Xã Trùng Quán</v>
          </cell>
          <cell r="T97" t="str">
            <v>Huyện Văn Lãng</v>
          </cell>
          <cell r="U97" t="str">
            <v>Tỉnh Lạng Sơn</v>
          </cell>
          <cell r="V97" t="str">
            <v>Xã Trùng Quán, Huyện Văn Lãng, Tỉnh Lạng Sơn</v>
          </cell>
          <cell r="W97" t="str">
            <v>1/12/2010</v>
          </cell>
          <cell r="AA97">
            <v>0</v>
          </cell>
          <cell r="AB97" t="str">
            <v>TĐ012</v>
          </cell>
          <cell r="AC97" t="str">
            <v>Nội Thận-TN-LM</v>
          </cell>
          <cell r="AD97" t="str">
            <v>KP009</v>
          </cell>
          <cell r="AE97" t="str">
            <v>Viên chức</v>
          </cell>
          <cell r="AF97" t="str">
            <v>V.08.05.13</v>
          </cell>
          <cell r="AG97" t="str">
            <v>Điều dưỡng (hạng IV)</v>
          </cell>
          <cell r="AH97">
            <v>3.65</v>
          </cell>
          <cell r="AI97">
            <v>6</v>
          </cell>
          <cell r="AJ97">
            <v>0</v>
          </cell>
          <cell r="AK97">
            <v>45839</v>
          </cell>
          <cell r="AL97" t="str">
            <v>Cao đẳng</v>
          </cell>
          <cell r="AM97" t="str">
            <v>Điều dưỡng CĐ</v>
          </cell>
          <cell r="AO97" t="str">
            <v>Cao đẳng Y tế Lạng Sơn</v>
          </cell>
          <cell r="AP97">
            <v>2009</v>
          </cell>
          <cell r="AQ97" t="str">
            <v>12/12</v>
          </cell>
          <cell r="AR97">
            <v>0</v>
          </cell>
          <cell r="AS97">
            <v>0</v>
          </cell>
          <cell r="AT97">
            <v>0</v>
          </cell>
          <cell r="AU97" t="str">
            <v>Anh B</v>
          </cell>
          <cell r="AV97">
            <v>0</v>
          </cell>
          <cell r="AW97" t="str">
            <v>Cơ bản</v>
          </cell>
          <cell r="AY97" t="str">
            <v>Tày</v>
          </cell>
          <cell r="BA97" t="e">
            <v>#REF!</v>
          </cell>
          <cell r="BB97" t="e">
            <v>#REF!</v>
          </cell>
          <cell r="BC97" t="str">
            <v>24/06/2013</v>
          </cell>
        </row>
        <row r="98">
          <cell r="A98" t="str">
            <v>BV0158</v>
          </cell>
          <cell r="B98">
            <v>92</v>
          </cell>
          <cell r="C98" t="str">
            <v>Ma Thị Nhung</v>
          </cell>
          <cell r="D98" t="str">
            <v>BV0158</v>
          </cell>
          <cell r="E98">
            <v>2009000909</v>
          </cell>
          <cell r="G98" t="str">
            <v>082003386 cấp ngày 4/3/2019, nơi cấp: Công an tỉnh Lạng Sơn</v>
          </cell>
          <cell r="I98">
            <v>31619</v>
          </cell>
          <cell r="J98">
            <v>39</v>
          </cell>
          <cell r="K98" t="str">
            <v>082003386</v>
          </cell>
          <cell r="L98" t="str">
            <v>24/02/2003</v>
          </cell>
          <cell r="M98" t="str">
            <v>CA tỉnh Lạng Sơn</v>
          </cell>
          <cell r="P98" t="str">
            <v>Huyện Bình Gia</v>
          </cell>
          <cell r="Q98" t="str">
            <v>Tỉnh Lạng Sơn</v>
          </cell>
          <cell r="S98" t="str">
            <v>Phường Chi Lăng</v>
          </cell>
          <cell r="T98" t="str">
            <v>Thành phố Lạng Sơn</v>
          </cell>
          <cell r="U98" t="str">
            <v>Tỉnh Lạng Sơn</v>
          </cell>
          <cell r="V98" t="str">
            <v>Phường Chi Lăng, Thành phố Lạng Sơn, Tỉnh Lạng Sơn</v>
          </cell>
          <cell r="W98" t="str">
            <v>25/12/2008</v>
          </cell>
          <cell r="AA98">
            <v>0</v>
          </cell>
          <cell r="AB98" t="str">
            <v>TĐ012</v>
          </cell>
          <cell r="AC98" t="str">
            <v>Nội Thận-TN-LM</v>
          </cell>
          <cell r="AD98" t="str">
            <v>KP009</v>
          </cell>
          <cell r="AE98" t="str">
            <v>Viên chức</v>
          </cell>
          <cell r="AF98" t="str">
            <v>V.08.05.13</v>
          </cell>
          <cell r="AG98" t="str">
            <v>Điều dưỡng (hạng IV)</v>
          </cell>
          <cell r="AH98">
            <v>3.34</v>
          </cell>
          <cell r="AI98">
            <v>5</v>
          </cell>
          <cell r="AJ98">
            <v>0</v>
          </cell>
          <cell r="AK98">
            <v>44927</v>
          </cell>
          <cell r="AL98" t="str">
            <v>Cao đẳng</v>
          </cell>
          <cell r="AM98" t="str">
            <v>Điều dưỡng CĐ</v>
          </cell>
          <cell r="AQ98" t="str">
            <v>12/12</v>
          </cell>
          <cell r="AR98">
            <v>0</v>
          </cell>
          <cell r="AS98">
            <v>0</v>
          </cell>
          <cell r="AT98">
            <v>0</v>
          </cell>
          <cell r="AU98">
            <v>0</v>
          </cell>
          <cell r="AV98">
            <v>0</v>
          </cell>
          <cell r="AW98" t="str">
            <v>B</v>
          </cell>
          <cell r="AY98" t="str">
            <v>Nùng</v>
          </cell>
          <cell r="BA98" t="e">
            <v>#REF!</v>
          </cell>
          <cell r="BB98" t="e">
            <v>#REF!</v>
          </cell>
          <cell r="BC98" t="str">
            <v>24/06/2013</v>
          </cell>
        </row>
        <row r="99">
          <cell r="A99" t="str">
            <v>BV0192</v>
          </cell>
          <cell r="B99">
            <v>93</v>
          </cell>
          <cell r="C99" t="str">
            <v>Phạm Thị Bình</v>
          </cell>
          <cell r="D99" t="str">
            <v>BV0192</v>
          </cell>
          <cell r="E99">
            <v>2008002395</v>
          </cell>
          <cell r="G99" t="str">
            <v>020183009298 cấp ngày 9/5/2021, nơi cấp: Cục cảnh sát quản lý hành chính và trật tự xã hội</v>
          </cell>
          <cell r="I99">
            <v>30494</v>
          </cell>
          <cell r="J99">
            <v>43</v>
          </cell>
          <cell r="K99" t="str">
            <v>081039492</v>
          </cell>
          <cell r="L99" t="str">
            <v>25/03/2002</v>
          </cell>
          <cell r="M99" t="str">
            <v>CA tỉnh Lạng Sơn</v>
          </cell>
          <cell r="N99" t="str">
            <v>Na Dương, huyện Lộc Bình, tỉnh Lạng Sơn</v>
          </cell>
          <cell r="P99" t="str">
            <v>Huyện Hưng Hà</v>
          </cell>
          <cell r="Q99" t="str">
            <v>Tỉnh Thái Bình</v>
          </cell>
          <cell r="S99" t="str">
            <v>Phường Vĩnh Trại</v>
          </cell>
          <cell r="T99" t="str">
            <v>Thành phố Lạng Sơn</v>
          </cell>
          <cell r="U99" t="str">
            <v>Tỉnh Lạng Sơn</v>
          </cell>
          <cell r="V99" t="str">
            <v>Phường Vĩnh Trại, Thành phố Lạng Sơn, Tỉnh Lạng Sơn</v>
          </cell>
          <cell r="W99" t="str">
            <v>05/6/2013</v>
          </cell>
          <cell r="AA99">
            <v>0</v>
          </cell>
          <cell r="AB99" t="str">
            <v>TĐ012</v>
          </cell>
          <cell r="AC99" t="str">
            <v>Nội Thận-TN-LM</v>
          </cell>
          <cell r="AD99" t="str">
            <v>KP009</v>
          </cell>
          <cell r="AE99" t="str">
            <v>Viên chức</v>
          </cell>
          <cell r="AF99" t="str">
            <v>V.08.05.13</v>
          </cell>
          <cell r="AG99" t="str">
            <v>Điều dưỡng (hạng IV)</v>
          </cell>
          <cell r="AH99">
            <v>3.03</v>
          </cell>
          <cell r="AI99">
            <v>4</v>
          </cell>
          <cell r="AJ99">
            <v>0</v>
          </cell>
          <cell r="AK99">
            <v>45448</v>
          </cell>
          <cell r="AL99" t="str">
            <v>Cao đẳng</v>
          </cell>
          <cell r="AM99" t="str">
            <v>Điều dưỡng CĐ</v>
          </cell>
          <cell r="AO99" t="str">
            <v>Trung học Y tế Lạng Sơn</v>
          </cell>
          <cell r="AP99">
            <v>2006</v>
          </cell>
          <cell r="AQ99" t="str">
            <v>12/12</v>
          </cell>
          <cell r="AR99">
            <v>0</v>
          </cell>
          <cell r="AS99">
            <v>0</v>
          </cell>
          <cell r="AT99">
            <v>0</v>
          </cell>
          <cell r="AU99" t="str">
            <v>Anh B</v>
          </cell>
          <cell r="AV99">
            <v>0</v>
          </cell>
          <cell r="AW99">
            <v>0</v>
          </cell>
          <cell r="AY99" t="str">
            <v>Kinh</v>
          </cell>
          <cell r="BA99" t="e">
            <v>#REF!</v>
          </cell>
          <cell r="BB99" t="e">
            <v>#REF!</v>
          </cell>
          <cell r="BC99" t="str">
            <v>24/06/2013</v>
          </cell>
        </row>
        <row r="100">
          <cell r="A100" t="str">
            <v>BV0094</v>
          </cell>
          <cell r="B100">
            <v>94</v>
          </cell>
          <cell r="C100" t="str">
            <v>Nguyễn Ngọc Bình</v>
          </cell>
          <cell r="D100" t="str">
            <v>BV0094</v>
          </cell>
          <cell r="E100">
            <v>2012000296</v>
          </cell>
          <cell r="G100" t="str">
            <v xml:space="preserve">012088000188, cấp ngày 08/4/2021, tại cục CSQLHC về TTXH </v>
          </cell>
          <cell r="H100">
            <v>32260</v>
          </cell>
          <cell r="J100">
            <v>38</v>
          </cell>
          <cell r="K100" t="str">
            <v>082017044</v>
          </cell>
          <cell r="L100" t="str">
            <v>18/04/2004</v>
          </cell>
          <cell r="M100" t="str">
            <v>CA tỉnh Lạng Sơn</v>
          </cell>
          <cell r="N100" t="str">
            <v>Thị trấn Mường Tè, huyện Mường Tè, tỉnh Lai Châu</v>
          </cell>
          <cell r="O100" t="str">
            <v>Xã Thủy Xuân</v>
          </cell>
          <cell r="P100" t="str">
            <v>Huyện Hương Thủy</v>
          </cell>
          <cell r="Q100" t="str">
            <v>Thừa Thiên Huế</v>
          </cell>
          <cell r="S100" t="str">
            <v>Thị trấn Thái Bình</v>
          </cell>
          <cell r="T100" t="str">
            <v>Huyện Đình Lập</v>
          </cell>
          <cell r="U100" t="str">
            <v>Tỉnh Lạng Sơn</v>
          </cell>
          <cell r="V100" t="str">
            <v>Thị trấn Thái Bình, Huyện Đình Lập, Tỉnh Lạng Sơn</v>
          </cell>
          <cell r="W100" t="str">
            <v>01/11/2014</v>
          </cell>
          <cell r="AA100" t="str">
            <v>Phó trưởng khoa</v>
          </cell>
          <cell r="AB100" t="str">
            <v>TĐ003</v>
          </cell>
          <cell r="AC100" t="str">
            <v>Nội TM</v>
          </cell>
          <cell r="AD100" t="str">
            <v>KP010</v>
          </cell>
          <cell r="AE100" t="str">
            <v>Viên chức</v>
          </cell>
          <cell r="AF100" t="str">
            <v>V.08.01.03</v>
          </cell>
          <cell r="AG100" t="str">
            <v>Bác sĩ chính (hạng II)</v>
          </cell>
          <cell r="AH100">
            <v>4.4000000000000004</v>
          </cell>
          <cell r="AI100">
            <v>1</v>
          </cell>
          <cell r="AJ100">
            <v>0</v>
          </cell>
          <cell r="AK100">
            <v>45809</v>
          </cell>
          <cell r="AL100" t="str">
            <v>Đại học</v>
          </cell>
          <cell r="AM100" t="str">
            <v>BSCKI</v>
          </cell>
          <cell r="AN100" t="str">
            <v>Nội khoa</v>
          </cell>
          <cell r="AO100" t="str">
            <v>Đại học Y dược Thái Nguyên</v>
          </cell>
          <cell r="AP100">
            <v>2012</v>
          </cell>
          <cell r="AQ100" t="str">
            <v>12/12</v>
          </cell>
          <cell r="AR100">
            <v>0</v>
          </cell>
          <cell r="AS100">
            <v>0</v>
          </cell>
          <cell r="AT100">
            <v>0</v>
          </cell>
          <cell r="AU100" t="str">
            <v>Anh A2</v>
          </cell>
          <cell r="AV100">
            <v>0</v>
          </cell>
          <cell r="AW100" t="str">
            <v>Cơ bản</v>
          </cell>
          <cell r="AY100" t="str">
            <v>Kinh</v>
          </cell>
          <cell r="BA100" t="e">
            <v>#REF!</v>
          </cell>
          <cell r="BB100" t="e">
            <v>#REF!</v>
          </cell>
          <cell r="BC100" t="str">
            <v>24/06/2013</v>
          </cell>
        </row>
        <row r="101">
          <cell r="A101" t="str">
            <v>BV0092</v>
          </cell>
          <cell r="B101">
            <v>95</v>
          </cell>
          <cell r="C101" t="str">
            <v>Hà Đình Nghị</v>
          </cell>
          <cell r="D101" t="str">
            <v>BV0092</v>
          </cell>
          <cell r="E101">
            <v>1504000897</v>
          </cell>
          <cell r="G101" t="str">
            <v xml:space="preserve">020074001330, cấp ngày 11/4/2021, tại cục CSQLHC về TTXH </v>
          </cell>
          <cell r="H101">
            <v>27225</v>
          </cell>
          <cell r="J101">
            <v>51</v>
          </cell>
          <cell r="K101" t="str">
            <v>080928530</v>
          </cell>
          <cell r="L101" t="str">
            <v>09/08/2013</v>
          </cell>
          <cell r="M101" t="str">
            <v>CA tỉnh Lạng Sơn</v>
          </cell>
          <cell r="N101" t="str">
            <v>Xã Tô Hiệu, huyện Bình Gia, tỉnh Lạng Sơn</v>
          </cell>
          <cell r="O101" t="str">
            <v>Xã Tô Hiệu</v>
          </cell>
          <cell r="P101" t="str">
            <v>Huyện Bình Gia</v>
          </cell>
          <cell r="Q101" t="str">
            <v>Tỉnh Lạng Sơn</v>
          </cell>
          <cell r="S101" t="str">
            <v>Xã Tô Hiệu</v>
          </cell>
          <cell r="T101" t="str">
            <v>Huyện Bình Gia</v>
          </cell>
          <cell r="U101" t="str">
            <v>Tỉnh Lạng Sơn</v>
          </cell>
          <cell r="V101" t="str">
            <v>Xã Tô Hiệu, Huyện Bình Gia, Tỉnh Lạng Sơn</v>
          </cell>
          <cell r="W101" t="str">
            <v>19/01/2005</v>
          </cell>
          <cell r="AA101" t="str">
            <v>Trưởng khoa</v>
          </cell>
          <cell r="AB101" t="str">
            <v>TĐ003</v>
          </cell>
          <cell r="AC101" t="str">
            <v>Nội TM</v>
          </cell>
          <cell r="AD101" t="str">
            <v>KP010</v>
          </cell>
          <cell r="AE101" t="str">
            <v>Viên chức</v>
          </cell>
          <cell r="AF101" t="str">
            <v>V.08.01.02</v>
          </cell>
          <cell r="AG101" t="str">
            <v>Bác sĩ chính (hạng II)</v>
          </cell>
          <cell r="AH101">
            <v>4.74</v>
          </cell>
          <cell r="AI101">
            <v>2</v>
          </cell>
          <cell r="AJ101">
            <v>0</v>
          </cell>
          <cell r="AK101">
            <v>45809</v>
          </cell>
          <cell r="AL101" t="str">
            <v>Đại học</v>
          </cell>
          <cell r="AM101" t="str">
            <v>BSCKI</v>
          </cell>
          <cell r="AN101" t="str">
            <v>Nội khoa</v>
          </cell>
          <cell r="AO101" t="str">
            <v>Đại học Y Hà Nội</v>
          </cell>
          <cell r="AP101">
            <v>2014</v>
          </cell>
          <cell r="AR101" t="str">
            <v>Chuyên viên</v>
          </cell>
          <cell r="AS101" t="str">
            <v>x</v>
          </cell>
          <cell r="AT101" t="str">
            <v>Trung cấp</v>
          </cell>
          <cell r="AU101">
            <v>0</v>
          </cell>
          <cell r="AV101" t="str">
            <v>Tày</v>
          </cell>
          <cell r="AW101" t="str">
            <v>Cơ bản</v>
          </cell>
          <cell r="AY101" t="str">
            <v>Tày</v>
          </cell>
          <cell r="AZ101">
            <v>42498</v>
          </cell>
          <cell r="BA101" t="e">
            <v>#REF!</v>
          </cell>
          <cell r="BB101" t="e">
            <v>#REF!</v>
          </cell>
        </row>
        <row r="102">
          <cell r="A102" t="str">
            <v>BV0837</v>
          </cell>
          <cell r="B102">
            <v>96</v>
          </cell>
          <cell r="C102" t="str">
            <v>Hoàng Thị Bèn</v>
          </cell>
          <cell r="D102" t="str">
            <v>BV0837</v>
          </cell>
          <cell r="E102" t="str">
            <v>2020165700</v>
          </cell>
          <cell r="G102" t="str">
            <v xml:space="preserve">082155674, cấp ngày 13/04/2008, tại Công an Tỉnh Lạng Sơn </v>
          </cell>
          <cell r="I102">
            <v>33330</v>
          </cell>
          <cell r="J102">
            <v>35</v>
          </cell>
          <cell r="K102" t="str">
            <v>082155674</v>
          </cell>
          <cell r="L102" t="str">
            <v>13/4/2008</v>
          </cell>
          <cell r="M102" t="str">
            <v>CA tỉnh Lạng Sơn</v>
          </cell>
          <cell r="N102" t="str">
            <v>Xã Thiện Hòa, huyện Bình Gia, tỉnh Lạng Sơn</v>
          </cell>
          <cell r="O102" t="str">
            <v>Xã Thiện Hòa</v>
          </cell>
          <cell r="P102" t="str">
            <v>Huyện Bình Gia</v>
          </cell>
          <cell r="Q102" t="str">
            <v>Tỉnh Lạng Sơn</v>
          </cell>
          <cell r="R102" t="str">
            <v>Nà Đảng</v>
          </cell>
          <cell r="S102" t="str">
            <v>Xã Thiện Hòa</v>
          </cell>
          <cell r="T102" t="str">
            <v>Huyện Bình Gia</v>
          </cell>
          <cell r="U102" t="str">
            <v>Tỉnh Lạng Sơn</v>
          </cell>
          <cell r="V102" t="str">
            <v>Nà Đảng, Xã Thiện Hòa, huyện Bình Gia, tỉnh Lạng Sơn.</v>
          </cell>
          <cell r="W102" t="str">
            <v>20/3/2018</v>
          </cell>
          <cell r="Y102">
            <v>566</v>
          </cell>
          <cell r="Z102" t="str">
            <v>18/3/2018</v>
          </cell>
          <cell r="AA102">
            <v>0</v>
          </cell>
          <cell r="AB102" t="str">
            <v>TĐ003</v>
          </cell>
          <cell r="AC102" t="str">
            <v>Nội TM</v>
          </cell>
          <cell r="AD102" t="str">
            <v>KP010</v>
          </cell>
          <cell r="AE102" t="str">
            <v>Viên chức</v>
          </cell>
          <cell r="AF102" t="str">
            <v>V.08.01.03</v>
          </cell>
          <cell r="AG102" t="str">
            <v>Bác sĩ (hạng III)</v>
          </cell>
          <cell r="AH102">
            <v>3</v>
          </cell>
          <cell r="AI102">
            <v>3</v>
          </cell>
          <cell r="AJ102">
            <v>0</v>
          </cell>
          <cell r="AK102">
            <v>45658</v>
          </cell>
          <cell r="AL102" t="str">
            <v>Đại học</v>
          </cell>
          <cell r="AM102" t="str">
            <v>BSCKI</v>
          </cell>
          <cell r="AN102" t="str">
            <v>Nội khoa</v>
          </cell>
          <cell r="AO102" t="str">
            <v>Đại học Y dược Thái Nguyên</v>
          </cell>
          <cell r="AP102">
            <v>2016</v>
          </cell>
          <cell r="AQ102" t="str">
            <v>12/12</v>
          </cell>
          <cell r="AR102">
            <v>0</v>
          </cell>
          <cell r="AS102">
            <v>0</v>
          </cell>
          <cell r="AT102" t="str">
            <v>Sơ cấp</v>
          </cell>
          <cell r="AU102" t="str">
            <v>Anh A3</v>
          </cell>
          <cell r="AV102">
            <v>0</v>
          </cell>
          <cell r="AW102" t="str">
            <v>Cơ bản</v>
          </cell>
          <cell r="AY102" t="str">
            <v>Nùng</v>
          </cell>
          <cell r="BA102" t="e">
            <v>#REF!</v>
          </cell>
          <cell r="BB102" t="e">
            <v>#REF!</v>
          </cell>
          <cell r="BC102" t="str">
            <v>24/06/2013</v>
          </cell>
        </row>
        <row r="103">
          <cell r="A103" t="str">
            <v>BV0122</v>
          </cell>
          <cell r="B103">
            <v>97</v>
          </cell>
          <cell r="C103" t="str">
            <v>Trần Thị Quy</v>
          </cell>
          <cell r="D103" t="str">
            <v>BV0122</v>
          </cell>
          <cell r="E103">
            <v>2013002634</v>
          </cell>
          <cell r="G103" t="str">
            <v xml:space="preserve">020188001354, cấp ngày 31/3/2021, tại cục CSQLHC về TTXH </v>
          </cell>
          <cell r="I103">
            <v>32233</v>
          </cell>
          <cell r="J103">
            <v>38</v>
          </cell>
          <cell r="K103" t="str">
            <v>082055129</v>
          </cell>
          <cell r="L103" t="str">
            <v>20/09/2006</v>
          </cell>
          <cell r="M103" t="str">
            <v>CA tỉnh Lạng Sơn</v>
          </cell>
          <cell r="N103" t="str">
            <v>Phường Chi Lăng, TP. Lạng Sơn</v>
          </cell>
          <cell r="P103" t="str">
            <v>Huyện Nam Trực</v>
          </cell>
          <cell r="Q103" t="str">
            <v>Tỉnh Nam Định</v>
          </cell>
          <cell r="S103" t="str">
            <v>Phường Chi Lăng</v>
          </cell>
          <cell r="T103" t="str">
            <v>Thành phố Lạng Sơn</v>
          </cell>
          <cell r="U103" t="str">
            <v>Tỉnh Lạng Sơn</v>
          </cell>
          <cell r="V103" t="str">
            <v>Phường Chi Lăng, Thành phố Lạng Sơn, Tỉnh Lạng Sơn</v>
          </cell>
          <cell r="W103" t="str">
            <v>01/11/2014</v>
          </cell>
          <cell r="AA103">
            <v>0</v>
          </cell>
          <cell r="AB103" t="str">
            <v>TĐ003</v>
          </cell>
          <cell r="AC103" t="str">
            <v>Nội TM</v>
          </cell>
          <cell r="AD103" t="str">
            <v>KP010</v>
          </cell>
          <cell r="AE103" t="str">
            <v>Viên chức</v>
          </cell>
          <cell r="AF103" t="str">
            <v>V.08.01.03</v>
          </cell>
          <cell r="AG103" t="str">
            <v>Bác sĩ (hạng III)</v>
          </cell>
          <cell r="AH103">
            <v>3.33</v>
          </cell>
          <cell r="AI103">
            <v>4</v>
          </cell>
          <cell r="AJ103">
            <v>0</v>
          </cell>
          <cell r="AK103">
            <v>45047</v>
          </cell>
          <cell r="AL103" t="str">
            <v>Đại học</v>
          </cell>
          <cell r="AM103" t="str">
            <v>BSCKI</v>
          </cell>
          <cell r="AN103" t="str">
            <v>Nội khoa</v>
          </cell>
          <cell r="AO103" t="str">
            <v>Đại học Y dược Thái Nguyên</v>
          </cell>
          <cell r="AP103">
            <v>2013</v>
          </cell>
          <cell r="AQ103" t="str">
            <v>12/12</v>
          </cell>
          <cell r="AR103">
            <v>0</v>
          </cell>
          <cell r="AS103">
            <v>0</v>
          </cell>
          <cell r="AT103">
            <v>0</v>
          </cell>
          <cell r="AU103" t="str">
            <v>Anh Bậc 3</v>
          </cell>
          <cell r="AV103">
            <v>0</v>
          </cell>
          <cell r="AW103" t="str">
            <v>Tin B</v>
          </cell>
          <cell r="AY103" t="str">
            <v>Tày</v>
          </cell>
          <cell r="AZ103">
            <v>44755</v>
          </cell>
          <cell r="BA103" t="e">
            <v>#REF!</v>
          </cell>
          <cell r="BB103" t="e">
            <v>#REF!</v>
          </cell>
        </row>
        <row r="104">
          <cell r="A104" t="str">
            <v>BV1029</v>
          </cell>
          <cell r="B104">
            <v>98</v>
          </cell>
          <cell r="C104" t="str">
            <v>Đào Thị Ngọc Huyền</v>
          </cell>
          <cell r="D104" t="str">
            <v>BV1029</v>
          </cell>
          <cell r="E104" t="str">
            <v>2020895618</v>
          </cell>
          <cell r="G104" t="str">
            <v xml:space="preserve">082037145, cấp ngày 14/12/2020, tại Công an tỉnh Lạng Sơn </v>
          </cell>
          <cell r="I104">
            <v>32473</v>
          </cell>
          <cell r="J104">
            <v>37</v>
          </cell>
          <cell r="K104" t="str">
            <v>082037145</v>
          </cell>
          <cell r="L104">
            <v>38330</v>
          </cell>
          <cell r="V104" t="str">
            <v>Xã Đồng Tân, huyện Hữu Lũng, tỉnh Lạng Sơn</v>
          </cell>
          <cell r="W104" t="str">
            <v>20/3/2018</v>
          </cell>
          <cell r="AA104">
            <v>0</v>
          </cell>
          <cell r="AB104" t="str">
            <v>TĐ005</v>
          </cell>
          <cell r="AC104" t="str">
            <v>Nội TM</v>
          </cell>
          <cell r="AD104" t="str">
            <v>KP010</v>
          </cell>
          <cell r="AE104" t="str">
            <v>Viên chức</v>
          </cell>
          <cell r="AF104" t="str">
            <v>V.08.01.03</v>
          </cell>
          <cell r="AG104" t="str">
            <v>Bác sĩ (hạng III)</v>
          </cell>
          <cell r="AH104">
            <v>3</v>
          </cell>
          <cell r="AI104">
            <v>3</v>
          </cell>
          <cell r="AJ104">
            <v>0</v>
          </cell>
          <cell r="AK104">
            <v>45839</v>
          </cell>
          <cell r="AL104" t="str">
            <v>Đại học</v>
          </cell>
          <cell r="AM104" t="str">
            <v>Bác sĩ</v>
          </cell>
          <cell r="AN104" t="str">
            <v>Y đa khoa</v>
          </cell>
          <cell r="AO104" t="str">
            <v>ĐH Y - Dược Thái Nguyên</v>
          </cell>
          <cell r="AQ104" t="str">
            <v>12/12</v>
          </cell>
          <cell r="AR104">
            <v>0</v>
          </cell>
          <cell r="AS104">
            <v>0</v>
          </cell>
          <cell r="AT104">
            <v>0</v>
          </cell>
          <cell r="AU104" t="str">
            <v>Anh B</v>
          </cell>
          <cell r="AV104">
            <v>0</v>
          </cell>
          <cell r="AW104" t="str">
            <v>Tin B</v>
          </cell>
          <cell r="AY104" t="str">
            <v>Kinh</v>
          </cell>
          <cell r="BA104" t="str">
            <v>003569/LS-CCHN</v>
          </cell>
          <cell r="BB104" t="str">
            <v>Khám bệnh, chưa bệnh đa khoa</v>
          </cell>
          <cell r="BC104" t="str">
            <v>24/06/2013</v>
          </cell>
        </row>
        <row r="105">
          <cell r="A105" t="str">
            <v>BV0079</v>
          </cell>
          <cell r="B105">
            <v>99</v>
          </cell>
          <cell r="C105" t="str">
            <v>Nguyễn Văn Hưng</v>
          </cell>
          <cell r="D105" t="str">
            <v>BV0079</v>
          </cell>
          <cell r="E105">
            <v>2013002129</v>
          </cell>
          <cell r="G105" t="str">
            <v xml:space="preserve">020083003106, cấp ngày 04/5/2021, tại cục CSQLHC về TTXH </v>
          </cell>
          <cell r="H105">
            <v>30423</v>
          </cell>
          <cell r="J105">
            <v>43</v>
          </cell>
          <cell r="K105" t="str">
            <v>081007244</v>
          </cell>
          <cell r="L105" t="str">
            <v>17/05/2012</v>
          </cell>
          <cell r="M105" t="str">
            <v>CA tỉnh Lạng Sơn</v>
          </cell>
          <cell r="N105" t="str">
            <v>Xã Văn An, huyện Văn Quan, tỉnh Lạng Sơn</v>
          </cell>
          <cell r="O105" t="str">
            <v>Xã Điềm He</v>
          </cell>
          <cell r="P105" t="str">
            <v>Huyện Văn Quan</v>
          </cell>
          <cell r="Q105" t="str">
            <v>Tỉnh Lạng Sơn</v>
          </cell>
          <cell r="S105" t="str">
            <v>Xã Điềm He</v>
          </cell>
          <cell r="T105" t="str">
            <v>Huyện Văn Quan</v>
          </cell>
          <cell r="U105" t="str">
            <v>Tỉnh Lạng Sơn</v>
          </cell>
          <cell r="V105" t="str">
            <v>Xã Điềm He, Huyện Văn Quan, Tỉnh Lạng Sơn</v>
          </cell>
          <cell r="W105" t="str">
            <v>05/6/2013</v>
          </cell>
          <cell r="AA105">
            <v>0</v>
          </cell>
          <cell r="AB105" t="str">
            <v>TĐ011</v>
          </cell>
          <cell r="AC105" t="str">
            <v>Nội TM</v>
          </cell>
          <cell r="AD105" t="str">
            <v>KP010</v>
          </cell>
          <cell r="AE105" t="str">
            <v>Viên chức</v>
          </cell>
          <cell r="AF105" t="str">
            <v>V.08.05.12</v>
          </cell>
          <cell r="AG105" t="str">
            <v>Điều dưỡng (hạng III)</v>
          </cell>
          <cell r="AH105">
            <v>3.33</v>
          </cell>
          <cell r="AI105">
            <v>4</v>
          </cell>
          <cell r="AJ105">
            <v>0</v>
          </cell>
          <cell r="AK105">
            <v>45087</v>
          </cell>
          <cell r="AL105" t="str">
            <v>Đại học</v>
          </cell>
          <cell r="AM105" t="str">
            <v>Điều dưỡng ĐH</v>
          </cell>
          <cell r="AO105" t="str">
            <v>Đại học Y Dược Thái Nguyên</v>
          </cell>
          <cell r="AP105">
            <v>2011</v>
          </cell>
          <cell r="AQ105" t="str">
            <v>12/12</v>
          </cell>
          <cell r="AR105">
            <v>0</v>
          </cell>
          <cell r="AS105">
            <v>0</v>
          </cell>
          <cell r="AT105">
            <v>0</v>
          </cell>
          <cell r="AU105" t="str">
            <v>Anh B</v>
          </cell>
          <cell r="AV105">
            <v>0</v>
          </cell>
          <cell r="AW105" t="str">
            <v>Tin B</v>
          </cell>
          <cell r="AY105" t="str">
            <v>Tày</v>
          </cell>
          <cell r="BA105" t="str">
            <v>/LS-CCHN</v>
          </cell>
          <cell r="BB105" t="e">
            <v>#REF!</v>
          </cell>
          <cell r="BC105" t="str">
            <v>29/12/2017</v>
          </cell>
        </row>
        <row r="106">
          <cell r="A106" t="str">
            <v>BV0306</v>
          </cell>
          <cell r="B106">
            <v>100</v>
          </cell>
          <cell r="C106" t="str">
            <v>Lý Thị Thủy</v>
          </cell>
          <cell r="D106" t="str">
            <v>BV0306</v>
          </cell>
          <cell r="E106">
            <v>1506002921</v>
          </cell>
          <cell r="G106" t="str">
            <v xml:space="preserve">020183007867 cấp ngày 09/5/2021, tại cục CSQLHC về TTXH </v>
          </cell>
          <cell r="I106">
            <v>30519</v>
          </cell>
          <cell r="J106">
            <v>42</v>
          </cell>
          <cell r="K106" t="str">
            <v>081040746</v>
          </cell>
          <cell r="L106" t="str">
            <v>14/11/2000</v>
          </cell>
          <cell r="M106" t="str">
            <v>CA tỉnh Lạng Sơn</v>
          </cell>
          <cell r="N106" t="str">
            <v>Tỉnh Lạng Sơn</v>
          </cell>
          <cell r="O106" t="str">
            <v>Xã Yên Trạch</v>
          </cell>
          <cell r="P106" t="str">
            <v>Huyện Cao Lộc</v>
          </cell>
          <cell r="Q106" t="str">
            <v>Tỉnh Lạng Sơn</v>
          </cell>
          <cell r="S106" t="str">
            <v>Phường Tam Thanh</v>
          </cell>
          <cell r="T106" t="str">
            <v>Thành phố Lạng Sơn</v>
          </cell>
          <cell r="U106" t="str">
            <v>Tỉnh Lạng Sơn</v>
          </cell>
          <cell r="V106" t="str">
            <v>Phường Tam Thanh, Thành phố Lạng Sơn, Tỉnh Lạng Sơn</v>
          </cell>
          <cell r="W106" t="str">
            <v>7/11/2006</v>
          </cell>
          <cell r="AA106" t="str">
            <v>Điều dưỡng trưởng</v>
          </cell>
          <cell r="AB106" t="str">
            <v>TĐ011</v>
          </cell>
          <cell r="AC106" t="str">
            <v>Nội TM</v>
          </cell>
          <cell r="AD106" t="str">
            <v>KP010</v>
          </cell>
          <cell r="AE106" t="str">
            <v>Viên chức</v>
          </cell>
          <cell r="AF106" t="str">
            <v>V.08.05.12</v>
          </cell>
          <cell r="AG106" t="str">
            <v>Điều dưỡng (hạng III)</v>
          </cell>
          <cell r="AH106">
            <v>3.99</v>
          </cell>
          <cell r="AI106">
            <v>6</v>
          </cell>
          <cell r="AJ106">
            <v>0</v>
          </cell>
          <cell r="AK106">
            <v>45778</v>
          </cell>
          <cell r="AL106" t="str">
            <v>Đại học</v>
          </cell>
          <cell r="AM106" t="str">
            <v>Điều dưỡng ĐH</v>
          </cell>
          <cell r="AO106" t="str">
            <v>Đại học Y Dược ĐH Thái Nguyên</v>
          </cell>
          <cell r="AP106">
            <v>2017</v>
          </cell>
          <cell r="AQ106" t="str">
            <v>12/12</v>
          </cell>
          <cell r="AR106">
            <v>0</v>
          </cell>
          <cell r="AS106">
            <v>0</v>
          </cell>
          <cell r="AT106" t="str">
            <v>Sơ cấp</v>
          </cell>
          <cell r="AU106" t="str">
            <v>Anh B</v>
          </cell>
          <cell r="AV106">
            <v>0</v>
          </cell>
          <cell r="AW106" t="str">
            <v>Cơ bản</v>
          </cell>
          <cell r="AY106" t="str">
            <v>Nùng</v>
          </cell>
          <cell r="AZ106">
            <v>44271</v>
          </cell>
          <cell r="BA106" t="e">
            <v>#REF!</v>
          </cell>
          <cell r="BB106" t="e">
            <v>#REF!</v>
          </cell>
          <cell r="BC106" t="str">
            <v>24/06/2013</v>
          </cell>
        </row>
        <row r="107">
          <cell r="A107" t="str">
            <v>BV0032</v>
          </cell>
          <cell r="B107">
            <v>101</v>
          </cell>
          <cell r="C107" t="str">
            <v>Nguyễn Huyền Trang</v>
          </cell>
          <cell r="D107" t="str">
            <v>BV0032</v>
          </cell>
          <cell r="E107">
            <v>2012000305</v>
          </cell>
          <cell r="G107" t="str">
            <v xml:space="preserve">030191013549, cấp ngày 09/5/2021, tại cục CSQLHC về TTXH </v>
          </cell>
          <cell r="I107">
            <v>33260</v>
          </cell>
          <cell r="J107">
            <v>35</v>
          </cell>
          <cell r="K107" t="str">
            <v>082280885</v>
          </cell>
          <cell r="L107" t="str">
            <v>25/01/2013</v>
          </cell>
          <cell r="M107" t="str">
            <v>CA tỉnh Lạng Sơn</v>
          </cell>
          <cell r="N107" t="str">
            <v>UBND xã Cẩm Điền, huyện Cẩm Giàng, tỉnh Hải Dương</v>
          </cell>
          <cell r="O107" t="str">
            <v>Phường Chi Lăng</v>
          </cell>
          <cell r="P107" t="str">
            <v>Thành phố Lạng Sơn</v>
          </cell>
          <cell r="Q107" t="str">
            <v>Tỉnh Lạng Sơn</v>
          </cell>
          <cell r="S107" t="str">
            <v>Phường Chi Lăng</v>
          </cell>
          <cell r="T107" t="str">
            <v>Thành phố Lạng Sơn</v>
          </cell>
          <cell r="U107" t="str">
            <v>Tỉnh Lạng Sơn</v>
          </cell>
          <cell r="V107" t="str">
            <v>Phường Chi Lăng, Thành phố Lạng Sơn, Tỉnh Lạng Sơn</v>
          </cell>
          <cell r="W107" t="str">
            <v>05/6/2013</v>
          </cell>
          <cell r="AA107">
            <v>0</v>
          </cell>
          <cell r="AB107" t="str">
            <v>TĐ012</v>
          </cell>
          <cell r="AC107" t="str">
            <v>Nội TM</v>
          </cell>
          <cell r="AD107" t="str">
            <v>KP010</v>
          </cell>
          <cell r="AE107" t="str">
            <v>Viên chức</v>
          </cell>
          <cell r="AF107" t="str">
            <v>V.08.05.13</v>
          </cell>
          <cell r="AG107" t="str">
            <v>Điều dưỡng (hạng IV)</v>
          </cell>
          <cell r="AH107">
            <v>3.06</v>
          </cell>
          <cell r="AI107">
            <v>7</v>
          </cell>
          <cell r="AJ107">
            <v>0</v>
          </cell>
          <cell r="AK107">
            <v>45636</v>
          </cell>
          <cell r="AL107" t="str">
            <v>Trung cấp</v>
          </cell>
          <cell r="AM107" t="str">
            <v>Điều dưỡng CĐ</v>
          </cell>
          <cell r="AO107" t="str">
            <v>Trung cấp Y tế Hải Dương</v>
          </cell>
          <cell r="AP107">
            <v>2011</v>
          </cell>
          <cell r="AQ107" t="str">
            <v>12/12</v>
          </cell>
          <cell r="AR107">
            <v>0</v>
          </cell>
          <cell r="AS107">
            <v>0</v>
          </cell>
          <cell r="AT107">
            <v>0</v>
          </cell>
          <cell r="AU107" t="str">
            <v>Anh B</v>
          </cell>
          <cell r="AV107">
            <v>0</v>
          </cell>
          <cell r="AW107" t="str">
            <v>Tin B</v>
          </cell>
          <cell r="AY107" t="str">
            <v>Kinh</v>
          </cell>
          <cell r="BA107" t="str">
            <v>000391/LS-CCHN</v>
          </cell>
          <cell r="BB107" t="str">
            <v>Thực hiện phạm vi hoạt động chuyên môn theo quy định tại Thông tư số 26/2015/TTLT-BYT-BNV ngày 07/10/2015 quy định mã số, tiêu chuẩn chức danh nghề nghiệp điều dưỡng, hộ sinh, kỹ thuật y</v>
          </cell>
          <cell r="BC107" t="str">
            <v>24/06/2013</v>
          </cell>
        </row>
        <row r="108">
          <cell r="A108" t="str">
            <v>BV0030</v>
          </cell>
          <cell r="B108">
            <v>102</v>
          </cell>
          <cell r="C108" t="str">
            <v>Trương Thị Theo</v>
          </cell>
          <cell r="D108" t="str">
            <v>BV0030</v>
          </cell>
          <cell r="E108">
            <v>2011004200</v>
          </cell>
          <cell r="G108" t="str">
            <v xml:space="preserve">020189005052, cấp ngày 09/5/2021, tại cục CSQLHC về TTXH </v>
          </cell>
          <cell r="I108">
            <v>32522</v>
          </cell>
          <cell r="J108">
            <v>37</v>
          </cell>
          <cell r="K108" t="str">
            <v>082123424</v>
          </cell>
          <cell r="L108" t="str">
            <v>13/04/2007</v>
          </cell>
          <cell r="M108" t="str">
            <v>CA tỉnh Lạng Sơn</v>
          </cell>
          <cell r="N108" t="str">
            <v>Xã Gia Lộc, huyện Chi Lăng, tỉnh Lạng Sơn</v>
          </cell>
          <cell r="O108" t="str">
            <v>Gia Lộc</v>
          </cell>
          <cell r="P108" t="str">
            <v>Huyện Chi Lăng</v>
          </cell>
          <cell r="Q108" t="str">
            <v>Tỉnh Lạng Sơn</v>
          </cell>
          <cell r="S108" t="str">
            <v>Phường Đông Kinh</v>
          </cell>
          <cell r="T108" t="str">
            <v>Thành phố Lạng Sơn</v>
          </cell>
          <cell r="U108" t="str">
            <v>Tỉnh Lạng Sơn</v>
          </cell>
          <cell r="V108" t="str">
            <v>Phường Đông Kinh, Thành phố Lạng Sơn, Tỉnh Lạng Sơn</v>
          </cell>
          <cell r="W108" t="str">
            <v>10/6/2013</v>
          </cell>
          <cell r="AA108">
            <v>0</v>
          </cell>
          <cell r="AB108" t="str">
            <v>TĐ011</v>
          </cell>
          <cell r="AC108" t="str">
            <v>Nội TM</v>
          </cell>
          <cell r="AD108" t="str">
            <v>KP010</v>
          </cell>
          <cell r="AE108" t="str">
            <v>Viên chức</v>
          </cell>
          <cell r="AF108" t="str">
            <v>V.08.05.12</v>
          </cell>
          <cell r="AG108" t="str">
            <v>Điều dưỡng (hạng III)</v>
          </cell>
          <cell r="AH108">
            <v>3.66</v>
          </cell>
          <cell r="AI108">
            <v>5</v>
          </cell>
          <cell r="AJ108">
            <v>0</v>
          </cell>
          <cell r="AK108">
            <v>45809</v>
          </cell>
          <cell r="AL108" t="str">
            <v>Đại học</v>
          </cell>
          <cell r="AM108" t="str">
            <v>Điều dưỡng ĐH</v>
          </cell>
          <cell r="AO108" t="str">
            <v>Cao đẳng Y tế Lạng Sơn</v>
          </cell>
          <cell r="AP108">
            <v>2010</v>
          </cell>
          <cell r="AQ108" t="str">
            <v>12/12</v>
          </cell>
          <cell r="AR108">
            <v>0</v>
          </cell>
          <cell r="AS108">
            <v>0</v>
          </cell>
          <cell r="AT108" t="str">
            <v>Sơ cấp</v>
          </cell>
          <cell r="AU108">
            <v>0</v>
          </cell>
          <cell r="AV108" t="str">
            <v>Tày</v>
          </cell>
          <cell r="AW108" t="str">
            <v>Cơ bản</v>
          </cell>
          <cell r="AY108" t="str">
            <v>Nùng</v>
          </cell>
          <cell r="BA108" t="e">
            <v>#REF!</v>
          </cell>
          <cell r="BB108" t="e">
            <v>#REF!</v>
          </cell>
          <cell r="BC108" t="str">
            <v>24/06/2013</v>
          </cell>
        </row>
        <row r="109">
          <cell r="A109" t="str">
            <v>BV0116</v>
          </cell>
          <cell r="B109">
            <v>103</v>
          </cell>
          <cell r="C109" t="str">
            <v>Lương Thị Lê</v>
          </cell>
          <cell r="D109" t="str">
            <v>BV0116</v>
          </cell>
          <cell r="E109">
            <v>2009002388</v>
          </cell>
          <cell r="G109" t="str">
            <v xml:space="preserve">020186010789, cấp ngày 15/11/2021, tại cục CSQLHC về TTXH </v>
          </cell>
          <cell r="I109">
            <v>31451</v>
          </cell>
          <cell r="J109">
            <v>40</v>
          </cell>
          <cell r="K109" t="str">
            <v>082039558</v>
          </cell>
          <cell r="L109" t="str">
            <v>05/01/2005</v>
          </cell>
          <cell r="M109" t="str">
            <v>CA tỉnh Lạng Sơn</v>
          </cell>
          <cell r="N109" t="str">
            <v>Xã Tràng Phái, huyện Văn Quan, tỉnh Lạng Sơn</v>
          </cell>
          <cell r="P109" t="str">
            <v>Huyện Văn Quan</v>
          </cell>
          <cell r="Q109" t="str">
            <v>Tỉnh Lạng Sơn</v>
          </cell>
          <cell r="S109" t="str">
            <v>Xã Tràng Phái</v>
          </cell>
          <cell r="T109" t="str">
            <v>Huyện Văn Quan</v>
          </cell>
          <cell r="U109" t="str">
            <v>Tỉnh Lạng Sơn</v>
          </cell>
          <cell r="V109" t="str">
            <v>Xã Tràng Phái, Huyện Văn Quan, Tỉnh Lạng Sơn</v>
          </cell>
          <cell r="W109" t="str">
            <v>01/12/2008</v>
          </cell>
          <cell r="AA109">
            <v>0</v>
          </cell>
          <cell r="AB109" t="str">
            <v>TĐ012</v>
          </cell>
          <cell r="AC109" t="str">
            <v>Nội TM</v>
          </cell>
          <cell r="AD109" t="str">
            <v>KP010</v>
          </cell>
          <cell r="AE109" t="str">
            <v>Viên chức</v>
          </cell>
          <cell r="AF109" t="str">
            <v>V.08.05.13</v>
          </cell>
          <cell r="AG109" t="str">
            <v>Điều dưỡng (hạng IV)</v>
          </cell>
          <cell r="AH109">
            <v>3.65</v>
          </cell>
          <cell r="AI109">
            <v>6</v>
          </cell>
          <cell r="AJ109">
            <v>0</v>
          </cell>
          <cell r="AK109">
            <v>45839</v>
          </cell>
          <cell r="AL109" t="str">
            <v>Cao đẳng</v>
          </cell>
          <cell r="AM109" t="str">
            <v>Điều dưỡng CĐ</v>
          </cell>
          <cell r="AO109" t="str">
            <v>Cao đẳng Y tế Lạng Sơn</v>
          </cell>
          <cell r="AP109">
            <v>2007</v>
          </cell>
          <cell r="AQ109" t="str">
            <v>12/12</v>
          </cell>
          <cell r="AR109">
            <v>0</v>
          </cell>
          <cell r="AS109">
            <v>0</v>
          </cell>
          <cell r="AT109">
            <v>0</v>
          </cell>
          <cell r="AU109" t="str">
            <v>Anh B</v>
          </cell>
          <cell r="AV109">
            <v>0</v>
          </cell>
          <cell r="AW109" t="str">
            <v>Cơ bản</v>
          </cell>
          <cell r="AY109" t="str">
            <v>Nùng</v>
          </cell>
          <cell r="AZ109">
            <v>41516</v>
          </cell>
          <cell r="BA109" t="e">
            <v>#REF!</v>
          </cell>
          <cell r="BB109" t="e">
            <v>#REF!</v>
          </cell>
          <cell r="BC109" t="str">
            <v>24/06/2013</v>
          </cell>
        </row>
        <row r="110">
          <cell r="A110" t="str">
            <v>BV0163</v>
          </cell>
          <cell r="B110">
            <v>104</v>
          </cell>
          <cell r="C110" t="str">
            <v>Lăng Văn Lâm</v>
          </cell>
          <cell r="D110" t="str">
            <v>BV0163</v>
          </cell>
          <cell r="E110">
            <v>6697445763</v>
          </cell>
          <cell r="G110" t="str">
            <v>cccd 20067005025 
Ngày cấp 9/5/2021, Cục cảnh sát quản lý hành chính về trật tự xã hội</v>
          </cell>
          <cell r="H110">
            <v>24816</v>
          </cell>
          <cell r="J110">
            <v>58</v>
          </cell>
          <cell r="K110" t="str">
            <v>081040883</v>
          </cell>
          <cell r="L110" t="str">
            <v>30/05/2012</v>
          </cell>
          <cell r="M110" t="str">
            <v>CA tỉnh Lạng Sơn</v>
          </cell>
          <cell r="N110" t="str">
            <v>Xã Tân Hương, huyện Bắc Sơn, tỉnh Lạng Sơn</v>
          </cell>
          <cell r="O110" t="str">
            <v>Xã Xuân Long</v>
          </cell>
          <cell r="P110" t="str">
            <v>Huyện Cao Lộc</v>
          </cell>
          <cell r="Q110" t="str">
            <v>Tỉnh Lạng Sơn</v>
          </cell>
          <cell r="S110" t="str">
            <v>Phường Vĩnh Trại</v>
          </cell>
          <cell r="T110" t="str">
            <v>Thành phố Lạng Sơn</v>
          </cell>
          <cell r="U110" t="str">
            <v>Tỉnh Lạng Sơn</v>
          </cell>
          <cell r="V110" t="str">
            <v>Phường Vĩnh Trại, Thành phố Lạng Sơn, Tỉnh Lạng Sơn</v>
          </cell>
          <cell r="W110" t="str">
            <v>1/2/1996</v>
          </cell>
          <cell r="AA110" t="str">
            <v>Trưởng khoa</v>
          </cell>
          <cell r="AB110" t="str">
            <v>TĐ003</v>
          </cell>
          <cell r="AC110" t="str">
            <v>UB-YHHN</v>
          </cell>
          <cell r="AD110" t="str">
            <v>KP011</v>
          </cell>
          <cell r="AE110" t="str">
            <v>Viên chức</v>
          </cell>
          <cell r="AF110" t="str">
            <v>V.08.01.02</v>
          </cell>
          <cell r="AG110" t="str">
            <v>Bác sĩ chính (hạng II)</v>
          </cell>
          <cell r="AH110">
            <v>5.76</v>
          </cell>
          <cell r="AI110">
            <v>5</v>
          </cell>
          <cell r="AJ110">
            <v>0</v>
          </cell>
          <cell r="AK110">
            <v>45536</v>
          </cell>
          <cell r="AL110" t="str">
            <v>Đại học</v>
          </cell>
          <cell r="AM110" t="str">
            <v>BSCKI</v>
          </cell>
          <cell r="AN110" t="str">
            <v>Ung thư</v>
          </cell>
          <cell r="AO110" t="str">
            <v>Đại học Y Hà Nội</v>
          </cell>
          <cell r="AP110">
            <v>2008</v>
          </cell>
          <cell r="AR110" t="str">
            <v>Chuyên viên</v>
          </cell>
          <cell r="AS110" t="str">
            <v>X</v>
          </cell>
          <cell r="AT110" t="str">
            <v>Trung cấp</v>
          </cell>
          <cell r="AU110" t="str">
            <v>Anh B</v>
          </cell>
          <cell r="AV110" t="str">
            <v>Tày</v>
          </cell>
          <cell r="AW110" t="str">
            <v>Cơ bản</v>
          </cell>
          <cell r="AY110" t="str">
            <v>Nùng</v>
          </cell>
          <cell r="AZ110">
            <v>35866</v>
          </cell>
          <cell r="BA110" t="e">
            <v>#REF!</v>
          </cell>
          <cell r="BB110" t="e">
            <v>#REF!</v>
          </cell>
          <cell r="BC110" t="str">
            <v>24/06/2013</v>
          </cell>
        </row>
        <row r="111">
          <cell r="A111" t="str">
            <v>BV0683</v>
          </cell>
          <cell r="B111">
            <v>105</v>
          </cell>
          <cell r="C111" t="str">
            <v>Lý Thị Hoàng Hạnh</v>
          </cell>
          <cell r="D111" t="str">
            <v>BV0683</v>
          </cell>
          <cell r="E111">
            <v>2016000975</v>
          </cell>
          <cell r="G111" t="str">
            <v xml:space="preserve">20190003135 
Ngày cấp 29/4/2021, cục cảnh sát quản lý hành chính về trật tự xã hội
</v>
          </cell>
          <cell r="I111" t="str">
            <v>06/01/1990</v>
          </cell>
          <cell r="J111">
            <v>36</v>
          </cell>
          <cell r="K111" t="str">
            <v>082077075</v>
          </cell>
          <cell r="M111" t="str">
            <v>CA tỉnh Lạng Sơn</v>
          </cell>
          <cell r="N111" t="str">
            <v>Xã Thiện Thuật, huyện Bình Gia, tỉnh Lạng Sơn</v>
          </cell>
          <cell r="S111" t="str">
            <v>Xã Thiện Thuật</v>
          </cell>
          <cell r="T111" t="str">
            <v>Huyện Bình Gia</v>
          </cell>
          <cell r="U111" t="str">
            <v>Tỉnh Lạng Sơn</v>
          </cell>
          <cell r="V111" t="str">
            <v>Xã Thiện Thuật, Huyện Bình Gia, Tỉnh Lạng Sơn</v>
          </cell>
          <cell r="W111" t="str">
            <v>10/01/2016</v>
          </cell>
          <cell r="AA111">
            <v>0</v>
          </cell>
          <cell r="AB111" t="str">
            <v>TĐ005</v>
          </cell>
          <cell r="AC111" t="str">
            <v>UB-YHHN</v>
          </cell>
          <cell r="AD111" t="str">
            <v>KP011</v>
          </cell>
          <cell r="AE111" t="str">
            <v>Viên chức</v>
          </cell>
          <cell r="AF111" t="str">
            <v>V.08.01.03</v>
          </cell>
          <cell r="AG111" t="str">
            <v>Bác sĩ (hạng III)</v>
          </cell>
          <cell r="AH111">
            <v>3.33</v>
          </cell>
          <cell r="AI111">
            <v>4</v>
          </cell>
          <cell r="AJ111">
            <v>0</v>
          </cell>
          <cell r="AK111">
            <v>45768</v>
          </cell>
          <cell r="AL111" t="str">
            <v>Đại học</v>
          </cell>
          <cell r="AM111" t="str">
            <v>Bác sĩ</v>
          </cell>
          <cell r="AN111" t="str">
            <v>Đa khoa</v>
          </cell>
          <cell r="AO111" t="str">
            <v>Đại học Y dược Hải Phòng</v>
          </cell>
          <cell r="AP111">
            <v>2015</v>
          </cell>
          <cell r="AQ111" t="str">
            <v>12/12</v>
          </cell>
          <cell r="AR111">
            <v>0</v>
          </cell>
          <cell r="AS111">
            <v>0</v>
          </cell>
          <cell r="AT111" t="str">
            <v>Sơ cấp</v>
          </cell>
          <cell r="AU111" t="str">
            <v>Anh B</v>
          </cell>
          <cell r="AV111">
            <v>0</v>
          </cell>
          <cell r="AW111" t="str">
            <v>Tin B</v>
          </cell>
          <cell r="AY111" t="str">
            <v>Nùng</v>
          </cell>
          <cell r="AZ111">
            <v>44663</v>
          </cell>
          <cell r="BA111" t="e">
            <v>#REF!</v>
          </cell>
          <cell r="BB111" t="e">
            <v>#REF!</v>
          </cell>
          <cell r="BC111" t="str">
            <v>24/6/2013</v>
          </cell>
        </row>
        <row r="112">
          <cell r="A112" t="str">
            <v>BV1032</v>
          </cell>
          <cell r="B112">
            <v>106</v>
          </cell>
          <cell r="C112" t="str">
            <v>Triệu Thị Khách</v>
          </cell>
          <cell r="D112" t="str">
            <v>BV1032</v>
          </cell>
          <cell r="E112" t="str">
            <v>2014000989</v>
          </cell>
          <cell r="F112" t="str">
            <v>Bác sĩ (hạng III)</v>
          </cell>
          <cell r="G112" t="str">
            <v>CCCD 20189009265 
Ngày cấp 18/11/2021,  cục cảnh sát quản lý hành chính về trật tự xã hội</v>
          </cell>
          <cell r="I112" t="str">
            <v>03/08/1989</v>
          </cell>
          <cell r="J112">
            <v>36</v>
          </cell>
          <cell r="K112" t="str">
            <v>082010577</v>
          </cell>
          <cell r="L112">
            <v>41752</v>
          </cell>
          <cell r="V112" t="str">
            <v>Công Sơn, Cao Lộc, Lạng Sơn</v>
          </cell>
          <cell r="W112" t="str">
            <v>01/11/2014</v>
          </cell>
          <cell r="AA112">
            <v>0</v>
          </cell>
          <cell r="AB112" t="str">
            <v>TĐ003</v>
          </cell>
          <cell r="AC112" t="str">
            <v>UB-YHHN</v>
          </cell>
          <cell r="AD112" t="str">
            <v>KP011</v>
          </cell>
          <cell r="AE112" t="str">
            <v>Viên chức</v>
          </cell>
          <cell r="AF112" t="str">
            <v>V.08.01.03</v>
          </cell>
          <cell r="AG112" t="str">
            <v>Bác sĩ hạng III</v>
          </cell>
          <cell r="AH112">
            <v>3.33</v>
          </cell>
          <cell r="AI112">
            <v>4</v>
          </cell>
          <cell r="AJ112">
            <v>0</v>
          </cell>
          <cell r="AK112">
            <v>45306</v>
          </cell>
          <cell r="AL112" t="str">
            <v>Đại học</v>
          </cell>
          <cell r="AM112" t="str">
            <v>BSCKI</v>
          </cell>
          <cell r="AN112" t="str">
            <v>Đa khoa</v>
          </cell>
          <cell r="AR112">
            <v>0</v>
          </cell>
          <cell r="AS112" t="str">
            <v>X</v>
          </cell>
          <cell r="AT112">
            <v>0</v>
          </cell>
          <cell r="AU112" t="str">
            <v>Anh B</v>
          </cell>
          <cell r="AV112" t="str">
            <v>Tày</v>
          </cell>
          <cell r="AW112">
            <v>0</v>
          </cell>
          <cell r="AY112" t="str">
            <v>Dao</v>
          </cell>
        </row>
        <row r="113">
          <cell r="A113" t="str">
            <v>BV0123</v>
          </cell>
          <cell r="B113">
            <v>107</v>
          </cell>
          <cell r="C113" t="str">
            <v>Lộc Thị Nhớ</v>
          </cell>
          <cell r="D113" t="str">
            <v>BV0123</v>
          </cell>
          <cell r="E113">
            <v>1504000555</v>
          </cell>
          <cell r="G113" t="str">
            <v>20175001865 
Ngày cấp 25/4/2021.  cục cảnh sát quản lý hành chính về trật tự xã hội</v>
          </cell>
          <cell r="I113">
            <v>27397</v>
          </cell>
          <cell r="J113">
            <v>51</v>
          </cell>
          <cell r="K113" t="str">
            <v>081003623</v>
          </cell>
          <cell r="L113" t="str">
            <v>04/09/2002</v>
          </cell>
          <cell r="M113" t="str">
            <v>CA tỉnh Lạng Sơn</v>
          </cell>
          <cell r="P113" t="str">
            <v>Huyện Bắc Sơn</v>
          </cell>
          <cell r="Q113" t="str">
            <v>Tỉnh Lạng Sơn</v>
          </cell>
          <cell r="R113" t="str">
            <v>Khối 6</v>
          </cell>
          <cell r="S113" t="str">
            <v>Phường Tam Thanh</v>
          </cell>
          <cell r="T113" t="str">
            <v>Thành phố Lạng Sơn</v>
          </cell>
          <cell r="U113" t="str">
            <v>Tỉnh Lạng Sơn</v>
          </cell>
          <cell r="V113" t="str">
            <v>Phường Tam Thanh, Thành phố Lạng Sơn, Tỉnh Lạng Sơn</v>
          </cell>
          <cell r="W113" t="str">
            <v>1/1/2003</v>
          </cell>
          <cell r="AA113">
            <v>0</v>
          </cell>
          <cell r="AB113" t="str">
            <v>TĐ011</v>
          </cell>
          <cell r="AC113" t="str">
            <v>UB-YHHN</v>
          </cell>
          <cell r="AD113" t="str">
            <v>KP011</v>
          </cell>
          <cell r="AE113" t="str">
            <v>Viên chức</v>
          </cell>
          <cell r="AF113" t="str">
            <v>V.08.05.12</v>
          </cell>
          <cell r="AG113" t="str">
            <v>Điều dưỡng (hạng III)</v>
          </cell>
          <cell r="AH113">
            <v>3.99</v>
          </cell>
          <cell r="AI113">
            <v>6</v>
          </cell>
          <cell r="AJ113">
            <v>0</v>
          </cell>
          <cell r="AK113">
            <v>45292</v>
          </cell>
          <cell r="AL113" t="str">
            <v>Đại học</v>
          </cell>
          <cell r="AM113" t="str">
            <v>Điều dưỡng ĐH</v>
          </cell>
          <cell r="AO113" t="str">
            <v>Trung học Y tế Lạng Sơn</v>
          </cell>
          <cell r="AP113">
            <v>1997</v>
          </cell>
          <cell r="AQ113" t="str">
            <v>12/12</v>
          </cell>
          <cell r="AR113">
            <v>0</v>
          </cell>
          <cell r="AS113">
            <v>0</v>
          </cell>
          <cell r="AT113" t="str">
            <v>Sơ cấp</v>
          </cell>
          <cell r="AU113">
            <v>0</v>
          </cell>
          <cell r="AV113">
            <v>0</v>
          </cell>
          <cell r="AW113" t="str">
            <v>Tin A</v>
          </cell>
          <cell r="AY113" t="str">
            <v>Tày</v>
          </cell>
          <cell r="BA113" t="e">
            <v>#REF!</v>
          </cell>
          <cell r="BB113" t="e">
            <v>#REF!</v>
          </cell>
          <cell r="BC113" t="str">
            <v>24/06/2013</v>
          </cell>
        </row>
        <row r="114">
          <cell r="A114" t="str">
            <v>BV0168</v>
          </cell>
          <cell r="B114">
            <v>108</v>
          </cell>
          <cell r="C114" t="str">
            <v>Vi Thị Hường</v>
          </cell>
          <cell r="D114" t="str">
            <v>BV0168</v>
          </cell>
          <cell r="E114">
            <v>2009000940</v>
          </cell>
          <cell r="G114" t="str">
            <v>20184037241 
Ngày cấp 9/1/2022,  cục cảnh sát quản lý hành chính về trật tự xã hội</v>
          </cell>
          <cell r="I114">
            <v>31042</v>
          </cell>
          <cell r="J114">
            <v>41</v>
          </cell>
          <cell r="K114" t="str">
            <v>082025599</v>
          </cell>
          <cell r="L114" t="str">
            <v>12/04/2004</v>
          </cell>
          <cell r="M114" t="str">
            <v>CA tỉnh Lạng Sơn</v>
          </cell>
          <cell r="O114" t="str">
            <v>Xã Bình Trung</v>
          </cell>
          <cell r="P114" t="str">
            <v>Huyện Cao Lộc</v>
          </cell>
          <cell r="Q114" t="str">
            <v>Tỉnh Lạng Sơn</v>
          </cell>
          <cell r="S114" t="str">
            <v>Thị trấn Cao Lộc</v>
          </cell>
          <cell r="T114" t="str">
            <v>Huyện Cao Lộc</v>
          </cell>
          <cell r="U114" t="str">
            <v>Tỉnh Lạng Sơn</v>
          </cell>
          <cell r="V114" t="str">
            <v>Thị trấn Cao Lộc, Huyện Cao Lộc, Tỉnh Lạng Sơn</v>
          </cell>
          <cell r="W114" t="str">
            <v>1/12/2008</v>
          </cell>
          <cell r="AA114">
            <v>0</v>
          </cell>
          <cell r="AB114" t="str">
            <v>TĐ011</v>
          </cell>
          <cell r="AC114" t="str">
            <v>UB-YHHN</v>
          </cell>
          <cell r="AD114" t="str">
            <v>KP011</v>
          </cell>
          <cell r="AE114" t="str">
            <v>Viên chức</v>
          </cell>
          <cell r="AF114" t="str">
            <v>V.08.05.12</v>
          </cell>
          <cell r="AG114" t="str">
            <v>Điều dưỡng (hạng III)</v>
          </cell>
          <cell r="AH114">
            <v>3.66</v>
          </cell>
          <cell r="AI114">
            <v>5</v>
          </cell>
          <cell r="AJ114">
            <v>0</v>
          </cell>
          <cell r="AK114">
            <v>45901</v>
          </cell>
          <cell r="AL114" t="str">
            <v>Đại học</v>
          </cell>
          <cell r="AM114" t="str">
            <v>Điều dưỡng ĐH</v>
          </cell>
          <cell r="AO114" t="str">
            <v>Đại học Thành Tây</v>
          </cell>
          <cell r="AP114">
            <v>2016</v>
          </cell>
          <cell r="AQ114" t="str">
            <v>12/12</v>
          </cell>
          <cell r="AR114">
            <v>0</v>
          </cell>
          <cell r="AS114">
            <v>0</v>
          </cell>
          <cell r="AT114" t="str">
            <v>Sơ cấp</v>
          </cell>
          <cell r="AU114">
            <v>0</v>
          </cell>
          <cell r="AV114">
            <v>0</v>
          </cell>
          <cell r="AW114" t="str">
            <v>Tin B</v>
          </cell>
          <cell r="AY114" t="str">
            <v>Nùng</v>
          </cell>
          <cell r="BA114" t="e">
            <v>#REF!</v>
          </cell>
          <cell r="BB114" t="e">
            <v>#REF!</v>
          </cell>
        </row>
        <row r="115">
          <cell r="A115" t="str">
            <v>BV0107</v>
          </cell>
          <cell r="B115">
            <v>109</v>
          </cell>
          <cell r="C115" t="str">
            <v>Đoàn Thị Hường</v>
          </cell>
          <cell r="D115" t="str">
            <v>BV0107</v>
          </cell>
          <cell r="E115">
            <v>1500002057</v>
          </cell>
          <cell r="G115" t="str">
            <v>20173005603 
Ngày cấp 9/5/2021 cục cảnh sát quản lý hành chính về trật tự xã hội</v>
          </cell>
          <cell r="I115">
            <v>26976</v>
          </cell>
          <cell r="J115">
            <v>52</v>
          </cell>
          <cell r="K115" t="str">
            <v>080812476</v>
          </cell>
          <cell r="L115" t="str">
            <v>22/05/2003</v>
          </cell>
          <cell r="M115" t="str">
            <v>CA tỉnh Lạng Sơn</v>
          </cell>
          <cell r="P115" t="str">
            <v>Huyện Bắc Sơn</v>
          </cell>
          <cell r="Q115" t="str">
            <v>Tỉnh Lạng Sơn</v>
          </cell>
          <cell r="S115" t="str">
            <v>Phường Tam Thanh</v>
          </cell>
          <cell r="T115" t="str">
            <v>Thành phố Lạng Sơn</v>
          </cell>
          <cell r="U115" t="str">
            <v>Tỉnh Lạng Sơn</v>
          </cell>
          <cell r="V115" t="str">
            <v>Phường Tam Thanh, Thành phố Lạng Sơn, Tỉnh Lạng Sơn</v>
          </cell>
          <cell r="W115" t="str">
            <v>21/4/1997</v>
          </cell>
          <cell r="AA115">
            <v>0</v>
          </cell>
          <cell r="AB115" t="str">
            <v>TĐ012</v>
          </cell>
          <cell r="AC115" t="str">
            <v>UB-YHHN</v>
          </cell>
          <cell r="AD115" t="str">
            <v>KP011</v>
          </cell>
          <cell r="AE115" t="str">
            <v>Viên chức</v>
          </cell>
          <cell r="AF115" t="str">
            <v>V.08.05.13</v>
          </cell>
          <cell r="AG115" t="str">
            <v>Điều dưỡng (hạng IV)</v>
          </cell>
          <cell r="AH115">
            <v>4.58</v>
          </cell>
          <cell r="AI115">
            <v>9</v>
          </cell>
          <cell r="AJ115">
            <v>0</v>
          </cell>
          <cell r="AK115">
            <v>45778</v>
          </cell>
          <cell r="AL115" t="str">
            <v>Cao đẳng</v>
          </cell>
          <cell r="AM115" t="str">
            <v>Điều dưỡng CĐ</v>
          </cell>
          <cell r="AO115" t="str">
            <v>Cao đẳng Y tế Lạng Sơn</v>
          </cell>
          <cell r="AP115">
            <v>2015</v>
          </cell>
          <cell r="AQ115" t="str">
            <v>12/12</v>
          </cell>
          <cell r="AR115">
            <v>0</v>
          </cell>
          <cell r="AS115">
            <v>0</v>
          </cell>
          <cell r="AT115" t="str">
            <v>Sơ cấp</v>
          </cell>
          <cell r="AU115">
            <v>0</v>
          </cell>
          <cell r="AV115" t="str">
            <v>Tày</v>
          </cell>
          <cell r="AW115" t="str">
            <v>Cơ bản</v>
          </cell>
          <cell r="AY115" t="str">
            <v>Tày</v>
          </cell>
          <cell r="AZ115">
            <v>38324</v>
          </cell>
          <cell r="BA115" t="e">
            <v>#REF!</v>
          </cell>
          <cell r="BB115" t="e">
            <v>#REF!</v>
          </cell>
          <cell r="BC115" t="str">
            <v>18/07/2016</v>
          </cell>
        </row>
        <row r="116">
          <cell r="A116" t="str">
            <v>BV0025</v>
          </cell>
          <cell r="B116">
            <v>110</v>
          </cell>
          <cell r="C116" t="str">
            <v>Hoàng Thị Thược</v>
          </cell>
          <cell r="D116" t="str">
            <v>BV0025</v>
          </cell>
          <cell r="E116">
            <v>2010000131</v>
          </cell>
          <cell r="G116" t="str">
            <v>20188006550
 Ngày cấp 25/6/2021 cục cảnh sát quản lý hành chính về trật tự xã hội</v>
          </cell>
          <cell r="I116">
            <v>32162</v>
          </cell>
          <cell r="J116">
            <v>38</v>
          </cell>
          <cell r="K116" t="str">
            <v>082031825</v>
          </cell>
          <cell r="L116" t="str">
            <v>03/08/2010</v>
          </cell>
          <cell r="M116" t="str">
            <v>CA tỉnh Lạng Sơn</v>
          </cell>
          <cell r="O116" t="str">
            <v>Thôn Tân Thành</v>
          </cell>
          <cell r="P116" t="str">
            <v>Huyện Bình Gia</v>
          </cell>
          <cell r="Q116" t="str">
            <v>Tỉnh Lạng Sơn</v>
          </cell>
          <cell r="R116" t="str">
            <v>Thôn Tân Thành</v>
          </cell>
          <cell r="S116" t="str">
            <v>Xã Tô Hiệu</v>
          </cell>
          <cell r="T116" t="str">
            <v>Huyện Bình Gia</v>
          </cell>
          <cell r="U116" t="str">
            <v>Tỉnh Lạng Sơn</v>
          </cell>
          <cell r="V116" t="str">
            <v>Xã Tô Hiệu, Huyện Bình Gia, Tỉnh Lạng Sơn</v>
          </cell>
          <cell r="W116" t="str">
            <v>15/01/2010</v>
          </cell>
          <cell r="AA116">
            <v>0</v>
          </cell>
          <cell r="AB116" t="str">
            <v>TĐ012</v>
          </cell>
          <cell r="AC116" t="str">
            <v>UB-YHHN</v>
          </cell>
          <cell r="AD116" t="str">
            <v>KP011</v>
          </cell>
          <cell r="AE116" t="str">
            <v>Viên chức</v>
          </cell>
          <cell r="AF116" t="str">
            <v>V.08.05.13</v>
          </cell>
          <cell r="AG116" t="str">
            <v>Điều dưỡng (hạng IV)</v>
          </cell>
          <cell r="AH116">
            <v>3.34</v>
          </cell>
          <cell r="AI116">
            <v>5</v>
          </cell>
          <cell r="AJ116">
            <v>0</v>
          </cell>
          <cell r="AK116">
            <v>44927</v>
          </cell>
          <cell r="AL116" t="str">
            <v>Cao đẳng</v>
          </cell>
          <cell r="AM116" t="str">
            <v>Điều dưỡng CĐ</v>
          </cell>
          <cell r="AO116" t="str">
            <v>Cao đẳng Y tế Lạng Sơn</v>
          </cell>
          <cell r="AP116">
            <v>2008</v>
          </cell>
          <cell r="AQ116" t="str">
            <v>12/12</v>
          </cell>
          <cell r="AR116">
            <v>0</v>
          </cell>
          <cell r="AS116">
            <v>0</v>
          </cell>
          <cell r="AT116">
            <v>0</v>
          </cell>
          <cell r="AU116" t="str">
            <v>Anh B</v>
          </cell>
          <cell r="AV116">
            <v>0</v>
          </cell>
          <cell r="AW116" t="str">
            <v>Tin B</v>
          </cell>
          <cell r="AY116" t="str">
            <v>Tày</v>
          </cell>
          <cell r="BA116" t="e">
            <v>#REF!</v>
          </cell>
          <cell r="BB116" t="e">
            <v>#REF!</v>
          </cell>
        </row>
        <row r="117">
          <cell r="A117" t="str">
            <v>BV0193</v>
          </cell>
          <cell r="B117">
            <v>111</v>
          </cell>
          <cell r="C117" t="str">
            <v>Hoàng Thị Xuân</v>
          </cell>
          <cell r="D117" t="str">
            <v>BV0193</v>
          </cell>
          <cell r="E117">
            <v>2009002565</v>
          </cell>
          <cell r="G117" t="str">
            <v>20184037318 
Ngày cấp 28/9/2021 cục cảnh sát quản lý hành chính về trật tự xã hội</v>
          </cell>
          <cell r="I117">
            <v>30768</v>
          </cell>
          <cell r="J117">
            <v>42</v>
          </cell>
          <cell r="K117" t="str">
            <v>081013981</v>
          </cell>
          <cell r="L117" t="str">
            <v>13/10/2002</v>
          </cell>
          <cell r="M117" t="str">
            <v>CA tỉnh Lạng Sơn</v>
          </cell>
          <cell r="O117" t="str">
            <v>Xã Mai Sao</v>
          </cell>
          <cell r="P117" t="str">
            <v>Huyện Chi Lăng</v>
          </cell>
          <cell r="Q117" t="str">
            <v>Tỉnh Lạng Sơn</v>
          </cell>
          <cell r="S117" t="str">
            <v>Xã Mai Sao</v>
          </cell>
          <cell r="T117" t="str">
            <v>Huyện Chi Lăng</v>
          </cell>
          <cell r="U117" t="str">
            <v>Tỉnh Lạng Sơn</v>
          </cell>
          <cell r="V117" t="str">
            <v>Xã Mai Sao, Huyện Chi Lăng, Tỉnh Lạng Sơn</v>
          </cell>
          <cell r="W117" t="str">
            <v>15/1/2010</v>
          </cell>
          <cell r="AA117">
            <v>0</v>
          </cell>
          <cell r="AB117" t="str">
            <v>TĐ012</v>
          </cell>
          <cell r="AC117" t="str">
            <v>UB-YHHN</v>
          </cell>
          <cell r="AD117" t="str">
            <v>KP011</v>
          </cell>
          <cell r="AE117" t="str">
            <v>Viên chức</v>
          </cell>
          <cell r="AF117" t="str">
            <v>V.08.05.13</v>
          </cell>
          <cell r="AG117" t="str">
            <v>Điều dưỡng (hạng IV)</v>
          </cell>
          <cell r="AH117">
            <v>3.65</v>
          </cell>
          <cell r="AI117">
            <v>6</v>
          </cell>
          <cell r="AJ117">
            <v>0</v>
          </cell>
          <cell r="AK117">
            <v>45839</v>
          </cell>
          <cell r="AL117" t="str">
            <v>Cao đẳng</v>
          </cell>
          <cell r="AM117" t="str">
            <v>Điều dưỡng CĐ</v>
          </cell>
          <cell r="AO117" t="str">
            <v>Trung học Y tế Lạng Sơn</v>
          </cell>
          <cell r="AP117">
            <v>2006</v>
          </cell>
          <cell r="AQ117" t="str">
            <v>12/12</v>
          </cell>
          <cell r="AR117">
            <v>0</v>
          </cell>
          <cell r="AS117">
            <v>0</v>
          </cell>
          <cell r="AT117" t="str">
            <v>Sơ cấp</v>
          </cell>
          <cell r="AU117">
            <v>0</v>
          </cell>
          <cell r="AV117">
            <v>0</v>
          </cell>
          <cell r="AW117" t="str">
            <v>Tin B</v>
          </cell>
          <cell r="AY117" t="str">
            <v>Nùng</v>
          </cell>
          <cell r="AZ117">
            <v>40175</v>
          </cell>
          <cell r="BA117" t="e">
            <v>#REF!</v>
          </cell>
          <cell r="BB117" t="e">
            <v>#REF!</v>
          </cell>
          <cell r="BC117" t="str">
            <v>24/06/2013</v>
          </cell>
        </row>
        <row r="118">
          <cell r="A118" t="str">
            <v>BV0166</v>
          </cell>
          <cell r="B118">
            <v>112</v>
          </cell>
          <cell r="C118" t="str">
            <v>Triệu Văn Khiêm</v>
          </cell>
          <cell r="D118" t="str">
            <v>BV0166</v>
          </cell>
          <cell r="E118">
            <v>1507002012</v>
          </cell>
          <cell r="G118" t="str">
            <v>20084005353 
Ngày cấp 9/5/2021 cục cảnh sát quản lý hành chính về trật tự xã hội</v>
          </cell>
          <cell r="H118">
            <v>30942</v>
          </cell>
          <cell r="J118">
            <v>41</v>
          </cell>
          <cell r="K118" t="str">
            <v>080991770</v>
          </cell>
          <cell r="L118" t="str">
            <v>18/01/2013</v>
          </cell>
          <cell r="M118" t="str">
            <v>CA tỉnh Lạng Sơn</v>
          </cell>
          <cell r="N118" t="str">
            <v>Xã Tràng Phái, huyện Văn Quan, tỉnh Lạng Sơn</v>
          </cell>
          <cell r="P118" t="str">
            <v>Huyện Văn Quan</v>
          </cell>
          <cell r="Q118" t="str">
            <v>Tỉnh Lạng Sơn</v>
          </cell>
          <cell r="S118" t="str">
            <v>Phường Tam Thanh</v>
          </cell>
          <cell r="T118" t="str">
            <v>Thành phố Lạng Sơn</v>
          </cell>
          <cell r="U118" t="str">
            <v>Tỉnh Lạng Sơn</v>
          </cell>
          <cell r="V118" t="str">
            <v>Phường Tam Thanh, Thành phố Lạng Sơn, Tỉnh Lạng Sơn</v>
          </cell>
          <cell r="W118" t="str">
            <v>1/12/2008</v>
          </cell>
          <cell r="AA118">
            <v>0</v>
          </cell>
          <cell r="AB118" t="str">
            <v>TĐ012</v>
          </cell>
          <cell r="AC118" t="str">
            <v>UB-YHHN</v>
          </cell>
          <cell r="AD118" t="str">
            <v>KP011</v>
          </cell>
          <cell r="AE118" t="str">
            <v>Viên chức</v>
          </cell>
          <cell r="AF118" t="str">
            <v>V.08.05.13</v>
          </cell>
          <cell r="AG118" t="str">
            <v>Điều dưỡng (hạng IV)</v>
          </cell>
          <cell r="AH118">
            <v>3.65</v>
          </cell>
          <cell r="AI118">
            <v>6</v>
          </cell>
          <cell r="AJ118">
            <v>0</v>
          </cell>
          <cell r="AK118">
            <v>45809</v>
          </cell>
          <cell r="AL118" t="str">
            <v>Cao đẳng</v>
          </cell>
          <cell r="AM118" t="str">
            <v>Điều dưỡng CĐ</v>
          </cell>
          <cell r="AO118" t="str">
            <v>Cao đẳng Y tế Lạng Sơn</v>
          </cell>
          <cell r="AP118">
            <v>2018</v>
          </cell>
          <cell r="AQ118" t="str">
            <v>12/12</v>
          </cell>
          <cell r="AR118">
            <v>0</v>
          </cell>
          <cell r="AS118">
            <v>0</v>
          </cell>
          <cell r="AT118">
            <v>0</v>
          </cell>
          <cell r="AU118">
            <v>0</v>
          </cell>
          <cell r="AV118">
            <v>0</v>
          </cell>
          <cell r="AW118" t="str">
            <v>Tin B</v>
          </cell>
          <cell r="AY118" t="str">
            <v>Nùng</v>
          </cell>
          <cell r="BA118" t="e">
            <v>#REF!</v>
          </cell>
          <cell r="BB118" t="e">
            <v>#REF!</v>
          </cell>
        </row>
        <row r="119">
          <cell r="A119" t="str">
            <v>BV0230</v>
          </cell>
          <cell r="B119">
            <v>113</v>
          </cell>
          <cell r="C119" t="str">
            <v>Lê Mạnh Toàn</v>
          </cell>
          <cell r="D119" t="str">
            <v>BV0230</v>
          </cell>
          <cell r="E119">
            <v>2011000015</v>
          </cell>
          <cell r="G119" t="str">
            <v>80900285 
Ngày cấp 16/4/2011, nơi cấp: Công an tỉnh Lạng Sơn</v>
          </cell>
          <cell r="H119">
            <v>28728</v>
          </cell>
          <cell r="J119">
            <v>47</v>
          </cell>
          <cell r="K119" t="str">
            <v>'080900285</v>
          </cell>
          <cell r="L119" t="str">
            <v>16/4/2011</v>
          </cell>
          <cell r="M119" t="str">
            <v>CA tỉnh Lạng Sơn</v>
          </cell>
          <cell r="N119" t="str">
            <v>Tỉnh Lạng Sơn</v>
          </cell>
          <cell r="O119" t="str">
            <v>Xã Thanh Long</v>
          </cell>
          <cell r="P119" t="str">
            <v>Huyện Văn Lãng</v>
          </cell>
          <cell r="Q119" t="str">
            <v>Tỉnh Lạng Sơn</v>
          </cell>
          <cell r="R119" t="str">
            <v>Khối 4</v>
          </cell>
          <cell r="S119" t="str">
            <v>Thị trấn Cao Lộc</v>
          </cell>
          <cell r="T119" t="str">
            <v>Huyện Cao Lộc</v>
          </cell>
          <cell r="U119" t="str">
            <v>Tỉnh Lạng Sơn</v>
          </cell>
          <cell r="V119" t="str">
            <v>Thị trấn Cao Lộc, Huyện Cao Lộc, Tỉnh Lạng Sơn</v>
          </cell>
          <cell r="W119" t="str">
            <v>1/12/2010</v>
          </cell>
          <cell r="AA119">
            <v>0</v>
          </cell>
          <cell r="AB119" t="str">
            <v>TĐ012</v>
          </cell>
          <cell r="AC119" t="str">
            <v>UB-YHHN</v>
          </cell>
          <cell r="AD119" t="str">
            <v>KP011</v>
          </cell>
          <cell r="AE119" t="str">
            <v>Viên chức</v>
          </cell>
          <cell r="AF119" t="str">
            <v>V.08.05.13</v>
          </cell>
          <cell r="AG119" t="str">
            <v>Điều dưỡng (hạng IV)</v>
          </cell>
          <cell r="AH119">
            <v>3.34</v>
          </cell>
          <cell r="AI119">
            <v>5</v>
          </cell>
          <cell r="AJ119">
            <v>0</v>
          </cell>
          <cell r="AK119">
            <v>45444</v>
          </cell>
          <cell r="AL119" t="str">
            <v>Cao đẳng</v>
          </cell>
          <cell r="AM119" t="str">
            <v>Điều dưỡng CĐ</v>
          </cell>
          <cell r="AO119" t="str">
            <v>TH Y tế Lạng Sơn</v>
          </cell>
          <cell r="AP119">
            <v>2005</v>
          </cell>
          <cell r="AQ119" t="str">
            <v>12/12</v>
          </cell>
          <cell r="AR119">
            <v>0</v>
          </cell>
          <cell r="AS119">
            <v>0</v>
          </cell>
          <cell r="AT119">
            <v>0</v>
          </cell>
          <cell r="AU119">
            <v>0</v>
          </cell>
          <cell r="AV119">
            <v>0</v>
          </cell>
          <cell r="AW119" t="str">
            <v>Tin B</v>
          </cell>
          <cell r="AY119" t="str">
            <v>Tày</v>
          </cell>
          <cell r="BA119" t="e">
            <v>#REF!</v>
          </cell>
          <cell r="BB119" t="e">
            <v>#REF!</v>
          </cell>
          <cell r="BC119" t="str">
            <v>24/08/2016</v>
          </cell>
        </row>
        <row r="120">
          <cell r="A120" t="str">
            <v>BV0175</v>
          </cell>
          <cell r="B120">
            <v>114</v>
          </cell>
          <cell r="C120" t="str">
            <v>Phan Chí Dũng</v>
          </cell>
          <cell r="D120" t="str">
            <v>BV0175</v>
          </cell>
          <cell r="E120">
            <v>1596007535</v>
          </cell>
          <cell r="G120" t="str">
            <v>020068004332, cấp ngày 25/6/2021, nơi cấp cục trưởng cục cảnh sát</v>
          </cell>
          <cell r="H120">
            <v>25024</v>
          </cell>
          <cell r="J120">
            <v>58</v>
          </cell>
          <cell r="K120" t="str">
            <v>080776864</v>
          </cell>
          <cell r="L120" t="str">
            <v>23/11/2007</v>
          </cell>
          <cell r="M120" t="str">
            <v>CA tỉnh Lạng Sơn</v>
          </cell>
          <cell r="N120" t="str">
            <v>Phường Chi Lăng, TP. Lạng Sơn</v>
          </cell>
          <cell r="P120" t="str">
            <v>Huyện Nam Trực</v>
          </cell>
          <cell r="Q120" t="str">
            <v>Tỉnh Nam Định</v>
          </cell>
          <cell r="S120" t="str">
            <v>Phường Chi Lăng</v>
          </cell>
          <cell r="T120" t="str">
            <v>Thành phố Lạng Sơn</v>
          </cell>
          <cell r="U120" t="str">
            <v>Tỉnh Lạng Sơn</v>
          </cell>
          <cell r="V120" t="str">
            <v>Phường Chi Lăng, Thành phố Lạng Sơn, Tỉnh Lạng Sơn</v>
          </cell>
          <cell r="W120" t="str">
            <v>1/11/1994</v>
          </cell>
          <cell r="AA120" t="str">
            <v>Trưởng khoa</v>
          </cell>
          <cell r="AB120" t="str">
            <v>TĐ001</v>
          </cell>
          <cell r="AC120" t="str">
            <v>Ngoại Thận - Tiết niệu</v>
          </cell>
          <cell r="AD120" t="str">
            <v>KP012</v>
          </cell>
          <cell r="AE120" t="str">
            <v>Viên chức</v>
          </cell>
          <cell r="AF120" t="str">
            <v>V.08.01.02</v>
          </cell>
          <cell r="AG120" t="str">
            <v>Bác sĩ chính (hạng II)</v>
          </cell>
          <cell r="AH120">
            <v>5.42</v>
          </cell>
          <cell r="AI120">
            <v>4</v>
          </cell>
          <cell r="AJ120">
            <v>0</v>
          </cell>
          <cell r="AK120">
            <v>45352</v>
          </cell>
          <cell r="AL120" t="str">
            <v>Đại học</v>
          </cell>
          <cell r="AM120" t="str">
            <v>BSCKII</v>
          </cell>
          <cell r="AN120" t="str">
            <v>Ngoại khoa</v>
          </cell>
          <cell r="AO120" t="str">
            <v>Đại học Y Hà Nội</v>
          </cell>
          <cell r="AP120">
            <v>2015</v>
          </cell>
          <cell r="AR120" t="str">
            <v>Chuyên viên</v>
          </cell>
          <cell r="AS120" t="str">
            <v>X</v>
          </cell>
          <cell r="AT120" t="str">
            <v>Trung cấp</v>
          </cell>
          <cell r="AU120" t="str">
            <v>Anh C</v>
          </cell>
          <cell r="AV120">
            <v>0</v>
          </cell>
          <cell r="AW120" t="str">
            <v>Tin B</v>
          </cell>
          <cell r="AY120" t="str">
            <v>Kinh</v>
          </cell>
          <cell r="AZ120">
            <v>39169</v>
          </cell>
          <cell r="BA120" t="e">
            <v>#REF!</v>
          </cell>
          <cell r="BB120" t="e">
            <v>#REF!</v>
          </cell>
          <cell r="BC120" t="str">
            <v>24/08/2016</v>
          </cell>
        </row>
        <row r="121">
          <cell r="A121" t="str">
            <v>BV0177</v>
          </cell>
          <cell r="B121">
            <v>115</v>
          </cell>
          <cell r="C121" t="str">
            <v>Hà Thanh Bình</v>
          </cell>
          <cell r="D121" t="str">
            <v>BV0177</v>
          </cell>
          <cell r="E121">
            <v>2008000418</v>
          </cell>
          <cell r="G121" t="str">
            <v>081040330, ngày cấp 10/9/2015, nơi cấp công an tỉnh Lạng Sơn</v>
          </cell>
          <cell r="H121">
            <v>30360</v>
          </cell>
          <cell r="J121">
            <v>43</v>
          </cell>
          <cell r="K121" t="str">
            <v>081040330</v>
          </cell>
          <cell r="L121" t="str">
            <v>31/08/2000</v>
          </cell>
          <cell r="M121" t="str">
            <v>CA tỉnh Lạng Sơn</v>
          </cell>
          <cell r="P121" t="str">
            <v>Huyện Hưng Hà</v>
          </cell>
          <cell r="Q121" t="str">
            <v>Tỉnh Thái Bình</v>
          </cell>
          <cell r="S121" t="str">
            <v>Phường Tam Thanh</v>
          </cell>
          <cell r="T121" t="str">
            <v>Thành phố Lạng Sơn</v>
          </cell>
          <cell r="U121" t="str">
            <v>Tỉnh Lạng Sơn</v>
          </cell>
          <cell r="V121" t="str">
            <v>Phường Tam Thanh, Thành phố Lạng Sơn, Tỉnh Lạng Sơn</v>
          </cell>
          <cell r="W121" t="str">
            <v>1/1/2008</v>
          </cell>
          <cell r="AA121" t="str">
            <v>Phó trưởng khoa</v>
          </cell>
          <cell r="AB121" t="str">
            <v>TĐ003</v>
          </cell>
          <cell r="AC121" t="str">
            <v>Ngoại Thận - Tiết niệu</v>
          </cell>
          <cell r="AD121" t="str">
            <v>KP012</v>
          </cell>
          <cell r="AE121" t="str">
            <v>Viên chức</v>
          </cell>
          <cell r="AF121" t="str">
            <v>V.08.01.02</v>
          </cell>
          <cell r="AG121" t="str">
            <v>Bác sĩ chính (hạng II)</v>
          </cell>
          <cell r="AH121">
            <v>4.74</v>
          </cell>
          <cell r="AI121">
            <v>2</v>
          </cell>
          <cell r="AJ121">
            <v>0</v>
          </cell>
          <cell r="AK121">
            <v>45809</v>
          </cell>
          <cell r="AL121" t="str">
            <v>Đại học</v>
          </cell>
          <cell r="AM121" t="str">
            <v>BSCKI</v>
          </cell>
          <cell r="AN121" t="str">
            <v>Ngoại khoa</v>
          </cell>
          <cell r="AR121">
            <v>0</v>
          </cell>
          <cell r="AS121" t="str">
            <v>x</v>
          </cell>
          <cell r="AT121" t="str">
            <v>Sơ cấp</v>
          </cell>
          <cell r="AU121" t="str">
            <v>Anh A2</v>
          </cell>
          <cell r="AV121" t="str">
            <v>Cơ bản</v>
          </cell>
          <cell r="AW121" t="str">
            <v>Cơ bản</v>
          </cell>
          <cell r="AY121" t="str">
            <v>Kinh</v>
          </cell>
          <cell r="AZ121">
            <v>41461</v>
          </cell>
          <cell r="BA121" t="e">
            <v>#REF!</v>
          </cell>
          <cell r="BB121" t="e">
            <v>#REF!</v>
          </cell>
          <cell r="BC121">
            <v>43728</v>
          </cell>
        </row>
        <row r="122">
          <cell r="A122" t="str">
            <v>BV0179</v>
          </cell>
          <cell r="B122">
            <v>116</v>
          </cell>
          <cell r="C122" t="str">
            <v>Vũ Tuấn Minh</v>
          </cell>
          <cell r="D122" t="str">
            <v>BV0179</v>
          </cell>
          <cell r="E122">
            <v>113043186</v>
          </cell>
          <cell r="G122" t="str">
            <v>020087000029, cấp ngày 1/10/2019, nơi cấp cục trưởng cục cảnh sát</v>
          </cell>
          <cell r="H122">
            <v>31936</v>
          </cell>
          <cell r="J122">
            <v>39</v>
          </cell>
          <cell r="K122" t="str">
            <v>013218933</v>
          </cell>
          <cell r="L122" t="str">
            <v>21/03/2007</v>
          </cell>
          <cell r="M122" t="str">
            <v>CA tỉnh Lạng Sơn</v>
          </cell>
          <cell r="P122" t="str">
            <v>Huyện Trực Ninh</v>
          </cell>
          <cell r="Q122" t="str">
            <v>Tỉnh Nam Định</v>
          </cell>
          <cell r="S122" t="str">
            <v>Phường Tam Thanh</v>
          </cell>
          <cell r="T122" t="str">
            <v>Thành phố Lạng Sơn</v>
          </cell>
          <cell r="U122" t="str">
            <v>Tỉnh Lạng Sơn</v>
          </cell>
          <cell r="V122" t="str">
            <v>Phường Tam Thanh, Thành phố Lạng Sơn, Tỉnh Lạng Sơn</v>
          </cell>
          <cell r="W122" t="str">
            <v>1/6/2012</v>
          </cell>
          <cell r="AA122">
            <v>0</v>
          </cell>
          <cell r="AB122" t="str">
            <v>TĐ003</v>
          </cell>
          <cell r="AC122" t="str">
            <v>Ngoại Thận - Tiết niệu</v>
          </cell>
          <cell r="AD122" t="str">
            <v>KP012</v>
          </cell>
          <cell r="AE122" t="str">
            <v>Viên chức</v>
          </cell>
          <cell r="AF122" t="str">
            <v>V.08.01.03</v>
          </cell>
          <cell r="AG122" t="str">
            <v>Bác sĩ (hạng III)</v>
          </cell>
          <cell r="AH122">
            <v>3.66</v>
          </cell>
          <cell r="AI122">
            <v>5</v>
          </cell>
          <cell r="AJ122">
            <v>0</v>
          </cell>
          <cell r="AK122">
            <v>45597</v>
          </cell>
          <cell r="AL122" t="str">
            <v>Đại học</v>
          </cell>
          <cell r="AM122" t="str">
            <v>BSCKI</v>
          </cell>
          <cell r="AN122" t="str">
            <v>Ngoại khoa</v>
          </cell>
          <cell r="AO122" t="str">
            <v>Đại học Y Hà Nội</v>
          </cell>
          <cell r="AP122">
            <v>2012</v>
          </cell>
          <cell r="AQ122" t="str">
            <v>12/12</v>
          </cell>
          <cell r="AR122">
            <v>0</v>
          </cell>
          <cell r="AS122" t="str">
            <v>x</v>
          </cell>
          <cell r="AT122">
            <v>0</v>
          </cell>
          <cell r="AU122" t="str">
            <v>Anh B</v>
          </cell>
          <cell r="AV122">
            <v>0</v>
          </cell>
          <cell r="AW122" t="str">
            <v>CC Tin Sau ĐH</v>
          </cell>
          <cell r="AY122" t="str">
            <v>Kinh</v>
          </cell>
          <cell r="AZ122">
            <v>43066</v>
          </cell>
          <cell r="BA122" t="e">
            <v>#REF!</v>
          </cell>
          <cell r="BB122" t="e">
            <v>#REF!</v>
          </cell>
          <cell r="BC122" t="str">
            <v>24/06/2013</v>
          </cell>
        </row>
        <row r="123">
          <cell r="A123" t="str">
            <v>BV0148</v>
          </cell>
          <cell r="B123">
            <v>117</v>
          </cell>
          <cell r="C123" t="str">
            <v>Nguyễn Thị Oanh</v>
          </cell>
          <cell r="D123" t="str">
            <v>BV0148</v>
          </cell>
          <cell r="E123">
            <v>2010000165</v>
          </cell>
          <cell r="G123" t="str">
            <v>015188000845, cấp ngày 2/4/2021, nơi cấpcục trưởng cục cảnh sát</v>
          </cell>
          <cell r="I123">
            <v>32278</v>
          </cell>
          <cell r="J123">
            <v>38</v>
          </cell>
          <cell r="K123" t="str">
            <v>060838309</v>
          </cell>
          <cell r="L123" t="str">
            <v>29/12/2005</v>
          </cell>
          <cell r="M123" t="str">
            <v>CA tỉnh Lạng Sơn</v>
          </cell>
          <cell r="O123" t="str">
            <v>Châu Hạ</v>
          </cell>
          <cell r="P123" t="str">
            <v>Huyện Văn Yên</v>
          </cell>
          <cell r="Q123" t="str">
            <v>Tỉnh Yên Bái</v>
          </cell>
          <cell r="S123" t="str">
            <v>Đường Đèo Giang</v>
          </cell>
          <cell r="T123" t="str">
            <v>Thành phố Lạng Sơn</v>
          </cell>
          <cell r="U123" t="str">
            <v>Tỉnh Lạng Sơn</v>
          </cell>
          <cell r="V123" t="str">
            <v>Đường Đèo Giang, Thành phố Lạng Sơn, Tỉnh Lạng Sơn</v>
          </cell>
          <cell r="W123" t="str">
            <v>15/1/2010</v>
          </cell>
          <cell r="AA123" t="str">
            <v>Điều dưỡng trưởng</v>
          </cell>
          <cell r="AB123" t="str">
            <v>TĐ011</v>
          </cell>
          <cell r="AC123" t="str">
            <v>Ngoại Thận - Tiết niệu</v>
          </cell>
          <cell r="AD123" t="str">
            <v>KP012</v>
          </cell>
          <cell r="AE123" t="str">
            <v>Viên chức</v>
          </cell>
          <cell r="AF123" t="str">
            <v>V.08.05.12</v>
          </cell>
          <cell r="AG123" t="str">
            <v>Điều dưỡng (hạng III)</v>
          </cell>
          <cell r="AH123">
            <v>3.66</v>
          </cell>
          <cell r="AI123">
            <v>5</v>
          </cell>
          <cell r="AJ123">
            <v>0</v>
          </cell>
          <cell r="AK123">
            <v>45383</v>
          </cell>
          <cell r="AL123" t="str">
            <v>Đại học</v>
          </cell>
          <cell r="AM123" t="str">
            <v>Điều dưỡng ĐH</v>
          </cell>
          <cell r="AO123" t="str">
            <v>Cao đẳng Y tế Lạng Sơn</v>
          </cell>
          <cell r="AP123">
            <v>2018</v>
          </cell>
          <cell r="AQ123" t="str">
            <v>12/12</v>
          </cell>
          <cell r="AR123">
            <v>0</v>
          </cell>
          <cell r="AS123">
            <v>0</v>
          </cell>
          <cell r="AT123" t="str">
            <v>Sơ cấp</v>
          </cell>
          <cell r="AU123">
            <v>0</v>
          </cell>
          <cell r="AV123" t="str">
            <v>Tày</v>
          </cell>
          <cell r="AW123" t="str">
            <v>Cơ bản</v>
          </cell>
          <cell r="AY123" t="str">
            <v>Kinh</v>
          </cell>
          <cell r="AZ123">
            <v>44326</v>
          </cell>
          <cell r="BA123" t="e">
            <v>#REF!</v>
          </cell>
          <cell r="BB123" t="e">
            <v>#REF!</v>
          </cell>
          <cell r="BC123" t="str">
            <v>24/06/2013</v>
          </cell>
        </row>
        <row r="124">
          <cell r="A124" t="str">
            <v>BV0336</v>
          </cell>
          <cell r="B124">
            <v>118</v>
          </cell>
          <cell r="C124" t="str">
            <v>Hứa Văn Quỳnh</v>
          </cell>
          <cell r="D124" t="str">
            <v>BV0336</v>
          </cell>
          <cell r="E124">
            <v>2011000005</v>
          </cell>
          <cell r="G124" t="str">
            <v>020082002601, cấp ngày 29/4/2021, nơi cấp: Cục cảnh sát quản lý hành chính và trật tự xã hội</v>
          </cell>
          <cell r="H124">
            <v>29967</v>
          </cell>
          <cell r="J124">
            <v>44</v>
          </cell>
          <cell r="K124" t="str">
            <v>081067043</v>
          </cell>
          <cell r="L124" t="str">
            <v>29/02/2001</v>
          </cell>
          <cell r="M124" t="str">
            <v>CA tỉnh Lạng Sơn</v>
          </cell>
          <cell r="O124" t="str">
            <v>Xã Đô Lương</v>
          </cell>
          <cell r="P124" t="str">
            <v>Huyện Hữu Lũng</v>
          </cell>
          <cell r="Q124" t="str">
            <v>Tỉnh Lạng Sơn</v>
          </cell>
          <cell r="S124" t="str">
            <v>Xã Đô Lương</v>
          </cell>
          <cell r="T124" t="str">
            <v>Huyện Hữu Lũng</v>
          </cell>
          <cell r="U124" t="str">
            <v>Tỉnh Lạng Sơn</v>
          </cell>
          <cell r="V124" t="str">
            <v>Xã Đô Lương, Huyện Hữu Lũng, Tỉnh Lạng Sơn</v>
          </cell>
          <cell r="W124" t="str">
            <v>1/12/2010</v>
          </cell>
          <cell r="AA124">
            <v>0</v>
          </cell>
          <cell r="AB124" t="str">
            <v>TĐ012</v>
          </cell>
          <cell r="AC124" t="str">
            <v>Ngoại Thận - Tiết niệu</v>
          </cell>
          <cell r="AD124" t="str">
            <v>KP012</v>
          </cell>
          <cell r="AE124" t="str">
            <v>Viên chức</v>
          </cell>
          <cell r="AF124" t="str">
            <v>V.08.05.13</v>
          </cell>
          <cell r="AG124" t="str">
            <v>Điều dưỡng (hạng IV)</v>
          </cell>
          <cell r="AH124">
            <v>3.34</v>
          </cell>
          <cell r="AI124">
            <v>5</v>
          </cell>
          <cell r="AJ124">
            <v>0</v>
          </cell>
          <cell r="AK124">
            <v>45444</v>
          </cell>
          <cell r="AL124" t="str">
            <v>Cao đẳng</v>
          </cell>
          <cell r="AM124" t="str">
            <v>Điều dưỡng CĐ</v>
          </cell>
          <cell r="AO124" t="str">
            <v>Cao đẳng Y tế Lạng Sơn</v>
          </cell>
          <cell r="AP124">
            <v>2015</v>
          </cell>
          <cell r="AQ124" t="str">
            <v>12/12</v>
          </cell>
          <cell r="AR124">
            <v>0</v>
          </cell>
          <cell r="AS124">
            <v>0</v>
          </cell>
          <cell r="AT124">
            <v>0</v>
          </cell>
          <cell r="AU124">
            <v>0</v>
          </cell>
          <cell r="AV124" t="str">
            <v>Tày</v>
          </cell>
          <cell r="AW124" t="str">
            <v>Tin B</v>
          </cell>
          <cell r="AY124" t="str">
            <v>Nùng</v>
          </cell>
          <cell r="BA124" t="e">
            <v>#REF!</v>
          </cell>
          <cell r="BB124" t="e">
            <v>#REF!</v>
          </cell>
        </row>
        <row r="125">
          <cell r="A125" t="str">
            <v>BV0187</v>
          </cell>
          <cell r="B125">
            <v>119</v>
          </cell>
          <cell r="C125" t="str">
            <v>Hoàng Trung Sơn</v>
          </cell>
          <cell r="D125" t="str">
            <v>BV0187</v>
          </cell>
          <cell r="E125">
            <v>1505002927</v>
          </cell>
          <cell r="G125" t="str">
            <v>080972898, cấp ngày 20/1/2021, công an tỉnh Lạng Sơn</v>
          </cell>
          <cell r="H125">
            <v>30456</v>
          </cell>
          <cell r="J125">
            <v>43</v>
          </cell>
          <cell r="K125" t="str">
            <v>080972898</v>
          </cell>
          <cell r="L125" t="str">
            <v>23/01/2000</v>
          </cell>
          <cell r="M125" t="str">
            <v>CA tỉnh Lạng Sơn</v>
          </cell>
          <cell r="N125" t="str">
            <v>Xã Hưng Vũ, huyện Bắc Sơn, tỉnh Lạng Sơn</v>
          </cell>
          <cell r="O125" t="str">
            <v>Xã Hưng Vũ</v>
          </cell>
          <cell r="P125" t="str">
            <v>Huyện Bắc Sơn</v>
          </cell>
          <cell r="Q125" t="str">
            <v>Tỉnh Lạng Sơn</v>
          </cell>
          <cell r="T125" t="str">
            <v>Thành phố Lạng Sơn</v>
          </cell>
          <cell r="U125" t="str">
            <v>Tỉnh Lạng Sơn</v>
          </cell>
          <cell r="V125" t="str">
            <v>, Thành phố Lạng Sơn, Tỉnh Lạng Sơn</v>
          </cell>
          <cell r="W125" t="str">
            <v>19/01/2005</v>
          </cell>
          <cell r="AA125">
            <v>0</v>
          </cell>
          <cell r="AB125" t="str">
            <v>TĐ012</v>
          </cell>
          <cell r="AC125" t="str">
            <v>Ngoại Thận - Tiết niệu</v>
          </cell>
          <cell r="AD125" t="str">
            <v>KP012</v>
          </cell>
          <cell r="AE125" t="str">
            <v>Viên chức</v>
          </cell>
          <cell r="AF125" t="str">
            <v>V.08.05.13</v>
          </cell>
          <cell r="AG125" t="str">
            <v>Điều dưỡng (hạng IV)</v>
          </cell>
          <cell r="AH125">
            <v>3.96</v>
          </cell>
          <cell r="AI125">
            <v>7</v>
          </cell>
          <cell r="AJ125">
            <v>0</v>
          </cell>
          <cell r="AK125">
            <v>45536</v>
          </cell>
          <cell r="AL125" t="str">
            <v>Cao đẳng</v>
          </cell>
          <cell r="AM125" t="str">
            <v>Điều dưỡng CĐ</v>
          </cell>
          <cell r="AO125" t="str">
            <v>Trung học Y tế Lạng Sơn</v>
          </cell>
          <cell r="AP125">
            <v>2004</v>
          </cell>
          <cell r="AQ125" t="str">
            <v>12/12</v>
          </cell>
          <cell r="AR125">
            <v>0</v>
          </cell>
          <cell r="AS125">
            <v>0</v>
          </cell>
          <cell r="AT125">
            <v>0</v>
          </cell>
          <cell r="AU125">
            <v>0</v>
          </cell>
          <cell r="AV125">
            <v>0</v>
          </cell>
          <cell r="AW125">
            <v>0</v>
          </cell>
          <cell r="AY125" t="str">
            <v>Tày</v>
          </cell>
          <cell r="AZ125">
            <v>43353</v>
          </cell>
          <cell r="BA125" t="e">
            <v>#REF!</v>
          </cell>
          <cell r="BB125" t="e">
            <v>#REF!</v>
          </cell>
          <cell r="BC125" t="str">
            <v>24/06/2013</v>
          </cell>
        </row>
        <row r="126">
          <cell r="A126" t="str">
            <v>BV0404</v>
          </cell>
          <cell r="B126">
            <v>120</v>
          </cell>
          <cell r="C126" t="str">
            <v>Dương Thị Hoa</v>
          </cell>
          <cell r="D126" t="str">
            <v>BV0404</v>
          </cell>
          <cell r="E126">
            <v>1503000311</v>
          </cell>
          <cell r="G126" t="str">
            <v>020174004821, cấp ngày 25/6/2021, cục trưởng cục cảnh sát</v>
          </cell>
          <cell r="I126">
            <v>27280</v>
          </cell>
          <cell r="J126">
            <v>51</v>
          </cell>
          <cell r="K126" t="str">
            <v>080917552</v>
          </cell>
          <cell r="L126" t="str">
            <v>25/03/2003</v>
          </cell>
          <cell r="M126" t="str">
            <v>CA tỉnh Lạng Sơn</v>
          </cell>
          <cell r="N126" t="str">
            <v>Xã Chiến Thắng, huyện Bắc Sơn, tỉnh Lạng Sơn</v>
          </cell>
          <cell r="P126" t="str">
            <v>Huyện Bắc Sơn</v>
          </cell>
          <cell r="Q126" t="str">
            <v>Tỉnh Lạng Sơn</v>
          </cell>
          <cell r="S126" t="str">
            <v>Xã Hoàng Đồng</v>
          </cell>
          <cell r="T126" t="str">
            <v>Thành phố Lạng Sơn</v>
          </cell>
          <cell r="U126" t="str">
            <v>Tỉnh Lạng Sơn</v>
          </cell>
          <cell r="V126" t="str">
            <v>Xã Hoàng Đồng, Thành phố Lạng Sơn, Tỉnh Lạng Sơn</v>
          </cell>
          <cell r="W126" t="str">
            <v>6/11/2006</v>
          </cell>
          <cell r="AA126">
            <v>0</v>
          </cell>
          <cell r="AB126" t="str">
            <v>TĐ012</v>
          </cell>
          <cell r="AC126" t="str">
            <v>Ngoại Thận - Tiết niệu</v>
          </cell>
          <cell r="AD126" t="str">
            <v>KP012</v>
          </cell>
          <cell r="AE126" t="str">
            <v>Viên chức</v>
          </cell>
          <cell r="AF126" t="str">
            <v>V.08.05.13</v>
          </cell>
          <cell r="AG126" t="str">
            <v>Điều dưỡng (hạng IV)</v>
          </cell>
          <cell r="AH126">
            <v>3.65</v>
          </cell>
          <cell r="AI126">
            <v>6</v>
          </cell>
          <cell r="AJ126">
            <v>0</v>
          </cell>
          <cell r="AK126">
            <v>45413</v>
          </cell>
          <cell r="AL126" t="str">
            <v>Cao đẳng</v>
          </cell>
          <cell r="AM126" t="str">
            <v>Điều dưỡng CĐ</v>
          </cell>
          <cell r="AO126" t="str">
            <v>Trung học Y tế Lạng Sơn</v>
          </cell>
          <cell r="AP126">
            <v>2001</v>
          </cell>
          <cell r="AQ126" t="str">
            <v>12/12</v>
          </cell>
          <cell r="AR126">
            <v>0</v>
          </cell>
          <cell r="AS126">
            <v>0</v>
          </cell>
          <cell r="AT126">
            <v>0</v>
          </cell>
          <cell r="AU126" t="str">
            <v>Bậc 4</v>
          </cell>
          <cell r="AV126">
            <v>0</v>
          </cell>
          <cell r="AW126" t="str">
            <v>Cơ bản</v>
          </cell>
          <cell r="AY126" t="str">
            <v>Tày</v>
          </cell>
          <cell r="AZ126">
            <v>41607</v>
          </cell>
          <cell r="BA126" t="e">
            <v>#REF!</v>
          </cell>
          <cell r="BB126" t="e">
            <v>#REF!</v>
          </cell>
          <cell r="BC126" t="str">
            <v>01/06/2016</v>
          </cell>
        </row>
        <row r="127">
          <cell r="A127" t="str">
            <v>BV0063</v>
          </cell>
          <cell r="B127">
            <v>121</v>
          </cell>
          <cell r="C127" t="str">
            <v>Đường Thị Lan Anh</v>
          </cell>
          <cell r="D127" t="str">
            <v>BV0063</v>
          </cell>
          <cell r="E127">
            <v>2009000916</v>
          </cell>
          <cell r="G127" t="str">
            <v>CCCD: 020187007430
Ngày cấp: 25/6/2021, nơi cấp: Cục cảnh sát quản lý hành chính và trật tự xã hội</v>
          </cell>
          <cell r="I127">
            <v>31898</v>
          </cell>
          <cell r="J127">
            <v>39</v>
          </cell>
          <cell r="K127" t="str">
            <v>082018652</v>
          </cell>
          <cell r="L127" t="str">
            <v>02/06/2004</v>
          </cell>
          <cell r="M127" t="str">
            <v>CA tỉnh Lạng Sơn</v>
          </cell>
          <cell r="N127" t="str">
            <v>Xã Yên Trạch, huyện Cao Lộc, tỉnh Lạng Sơn</v>
          </cell>
          <cell r="O127" t="str">
            <v>Xã Mai Pha</v>
          </cell>
          <cell r="P127" t="str">
            <v>Huyện Cao Lộc</v>
          </cell>
          <cell r="Q127" t="str">
            <v>Tỉnh Lạng Sơn</v>
          </cell>
          <cell r="S127" t="str">
            <v>Xã Mai Pha</v>
          </cell>
          <cell r="T127" t="str">
            <v>Thành phố Lạng Sơn</v>
          </cell>
          <cell r="U127" t="str">
            <v>Tỉnh Lạng Sơn</v>
          </cell>
          <cell r="V127" t="str">
            <v>Xã Mai Pha, Thành phố Lạng Sơn, Tỉnh Lạng Sơn</v>
          </cell>
          <cell r="W127" t="str">
            <v>1/1/2009</v>
          </cell>
          <cell r="AA127" t="str">
            <v>Điều dưỡng trưởng</v>
          </cell>
          <cell r="AB127" t="str">
            <v>TĐ011</v>
          </cell>
          <cell r="AC127" t="str">
            <v>Ngoại Tiêu hóa</v>
          </cell>
          <cell r="AD127" t="str">
            <v>KP013</v>
          </cell>
          <cell r="AE127" t="str">
            <v>Viên chức</v>
          </cell>
          <cell r="AF127" t="str">
            <v>V.08.05.13</v>
          </cell>
          <cell r="AG127" t="str">
            <v>Điều dưỡng (hạng III)</v>
          </cell>
          <cell r="AH127">
            <v>3.66</v>
          </cell>
          <cell r="AI127">
            <v>5</v>
          </cell>
          <cell r="AJ127">
            <v>0</v>
          </cell>
          <cell r="AK127">
            <v>45778</v>
          </cell>
          <cell r="AL127" t="str">
            <v>Cao đẳng</v>
          </cell>
          <cell r="AM127" t="str">
            <v>Điều dưỡng ĐH</v>
          </cell>
          <cell r="AO127" t="str">
            <v>Cao đẳng Y tế Lạng Sơn</v>
          </cell>
          <cell r="AP127">
            <v>2007</v>
          </cell>
          <cell r="AQ127" t="str">
            <v>12/12</v>
          </cell>
          <cell r="AR127">
            <v>0</v>
          </cell>
          <cell r="AS127">
            <v>0</v>
          </cell>
          <cell r="AT127">
            <v>0</v>
          </cell>
          <cell r="AU127">
            <v>0</v>
          </cell>
          <cell r="AV127" t="str">
            <v>Tày</v>
          </cell>
          <cell r="AW127" t="str">
            <v>Tin A</v>
          </cell>
          <cell r="AY127" t="str">
            <v>Tày</v>
          </cell>
          <cell r="BA127" t="e">
            <v>#REF!</v>
          </cell>
          <cell r="BB127" t="e">
            <v>#REF!</v>
          </cell>
          <cell r="BC127" t="str">
            <v>24/06/2013</v>
          </cell>
        </row>
        <row r="128">
          <cell r="A128" t="str">
            <v>BV0002</v>
          </cell>
          <cell r="B128">
            <v>122</v>
          </cell>
          <cell r="C128" t="str">
            <v>Chu Đức Quang</v>
          </cell>
          <cell r="D128" t="str">
            <v>BV0002</v>
          </cell>
          <cell r="E128">
            <v>1505002938</v>
          </cell>
          <cell r="G128" t="str">
            <v>CCCD: 020081007693
Ngày cấp: 28/6/2021, nơi cấp: Cục cảnh sát quản lý hành chính và trật tự xã hội</v>
          </cell>
          <cell r="H128">
            <v>29884</v>
          </cell>
          <cell r="J128">
            <v>44</v>
          </cell>
          <cell r="K128" t="str">
            <v>080993710</v>
          </cell>
          <cell r="L128" t="str">
            <v>10/10/2013</v>
          </cell>
          <cell r="M128" t="str">
            <v>CA tỉnh Lạng Sơn</v>
          </cell>
          <cell r="N128" t="str">
            <v>UBND phường Đông Kinh, TP. Lạng Sơn</v>
          </cell>
          <cell r="O128" t="str">
            <v>Thị trấn Văn Quan</v>
          </cell>
          <cell r="P128" t="str">
            <v>Huyện Văn Quan</v>
          </cell>
          <cell r="Q128" t="str">
            <v>Tỉnh Lạng Sơn</v>
          </cell>
          <cell r="S128" t="str">
            <v>Phường Đông Kinh</v>
          </cell>
          <cell r="T128" t="str">
            <v>Thành phố Lạng Sơn</v>
          </cell>
          <cell r="U128" t="str">
            <v>Tỉnh Lạng Sơn</v>
          </cell>
          <cell r="V128" t="str">
            <v>Phường Đông Kinh, Thành phố Lạng Sơn, Tỉnh Lạng Sơn</v>
          </cell>
          <cell r="W128" t="str">
            <v>19/01/2005</v>
          </cell>
          <cell r="AA128">
            <v>0</v>
          </cell>
          <cell r="AB128" t="str">
            <v>TĐ001</v>
          </cell>
          <cell r="AC128" t="str">
            <v>Ngoại Tiêu hóa</v>
          </cell>
          <cell r="AD128" t="str">
            <v>KP013</v>
          </cell>
          <cell r="AE128" t="str">
            <v>Viên chức</v>
          </cell>
          <cell r="AF128" t="str">
            <v>V.08.01.03</v>
          </cell>
          <cell r="AG128" t="str">
            <v>Bác sĩ chính (hạng II)</v>
          </cell>
          <cell r="AH128">
            <v>4.4000000000000004</v>
          </cell>
          <cell r="AI128">
            <v>1</v>
          </cell>
          <cell r="AJ128">
            <v>0</v>
          </cell>
          <cell r="AK128">
            <v>45261</v>
          </cell>
          <cell r="AL128" t="str">
            <v>Đại học</v>
          </cell>
          <cell r="AM128" t="str">
            <v>BSCKII</v>
          </cell>
          <cell r="AN128" t="str">
            <v>Ngoại khoa</v>
          </cell>
          <cell r="AO128" t="str">
            <v>Đại học Y Hà Nội</v>
          </cell>
          <cell r="AP128">
            <v>2018</v>
          </cell>
          <cell r="AQ128" t="str">
            <v>12/12</v>
          </cell>
          <cell r="AR128" t="str">
            <v>Chuyên viên</v>
          </cell>
          <cell r="AS128" t="str">
            <v>x</v>
          </cell>
          <cell r="AT128">
            <v>0</v>
          </cell>
          <cell r="AU128">
            <v>0</v>
          </cell>
          <cell r="AV128">
            <v>0</v>
          </cell>
          <cell r="AW128">
            <v>0</v>
          </cell>
          <cell r="AY128" t="str">
            <v>Nùng</v>
          </cell>
          <cell r="AZ128">
            <v>40555</v>
          </cell>
          <cell r="BA128" t="e">
            <v>#REF!</v>
          </cell>
          <cell r="BB128" t="e">
            <v>#REF!</v>
          </cell>
        </row>
        <row r="129">
          <cell r="A129" t="str">
            <v>BV0176</v>
          </cell>
          <cell r="B129">
            <v>123</v>
          </cell>
          <cell r="C129" t="str">
            <v>Dương Văn Ái</v>
          </cell>
          <cell r="D129" t="str">
            <v>BV0176</v>
          </cell>
          <cell r="E129">
            <v>1507000019</v>
          </cell>
          <cell r="G129" t="str">
            <v>CCCD: 024077017144
Ngày cấp: 20/8/2021, nơi cấp: Cục cảnh sát quản lý hành chính và trật tự xã hội</v>
          </cell>
          <cell r="H129">
            <v>28217</v>
          </cell>
          <cell r="J129">
            <v>49</v>
          </cell>
          <cell r="K129" t="str">
            <v>121234579</v>
          </cell>
          <cell r="L129" t="str">
            <v>10/08/2012</v>
          </cell>
          <cell r="M129" t="str">
            <v>CA tỉnh Lạng Sơn</v>
          </cell>
          <cell r="N129" t="str">
            <v>Xã Xương Lâm, huyện Lạng Giang, tỉnh Lạng Sơn</v>
          </cell>
          <cell r="P129" t="str">
            <v>Huyện Lạng Giang</v>
          </cell>
          <cell r="Q129" t="str">
            <v>Tỉnh Bắc Giang</v>
          </cell>
          <cell r="S129" t="str">
            <v>Phường Tam Thanh</v>
          </cell>
          <cell r="T129" t="str">
            <v>Thành phố Lạng Sơn</v>
          </cell>
          <cell r="U129" t="str">
            <v>Tỉnh Lạng Sơn</v>
          </cell>
          <cell r="V129" t="str">
            <v>Phường Tam Thanh, Thành phố Lạng Sơn, Tỉnh Lạng Sơn</v>
          </cell>
          <cell r="W129" t="str">
            <v>5/12/2006</v>
          </cell>
          <cell r="AA129" t="str">
            <v>Phó trưởng khoa</v>
          </cell>
          <cell r="AB129" t="str">
            <v>TĐ003</v>
          </cell>
          <cell r="AC129" t="str">
            <v>Ngoại Tiêu hóa</v>
          </cell>
          <cell r="AD129" t="str">
            <v>KP013</v>
          </cell>
          <cell r="AE129" t="str">
            <v>Viên chức</v>
          </cell>
          <cell r="AF129" t="str">
            <v>V.08.01.02</v>
          </cell>
          <cell r="AG129" t="str">
            <v>Bác sĩ chính (hạng II)</v>
          </cell>
          <cell r="AH129">
            <v>4.74</v>
          </cell>
          <cell r="AI129">
            <v>2</v>
          </cell>
          <cell r="AJ129">
            <v>0</v>
          </cell>
          <cell r="AK129">
            <v>45992</v>
          </cell>
          <cell r="AL129" t="str">
            <v>Đại học</v>
          </cell>
          <cell r="AM129" t="str">
            <v>BSCKI</v>
          </cell>
          <cell r="AN129" t="str">
            <v>Ngoại khoa</v>
          </cell>
          <cell r="AQ129" t="str">
            <v>12/12</v>
          </cell>
          <cell r="AR129">
            <v>0</v>
          </cell>
          <cell r="AS129" t="str">
            <v>x</v>
          </cell>
          <cell r="AT129" t="str">
            <v>Sơ cấp</v>
          </cell>
          <cell r="AU129">
            <v>0</v>
          </cell>
          <cell r="AV129">
            <v>0</v>
          </cell>
          <cell r="AW129">
            <v>0</v>
          </cell>
          <cell r="AY129" t="str">
            <v>Kinh</v>
          </cell>
          <cell r="AZ129">
            <v>41004</v>
          </cell>
          <cell r="BA129" t="e">
            <v>#REF!</v>
          </cell>
          <cell r="BB129" t="e">
            <v>#REF!</v>
          </cell>
          <cell r="BC129" t="str">
            <v>24/06/2013</v>
          </cell>
        </row>
        <row r="130">
          <cell r="A130" t="str">
            <v>BV0737</v>
          </cell>
          <cell r="B130">
            <v>124</v>
          </cell>
          <cell r="C130" t="str">
            <v>Nguyễn Trọng Đức</v>
          </cell>
          <cell r="D130" t="str">
            <v>BV0737</v>
          </cell>
          <cell r="E130" t="str">
            <v>1505000534</v>
          </cell>
          <cell r="G130" t="str">
            <v>CCCD: 020079002285
Ngày cấp: 29/4/2021, nơi cấp: Cục cảnh sát quản lý hành chính và trật tự xã hội</v>
          </cell>
          <cell r="H130" t="str">
            <v>16/7/1979</v>
          </cell>
          <cell r="J130">
            <v>46</v>
          </cell>
          <cell r="K130" t="str">
            <v>080897155</v>
          </cell>
          <cell r="L130" t="str">
            <v>15/11/1999</v>
          </cell>
          <cell r="M130" t="str">
            <v>CA tỉnh Lạng Sơn</v>
          </cell>
          <cell r="P130" t="str">
            <v>Thanh Trì</v>
          </cell>
          <cell r="Q130" t="str">
            <v>Hà Nội</v>
          </cell>
          <cell r="V130" t="str">
            <v>Phường Vĩnh Trại, Thành phố Lạng Sơn, Tỉnh Lạng Sơn</v>
          </cell>
          <cell r="W130" t="str">
            <v>01/02/2005</v>
          </cell>
          <cell r="AA130">
            <v>0</v>
          </cell>
          <cell r="AB130" t="str">
            <v>TĐ001</v>
          </cell>
          <cell r="AC130" t="str">
            <v>Ngoại Tiêu hóa</v>
          </cell>
          <cell r="AD130" t="str">
            <v>KP013</v>
          </cell>
          <cell r="AE130" t="str">
            <v>Viên chức</v>
          </cell>
          <cell r="AF130" t="str">
            <v>V.08.01.02</v>
          </cell>
          <cell r="AG130" t="str">
            <v>Bác sĩ chính (hạng II)</v>
          </cell>
          <cell r="AH130">
            <v>4.74</v>
          </cell>
          <cell r="AI130">
            <v>2</v>
          </cell>
          <cell r="AJ130">
            <v>0</v>
          </cell>
          <cell r="AK130">
            <v>45992</v>
          </cell>
          <cell r="AL130" t="str">
            <v>Đại học</v>
          </cell>
          <cell r="AM130" t="str">
            <v>BSCKII</v>
          </cell>
          <cell r="AN130" t="str">
            <v>Ngoại khoa</v>
          </cell>
          <cell r="AR130">
            <v>0</v>
          </cell>
          <cell r="AS130">
            <v>0</v>
          </cell>
          <cell r="AT130">
            <v>0</v>
          </cell>
          <cell r="AU130">
            <v>0</v>
          </cell>
          <cell r="AV130" t="str">
            <v>Tày</v>
          </cell>
          <cell r="AW130" t="str">
            <v>Tin B</v>
          </cell>
          <cell r="AY130" t="str">
            <v>Kinh</v>
          </cell>
          <cell r="AZ130">
            <v>40235</v>
          </cell>
          <cell r="BA130" t="e">
            <v>#REF!</v>
          </cell>
          <cell r="BB130" t="e">
            <v>#REF!</v>
          </cell>
          <cell r="BC130" t="str">
            <v>24/06/2013</v>
          </cell>
        </row>
        <row r="131">
          <cell r="A131" t="str">
            <v>BV0835</v>
          </cell>
          <cell r="B131">
            <v>125</v>
          </cell>
          <cell r="C131" t="str">
            <v>Nguyễn Đình Trọng Nghĩa</v>
          </cell>
          <cell r="D131" t="str">
            <v>BV0835</v>
          </cell>
          <cell r="E131" t="str">
            <v>2020896344</v>
          </cell>
          <cell r="G131" t="str">
            <v>CCCD: 020093000007
Ngày cấp: 24/02/2022, nơi cấp: Cục cảnh sát quản lý hành chính và trật tự xã hội</v>
          </cell>
          <cell r="H131" t="str">
            <v>08/01/1993</v>
          </cell>
          <cell r="J131">
            <v>33</v>
          </cell>
          <cell r="K131" t="str">
            <v>082222914</v>
          </cell>
          <cell r="L131" t="str">
            <v>15/03/2010</v>
          </cell>
          <cell r="M131" t="str">
            <v>CA tỉnh Lạng Sơn</v>
          </cell>
          <cell r="N131" t="str">
            <v>Phường Đông Kinh, TP. Lạng Sơn</v>
          </cell>
          <cell r="P131" t="str">
            <v>Vũ Thư</v>
          </cell>
          <cell r="Q131" t="str">
            <v>Thái Bình</v>
          </cell>
          <cell r="R131" t="str">
            <v>17 đường Ngô Quyền. Phường Vĩnh Trại, TP. Lạng Sơn</v>
          </cell>
          <cell r="V131" t="str">
            <v>17 đường Ngô Quyền. Phường Vĩnh Trại, TP. Lạng Sơn</v>
          </cell>
          <cell r="W131" t="str">
            <v>20/3/2018</v>
          </cell>
          <cell r="Y131">
            <v>569</v>
          </cell>
          <cell r="Z131" t="str">
            <v>18/3/2018</v>
          </cell>
          <cell r="AA131">
            <v>0</v>
          </cell>
          <cell r="AB131" t="str">
            <v>TĐ003</v>
          </cell>
          <cell r="AC131" t="str">
            <v>Ngoại Tiêu hóa</v>
          </cell>
          <cell r="AD131" t="str">
            <v>KP013</v>
          </cell>
          <cell r="AE131" t="str">
            <v>Viên chức</v>
          </cell>
          <cell r="AF131" t="str">
            <v>V.08.01.03</v>
          </cell>
          <cell r="AG131" t="str">
            <v>Bác sĩ (hạng III)</v>
          </cell>
          <cell r="AH131">
            <v>3</v>
          </cell>
          <cell r="AI131">
            <v>3</v>
          </cell>
          <cell r="AJ131">
            <v>0</v>
          </cell>
          <cell r="AK131">
            <v>45474</v>
          </cell>
          <cell r="AL131" t="str">
            <v>Đại học</v>
          </cell>
          <cell r="AM131" t="str">
            <v>BSCKI</v>
          </cell>
          <cell r="AN131" t="str">
            <v>Đa khoa</v>
          </cell>
          <cell r="AO131" t="str">
            <v>Đại học Y Haf Nội</v>
          </cell>
          <cell r="AP131">
            <v>2017</v>
          </cell>
          <cell r="AQ131" t="str">
            <v>12/12</v>
          </cell>
          <cell r="AR131">
            <v>0</v>
          </cell>
          <cell r="AS131">
            <v>0</v>
          </cell>
          <cell r="AT131" t="str">
            <v>Sơ cấp</v>
          </cell>
          <cell r="AU131">
            <v>0</v>
          </cell>
          <cell r="AV131">
            <v>0</v>
          </cell>
          <cell r="AW131">
            <v>0</v>
          </cell>
          <cell r="AY131" t="str">
            <v>Kinh</v>
          </cell>
        </row>
        <row r="132">
          <cell r="A132" t="str">
            <v>BV0199</v>
          </cell>
          <cell r="B132">
            <v>126</v>
          </cell>
          <cell r="C132" t="str">
            <v>Dương Thị Toan</v>
          </cell>
          <cell r="D132" t="str">
            <v>BV0199</v>
          </cell>
          <cell r="E132">
            <v>1507000926</v>
          </cell>
          <cell r="G132" t="str">
            <v>CCCD: 020184002850
Ngày cấp: 29/4/2021, nơi cấp: Cục cảnh sát quản lý hành chính và trật tự xã hội</v>
          </cell>
          <cell r="I132">
            <v>30953</v>
          </cell>
          <cell r="J132">
            <v>41</v>
          </cell>
          <cell r="K132" t="str">
            <v>081034175</v>
          </cell>
          <cell r="L132" t="str">
            <v>10/03/2000</v>
          </cell>
          <cell r="M132" t="str">
            <v>CA tỉnh Lạng Sơn</v>
          </cell>
          <cell r="O132" t="str">
            <v>Xã Mai Pha</v>
          </cell>
          <cell r="P132" t="str">
            <v>Huyện Bắc Sơn</v>
          </cell>
          <cell r="Q132" t="str">
            <v>Tỉnh Lạng Sơn</v>
          </cell>
          <cell r="R132" t="str">
            <v>Thôn Mai Thành</v>
          </cell>
          <cell r="S132" t="str">
            <v>Xã Mai Pha</v>
          </cell>
          <cell r="T132" t="str">
            <v>Thành phố Lạng Sơn</v>
          </cell>
          <cell r="U132" t="str">
            <v>Tỉnh Lạng Sơn</v>
          </cell>
          <cell r="V132" t="str">
            <v>Xã Mai Pha, Thành phố Lạng Sơn, Tỉnh Lạng Sơn</v>
          </cell>
          <cell r="W132" t="str">
            <v>30/10/2006</v>
          </cell>
          <cell r="AA132">
            <v>0</v>
          </cell>
          <cell r="AB132" t="str">
            <v>TĐ012</v>
          </cell>
          <cell r="AC132" t="str">
            <v>Ngoại Tiêu hóa</v>
          </cell>
          <cell r="AD132" t="str">
            <v>KP013</v>
          </cell>
          <cell r="AE132" t="str">
            <v>Viên chức</v>
          </cell>
          <cell r="AF132" t="str">
            <v>V.08.05.13</v>
          </cell>
          <cell r="AG132" t="str">
            <v>Điều dưỡng (hạng IV)</v>
          </cell>
          <cell r="AH132">
            <v>3.96</v>
          </cell>
          <cell r="AI132">
            <v>7</v>
          </cell>
          <cell r="AJ132">
            <v>0</v>
          </cell>
          <cell r="AK132">
            <v>45962</v>
          </cell>
          <cell r="AL132" t="str">
            <v>Cao đẳng</v>
          </cell>
          <cell r="AM132" t="str">
            <v>Điều dưỡng CĐ</v>
          </cell>
          <cell r="AO132" t="str">
            <v>Cao đẳng Y tế Lạng Sơn</v>
          </cell>
          <cell r="AP132">
            <v>2006</v>
          </cell>
          <cell r="AQ132" t="str">
            <v>12/12</v>
          </cell>
          <cell r="AR132">
            <v>0</v>
          </cell>
          <cell r="AS132">
            <v>0</v>
          </cell>
          <cell r="AT132">
            <v>0</v>
          </cell>
          <cell r="AU132">
            <v>0</v>
          </cell>
          <cell r="AV132">
            <v>0</v>
          </cell>
          <cell r="AW132" t="str">
            <v>Cơ bản</v>
          </cell>
          <cell r="AY132" t="str">
            <v>Tày</v>
          </cell>
          <cell r="AZ132">
            <v>40115</v>
          </cell>
          <cell r="BA132" t="e">
            <v>#REF!</v>
          </cell>
          <cell r="BB132" t="e">
            <v>#REF!</v>
          </cell>
          <cell r="BC132" t="str">
            <v>24/06/2013</v>
          </cell>
        </row>
        <row r="133">
          <cell r="A133" t="str">
            <v>BV0339</v>
          </cell>
          <cell r="B133">
            <v>127</v>
          </cell>
          <cell r="C133" t="str">
            <v>Hoàng Trung Thực</v>
          </cell>
          <cell r="D133" t="str">
            <v>BV0339</v>
          </cell>
          <cell r="E133">
            <v>1505002946</v>
          </cell>
          <cell r="G133" t="str">
            <v xml:space="preserve">       020083002549, ngày cấp: 29/4/2021, nơi cấp: Cục cảnh sát quản lý hành chính và trật tự xã hội</v>
          </cell>
          <cell r="H133">
            <v>30440</v>
          </cell>
          <cell r="J133">
            <v>43</v>
          </cell>
          <cell r="K133" t="str">
            <v>081029009</v>
          </cell>
          <cell r="L133" t="str">
            <v>06/07/2015</v>
          </cell>
          <cell r="M133" t="str">
            <v>CA tỉnh Lạng Sơn</v>
          </cell>
          <cell r="N133" t="str">
            <v>Xã Đồng Mỏ, huyện Chi Lăng, tỉnh Lạng Sơn</v>
          </cell>
          <cell r="O133" t="str">
            <v>Thị trấn Đồng Mỏ</v>
          </cell>
          <cell r="P133" t="str">
            <v>Huyện Chi Lăng</v>
          </cell>
          <cell r="Q133" t="str">
            <v>Tỉnh Lạng Sơn</v>
          </cell>
          <cell r="S133" t="str">
            <v>Phường Tam Thanh</v>
          </cell>
          <cell r="T133" t="str">
            <v>Thành phố Lạng Sơn</v>
          </cell>
          <cell r="U133" t="str">
            <v>Tỉnh Lạng Sơn</v>
          </cell>
          <cell r="V133" t="str">
            <v>Phường Tam Thanh, Thành phố Lạng Sơn, Tỉnh Lạng Sơn</v>
          </cell>
          <cell r="W133" t="str">
            <v>01/12/2008</v>
          </cell>
          <cell r="AA133">
            <v>0</v>
          </cell>
          <cell r="AB133" t="str">
            <v>TĐ012</v>
          </cell>
          <cell r="AC133" t="str">
            <v>KSNK</v>
          </cell>
          <cell r="AD133" t="str">
            <v>KP036</v>
          </cell>
          <cell r="AE133" t="str">
            <v>Viên chức</v>
          </cell>
          <cell r="AF133" t="str">
            <v>V.08.05.13</v>
          </cell>
          <cell r="AG133" t="str">
            <v>Điều dưỡng (hạng IV)</v>
          </cell>
          <cell r="AH133">
            <v>3.65</v>
          </cell>
          <cell r="AI133">
            <v>6</v>
          </cell>
          <cell r="AJ133">
            <v>0</v>
          </cell>
          <cell r="AK133">
            <v>45078</v>
          </cell>
          <cell r="AL133" t="str">
            <v>Trung cấp</v>
          </cell>
          <cell r="AM133" t="str">
            <v>Điều dưỡng CĐ</v>
          </cell>
          <cell r="AO133" t="str">
            <v>Trung học Y tế Lạng Sơn</v>
          </cell>
          <cell r="AP133">
            <v>2004</v>
          </cell>
          <cell r="AQ133" t="str">
            <v>12/12</v>
          </cell>
          <cell r="AR133">
            <v>0</v>
          </cell>
          <cell r="AS133">
            <v>0</v>
          </cell>
          <cell r="AT133">
            <v>0</v>
          </cell>
          <cell r="AU133">
            <v>0</v>
          </cell>
          <cell r="AV133">
            <v>0</v>
          </cell>
          <cell r="AW133">
            <v>0</v>
          </cell>
          <cell r="AY133" t="str">
            <v>Nùng</v>
          </cell>
          <cell r="BA133" t="e">
            <v>#REF!</v>
          </cell>
          <cell r="BB133" t="e">
            <v>#REF!</v>
          </cell>
        </row>
        <row r="134">
          <cell r="A134" t="str">
            <v>BV0189</v>
          </cell>
          <cell r="B134">
            <v>128</v>
          </cell>
          <cell r="C134" t="str">
            <v>Vy Hoàng Vương</v>
          </cell>
          <cell r="D134" t="str">
            <v>BV0189</v>
          </cell>
          <cell r="E134">
            <v>1506002918</v>
          </cell>
          <cell r="G134" t="str">
            <v>CCCD: 020083000744
Ngày cấp: 04/4/2021, nơi cấp: Cục cảnh sát quản lý hành chính và trật tự xã hội</v>
          </cell>
          <cell r="H134">
            <v>30664</v>
          </cell>
          <cell r="J134">
            <v>42</v>
          </cell>
          <cell r="K134" t="str">
            <v>080968794</v>
          </cell>
          <cell r="L134" t="str">
            <v>04/03/2008</v>
          </cell>
          <cell r="M134" t="str">
            <v>CA tỉnh Lạng Sơn</v>
          </cell>
          <cell r="N134" t="str">
            <v>Thị trấn Đồng Mỏ, huyện Chi Lăng, tỉnh Lạng Sơn</v>
          </cell>
          <cell r="O134" t="str">
            <v>Thị trấn Đồng Mỏ</v>
          </cell>
          <cell r="P134" t="str">
            <v>Huyện Chi Lăng</v>
          </cell>
          <cell r="Q134" t="str">
            <v>Tỉnh Lạng Sơn</v>
          </cell>
          <cell r="T134" t="str">
            <v>Thành phố Lạng Sơn</v>
          </cell>
          <cell r="U134" t="str">
            <v>Tỉnh Lạng Sơn</v>
          </cell>
          <cell r="V134" t="str">
            <v>, Thành phố Lạng Sơn, Tỉnh Lạng Sơn</v>
          </cell>
          <cell r="W134" t="str">
            <v>6/11/2006</v>
          </cell>
          <cell r="AA134">
            <v>0</v>
          </cell>
          <cell r="AB134" t="str">
            <v>TĐ011</v>
          </cell>
          <cell r="AC134" t="str">
            <v>Ngoại Tiêu hóa</v>
          </cell>
          <cell r="AD134" t="str">
            <v>KP013</v>
          </cell>
          <cell r="AE134" t="str">
            <v>Viên chức</v>
          </cell>
          <cell r="AF134" t="str">
            <v>V.08.05.12</v>
          </cell>
          <cell r="AG134" t="str">
            <v>Điều dưỡng (hạng III)</v>
          </cell>
          <cell r="AH134">
            <v>3.99</v>
          </cell>
          <cell r="AI134">
            <v>6</v>
          </cell>
          <cell r="AJ134">
            <v>0</v>
          </cell>
          <cell r="AK134">
            <v>45962</v>
          </cell>
          <cell r="AL134" t="str">
            <v>Đại học</v>
          </cell>
          <cell r="AM134" t="str">
            <v>Điều dưỡng ĐH</v>
          </cell>
          <cell r="AO134" t="str">
            <v>Trung học Y tế Lạng Sơn</v>
          </cell>
          <cell r="AP134">
            <v>2005</v>
          </cell>
          <cell r="AQ134" t="str">
            <v>12/12</v>
          </cell>
          <cell r="AR134">
            <v>0</v>
          </cell>
          <cell r="AS134">
            <v>0</v>
          </cell>
          <cell r="AT134">
            <v>0</v>
          </cell>
          <cell r="AU134" t="str">
            <v>Anh C</v>
          </cell>
          <cell r="AV134" t="str">
            <v>Tày</v>
          </cell>
          <cell r="AW134" t="str">
            <v>Cơ bản</v>
          </cell>
          <cell r="AY134" t="str">
            <v>Tày</v>
          </cell>
          <cell r="BA134" t="e">
            <v>#REF!</v>
          </cell>
          <cell r="BB134" t="e">
            <v>#REF!</v>
          </cell>
          <cell r="BC134" t="str">
            <v>24/06/2013</v>
          </cell>
        </row>
        <row r="135">
          <cell r="A135" t="str">
            <v>BV0402</v>
          </cell>
          <cell r="B135">
            <v>129</v>
          </cell>
          <cell r="C135" t="str">
            <v>Hoàng Thị Loan</v>
          </cell>
          <cell r="D135" t="str">
            <v>BV0402</v>
          </cell>
          <cell r="E135">
            <v>2010002407</v>
          </cell>
          <cell r="G135" t="str">
            <v>020186006224 cấp ngày 08/7/2021 tại CTCCSQLHCVTTXH</v>
          </cell>
          <cell r="I135">
            <v>31686</v>
          </cell>
          <cell r="J135">
            <v>39</v>
          </cell>
          <cell r="K135" t="str">
            <v>081001685</v>
          </cell>
          <cell r="L135" t="str">
            <v>23/12/2014</v>
          </cell>
          <cell r="M135" t="str">
            <v>CA tỉnh Lạng Sơn</v>
          </cell>
          <cell r="P135" t="str">
            <v>Huyện Văn Lãng</v>
          </cell>
          <cell r="Q135" t="str">
            <v>Tỉnh Lạng Sơn</v>
          </cell>
          <cell r="S135" t="str">
            <v>Xã Hoàng Văn Thụ</v>
          </cell>
          <cell r="T135" t="str">
            <v>Huyện Văn Lãng</v>
          </cell>
          <cell r="U135" t="str">
            <v>Tỉnh Lạng Sơn</v>
          </cell>
          <cell r="V135" t="str">
            <v>Xã Hoàng Văn Thụ, Huyện Văn Lãng, Tỉnh Lạng Sơn</v>
          </cell>
          <cell r="W135" t="str">
            <v>14/1/2011</v>
          </cell>
          <cell r="AA135">
            <v>0</v>
          </cell>
          <cell r="AB135" t="str">
            <v>TĐ012</v>
          </cell>
          <cell r="AC135" t="str">
            <v>Mắt</v>
          </cell>
          <cell r="AD135" t="str">
            <v>KP023</v>
          </cell>
          <cell r="AE135" t="str">
            <v>Viên chức</v>
          </cell>
          <cell r="AF135" t="str">
            <v>V.08.05.13</v>
          </cell>
          <cell r="AG135" t="str">
            <v>Điều dưỡng (hạng IV)</v>
          </cell>
          <cell r="AH135">
            <v>3.34</v>
          </cell>
          <cell r="AI135">
            <v>5</v>
          </cell>
          <cell r="AJ135">
            <v>0</v>
          </cell>
          <cell r="AK135">
            <v>45474</v>
          </cell>
          <cell r="AL135" t="str">
            <v>Cao đẳng</v>
          </cell>
          <cell r="AM135" t="str">
            <v>Điều dưỡng CĐ</v>
          </cell>
          <cell r="AO135" t="str">
            <v>CĐ Y tế Lạng Sơn</v>
          </cell>
          <cell r="AP135">
            <v>2008</v>
          </cell>
          <cell r="AQ135" t="str">
            <v>12/12</v>
          </cell>
          <cell r="AR135">
            <v>0</v>
          </cell>
          <cell r="AS135">
            <v>0</v>
          </cell>
          <cell r="AT135">
            <v>0</v>
          </cell>
          <cell r="AU135">
            <v>0</v>
          </cell>
          <cell r="AV135">
            <v>0</v>
          </cell>
          <cell r="AW135" t="str">
            <v>Tin A</v>
          </cell>
          <cell r="AY135" t="str">
            <v>Tày</v>
          </cell>
          <cell r="BA135" t="e">
            <v>#REF!</v>
          </cell>
          <cell r="BB135" t="e">
            <v>#REF!</v>
          </cell>
          <cell r="BC135" t="str">
            <v>24/06/2013</v>
          </cell>
        </row>
        <row r="136">
          <cell r="A136" t="str">
            <v>BV0207</v>
          </cell>
          <cell r="B136">
            <v>130</v>
          </cell>
          <cell r="C136" t="str">
            <v>Nhữ Văn Vinh</v>
          </cell>
          <cell r="D136" t="str">
            <v>BV0207</v>
          </cell>
          <cell r="E136">
            <v>1596007536</v>
          </cell>
          <cell r="G136" t="str">
            <v>CCCD: 022068004114 
ngày cấp:29/04/2021
Tại Cục cảnh sát quản lý hành chính về trật tự xã hội</v>
          </cell>
          <cell r="H136">
            <v>24906</v>
          </cell>
          <cell r="J136">
            <v>58</v>
          </cell>
          <cell r="K136" t="str">
            <v>080779402</v>
          </cell>
          <cell r="L136" t="str">
            <v>23/01/2013</v>
          </cell>
          <cell r="M136" t="str">
            <v>CA tỉnh Lạng Sơn</v>
          </cell>
          <cell r="N136" t="str">
            <v>Tỉnh Quảng Ninh</v>
          </cell>
          <cell r="O136" t="str">
            <v>Xã Trung Kênh</v>
          </cell>
          <cell r="P136" t="str">
            <v>Huyện Lương Tài</v>
          </cell>
          <cell r="Q136" t="str">
            <v>Tỉnh Bắc Ninh</v>
          </cell>
          <cell r="R136" t="str">
            <v>Đường Phai vệ</v>
          </cell>
          <cell r="S136" t="str">
            <v>Phường Đông Kinh</v>
          </cell>
          <cell r="T136" t="str">
            <v>Thành phố Lạng Sơn</v>
          </cell>
          <cell r="U136" t="str">
            <v>Tỉnh Lạng Sơn</v>
          </cell>
          <cell r="V136" t="str">
            <v>Phường Đông Kinh, Thành phố Lạng Sơn, Tỉnh Lạng Sơn</v>
          </cell>
          <cell r="W136" t="str">
            <v>22/4/1995</v>
          </cell>
          <cell r="AA136" t="str">
            <v>Trưởng khoa</v>
          </cell>
          <cell r="AB136" t="str">
            <v>TĐ001</v>
          </cell>
          <cell r="AC136" t="str">
            <v>Chấn thương - Bỏng</v>
          </cell>
          <cell r="AD136" t="str">
            <v>KP014</v>
          </cell>
          <cell r="AE136" t="str">
            <v>Viên chức</v>
          </cell>
          <cell r="AF136" t="str">
            <v>V.08.01.02</v>
          </cell>
          <cell r="AG136" t="str">
            <v>Bác sĩ chính (hạng II)</v>
          </cell>
          <cell r="AH136">
            <v>5.76</v>
          </cell>
          <cell r="AI136">
            <v>5</v>
          </cell>
          <cell r="AJ136">
            <v>0</v>
          </cell>
          <cell r="AK136">
            <v>45627</v>
          </cell>
          <cell r="AL136" t="str">
            <v>Đại học</v>
          </cell>
          <cell r="AM136" t="str">
            <v>BSCKII</v>
          </cell>
          <cell r="AN136" t="str">
            <v>Ngoại khoa</v>
          </cell>
          <cell r="AO136" t="str">
            <v>Đại học Y Hà Nội</v>
          </cell>
          <cell r="AQ136" t="str">
            <v>12/12</v>
          </cell>
          <cell r="AR136" t="str">
            <v>Chuyên viên</v>
          </cell>
          <cell r="AS136">
            <v>0</v>
          </cell>
          <cell r="AT136" t="str">
            <v>Sơ cấp</v>
          </cell>
          <cell r="AU136" t="str">
            <v>x</v>
          </cell>
          <cell r="AV136" t="str">
            <v>x</v>
          </cell>
          <cell r="AW136" t="str">
            <v>x</v>
          </cell>
          <cell r="AY136" t="str">
            <v>Tày</v>
          </cell>
          <cell r="AZ136">
            <v>39169</v>
          </cell>
          <cell r="BA136" t="e">
            <v>#REF!</v>
          </cell>
          <cell r="BB136" t="e">
            <v>#REF!</v>
          </cell>
          <cell r="BC136" t="str">
            <v>24/6/2013</v>
          </cell>
        </row>
        <row r="137">
          <cell r="A137" t="str">
            <v>BV0206</v>
          </cell>
          <cell r="B137">
            <v>131</v>
          </cell>
          <cell r="C137" t="str">
            <v>Trần Tuấn Việt</v>
          </cell>
          <cell r="D137" t="str">
            <v>BV0206</v>
          </cell>
          <cell r="E137">
            <v>1505002490</v>
          </cell>
          <cell r="G137" t="str">
            <v>CCCD: 080080007236
ngày cấp: 09/01/2021
Tại Cục cảnh sát quản lý hành chính về trật tự xã hội</v>
          </cell>
          <cell r="H137">
            <v>29403</v>
          </cell>
          <cell r="J137">
            <v>46</v>
          </cell>
          <cell r="K137" t="str">
            <v>080929907</v>
          </cell>
          <cell r="L137" t="str">
            <v>18/01/2013</v>
          </cell>
          <cell r="M137" t="str">
            <v>CA tỉnh Lạng Sơn</v>
          </cell>
          <cell r="N137" t="str">
            <v>Tỉnh Lạng Sơn</v>
          </cell>
          <cell r="O137" t="str">
            <v>Xã Quang Lang</v>
          </cell>
          <cell r="P137" t="str">
            <v>Huyện Chi Lăng</v>
          </cell>
          <cell r="Q137" t="str">
            <v>Tỉnh Lạng Sơn</v>
          </cell>
          <cell r="S137" t="str">
            <v>Xã Mai Pha</v>
          </cell>
          <cell r="T137" t="str">
            <v>Thành phố Lạng Sơn</v>
          </cell>
          <cell r="U137" t="str">
            <v>Tỉnh Lạng Sơn</v>
          </cell>
          <cell r="V137" t="str">
            <v>Xã Mai Pha, Thành phố Lạng Sơn, Tỉnh Lạng Sơn</v>
          </cell>
          <cell r="W137" t="str">
            <v>16/2/2005</v>
          </cell>
          <cell r="AA137" t="str">
            <v>Phó trưởng khoa</v>
          </cell>
          <cell r="AB137" t="str">
            <v>TĐ001</v>
          </cell>
          <cell r="AC137" t="str">
            <v>Chấn thương - Bỏng</v>
          </cell>
          <cell r="AD137" t="str">
            <v>KP014</v>
          </cell>
          <cell r="AE137" t="str">
            <v>Viên chức</v>
          </cell>
          <cell r="AF137" t="str">
            <v>V.08.01.02</v>
          </cell>
          <cell r="AG137" t="str">
            <v>Bác sĩ chính (hạng II)</v>
          </cell>
          <cell r="AH137">
            <v>4.74</v>
          </cell>
          <cell r="AI137">
            <v>2</v>
          </cell>
          <cell r="AJ137">
            <v>0</v>
          </cell>
          <cell r="AK137">
            <v>45809</v>
          </cell>
          <cell r="AL137" t="str">
            <v>Đại học</v>
          </cell>
          <cell r="AM137" t="str">
            <v>BSCKII</v>
          </cell>
          <cell r="AN137" t="str">
            <v>Ngoại khoa</v>
          </cell>
          <cell r="AO137" t="str">
            <v>Học viện Quân Y</v>
          </cell>
          <cell r="AR137">
            <v>0</v>
          </cell>
          <cell r="AS137" t="str">
            <v>x</v>
          </cell>
          <cell r="AT137" t="str">
            <v>Sơ cấp</v>
          </cell>
          <cell r="AU137" t="str">
            <v>x</v>
          </cell>
          <cell r="AV137" t="str">
            <v>x</v>
          </cell>
          <cell r="AW137" t="str">
            <v>x</v>
          </cell>
          <cell r="AY137" t="str">
            <v>Nùng</v>
          </cell>
          <cell r="AZ137">
            <v>40180</v>
          </cell>
          <cell r="BA137" t="e">
            <v>#REF!</v>
          </cell>
          <cell r="BB137" t="e">
            <v>#REF!</v>
          </cell>
        </row>
        <row r="138">
          <cell r="A138" t="str">
            <v>BV0760</v>
          </cell>
          <cell r="B138">
            <v>132</v>
          </cell>
          <cell r="C138" t="str">
            <v>Hồ Hoàn Tuấn</v>
          </cell>
          <cell r="D138" t="str">
            <v>BV0760</v>
          </cell>
          <cell r="E138" t="str">
            <v>1597022507</v>
          </cell>
          <cell r="G138" t="str">
            <v>CCCD: 020071006188
ngày cấp:25/06/2021
Tại Cục cảnh sát quản lý hành chính về trật tự xã hội</v>
          </cell>
          <cell r="H138">
            <v>26096</v>
          </cell>
          <cell r="J138">
            <v>55</v>
          </cell>
          <cell r="K138" t="str">
            <v>081064251</v>
          </cell>
          <cell r="L138" t="str">
            <v>14/02/2008</v>
          </cell>
          <cell r="M138" t="str">
            <v>CA tỉnh Lạng Sơn</v>
          </cell>
          <cell r="N138" t="str">
            <v>Tỉnh Lạng Sơn</v>
          </cell>
          <cell r="O138" t="str">
            <v>Bình Gia</v>
          </cell>
          <cell r="P138" t="str">
            <v>Bình Gia</v>
          </cell>
          <cell r="Q138" t="str">
            <v>Lạng Sơn</v>
          </cell>
          <cell r="S138" t="str">
            <v>Đông Kinh</v>
          </cell>
          <cell r="T138" t="str">
            <v>Lạng Sơn</v>
          </cell>
          <cell r="U138" t="str">
            <v>Lạng Sơn</v>
          </cell>
          <cell r="V138" t="str">
            <v>Đông Kinh, Lạng Sơn, Lạng Sơn</v>
          </cell>
          <cell r="W138" t="str">
            <v>23/12/1996</v>
          </cell>
          <cell r="AA138">
            <v>0</v>
          </cell>
          <cell r="AB138" t="str">
            <v>TĐ004</v>
          </cell>
          <cell r="AC138" t="str">
            <v>Chấn thương - Bỏng</v>
          </cell>
          <cell r="AD138" t="str">
            <v>KP014</v>
          </cell>
          <cell r="AE138" t="str">
            <v>Viên chức</v>
          </cell>
          <cell r="AF138" t="str">
            <v>V.08.01.02</v>
          </cell>
          <cell r="AG138" t="str">
            <v>Bác sĩ chính (hạng II)</v>
          </cell>
          <cell r="AH138">
            <v>5.76</v>
          </cell>
          <cell r="AI138">
            <v>5</v>
          </cell>
          <cell r="AJ138">
            <v>0</v>
          </cell>
          <cell r="AK138">
            <v>45627</v>
          </cell>
          <cell r="AL138" t="str">
            <v>Đại học</v>
          </cell>
          <cell r="AM138" t="str">
            <v>Thạc sỹ</v>
          </cell>
          <cell r="AN138" t="str">
            <v>Ngoại khoa</v>
          </cell>
          <cell r="AO138" t="str">
            <v>Học viện Quân Y</v>
          </cell>
          <cell r="AP138">
            <v>2008</v>
          </cell>
          <cell r="AQ138" t="str">
            <v>12/12</v>
          </cell>
          <cell r="AR138" t="str">
            <v>Chuyên viên</v>
          </cell>
          <cell r="AS138" t="str">
            <v>x</v>
          </cell>
          <cell r="AT138" t="str">
            <v>Sơ cấp</v>
          </cell>
          <cell r="AU138" t="str">
            <v>Anh B</v>
          </cell>
          <cell r="AV138" t="str">
            <v>Tày</v>
          </cell>
          <cell r="AW138" t="str">
            <v>Cơ bản</v>
          </cell>
          <cell r="AY138" t="str">
            <v>Nùng</v>
          </cell>
          <cell r="AZ138">
            <v>39260</v>
          </cell>
          <cell r="BA138" t="e">
            <v>#REF!</v>
          </cell>
          <cell r="BB138" t="e">
            <v>#REF!</v>
          </cell>
        </row>
        <row r="139">
          <cell r="A139" t="str">
            <v>BV0810</v>
          </cell>
          <cell r="B139">
            <v>133</v>
          </cell>
          <cell r="C139" t="str">
            <v>Trịnh Bá Hưởng</v>
          </cell>
          <cell r="D139" t="str">
            <v>BV0810</v>
          </cell>
          <cell r="E139" t="str">
            <v>2020428569</v>
          </cell>
          <cell r="G139" t="str">
            <v>CCCD: 020089001304
ngày cấp: 25/04/2021
Tại Cục cảnh sát quản lý hành chính về trật tự xã hội</v>
          </cell>
          <cell r="H139" t="str">
            <v>11/06/1989</v>
          </cell>
          <cell r="J139">
            <v>37</v>
          </cell>
          <cell r="K139" t="str">
            <v>082084463</v>
          </cell>
          <cell r="L139" t="str">
            <v>11/9/2006</v>
          </cell>
          <cell r="M139" t="str">
            <v>CA tỉnh Lạng Sơn</v>
          </cell>
          <cell r="N139" t="str">
            <v>Đồng Ý, Bắc Sơn, Lạng Sơn</v>
          </cell>
          <cell r="O139" t="str">
            <v>Đồng Ý</v>
          </cell>
          <cell r="P139" t="str">
            <v>Bắc Sơn</v>
          </cell>
          <cell r="Q139" t="str">
            <v>Lạng Sơn</v>
          </cell>
          <cell r="R139" t="str">
            <v>Xã Đồng Ý, huyện Bắc Sơn, tỉnh Lạng Sơn</v>
          </cell>
          <cell r="V139" t="str">
            <v>Xã Đồng Ý, huyện Bắc Sơn, tỉnh Lạng Sơn</v>
          </cell>
          <cell r="W139" t="str">
            <v>20/3/2018</v>
          </cell>
          <cell r="X139" t="str">
            <v>15/11/2017</v>
          </cell>
          <cell r="Y139">
            <v>573</v>
          </cell>
          <cell r="Z139" t="str">
            <v>18/3/2018</v>
          </cell>
          <cell r="AA139">
            <v>0</v>
          </cell>
          <cell r="AB139" t="str">
            <v>TĐ003</v>
          </cell>
          <cell r="AC139" t="str">
            <v>Chấn thương - Bỏng</v>
          </cell>
          <cell r="AD139" t="str">
            <v>KP014</v>
          </cell>
          <cell r="AE139" t="str">
            <v>Viên chức</v>
          </cell>
          <cell r="AF139" t="str">
            <v>V.08.01.03</v>
          </cell>
          <cell r="AG139" t="str">
            <v>Bác sĩ (hạng III)</v>
          </cell>
          <cell r="AH139">
            <v>3</v>
          </cell>
          <cell r="AI139">
            <v>3</v>
          </cell>
          <cell r="AJ139">
            <v>0</v>
          </cell>
          <cell r="AK139">
            <v>45474</v>
          </cell>
          <cell r="AL139" t="str">
            <v>Đại học</v>
          </cell>
          <cell r="AM139" t="str">
            <v>BSCKI</v>
          </cell>
          <cell r="AN139" t="str">
            <v>Đa khoa</v>
          </cell>
          <cell r="AO139" t="str">
            <v>ĐH Y Dược Thái Nguyên</v>
          </cell>
          <cell r="AP139">
            <v>2017</v>
          </cell>
          <cell r="AQ139" t="str">
            <v>12/12</v>
          </cell>
          <cell r="AR139">
            <v>0</v>
          </cell>
          <cell r="AS139">
            <v>0</v>
          </cell>
          <cell r="AT139" t="str">
            <v>Sơ cấp</v>
          </cell>
          <cell r="AU139" t="str">
            <v>Anh B</v>
          </cell>
          <cell r="AV139">
            <v>0</v>
          </cell>
          <cell r="AW139" t="str">
            <v>Tin B</v>
          </cell>
          <cell r="AY139" t="str">
            <v>Kinh</v>
          </cell>
        </row>
        <row r="140">
          <cell r="A140" t="str">
            <v>BV0677</v>
          </cell>
          <cell r="B140">
            <v>134</v>
          </cell>
          <cell r="C140" t="str">
            <v>Hoàng Thị Hòa</v>
          </cell>
          <cell r="D140" t="str">
            <v>BV0677</v>
          </cell>
          <cell r="E140">
            <v>2016000980</v>
          </cell>
          <cell r="G140" t="str">
            <v>CMT: 0919990596
ngày cấp: 30/12/2019
CA. Lạng Sơn</v>
          </cell>
          <cell r="I140" t="str">
            <v>22/01/1989</v>
          </cell>
          <cell r="J140">
            <v>37</v>
          </cell>
          <cell r="K140" t="str">
            <v>082107194</v>
          </cell>
          <cell r="L140" t="str">
            <v>12/01/2007</v>
          </cell>
          <cell r="M140" t="str">
            <v>CA tỉnh Lạng Sơn</v>
          </cell>
          <cell r="N140" t="str">
            <v>Tỉnh Lạng Sơn</v>
          </cell>
          <cell r="O140" t="str">
            <v>Xã Hưng Vũ</v>
          </cell>
          <cell r="P140" t="str">
            <v>Huyện Bắc Sơn</v>
          </cell>
          <cell r="Q140" t="str">
            <v>Tỉnh Lạng Sơn</v>
          </cell>
          <cell r="S140" t="str">
            <v>Phường Tam Thanh</v>
          </cell>
          <cell r="T140" t="str">
            <v>Thành phố Lạng Sơn</v>
          </cell>
          <cell r="U140" t="str">
            <v>Lạng Sơn</v>
          </cell>
          <cell r="V140" t="str">
            <v>Phường Tam Thanh, Thành phố Lạng Sơn, Lạng Sơn</v>
          </cell>
          <cell r="W140" t="str">
            <v>10/01/2016</v>
          </cell>
          <cell r="AA140">
            <v>0</v>
          </cell>
          <cell r="AB140" t="str">
            <v>TĐ003</v>
          </cell>
          <cell r="AC140" t="str">
            <v>Chấn thương - Bỏng</v>
          </cell>
          <cell r="AD140" t="str">
            <v>KP014</v>
          </cell>
          <cell r="AE140" t="str">
            <v>Viên chức</v>
          </cell>
          <cell r="AF140" t="str">
            <v>V.08.01.03</v>
          </cell>
          <cell r="AG140" t="str">
            <v>Bác sĩ (hạng III)</v>
          </cell>
          <cell r="AH140">
            <v>3.33</v>
          </cell>
          <cell r="AI140">
            <v>4</v>
          </cell>
          <cell r="AJ140">
            <v>0</v>
          </cell>
          <cell r="AK140">
            <v>45768</v>
          </cell>
          <cell r="AL140" t="str">
            <v>Đại học</v>
          </cell>
          <cell r="AM140" t="str">
            <v>BSCKI</v>
          </cell>
          <cell r="AN140" t="str">
            <v>Phẫu thuật tạo hình tái tạo và thẩm mỹ</v>
          </cell>
          <cell r="AO140" t="str">
            <v>ĐH Y DƯỢC - ĐH THÁI NGUYÊN</v>
          </cell>
          <cell r="AP140">
            <v>2015</v>
          </cell>
          <cell r="AQ140" t="str">
            <v>12/12</v>
          </cell>
          <cell r="AR140">
            <v>0</v>
          </cell>
          <cell r="AS140">
            <v>0</v>
          </cell>
          <cell r="AT140" t="str">
            <v>Sơ cấp</v>
          </cell>
          <cell r="AU140" t="str">
            <v>Anh B</v>
          </cell>
          <cell r="AV140">
            <v>0</v>
          </cell>
          <cell r="AW140" t="str">
            <v>Cơ bản</v>
          </cell>
          <cell r="AY140" t="str">
            <v>Tày</v>
          </cell>
          <cell r="BA140" t="e">
            <v>#REF!</v>
          </cell>
          <cell r="BB140" t="e">
            <v>#REF!</v>
          </cell>
        </row>
        <row r="141">
          <cell r="A141" t="str">
            <v>BV0212</v>
          </cell>
          <cell r="B141">
            <v>135</v>
          </cell>
          <cell r="C141" t="str">
            <v>Nguyễn Thị Liễu</v>
          </cell>
          <cell r="D141" t="str">
            <v>BV0212</v>
          </cell>
          <cell r="E141">
            <v>1500002056</v>
          </cell>
          <cell r="G141" t="str">
            <v>CCCD: 027174003321. 
Ngày cấp 20/4/2021.
Tại Cục cảnh sát quản lý hành chính về trật tự xã hội</v>
          </cell>
          <cell r="I141">
            <v>27373</v>
          </cell>
          <cell r="J141">
            <v>51</v>
          </cell>
          <cell r="K141" t="str">
            <v>081040999</v>
          </cell>
          <cell r="L141" t="str">
            <v>05/5/2010</v>
          </cell>
          <cell r="M141" t="str">
            <v>CA tỉnh Lạng Sơn</v>
          </cell>
          <cell r="N141" t="str">
            <v>Tỉnh Bắc Ninh</v>
          </cell>
          <cell r="O141" t="str">
            <v>Xã Đại Lai</v>
          </cell>
          <cell r="P141" t="str">
            <v>Huyện Gia Lương</v>
          </cell>
          <cell r="Q141" t="str">
            <v>Tỉnh Bắc Ninh</v>
          </cell>
          <cell r="S141" t="str">
            <v>Phường Hoàng Văn Thụ</v>
          </cell>
          <cell r="T141" t="str">
            <v>Thành phố Lạng Sơn</v>
          </cell>
          <cell r="U141" t="str">
            <v>Tỉnh Lạng Sơn</v>
          </cell>
          <cell r="V141" t="str">
            <v>Phường Hoàng Văn Thụ, Thành phố Lạng Sơn, Tỉnh Lạng Sơn</v>
          </cell>
          <cell r="W141" t="str">
            <v>19/4/1997</v>
          </cell>
          <cell r="AA141" t="str">
            <v>Trưởng phòng</v>
          </cell>
          <cell r="AB141" t="e">
            <v>#N/A</v>
          </cell>
          <cell r="AC141" t="str">
            <v>Điều dưỡng</v>
          </cell>
          <cell r="AD141" t="str">
            <v>KP037</v>
          </cell>
          <cell r="AE141" t="str">
            <v>Viên chức</v>
          </cell>
          <cell r="AF141" t="str">
            <v>V.08.05.12</v>
          </cell>
          <cell r="AG141" t="str">
            <v>Điều dưỡng (hạng III)</v>
          </cell>
          <cell r="AH141">
            <v>4.9800000000000004</v>
          </cell>
          <cell r="AI141">
            <v>9</v>
          </cell>
          <cell r="AJ141">
            <v>0</v>
          </cell>
          <cell r="AK141">
            <v>45658</v>
          </cell>
          <cell r="AL141" t="str">
            <v>Đại học</v>
          </cell>
          <cell r="AM141" t="str">
            <v>ĐDCKI</v>
          </cell>
          <cell r="AN141" t="str">
            <v>Điều dưỡng</v>
          </cell>
          <cell r="AO141" t="str">
            <v>ĐH điều dưỡng Nam Định</v>
          </cell>
          <cell r="AP141" t="str">
            <v>2005</v>
          </cell>
          <cell r="AQ141" t="str">
            <v>12/12</v>
          </cell>
          <cell r="AR141" t="str">
            <v>Chuyên viên</v>
          </cell>
          <cell r="AS141" t="str">
            <v>x</v>
          </cell>
          <cell r="AT141" t="str">
            <v>Trung cấp</v>
          </cell>
          <cell r="AU141" t="str">
            <v>Anh B</v>
          </cell>
          <cell r="AV141" t="str">
            <v>Tày</v>
          </cell>
          <cell r="AW141" t="str">
            <v>Cơ bản</v>
          </cell>
          <cell r="AY141" t="str">
            <v>Kinh</v>
          </cell>
          <cell r="AZ141">
            <v>37435</v>
          </cell>
          <cell r="BA141" t="e">
            <v>#REF!</v>
          </cell>
          <cell r="BB141" t="e">
            <v>#REF!</v>
          </cell>
        </row>
        <row r="142">
          <cell r="A142" t="str">
            <v>BV0026</v>
          </cell>
          <cell r="B142">
            <v>136</v>
          </cell>
          <cell r="C142" t="str">
            <v>Hoàng Huy Thắng</v>
          </cell>
          <cell r="D142" t="str">
            <v>BV0026</v>
          </cell>
          <cell r="E142">
            <v>2010000134</v>
          </cell>
          <cell r="G142" t="str">
            <v>CCCD: 020086007096
 ngày cấp: 25/6/2021
Tại Cục cảnh sát quản lý hành chính về trật tự xã hội</v>
          </cell>
          <cell r="H142">
            <v>31476</v>
          </cell>
          <cell r="J142">
            <v>40</v>
          </cell>
          <cell r="K142" t="str">
            <v>081069768</v>
          </cell>
          <cell r="L142" t="str">
            <v>28/10/2001</v>
          </cell>
          <cell r="M142" t="str">
            <v>CA tỉnh Lạng Sơn</v>
          </cell>
          <cell r="N142" t="str">
            <v>Tỉnh Lạng Sơn</v>
          </cell>
          <cell r="O142" t="str">
            <v>Xã Đồng Ý</v>
          </cell>
          <cell r="P142" t="str">
            <v>Huyện Bắc Sơn</v>
          </cell>
          <cell r="Q142" t="str">
            <v>Tỉnh Lạng Sơn</v>
          </cell>
          <cell r="R142" t="str">
            <v>Ngõ 5 Đường Phai Vêẹ</v>
          </cell>
          <cell r="S142" t="str">
            <v>Phường Đông Kinh</v>
          </cell>
          <cell r="T142" t="str">
            <v>Thành phố Lạng Sơn</v>
          </cell>
          <cell r="U142" t="str">
            <v>Tỉnh Lạng Sơn</v>
          </cell>
          <cell r="V142" t="str">
            <v>Phường Đông Kinh, Thành phố Lạng Sơn, Tỉnh Lạng Sơn</v>
          </cell>
          <cell r="W142" t="str">
            <v>15/1/2010</v>
          </cell>
          <cell r="AA142">
            <v>0</v>
          </cell>
          <cell r="AB142" t="str">
            <v>TĐ012</v>
          </cell>
          <cell r="AC142" t="str">
            <v>Chấn thương - Bỏng</v>
          </cell>
          <cell r="AD142" t="str">
            <v>KP014</v>
          </cell>
          <cell r="AE142" t="str">
            <v>Viên chức</v>
          </cell>
          <cell r="AF142" t="str">
            <v>V.08.05.13</v>
          </cell>
          <cell r="AG142" t="str">
            <v>Điều dưỡng (hạng IV)</v>
          </cell>
          <cell r="AH142">
            <v>3.34</v>
          </cell>
          <cell r="AI142">
            <v>5</v>
          </cell>
          <cell r="AJ142">
            <v>0</v>
          </cell>
          <cell r="AK142">
            <v>44927</v>
          </cell>
          <cell r="AL142" t="str">
            <v>Cao đẳng</v>
          </cell>
          <cell r="AM142" t="str">
            <v>Điều dưỡng CĐ</v>
          </cell>
          <cell r="AO142" t="str">
            <v>CĐ Y tế Lạng Sơn</v>
          </cell>
          <cell r="AP142">
            <v>2007</v>
          </cell>
          <cell r="AQ142" t="str">
            <v>12/12</v>
          </cell>
          <cell r="AR142">
            <v>0</v>
          </cell>
          <cell r="AS142">
            <v>0</v>
          </cell>
          <cell r="AT142" t="str">
            <v>Sơ cấp</v>
          </cell>
          <cell r="AU142" t="str">
            <v>Anh B</v>
          </cell>
          <cell r="AV142">
            <v>0</v>
          </cell>
          <cell r="AW142" t="str">
            <v>Tin B</v>
          </cell>
          <cell r="AY142" t="str">
            <v>Tày</v>
          </cell>
          <cell r="BA142" t="e">
            <v>#REF!</v>
          </cell>
          <cell r="BB142" t="e">
            <v>#REF!</v>
          </cell>
          <cell r="BC142" t="str">
            <v>09/5/2012</v>
          </cell>
        </row>
        <row r="143">
          <cell r="A143" t="str">
            <v>BV0223</v>
          </cell>
          <cell r="B143">
            <v>137</v>
          </cell>
          <cell r="C143" t="str">
            <v>Nguyễn Thị Phương</v>
          </cell>
          <cell r="D143" t="str">
            <v>BV0223</v>
          </cell>
          <cell r="E143">
            <v>2009000936</v>
          </cell>
          <cell r="G143" t="str">
            <v>20186009733 cấp ngày 24/6/2021, nơi cấp: Cục cảnh sát quản lý hành chính và trật tự xã hội</v>
          </cell>
          <cell r="I143">
            <v>31606</v>
          </cell>
          <cell r="J143">
            <v>39</v>
          </cell>
          <cell r="K143" t="str">
            <v>081031298</v>
          </cell>
          <cell r="L143" t="str">
            <v>25/6/2009</v>
          </cell>
          <cell r="M143" t="str">
            <v>CA tỉnh Lạng Sơn</v>
          </cell>
          <cell r="N143" t="str">
            <v>Tỉnh Lạng Sơn</v>
          </cell>
          <cell r="O143" t="str">
            <v>Xã Vũ Lễ</v>
          </cell>
          <cell r="P143" t="str">
            <v>Huyện Bắc Sơn</v>
          </cell>
          <cell r="Q143" t="str">
            <v>Tỉnh Lạng Sơn</v>
          </cell>
          <cell r="S143" t="str">
            <v>Xã Vũ Lễ</v>
          </cell>
          <cell r="T143" t="str">
            <v>Huyện Bắc Sơn</v>
          </cell>
          <cell r="U143" t="str">
            <v>Tỉnh Lạng Sơn</v>
          </cell>
          <cell r="V143" t="str">
            <v>Xã Vũ Lễ, Huyện Bắc Sơn, Tỉnh Lạng Sơn</v>
          </cell>
          <cell r="W143" t="str">
            <v>1/12/2008</v>
          </cell>
          <cell r="AA143" t="str">
            <v>Điều dưỡng trưởng</v>
          </cell>
          <cell r="AB143" t="str">
            <v>TĐ011</v>
          </cell>
          <cell r="AC143" t="str">
            <v>Nội Thận-TN-LM</v>
          </cell>
          <cell r="AD143" t="str">
            <v>KP009</v>
          </cell>
          <cell r="AE143" t="str">
            <v>Viên chức</v>
          </cell>
          <cell r="AF143" t="str">
            <v>V.08.05.13</v>
          </cell>
          <cell r="AG143" t="str">
            <v>Điều dưỡng (hạng III)</v>
          </cell>
          <cell r="AH143">
            <v>3.66</v>
          </cell>
          <cell r="AI143">
            <v>5</v>
          </cell>
          <cell r="AJ143">
            <v>0</v>
          </cell>
          <cell r="AK143">
            <v>45627</v>
          </cell>
          <cell r="AL143" t="str">
            <v>Cao đẳng</v>
          </cell>
          <cell r="AM143" t="str">
            <v>Điều dưỡng ĐH</v>
          </cell>
          <cell r="AO143" t="str">
            <v>CĐ Y tế Lạng Sơn</v>
          </cell>
          <cell r="AP143">
            <v>2007</v>
          </cell>
          <cell r="AQ143" t="str">
            <v>12/12</v>
          </cell>
          <cell r="AR143">
            <v>0</v>
          </cell>
          <cell r="AS143">
            <v>0</v>
          </cell>
          <cell r="AT143" t="str">
            <v>Sơ cấp</v>
          </cell>
          <cell r="AU143" t="str">
            <v>Anh B1; dân tộc</v>
          </cell>
          <cell r="AV143">
            <v>0</v>
          </cell>
          <cell r="AW143" t="str">
            <v>Cơ bản</v>
          </cell>
          <cell r="AY143" t="str">
            <v>Nùng</v>
          </cell>
          <cell r="BA143" t="e">
            <v>#REF!</v>
          </cell>
          <cell r="BB143" t="e">
            <v>#REF!</v>
          </cell>
          <cell r="BC143" t="str">
            <v>28/6/2012</v>
          </cell>
        </row>
        <row r="144">
          <cell r="A144" t="str">
            <v>BV0224</v>
          </cell>
          <cell r="B144">
            <v>138</v>
          </cell>
          <cell r="C144" t="str">
            <v>Lê Trọng Huấn</v>
          </cell>
          <cell r="D144" t="str">
            <v>BV0224</v>
          </cell>
          <cell r="E144">
            <v>2010000160</v>
          </cell>
          <cell r="G144" t="str">
            <v>CCCD: 020087004744
ngày cấp: 25/6/2021
Tại Cục cảnh sát quản lý hành chính về trật tự xã hội</v>
          </cell>
          <cell r="H144">
            <v>31995</v>
          </cell>
          <cell r="J144">
            <v>38</v>
          </cell>
          <cell r="K144" t="str">
            <v>081010534</v>
          </cell>
          <cell r="L144" t="str">
            <v>28/8/2009</v>
          </cell>
          <cell r="M144" t="str">
            <v>CA tỉnh Lạng Sơn</v>
          </cell>
          <cell r="N144" t="str">
            <v>Tỉnh Lạng Sơn</v>
          </cell>
          <cell r="O144" t="str">
            <v>Đức Thắng</v>
          </cell>
          <cell r="P144" t="str">
            <v>Huyện Tiên Lữ</v>
          </cell>
          <cell r="Q144" t="str">
            <v>Tỉnh Hưng Yên</v>
          </cell>
          <cell r="S144" t="str">
            <v>Xã Minh Tiến</v>
          </cell>
          <cell r="T144" t="str">
            <v>Huyện Hữu Lũng</v>
          </cell>
          <cell r="U144" t="str">
            <v>Tỉnh Lạng Sơn</v>
          </cell>
          <cell r="V144" t="str">
            <v>Xã Minh Tiến, Huyện Hữu Lũng, Tỉnh Lạng Sơn</v>
          </cell>
          <cell r="W144" t="str">
            <v>15/1/2010</v>
          </cell>
          <cell r="AA144">
            <v>0</v>
          </cell>
          <cell r="AB144" t="str">
            <v>TĐ011</v>
          </cell>
          <cell r="AC144" t="str">
            <v>Chấn thương - Bỏng</v>
          </cell>
          <cell r="AD144" t="str">
            <v>KP014</v>
          </cell>
          <cell r="AE144" t="str">
            <v>Viên chức</v>
          </cell>
          <cell r="AF144" t="str">
            <v>V.08.05.13</v>
          </cell>
          <cell r="AG144" t="str">
            <v>Điều dưỡng (hạng III)</v>
          </cell>
          <cell r="AH144">
            <v>3.66</v>
          </cell>
          <cell r="AI144">
            <v>5</v>
          </cell>
          <cell r="AJ144">
            <v>0</v>
          </cell>
          <cell r="AK144">
            <v>45778</v>
          </cell>
          <cell r="AL144" t="str">
            <v>Cao đẳng</v>
          </cell>
          <cell r="AM144" t="str">
            <v>Điều dưỡng ĐH</v>
          </cell>
          <cell r="AO144" t="str">
            <v>ĐH Thái Nguyên</v>
          </cell>
          <cell r="AP144">
            <v>2008</v>
          </cell>
          <cell r="AQ144" t="str">
            <v>12/12</v>
          </cell>
          <cell r="AR144">
            <v>0</v>
          </cell>
          <cell r="AS144">
            <v>0</v>
          </cell>
          <cell r="AT144" t="str">
            <v>Sơ cấp</v>
          </cell>
          <cell r="AU144" t="str">
            <v>Anh B</v>
          </cell>
          <cell r="AV144">
            <v>0</v>
          </cell>
          <cell r="AW144" t="str">
            <v>Cơ bản</v>
          </cell>
          <cell r="AY144" t="str">
            <v>Nùng</v>
          </cell>
          <cell r="BA144" t="e">
            <v>#REF!</v>
          </cell>
          <cell r="BB144" t="e">
            <v>#REF!</v>
          </cell>
          <cell r="BC144" t="str">
            <v>09/5/2012</v>
          </cell>
        </row>
        <row r="145">
          <cell r="A145" t="str">
            <v>BV0228</v>
          </cell>
          <cell r="B145">
            <v>139</v>
          </cell>
          <cell r="C145" t="str">
            <v>Đàm Thị Na</v>
          </cell>
          <cell r="D145" t="str">
            <v>BV0228</v>
          </cell>
          <cell r="E145">
            <v>2009000169</v>
          </cell>
          <cell r="G145" t="str">
            <v>CCCD: 020186002959
ngày cấp: 29/4/2021
Tại Cục cảnh sát quản lý hành chính về trật tự xã hội</v>
          </cell>
          <cell r="I145">
            <v>31583</v>
          </cell>
          <cell r="J145">
            <v>40</v>
          </cell>
          <cell r="K145" t="str">
            <v>081001453</v>
          </cell>
          <cell r="L145" t="str">
            <v>20/02/2003</v>
          </cell>
          <cell r="M145" t="str">
            <v>CA tỉnh Lạng Sơn</v>
          </cell>
          <cell r="N145" t="str">
            <v>Tỉnh Lạng Sơn</v>
          </cell>
          <cell r="O145" t="str">
            <v>Xã Hoàng Việt</v>
          </cell>
          <cell r="P145" t="str">
            <v>Huyện Văn Lãng</v>
          </cell>
          <cell r="Q145" t="str">
            <v>Tỉnh Lạng Sơn</v>
          </cell>
          <cell r="S145" t="str">
            <v>Phường Chi Lăng</v>
          </cell>
          <cell r="T145" t="str">
            <v>Thành phố Lạng Sơn</v>
          </cell>
          <cell r="U145" t="str">
            <v>Tỉnh Lạng Sơn</v>
          </cell>
          <cell r="V145" t="str">
            <v>Phường Chi Lăng, Thành phố Lạng Sơn, Tỉnh Lạng Sơn</v>
          </cell>
          <cell r="W145" t="str">
            <v>1/12/2008</v>
          </cell>
          <cell r="AA145">
            <v>0</v>
          </cell>
          <cell r="AB145" t="str">
            <v>TĐ012</v>
          </cell>
          <cell r="AC145" t="str">
            <v>Chấn thương - Bỏng</v>
          </cell>
          <cell r="AD145" t="str">
            <v>KP014</v>
          </cell>
          <cell r="AE145" t="str">
            <v>Viên chức</v>
          </cell>
          <cell r="AF145" t="str">
            <v>V.08.05.13</v>
          </cell>
          <cell r="AG145" t="str">
            <v>Điều dưỡng (hạng IV)</v>
          </cell>
          <cell r="AH145">
            <v>3.65</v>
          </cell>
          <cell r="AI145">
            <v>6</v>
          </cell>
          <cell r="AJ145">
            <v>0</v>
          </cell>
          <cell r="AK145">
            <v>45809</v>
          </cell>
          <cell r="AL145" t="str">
            <v>Cao đẳng</v>
          </cell>
          <cell r="AM145" t="str">
            <v>Điều dưỡng CĐ</v>
          </cell>
          <cell r="AO145" t="str">
            <v>CĐ Y tế Lạng Sơn</v>
          </cell>
          <cell r="AP145">
            <v>2007</v>
          </cell>
          <cell r="AQ145" t="str">
            <v>12/12</v>
          </cell>
          <cell r="AR145">
            <v>0</v>
          </cell>
          <cell r="AS145">
            <v>0</v>
          </cell>
          <cell r="AT145">
            <v>0</v>
          </cell>
          <cell r="AU145" t="str">
            <v>x</v>
          </cell>
          <cell r="AV145">
            <v>0</v>
          </cell>
          <cell r="AW145" t="str">
            <v>x</v>
          </cell>
          <cell r="AY145" t="str">
            <v>Tày</v>
          </cell>
          <cell r="BA145" t="e">
            <v>#REF!</v>
          </cell>
          <cell r="BB145" t="e">
            <v>#REF!</v>
          </cell>
          <cell r="BC145" t="str">
            <v>14/4/2016</v>
          </cell>
        </row>
        <row r="146">
          <cell r="A146" t="str">
            <v>BV0229</v>
          </cell>
          <cell r="B146">
            <v>140</v>
          </cell>
          <cell r="C146" t="str">
            <v>Chu Thị Huệ</v>
          </cell>
          <cell r="D146" t="str">
            <v>BV0229</v>
          </cell>
          <cell r="E146">
            <v>2011000013</v>
          </cell>
          <cell r="G146" t="str">
            <v>CCCD: 020187012007
ngày cấp: 05/07/2021
Tại Cục cảnh sát quản lý hành chính về trật tự xã hội</v>
          </cell>
          <cell r="I146">
            <v>31825</v>
          </cell>
          <cell r="J146">
            <v>39</v>
          </cell>
          <cell r="K146" t="str">
            <v>081030320</v>
          </cell>
          <cell r="L146" t="str">
            <v>27/6/2003</v>
          </cell>
          <cell r="M146" t="str">
            <v>CA tỉnh Lạng Sơn</v>
          </cell>
          <cell r="N146" t="str">
            <v>Tỉnh Lạng Sơn</v>
          </cell>
          <cell r="O146" t="str">
            <v>Xã Quốc Việt</v>
          </cell>
          <cell r="P146" t="str">
            <v>Huyện Tràng Định</v>
          </cell>
          <cell r="Q146" t="str">
            <v>Tỉnh Lạng Sơn</v>
          </cell>
          <cell r="S146" t="str">
            <v>Xã Quốc Việt</v>
          </cell>
          <cell r="T146" t="str">
            <v>Huyện Tràng Định</v>
          </cell>
          <cell r="U146" t="str">
            <v>Tỉnh Lạng Sơn</v>
          </cell>
          <cell r="V146" t="str">
            <v>Xã Quốc Việt, Huyện Tràng Định, Tỉnh Lạng Sơn</v>
          </cell>
          <cell r="W146" t="str">
            <v>1/12/2010</v>
          </cell>
          <cell r="AA146">
            <v>0</v>
          </cell>
          <cell r="AB146" t="str">
            <v>TĐ012</v>
          </cell>
          <cell r="AC146" t="str">
            <v>Chấn thương - Bỏng</v>
          </cell>
          <cell r="AD146" t="str">
            <v>KP014</v>
          </cell>
          <cell r="AE146" t="str">
            <v>Viên chức</v>
          </cell>
          <cell r="AF146" t="str">
            <v>V.08.05.13</v>
          </cell>
          <cell r="AG146" t="str">
            <v>Điều dưỡng (hạng IV)</v>
          </cell>
          <cell r="AH146">
            <v>3.34</v>
          </cell>
          <cell r="AI146">
            <v>5</v>
          </cell>
          <cell r="AJ146">
            <v>0</v>
          </cell>
          <cell r="AK146">
            <v>44927</v>
          </cell>
          <cell r="AL146" t="str">
            <v>Cao đẳng</v>
          </cell>
          <cell r="AM146" t="str">
            <v>Điều dưỡng CĐ</v>
          </cell>
          <cell r="AO146" t="str">
            <v>CĐ Y tế Lạng Sơn</v>
          </cell>
          <cell r="AP146">
            <v>2008</v>
          </cell>
          <cell r="AQ146" t="str">
            <v>12/12</v>
          </cell>
          <cell r="AR146">
            <v>0</v>
          </cell>
          <cell r="AS146">
            <v>0</v>
          </cell>
          <cell r="AT146">
            <v>0</v>
          </cell>
          <cell r="AU146" t="str">
            <v>Anh B</v>
          </cell>
          <cell r="AV146" t="str">
            <v>Tày</v>
          </cell>
          <cell r="AW146" t="str">
            <v>Cơ bản</v>
          </cell>
          <cell r="AY146" t="str">
            <v>Tày</v>
          </cell>
          <cell r="BA146" t="e">
            <v>#REF!</v>
          </cell>
          <cell r="BB146" t="e">
            <v>#REF!</v>
          </cell>
          <cell r="BC146" t="str">
            <v>24/6/2013</v>
          </cell>
        </row>
        <row r="147">
          <cell r="A147" t="str">
            <v>BV0840</v>
          </cell>
          <cell r="B147">
            <v>141</v>
          </cell>
          <cell r="C147" t="str">
            <v>Lộc Huy Hiệp</v>
          </cell>
          <cell r="D147" t="str">
            <v>BV0840</v>
          </cell>
          <cell r="E147" t="str">
            <v>2020723794</v>
          </cell>
          <cell r="G147" t="str">
            <v>CCCD: 020092012322
ngày cấp: 26/08/2021
Tại Cục cảnh sát quản lý hành chính về trật tự xã hội</v>
          </cell>
          <cell r="H147" t="str">
            <v>02/07/1992</v>
          </cell>
          <cell r="J147">
            <v>34</v>
          </cell>
          <cell r="K147" t="str">
            <v>082214176</v>
          </cell>
          <cell r="L147" t="str">
            <v>27/7/2009</v>
          </cell>
          <cell r="M147" t="str">
            <v>CA tỉnh Lạng Sơn</v>
          </cell>
          <cell r="N147" t="str">
            <v>Tỉnh Lạng Sơn</v>
          </cell>
          <cell r="O147" t="str">
            <v>Thị trấn Lộc Bình</v>
          </cell>
          <cell r="P147" t="str">
            <v>Lộc Bình</v>
          </cell>
          <cell r="Q147" t="str">
            <v>Lạng Sơn</v>
          </cell>
          <cell r="R147" t="str">
            <v>Khu Bản Kho</v>
          </cell>
          <cell r="S147" t="str">
            <v>Thị trấn Lộc Bình</v>
          </cell>
          <cell r="T147" t="str">
            <v>Huyện Lộc Bình</v>
          </cell>
          <cell r="U147" t="str">
            <v>Tỉnh Lạng Sơn</v>
          </cell>
          <cell r="V147" t="str">
            <v>Khu Bản Kho, Thị trấn Lộc Bình, huyện Lộc Bình, tỉnh Lạng Sơn</v>
          </cell>
          <cell r="W147" t="str">
            <v>20/3/2018</v>
          </cell>
          <cell r="Y147">
            <v>571</v>
          </cell>
          <cell r="Z147" t="str">
            <v>18/3/2018</v>
          </cell>
          <cell r="AA147">
            <v>0</v>
          </cell>
          <cell r="AB147" t="str">
            <v>TĐ005</v>
          </cell>
          <cell r="AC147" t="str">
            <v>Chấn thương - Bỏng</v>
          </cell>
          <cell r="AD147" t="str">
            <v>KP014</v>
          </cell>
          <cell r="AE147" t="str">
            <v>Viên chức</v>
          </cell>
          <cell r="AF147" t="str">
            <v>V.08.01.03</v>
          </cell>
          <cell r="AG147" t="str">
            <v>Bác sĩ (hạng III)</v>
          </cell>
          <cell r="AH147">
            <v>3</v>
          </cell>
          <cell r="AI147">
            <v>3</v>
          </cell>
          <cell r="AJ147">
            <v>0</v>
          </cell>
          <cell r="AK147">
            <v>45658</v>
          </cell>
          <cell r="AL147" t="str">
            <v>Đại học</v>
          </cell>
          <cell r="AM147" t="str">
            <v>Bác sĩ</v>
          </cell>
          <cell r="AN147" t="str">
            <v>Gây mê hồi sức</v>
          </cell>
          <cell r="AO147" t="str">
            <v>Đại học Y Dược Thái Bình</v>
          </cell>
          <cell r="AP147">
            <v>2017</v>
          </cell>
          <cell r="AQ147" t="str">
            <v>12/12</v>
          </cell>
          <cell r="AR147">
            <v>0</v>
          </cell>
          <cell r="AS147">
            <v>0</v>
          </cell>
          <cell r="AT147">
            <v>0</v>
          </cell>
          <cell r="AU147">
            <v>0</v>
          </cell>
          <cell r="AV147">
            <v>0</v>
          </cell>
          <cell r="AW147">
            <v>0</v>
          </cell>
          <cell r="AY147" t="str">
            <v>Tày</v>
          </cell>
          <cell r="BC147" t="str">
            <v>24/6/2013</v>
          </cell>
        </row>
        <row r="148">
          <cell r="A148" t="str">
            <v>BV0757</v>
          </cell>
          <cell r="B148">
            <v>142</v>
          </cell>
          <cell r="C148" t="str">
            <v>Phạm Minh Hoàng</v>
          </cell>
          <cell r="D148" t="str">
            <v>BV0757</v>
          </cell>
          <cell r="E148" t="str">
            <v>2020895439</v>
          </cell>
          <cell r="G148" t="str">
            <v>020090007183, ngày cấp 09/01/2022, CA tỉnh Lạng Sơn</v>
          </cell>
          <cell r="H148">
            <v>32991</v>
          </cell>
          <cell r="J148">
            <v>36</v>
          </cell>
          <cell r="K148" t="str">
            <v>082153649</v>
          </cell>
          <cell r="L148" t="str">
            <v>03/03/2008</v>
          </cell>
          <cell r="M148" t="str">
            <v>CA tỉnh Lạng Sơn</v>
          </cell>
          <cell r="N148" t="str">
            <v>Tỉnh Lạng Sơn</v>
          </cell>
          <cell r="O148" t="str">
            <v>Kim Chân</v>
          </cell>
          <cell r="P148" t="str">
            <v>Quế Võ</v>
          </cell>
          <cell r="Q148" t="str">
            <v>Bắc Ninh</v>
          </cell>
          <cell r="R148" t="str">
            <v>Khối 10</v>
          </cell>
          <cell r="S148" t="str">
            <v>Phường Tam Thanh</v>
          </cell>
          <cell r="T148" t="str">
            <v>Thành phố Lạng Sơn</v>
          </cell>
          <cell r="U148" t="str">
            <v>Lạng Sơn</v>
          </cell>
          <cell r="V148" t="str">
            <v>Phường Tam Thanh, Thành phố Lạng Sơn, Lạng Sơn</v>
          </cell>
          <cell r="W148" t="str">
            <v>10/2/2017</v>
          </cell>
          <cell r="AA148">
            <v>0</v>
          </cell>
          <cell r="AB148" t="str">
            <v>TĐ003</v>
          </cell>
          <cell r="AC148" t="str">
            <v>Chấn thương - Bỏng</v>
          </cell>
          <cell r="AD148" t="str">
            <v>KP014</v>
          </cell>
          <cell r="AE148" t="str">
            <v>Viên chức</v>
          </cell>
          <cell r="AF148" t="str">
            <v>V.08.01.03</v>
          </cell>
          <cell r="AG148" t="str">
            <v>Bác sĩ (hạng III)</v>
          </cell>
          <cell r="AH148">
            <v>3</v>
          </cell>
          <cell r="AI148">
            <v>3</v>
          </cell>
          <cell r="AJ148">
            <v>0</v>
          </cell>
          <cell r="AK148">
            <v>45246</v>
          </cell>
          <cell r="AL148" t="str">
            <v>Đại học</v>
          </cell>
          <cell r="AM148" t="str">
            <v>BSCKI</v>
          </cell>
          <cell r="AN148" t="str">
            <v>Đa khoa</v>
          </cell>
          <cell r="AO148" t="str">
            <v>ĐH Y DƯỢC - ĐH THÁI NGUYÊN</v>
          </cell>
          <cell r="AP148">
            <v>2016</v>
          </cell>
          <cell r="AQ148" t="str">
            <v>12/12</v>
          </cell>
          <cell r="AR148">
            <v>0</v>
          </cell>
          <cell r="AS148">
            <v>0</v>
          </cell>
          <cell r="AT148" t="str">
            <v>Sơ cấp</v>
          </cell>
          <cell r="AU148" t="str">
            <v>Anh B</v>
          </cell>
          <cell r="AV148">
            <v>0</v>
          </cell>
          <cell r="AW148" t="str">
            <v>Tin B</v>
          </cell>
          <cell r="AY148" t="str">
            <v>Kinh</v>
          </cell>
          <cell r="BA148" t="e">
            <v>#REF!</v>
          </cell>
          <cell r="BB148" t="e">
            <v>#REF!</v>
          </cell>
        </row>
        <row r="149">
          <cell r="A149" t="str">
            <v>BV0658</v>
          </cell>
          <cell r="B149">
            <v>143</v>
          </cell>
          <cell r="C149" t="str">
            <v>Vi Hồng Đức</v>
          </cell>
          <cell r="D149" t="str">
            <v>BV0658</v>
          </cell>
          <cell r="E149">
            <v>1500002051</v>
          </cell>
          <cell r="G149" t="str">
            <v>020071007997, ngày cấp 25/6/2021, cục cảnh sát QLHCVTTXH</v>
          </cell>
          <cell r="H149">
            <v>26285</v>
          </cell>
          <cell r="J149">
            <v>54</v>
          </cell>
          <cell r="K149" t="str">
            <v>080888614</v>
          </cell>
          <cell r="L149" t="str">
            <v>24/7/2007</v>
          </cell>
          <cell r="M149" t="str">
            <v>CA tỉnh Lạng Sơn</v>
          </cell>
          <cell r="N149" t="str">
            <v>Tỉnh Lạng Sơn</v>
          </cell>
          <cell r="O149" t="str">
            <v>Bắc Sơn</v>
          </cell>
          <cell r="P149" t="str">
            <v>Huyện Bắc Sơn</v>
          </cell>
          <cell r="Q149" t="str">
            <v>Tỉnh Lạng Sơn</v>
          </cell>
          <cell r="S149" t="str">
            <v>Phường Hoàng Văn Thụ</v>
          </cell>
          <cell r="T149" t="str">
            <v>Thành phố Lạng Sơn</v>
          </cell>
          <cell r="U149" t="str">
            <v>Tỉnh Lạng Sơn</v>
          </cell>
          <cell r="V149" t="str">
            <v>Phường Hoàng Văn Thụ, Thành phố Lạng Sơn, Tỉnh Lạng Sơn</v>
          </cell>
          <cell r="W149" t="str">
            <v>17/5/1997</v>
          </cell>
          <cell r="AA149" t="str">
            <v>Trưởng khoa</v>
          </cell>
          <cell r="AB149" t="str">
            <v>TĐ001</v>
          </cell>
          <cell r="AC149" t="str">
            <v>Ngoại TK-LN</v>
          </cell>
          <cell r="AD149" t="str">
            <v>KP015</v>
          </cell>
          <cell r="AE149" t="str">
            <v>Viên chức</v>
          </cell>
          <cell r="AF149" t="str">
            <v>V.08.01.02</v>
          </cell>
          <cell r="AG149" t="str">
            <v>Bác sĩ chính (hạng II)</v>
          </cell>
          <cell r="AH149">
            <v>5.42</v>
          </cell>
          <cell r="AI149">
            <v>4</v>
          </cell>
          <cell r="AJ149">
            <v>0</v>
          </cell>
          <cell r="AK149">
            <v>45383</v>
          </cell>
          <cell r="AL149" t="str">
            <v>Đại học</v>
          </cell>
          <cell r="AM149" t="str">
            <v>BSCKII</v>
          </cell>
          <cell r="AN149" t="str">
            <v>Y tế công cộng</v>
          </cell>
          <cell r="AQ149" t="str">
            <v>12/12</v>
          </cell>
          <cell r="AR149" t="str">
            <v>Chuyên viên</v>
          </cell>
          <cell r="AS149" t="str">
            <v>x</v>
          </cell>
          <cell r="AT149" t="str">
            <v>Sơ cấp</v>
          </cell>
          <cell r="AU149">
            <v>0</v>
          </cell>
          <cell r="AV149">
            <v>0</v>
          </cell>
          <cell r="AW149">
            <v>0</v>
          </cell>
          <cell r="AY149" t="str">
            <v>Tày</v>
          </cell>
          <cell r="AZ149">
            <v>37512</v>
          </cell>
          <cell r="BA149" t="e">
            <v>#REF!</v>
          </cell>
          <cell r="BB149" t="e">
            <v>#REF!</v>
          </cell>
          <cell r="BC149" t="str">
            <v>01/12/2017</v>
          </cell>
        </row>
        <row r="150">
          <cell r="A150" t="str">
            <v>BV0209</v>
          </cell>
          <cell r="B150">
            <v>144</v>
          </cell>
          <cell r="C150" t="str">
            <v>Nguyễn Xuân Trường</v>
          </cell>
          <cell r="D150" t="str">
            <v>BV0209</v>
          </cell>
          <cell r="E150">
            <v>2011001573</v>
          </cell>
          <cell r="G150" t="str">
            <v>020086010419, ngày cấp 24/6/2021, cục cảnh sát QLHCVTTXH</v>
          </cell>
          <cell r="H150">
            <v>31459</v>
          </cell>
          <cell r="J150">
            <v>40</v>
          </cell>
          <cell r="K150" t="str">
            <v>080836415</v>
          </cell>
          <cell r="L150" t="str">
            <v>30/6/2003</v>
          </cell>
          <cell r="M150" t="str">
            <v>CA tỉnh Lạng Sơn</v>
          </cell>
          <cell r="N150" t="str">
            <v>Tỉnh Lạng Sơn</v>
          </cell>
          <cell r="O150" t="str">
            <v>Xã Quốc Việt</v>
          </cell>
          <cell r="P150" t="str">
            <v>Huyện Tràng Định</v>
          </cell>
          <cell r="Q150" t="str">
            <v>Tỉnh Lạng Sơn</v>
          </cell>
          <cell r="R150" t="str">
            <v>Đường Tông Đản</v>
          </cell>
          <cell r="S150" t="str">
            <v>Phường Hoàng Văn Thụ</v>
          </cell>
          <cell r="T150" t="str">
            <v>Thành phố Lạng Sơn</v>
          </cell>
          <cell r="U150" t="str">
            <v>Tỉnh Lạng Sơn</v>
          </cell>
          <cell r="V150" t="str">
            <v>Phường Hoàng Văn Thụ, Thành phố Lạng Sơn, Tỉnh Lạng Sơn</v>
          </cell>
          <cell r="W150" t="str">
            <v>10/6/2013</v>
          </cell>
          <cell r="AA150" t="str">
            <v>Phó trưởng khoa</v>
          </cell>
          <cell r="AB150" t="str">
            <v>TĐ003</v>
          </cell>
          <cell r="AC150" t="str">
            <v>Ngoại TK-LN</v>
          </cell>
          <cell r="AD150" t="str">
            <v>KP015</v>
          </cell>
          <cell r="AE150" t="str">
            <v>Viên chức</v>
          </cell>
          <cell r="AF150" t="str">
            <v>V.08.01.03</v>
          </cell>
          <cell r="AG150" t="str">
            <v>Bác sĩ chính (hạng II)</v>
          </cell>
          <cell r="AH150">
            <v>4.4000000000000004</v>
          </cell>
          <cell r="AI150">
            <v>1</v>
          </cell>
          <cell r="AJ150">
            <v>0</v>
          </cell>
          <cell r="AK150">
            <v>45809</v>
          </cell>
          <cell r="AL150" t="str">
            <v>Đại học</v>
          </cell>
          <cell r="AM150" t="str">
            <v>BSCKI</v>
          </cell>
          <cell r="AN150" t="str">
            <v>Ngoại khoa</v>
          </cell>
          <cell r="AO150" t="str">
            <v>Đại học Y Hà Nội</v>
          </cell>
          <cell r="AP150">
            <v>2018</v>
          </cell>
          <cell r="AQ150" t="str">
            <v>12/12</v>
          </cell>
          <cell r="AR150">
            <v>0</v>
          </cell>
          <cell r="AS150" t="str">
            <v>x</v>
          </cell>
          <cell r="AT150" t="str">
            <v>Sơ cấp</v>
          </cell>
          <cell r="AU150">
            <v>0</v>
          </cell>
          <cell r="AV150">
            <v>0</v>
          </cell>
          <cell r="AW150">
            <v>0</v>
          </cell>
          <cell r="AY150" t="str">
            <v>Tày</v>
          </cell>
          <cell r="AZ150">
            <v>43574</v>
          </cell>
          <cell r="BA150" t="e">
            <v>#REF!</v>
          </cell>
          <cell r="BB150" t="e">
            <v>#REF!</v>
          </cell>
          <cell r="BC150" t="str">
            <v>24/6/2013</v>
          </cell>
        </row>
        <row r="151">
          <cell r="A151" t="str">
            <v>BV0164</v>
          </cell>
          <cell r="B151">
            <v>145</v>
          </cell>
          <cell r="C151" t="str">
            <v>Lương Văn Sỹ</v>
          </cell>
          <cell r="D151" t="str">
            <v>BV0164</v>
          </cell>
          <cell r="E151">
            <v>2008000224</v>
          </cell>
          <cell r="G151" t="str">
            <v>CCCD: 020077009361, 
Ngày cấp 20/8/2021,  
Tại Cục cảnh sát quản lý hành chính về trật tự xã hội</v>
          </cell>
          <cell r="H151" t="str">
            <v>01/02/1977</v>
          </cell>
          <cell r="J151">
            <v>49</v>
          </cell>
          <cell r="K151" t="str">
            <v>080923216</v>
          </cell>
          <cell r="L151" t="str">
            <v>22/3/1996</v>
          </cell>
          <cell r="M151" t="str">
            <v>CA tỉnh Lạng Sơn</v>
          </cell>
          <cell r="O151" t="str">
            <v>Tân Hương</v>
          </cell>
          <cell r="P151" t="str">
            <v>Bắc Sơn</v>
          </cell>
          <cell r="Q151" t="str">
            <v>Lạng Sơn</v>
          </cell>
          <cell r="S151" t="str">
            <v>Phường Tam Thanh</v>
          </cell>
          <cell r="T151" t="str">
            <v>Thành phố Lạng Sơn</v>
          </cell>
          <cell r="U151" t="str">
            <v>Tỉnh Lạng Sơn</v>
          </cell>
          <cell r="V151" t="str">
            <v>Phường Tam Thanh, Thành phố Lạng Sơn, Tỉnh Lạng Sơn</v>
          </cell>
          <cell r="W151" t="str">
            <v>25/5/2009</v>
          </cell>
          <cell r="AA151" t="str">
            <v>Trưởng phòng</v>
          </cell>
          <cell r="AB151" t="str">
            <v>TĐ004</v>
          </cell>
          <cell r="AC151" t="str">
            <v>QLCL</v>
          </cell>
          <cell r="AD151" t="str">
            <v>KP044</v>
          </cell>
          <cell r="AE151" t="str">
            <v>Viên chức</v>
          </cell>
          <cell r="AF151" t="str">
            <v>V.08.01.02</v>
          </cell>
          <cell r="AG151" t="str">
            <v>Bác sĩ chính (hạng II)</v>
          </cell>
          <cell r="AH151">
            <v>4.74</v>
          </cell>
          <cell r="AI151">
            <v>2</v>
          </cell>
          <cell r="AJ151">
            <v>0</v>
          </cell>
          <cell r="AK151">
            <v>45809</v>
          </cell>
          <cell r="AL151" t="str">
            <v>Đại học</v>
          </cell>
          <cell r="AM151" t="str">
            <v>Thạc sỹ</v>
          </cell>
          <cell r="AN151" t="str">
            <v>Ngoại khoa</v>
          </cell>
          <cell r="AO151" t="str">
            <v>Học viện Quân y</v>
          </cell>
          <cell r="AP151">
            <v>2015</v>
          </cell>
          <cell r="AR151">
            <v>0</v>
          </cell>
          <cell r="AS151" t="str">
            <v>x</v>
          </cell>
          <cell r="AT151" t="str">
            <v>Sơ cấp</v>
          </cell>
          <cell r="AU151" t="str">
            <v>Anh B</v>
          </cell>
          <cell r="AV151" t="str">
            <v>Tày</v>
          </cell>
          <cell r="AW151" t="str">
            <v>Tin B/ Cơ bản</v>
          </cell>
          <cell r="AY151" t="str">
            <v>tày</v>
          </cell>
          <cell r="AZ151">
            <v>38637</v>
          </cell>
          <cell r="BA151" t="e">
            <v>#REF!</v>
          </cell>
          <cell r="BB151" t="e">
            <v>#REF!</v>
          </cell>
          <cell r="BC151" t="str">
            <v>24/08/2016</v>
          </cell>
        </row>
        <row r="152">
          <cell r="A152" t="str">
            <v>BV0034</v>
          </cell>
          <cell r="B152">
            <v>146</v>
          </cell>
          <cell r="C152" t="str">
            <v>Hoàng Thanh Tiếp</v>
          </cell>
          <cell r="D152" t="str">
            <v>BV0034</v>
          </cell>
          <cell r="E152">
            <v>1506002915</v>
          </cell>
          <cell r="G152" t="str">
            <v>020082010261, ngày cấp 24/06/2021, cục cảnh sát QLHCVTTXH</v>
          </cell>
          <cell r="H152">
            <v>29978</v>
          </cell>
          <cell r="J152">
            <v>44</v>
          </cell>
          <cell r="K152" t="str">
            <v>081022862</v>
          </cell>
          <cell r="L152" t="str">
            <v>13/03/2001</v>
          </cell>
          <cell r="M152" t="str">
            <v>CA tỉnh Lạng Sơn</v>
          </cell>
          <cell r="N152" t="str">
            <v>Xã Yên Vượng, huyện Hữu Lũng, tỉnh Lạng Sơn</v>
          </cell>
          <cell r="O152" t="str">
            <v>Xã Yên Vượng</v>
          </cell>
          <cell r="P152" t="str">
            <v>Huyện Hữu Lũng</v>
          </cell>
          <cell r="Q152" t="str">
            <v>Tỉnh Lạng Sơn</v>
          </cell>
          <cell r="S152" t="str">
            <v>Thị trấn Cao Lộc</v>
          </cell>
          <cell r="T152" t="str">
            <v>Huyện Cao Lộc</v>
          </cell>
          <cell r="U152" t="str">
            <v>Tỉnh Lạng Sơn</v>
          </cell>
          <cell r="V152" t="str">
            <v>Thị trấn Cao Lộc, Huyện Cao Lộc, Tỉnh Lạng Sơn</v>
          </cell>
          <cell r="W152" t="str">
            <v>6/11/2006</v>
          </cell>
          <cell r="AA152" t="str">
            <v>Điều dưỡng trưởng</v>
          </cell>
          <cell r="AB152" t="str">
            <v>TĐ011</v>
          </cell>
          <cell r="AC152" t="str">
            <v>Ngoại TK-LN</v>
          </cell>
          <cell r="AD152" t="str">
            <v>KP015</v>
          </cell>
          <cell r="AE152" t="str">
            <v>Viên chức</v>
          </cell>
          <cell r="AF152" t="str">
            <v>V.08.05.12</v>
          </cell>
          <cell r="AG152" t="str">
            <v>Điều dưỡng (hạng III)</v>
          </cell>
          <cell r="AH152">
            <v>3.99</v>
          </cell>
          <cell r="AI152">
            <v>6</v>
          </cell>
          <cell r="AJ152">
            <v>0</v>
          </cell>
          <cell r="AK152">
            <v>45689</v>
          </cell>
          <cell r="AL152" t="str">
            <v>Đại học</v>
          </cell>
          <cell r="AM152" t="str">
            <v>Điều dưỡng ĐH</v>
          </cell>
          <cell r="AO152" t="str">
            <v>Đại học Y dược Thái Nguyên</v>
          </cell>
          <cell r="AP152">
            <v>2014</v>
          </cell>
          <cell r="AQ152" t="str">
            <v>12/12</v>
          </cell>
          <cell r="AR152">
            <v>0</v>
          </cell>
          <cell r="AS152">
            <v>0</v>
          </cell>
          <cell r="AT152" t="str">
            <v>Sơ cấp</v>
          </cell>
          <cell r="AU152">
            <v>0</v>
          </cell>
          <cell r="AV152">
            <v>0</v>
          </cell>
          <cell r="AW152">
            <v>0</v>
          </cell>
          <cell r="AY152" t="str">
            <v>Nùng</v>
          </cell>
          <cell r="AZ152">
            <v>41461</v>
          </cell>
          <cell r="BA152" t="e">
            <v>#REF!</v>
          </cell>
          <cell r="BB152" t="e">
            <v>#REF!</v>
          </cell>
          <cell r="BC152" t="str">
            <v>24/08/2016</v>
          </cell>
        </row>
        <row r="153">
          <cell r="A153" t="str">
            <v>BV0555</v>
          </cell>
          <cell r="B153">
            <v>147</v>
          </cell>
          <cell r="C153" t="str">
            <v>Phạm Hùng Tuấn</v>
          </cell>
          <cell r="D153" t="str">
            <v>BV0555</v>
          </cell>
          <cell r="E153">
            <v>1596007580</v>
          </cell>
          <cell r="G153" t="str">
            <v>020065001568, ngày cấp 29/4/2021, cục cảnh sát QLHCVTTXH</v>
          </cell>
          <cell r="H153">
            <v>24039</v>
          </cell>
          <cell r="J153">
            <v>60</v>
          </cell>
          <cell r="K153" t="str">
            <v>080721314</v>
          </cell>
          <cell r="L153" t="str">
            <v>14/08/2009</v>
          </cell>
          <cell r="M153" t="str">
            <v>CA tỉnh Lạng Sơn</v>
          </cell>
          <cell r="P153" t="str">
            <v>Huyện Kiến Xương</v>
          </cell>
          <cell r="Q153" t="str">
            <v>Tỉnh Thái Bình</v>
          </cell>
          <cell r="S153" t="str">
            <v>Phường Tam Thanh</v>
          </cell>
          <cell r="T153" t="str">
            <v>Thành phố Lạng Sơn</v>
          </cell>
          <cell r="U153" t="str">
            <v>Tỉnh Lạng Sơn</v>
          </cell>
          <cell r="V153" t="str">
            <v>Phường Tam Thanh, Thành phố Lạng Sơn, Tỉnh Lạng Sơn</v>
          </cell>
          <cell r="W153" t="str">
            <v>5/9/1988</v>
          </cell>
          <cell r="AA153">
            <v>0</v>
          </cell>
          <cell r="AB153" t="str">
            <v>TĐ011</v>
          </cell>
          <cell r="AC153" t="str">
            <v>Ngoại TK-LN</v>
          </cell>
          <cell r="AD153" t="str">
            <v>KP015</v>
          </cell>
          <cell r="AE153" t="str">
            <v>Viên chức</v>
          </cell>
          <cell r="AF153" t="str">
            <v>V.08.05.12</v>
          </cell>
          <cell r="AG153" t="str">
            <v>Điều dưỡng (hạng III)</v>
          </cell>
          <cell r="AH153">
            <v>4.9800000000000004</v>
          </cell>
          <cell r="AI153">
            <v>9</v>
          </cell>
          <cell r="AJ153">
            <v>7.0000000000000007E-2</v>
          </cell>
          <cell r="AK153">
            <v>45992</v>
          </cell>
          <cell r="AL153" t="str">
            <v>Đại học</v>
          </cell>
          <cell r="AM153" t="str">
            <v>Điều dưỡng ĐH</v>
          </cell>
          <cell r="AR153">
            <v>0</v>
          </cell>
          <cell r="AS153">
            <v>0</v>
          </cell>
          <cell r="AT153" t="str">
            <v>Sơ cấp</v>
          </cell>
          <cell r="AU153">
            <v>0</v>
          </cell>
          <cell r="AV153">
            <v>0</v>
          </cell>
          <cell r="AW153">
            <v>0</v>
          </cell>
          <cell r="AY153" t="str">
            <v>Kinh</v>
          </cell>
          <cell r="AZ153">
            <v>42895</v>
          </cell>
          <cell r="BA153" t="e">
            <v>#REF!</v>
          </cell>
          <cell r="BB153" t="e">
            <v>#REF!</v>
          </cell>
          <cell r="BC153" t="str">
            <v>24/06/2013</v>
          </cell>
        </row>
        <row r="154">
          <cell r="A154" t="str">
            <v>BV0213</v>
          </cell>
          <cell r="B154">
            <v>148</v>
          </cell>
          <cell r="C154" t="str">
            <v>Dương Thị Huyền</v>
          </cell>
          <cell r="D154" t="str">
            <v>BV0213</v>
          </cell>
          <cell r="E154">
            <v>2013000009</v>
          </cell>
          <cell r="G154" t="str">
            <v>082355177, ngày cấp 13/06/2016, Công an tỉnh Lạng Sơn</v>
          </cell>
          <cell r="I154">
            <v>33515</v>
          </cell>
          <cell r="J154">
            <v>34</v>
          </cell>
          <cell r="K154" t="str">
            <v>121875796</v>
          </cell>
          <cell r="L154" t="str">
            <v>13/6/2016</v>
          </cell>
          <cell r="M154" t="str">
            <v>CA tỉnh Lạng Sơn</v>
          </cell>
          <cell r="N154" t="str">
            <v>Tỉnh Bắc Giang</v>
          </cell>
          <cell r="O154" t="str">
            <v>Xã Đồng Sơn</v>
          </cell>
          <cell r="P154" t="str">
            <v>Huyện Yên Thế</v>
          </cell>
          <cell r="Q154" t="str">
            <v>Tỉnh Bắc Giang</v>
          </cell>
          <cell r="R154" t="str">
            <v>Thôn Pò Đứa</v>
          </cell>
          <cell r="S154" t="str">
            <v>Xã Mai Pha</v>
          </cell>
          <cell r="T154" t="str">
            <v>Thành phố Lạng Sơn</v>
          </cell>
          <cell r="U154" t="str">
            <v>Tỉnh Lạng Sơn</v>
          </cell>
          <cell r="V154" t="str">
            <v>Xã Mai Pha, Thành phố Lạng Sơn, Tỉnh Lạng Sơn</v>
          </cell>
          <cell r="W154" t="str">
            <v>01/11/2014</v>
          </cell>
          <cell r="AA154">
            <v>0</v>
          </cell>
          <cell r="AB154" t="str">
            <v>TĐ012</v>
          </cell>
          <cell r="AC154" t="str">
            <v>Ngoại TK-LN</v>
          </cell>
          <cell r="AD154" t="str">
            <v>KP015</v>
          </cell>
          <cell r="AE154" t="str">
            <v>Viên chức</v>
          </cell>
          <cell r="AF154" t="str">
            <v>V.08.05.13</v>
          </cell>
          <cell r="AG154" t="str">
            <v>Điều dưỡng (hạng IV)</v>
          </cell>
          <cell r="AH154">
            <v>3.34</v>
          </cell>
          <cell r="AI154">
            <v>5</v>
          </cell>
          <cell r="AJ154">
            <v>0</v>
          </cell>
          <cell r="AK154">
            <v>45444</v>
          </cell>
          <cell r="AL154" t="str">
            <v>Cao đẳng</v>
          </cell>
          <cell r="AM154" t="str">
            <v>Điều dưỡng CĐ</v>
          </cell>
          <cell r="AO154" t="str">
            <v>CĐ Y tế Lạng Sơn</v>
          </cell>
          <cell r="AP154">
            <v>2012</v>
          </cell>
          <cell r="AQ154" t="str">
            <v>12/12</v>
          </cell>
          <cell r="AR154">
            <v>0</v>
          </cell>
          <cell r="AS154">
            <v>0</v>
          </cell>
          <cell r="AT154" t="str">
            <v>Sơ cấp</v>
          </cell>
          <cell r="AU154">
            <v>0</v>
          </cell>
          <cell r="AV154">
            <v>0</v>
          </cell>
          <cell r="AW154">
            <v>0</v>
          </cell>
          <cell r="AY154" t="str">
            <v>Kinh</v>
          </cell>
          <cell r="BC154" t="str">
            <v>24/6/2013</v>
          </cell>
        </row>
        <row r="155">
          <cell r="A155" t="str">
            <v>BV0215</v>
          </cell>
          <cell r="B155">
            <v>149</v>
          </cell>
          <cell r="C155" t="str">
            <v>Tô Thị Lan</v>
          </cell>
          <cell r="D155" t="str">
            <v>BV0215</v>
          </cell>
          <cell r="E155">
            <v>2013002127</v>
          </cell>
          <cell r="G155" t="str">
            <v>020189001277, ngày cấp 31/03/2011, cục cảnh sát QLHCVTTXH</v>
          </cell>
          <cell r="I155">
            <v>32601</v>
          </cell>
          <cell r="J155">
            <v>37</v>
          </cell>
          <cell r="K155" t="str">
            <v>082060840</v>
          </cell>
          <cell r="L155" t="str">
            <v>23/8/2006</v>
          </cell>
          <cell r="M155" t="str">
            <v>CA tỉnh Lạng Sơn</v>
          </cell>
          <cell r="N155" t="str">
            <v>Tỉnh Lạng Sơn</v>
          </cell>
          <cell r="O155" t="str">
            <v>Thị trấn Nông Trường</v>
          </cell>
          <cell r="P155" t="str">
            <v>Huyện Đình Lập</v>
          </cell>
          <cell r="Q155" t="str">
            <v>Tỉnh Lạng Sơn</v>
          </cell>
          <cell r="S155" t="str">
            <v>Phường Đông Kinh</v>
          </cell>
          <cell r="T155" t="str">
            <v>Thành phố Lạng Sơn</v>
          </cell>
          <cell r="U155" t="str">
            <v>Tỉnh Lạng Sơn</v>
          </cell>
          <cell r="V155" t="str">
            <v>Phường Đông Kinh, Thành phố Lạng Sơn, Tỉnh Lạng Sơn</v>
          </cell>
          <cell r="W155" t="str">
            <v>10/6/2013</v>
          </cell>
          <cell r="AA155">
            <v>0</v>
          </cell>
          <cell r="AB155" t="str">
            <v>TĐ012</v>
          </cell>
          <cell r="AC155" t="str">
            <v>Ngoại TK-LN</v>
          </cell>
          <cell r="AD155" t="str">
            <v>KP015</v>
          </cell>
          <cell r="AE155" t="str">
            <v>Viên chức</v>
          </cell>
          <cell r="AF155" t="str">
            <v>V.08.05.13</v>
          </cell>
          <cell r="AG155" t="str">
            <v>Điều dưỡng (hạng IV)</v>
          </cell>
          <cell r="AH155">
            <v>3.34</v>
          </cell>
          <cell r="AI155">
            <v>5</v>
          </cell>
          <cell r="AJ155">
            <v>0</v>
          </cell>
          <cell r="AK155">
            <v>45453</v>
          </cell>
          <cell r="AL155" t="str">
            <v>Cao đẳng</v>
          </cell>
          <cell r="AM155" t="str">
            <v>Điều dưỡng CĐ</v>
          </cell>
          <cell r="AO155" t="str">
            <v>CĐ Y tế Lạng Sơn</v>
          </cell>
          <cell r="AP155">
            <v>2011</v>
          </cell>
          <cell r="AQ155" t="str">
            <v>12/12</v>
          </cell>
          <cell r="AR155">
            <v>0</v>
          </cell>
          <cell r="AS155">
            <v>0</v>
          </cell>
          <cell r="AT155" t="str">
            <v>Sơ cấp</v>
          </cell>
          <cell r="AU155" t="str">
            <v>Anh B</v>
          </cell>
          <cell r="AV155" t="str">
            <v>Tày</v>
          </cell>
          <cell r="AW155" t="str">
            <v>B</v>
          </cell>
          <cell r="AY155" t="str">
            <v>Tày</v>
          </cell>
          <cell r="BA155" t="e">
            <v>#REF!</v>
          </cell>
          <cell r="BB155" t="e">
            <v>#REF!</v>
          </cell>
          <cell r="BC155" t="str">
            <v>24/6/2013</v>
          </cell>
        </row>
        <row r="156">
          <cell r="A156" t="str">
            <v>BV0216</v>
          </cell>
          <cell r="B156">
            <v>150</v>
          </cell>
          <cell r="C156" t="str">
            <v>Vi Văn Trình</v>
          </cell>
          <cell r="D156" t="str">
            <v>BV0216</v>
          </cell>
          <cell r="E156">
            <v>2014002797</v>
          </cell>
          <cell r="G156" t="str">
            <v>020090012632, ngày cấp 12/07/2021, cục cảnh sát QLHCVTTXH</v>
          </cell>
          <cell r="H156">
            <v>33011</v>
          </cell>
          <cell r="J156">
            <v>36</v>
          </cell>
          <cell r="K156" t="str">
            <v>082097976</v>
          </cell>
          <cell r="L156" t="str">
            <v>05/8/2009</v>
          </cell>
          <cell r="M156" t="str">
            <v>CA tỉnh Lạng Sơn</v>
          </cell>
          <cell r="N156" t="str">
            <v>Tỉnh Lạng Sơn</v>
          </cell>
          <cell r="O156" t="str">
            <v>Xã Bình Trung</v>
          </cell>
          <cell r="P156" t="str">
            <v>Huyện Cao Lộc</v>
          </cell>
          <cell r="Q156" t="str">
            <v>Tỉnh Lạng Sơn</v>
          </cell>
          <cell r="S156" t="str">
            <v>Xã Bình Trung</v>
          </cell>
          <cell r="T156" t="str">
            <v>Huyện Cao Lộc</v>
          </cell>
          <cell r="U156" t="str">
            <v>Tỉnh Lạng Sơn</v>
          </cell>
          <cell r="V156" t="str">
            <v>Xã Bình Trung, Huyện Cao Lộc, Tỉnh Lạng Sơn</v>
          </cell>
          <cell r="W156" t="str">
            <v>01/11/2014</v>
          </cell>
          <cell r="AA156">
            <v>0</v>
          </cell>
          <cell r="AB156" t="str">
            <v>TĐ012</v>
          </cell>
          <cell r="AC156" t="str">
            <v>Ngoại TK-LN</v>
          </cell>
          <cell r="AD156" t="str">
            <v>KP015</v>
          </cell>
          <cell r="AE156" t="str">
            <v>Viên chức</v>
          </cell>
          <cell r="AF156" t="str">
            <v>V.08.05.13</v>
          </cell>
          <cell r="AG156" t="str">
            <v>Điều dưỡng (hạng IV)</v>
          </cell>
          <cell r="AH156">
            <v>3.03</v>
          </cell>
          <cell r="AI156">
            <v>4</v>
          </cell>
          <cell r="AJ156">
            <v>0</v>
          </cell>
          <cell r="AK156">
            <v>45413</v>
          </cell>
          <cell r="AL156" t="str">
            <v>Cao đẳng</v>
          </cell>
          <cell r="AM156" t="str">
            <v>Điều dưỡng CĐ</v>
          </cell>
          <cell r="AO156" t="str">
            <v>CĐ Y tế Lạng Sơn</v>
          </cell>
          <cell r="AP156" t="str">
            <v>2012</v>
          </cell>
          <cell r="AQ156" t="str">
            <v>12/12</v>
          </cell>
          <cell r="AR156">
            <v>0</v>
          </cell>
          <cell r="AS156">
            <v>0</v>
          </cell>
          <cell r="AT156" t="str">
            <v>Sơ cấp</v>
          </cell>
          <cell r="AU156" t="str">
            <v>Anh B</v>
          </cell>
          <cell r="AV156">
            <v>0</v>
          </cell>
          <cell r="AW156" t="str">
            <v>B</v>
          </cell>
          <cell r="AY156" t="str">
            <v>Nùng</v>
          </cell>
          <cell r="BA156" t="e">
            <v>#REF!</v>
          </cell>
          <cell r="BB156" t="e">
            <v>#REF!</v>
          </cell>
          <cell r="BC156" t="str">
            <v>24/6/2013</v>
          </cell>
        </row>
        <row r="157">
          <cell r="A157" t="str">
            <v>BV0834</v>
          </cell>
          <cell r="B157">
            <v>151</v>
          </cell>
          <cell r="C157" t="str">
            <v>Nông Quốc Phòng</v>
          </cell>
          <cell r="D157" t="str">
            <v>BV0834</v>
          </cell>
          <cell r="E157" t="str">
            <v>7916581927</v>
          </cell>
          <cell r="G157" t="str">
            <v>020093001832, ngày cấp 20/4/2021, cục cảnh sát QLHCVTTXH</v>
          </cell>
          <cell r="H157" t="str">
            <v>22/02/1993</v>
          </cell>
          <cell r="J157">
            <v>33</v>
          </cell>
          <cell r="K157" t="str">
            <v>082222424</v>
          </cell>
          <cell r="L157" t="str">
            <v>23/09/2009</v>
          </cell>
          <cell r="M157" t="str">
            <v>CA tỉnh Lạng Sơn</v>
          </cell>
          <cell r="N157" t="str">
            <v>Tri Phương, Tràng Định, Lạng Sơn</v>
          </cell>
          <cell r="O157" t="str">
            <v>Tri phương</v>
          </cell>
          <cell r="P157" t="str">
            <v>Tràng Định</v>
          </cell>
          <cell r="Q157" t="str">
            <v>Lạng Sơn</v>
          </cell>
          <cell r="R157" t="str">
            <v>269 Trần Đăng Ninh</v>
          </cell>
          <cell r="S157" t="str">
            <v>Tam Thanh</v>
          </cell>
          <cell r="T157" t="str">
            <v>Thành phố Lạng Sơn</v>
          </cell>
          <cell r="U157" t="str">
            <v>Lạng Sơn</v>
          </cell>
          <cell r="V157" t="str">
            <v>Tam Thanh, Thành phố Lạng Sơn, Lạng Sơn</v>
          </cell>
          <cell r="W157" t="str">
            <v>20/3/2018</v>
          </cell>
          <cell r="Y157">
            <v>561</v>
          </cell>
          <cell r="Z157" t="str">
            <v>18/3/2018</v>
          </cell>
          <cell r="AA157">
            <v>0</v>
          </cell>
          <cell r="AB157" t="str">
            <v>TĐ012</v>
          </cell>
          <cell r="AC157" t="str">
            <v>Ngoại TK-LN</v>
          </cell>
          <cell r="AD157" t="str">
            <v>KP015</v>
          </cell>
          <cell r="AE157" t="str">
            <v>Viên chức</v>
          </cell>
          <cell r="AF157" t="str">
            <v>V.08.05.13</v>
          </cell>
          <cell r="AG157" t="str">
            <v>Điều dưỡng (hạng IV)</v>
          </cell>
          <cell r="AH157">
            <v>2.72</v>
          </cell>
          <cell r="AI157">
            <v>3</v>
          </cell>
          <cell r="AJ157">
            <v>0</v>
          </cell>
          <cell r="AK157">
            <v>44927</v>
          </cell>
          <cell r="AL157" t="str">
            <v>Cao đẳng</v>
          </cell>
          <cell r="AM157" t="str">
            <v>Điều dưỡng CĐ</v>
          </cell>
          <cell r="AO157" t="str">
            <v>CĐ Y tế Lạng Sơn</v>
          </cell>
          <cell r="AP157">
            <v>2015</v>
          </cell>
          <cell r="AQ157" t="str">
            <v>12/12</v>
          </cell>
          <cell r="AR157">
            <v>0</v>
          </cell>
          <cell r="AS157">
            <v>0</v>
          </cell>
          <cell r="AT157" t="str">
            <v>Sơ cấp</v>
          </cell>
          <cell r="AU157" t="str">
            <v>Anh B</v>
          </cell>
          <cell r="AV157">
            <v>0</v>
          </cell>
          <cell r="AW157" t="str">
            <v>B</v>
          </cell>
          <cell r="AY157" t="str">
            <v>Tày</v>
          </cell>
          <cell r="BC157" t="str">
            <v>24/6/2013</v>
          </cell>
        </row>
        <row r="158">
          <cell r="A158" t="str">
            <v>BV0017</v>
          </cell>
          <cell r="B158">
            <v>152</v>
          </cell>
          <cell r="C158" t="str">
            <v>Hoàng Thị Thanh</v>
          </cell>
          <cell r="D158" t="str">
            <v>BV0017</v>
          </cell>
          <cell r="E158">
            <v>1506002932</v>
          </cell>
          <cell r="G158" t="str">
            <v>020182007592, ngày cấp 25/06/2021, cục cảnh sát QLHCVTTXH</v>
          </cell>
          <cell r="I158">
            <v>30215</v>
          </cell>
          <cell r="J158">
            <v>43</v>
          </cell>
          <cell r="K158" t="str">
            <v>081048269</v>
          </cell>
          <cell r="L158" t="str">
            <v>27/6/2007</v>
          </cell>
          <cell r="M158" t="str">
            <v>CA tỉnh Lạng Sơn</v>
          </cell>
          <cell r="N158" t="str">
            <v>Tỉnh Lạng Sơn</v>
          </cell>
          <cell r="O158" t="str">
            <v>Xã Hoàng Văn Thụ</v>
          </cell>
          <cell r="P158" t="str">
            <v>Huyện Văn Lãng</v>
          </cell>
          <cell r="Q158" t="str">
            <v>Tỉnh Lạng Sơn</v>
          </cell>
          <cell r="S158" t="str">
            <v>Phường Tam Thanh</v>
          </cell>
          <cell r="T158" t="str">
            <v>Thành phố Lạng Sơn</v>
          </cell>
          <cell r="U158" t="str">
            <v>Tỉnh Lạng Sơn</v>
          </cell>
          <cell r="V158" t="str">
            <v>Phường Tam Thanh, Thành phố Lạng Sơn, Tỉnh Lạng Sơn</v>
          </cell>
          <cell r="W158" t="str">
            <v>7/11/2006</v>
          </cell>
          <cell r="AA158">
            <v>0</v>
          </cell>
          <cell r="AB158" t="str">
            <v>TĐ012</v>
          </cell>
          <cell r="AC158" t="str">
            <v>Ngoại TK-LN</v>
          </cell>
          <cell r="AD158" t="str">
            <v>KP015</v>
          </cell>
          <cell r="AE158" t="str">
            <v>Viên chức</v>
          </cell>
          <cell r="AF158" t="str">
            <v>V.08.05.13</v>
          </cell>
          <cell r="AG158" t="str">
            <v>Điều dưỡng (hạng IV)</v>
          </cell>
          <cell r="AH158">
            <v>3.65</v>
          </cell>
          <cell r="AI158">
            <v>6</v>
          </cell>
          <cell r="AJ158">
            <v>0</v>
          </cell>
          <cell r="AK158">
            <v>45413</v>
          </cell>
          <cell r="AL158" t="str">
            <v>Cao đẳng</v>
          </cell>
          <cell r="AM158" t="str">
            <v>Điều dưỡng CĐ</v>
          </cell>
          <cell r="AO158" t="str">
            <v>TH Y tế Lạng Sơn</v>
          </cell>
          <cell r="AP158">
            <v>2006</v>
          </cell>
          <cell r="AQ158" t="str">
            <v>12/12</v>
          </cell>
          <cell r="AR158">
            <v>0</v>
          </cell>
          <cell r="AS158">
            <v>0</v>
          </cell>
          <cell r="AT158">
            <v>0</v>
          </cell>
          <cell r="AU158">
            <v>0</v>
          </cell>
          <cell r="AV158">
            <v>0</v>
          </cell>
          <cell r="AW158">
            <v>0</v>
          </cell>
          <cell r="AY158" t="str">
            <v>Nùng</v>
          </cell>
          <cell r="BA158" t="e">
            <v>#REF!</v>
          </cell>
          <cell r="BB158" t="e">
            <v>#REF!</v>
          </cell>
          <cell r="BC158" t="str">
            <v>24/6/2013</v>
          </cell>
        </row>
        <row r="159">
          <cell r="A159" t="str">
            <v>BV0237</v>
          </cell>
          <cell r="B159">
            <v>153</v>
          </cell>
          <cell r="C159" t="str">
            <v>Lâm Bích Hợp</v>
          </cell>
          <cell r="D159" t="str">
            <v>BV0237</v>
          </cell>
          <cell r="E159">
            <v>2009000933</v>
          </cell>
          <cell r="G159" t="str">
            <v>020185002014, ngày cấp 24/4/2021, cục cảnh sát QLHCVTTXH</v>
          </cell>
          <cell r="I159">
            <v>31403</v>
          </cell>
          <cell r="J159">
            <v>40</v>
          </cell>
          <cell r="K159" t="str">
            <v>081065363</v>
          </cell>
          <cell r="L159" t="str">
            <v>27/06/2007</v>
          </cell>
          <cell r="M159" t="str">
            <v>CA tỉnh Lạng Sơn</v>
          </cell>
          <cell r="O159" t="str">
            <v>Xã Xuân Long</v>
          </cell>
          <cell r="P159" t="str">
            <v>Huyện Cao Lộc</v>
          </cell>
          <cell r="Q159" t="str">
            <v>Tỉnh Lạng Sơn</v>
          </cell>
          <cell r="S159" t="str">
            <v>Xã Hoàng Đồng</v>
          </cell>
          <cell r="T159" t="str">
            <v>Thành phố Lạng Sơn</v>
          </cell>
          <cell r="U159" t="str">
            <v>Tỉnh Lạng Sơn</v>
          </cell>
          <cell r="V159" t="str">
            <v>Xã Hoàng Đồng, Thành phố Lạng Sơn, Tỉnh Lạng Sơn</v>
          </cell>
          <cell r="W159" t="str">
            <v>8/12/2008</v>
          </cell>
          <cell r="AA159">
            <v>0</v>
          </cell>
          <cell r="AB159" t="str">
            <v>TĐ012</v>
          </cell>
          <cell r="AC159" t="str">
            <v>Ngoại TK-LN</v>
          </cell>
          <cell r="AD159" t="str">
            <v>KP015</v>
          </cell>
          <cell r="AE159" t="str">
            <v>Viên chức</v>
          </cell>
          <cell r="AF159" t="str">
            <v>V.08.05.13</v>
          </cell>
          <cell r="AG159" t="str">
            <v>Điều dưỡng (hạng IV)</v>
          </cell>
          <cell r="AH159">
            <v>3.34</v>
          </cell>
          <cell r="AI159">
            <v>5</v>
          </cell>
          <cell r="AJ159">
            <v>0</v>
          </cell>
          <cell r="AK159">
            <v>44927</v>
          </cell>
          <cell r="AL159" t="str">
            <v>Cao đẳng</v>
          </cell>
          <cell r="AM159" t="str">
            <v>Điều dưỡng CĐ</v>
          </cell>
          <cell r="AR159">
            <v>0</v>
          </cell>
          <cell r="AS159">
            <v>0</v>
          </cell>
          <cell r="AT159" t="str">
            <v>Sơ cấp</v>
          </cell>
          <cell r="AU159">
            <v>0</v>
          </cell>
          <cell r="AV159">
            <v>0</v>
          </cell>
          <cell r="AW159">
            <v>0</v>
          </cell>
          <cell r="AY159" t="str">
            <v>Nùng</v>
          </cell>
          <cell r="AZ159">
            <v>39901</v>
          </cell>
          <cell r="BA159" t="e">
            <v>#REF!</v>
          </cell>
          <cell r="BB159" t="e">
            <v>#REF!</v>
          </cell>
          <cell r="BC159" t="str">
            <v>24/6/2013</v>
          </cell>
        </row>
        <row r="160">
          <cell r="A160" t="str">
            <v>BV0234</v>
          </cell>
          <cell r="B160">
            <v>154</v>
          </cell>
          <cell r="C160" t="str">
            <v>Chu Văn Huân</v>
          </cell>
          <cell r="D160" t="str">
            <v>BV0234</v>
          </cell>
          <cell r="E160">
            <v>2011000158</v>
          </cell>
          <cell r="G160" t="str">
            <v>02008500537, ngày cấp 02/04/2021, cục cảnh sát QLHCVTTXH</v>
          </cell>
          <cell r="H160">
            <v>31188</v>
          </cell>
          <cell r="J160">
            <v>41</v>
          </cell>
          <cell r="K160" t="str">
            <v>082010717</v>
          </cell>
          <cell r="L160" t="str">
            <v>24/3/2004</v>
          </cell>
          <cell r="M160" t="str">
            <v>CA tỉnh Lạng Sơn</v>
          </cell>
          <cell r="N160" t="str">
            <v>Tỉnh Lạng Sơn</v>
          </cell>
          <cell r="O160" t="str">
            <v>Thị trấn Cao Lộc</v>
          </cell>
          <cell r="P160" t="str">
            <v>Huyện Cao Lộc</v>
          </cell>
          <cell r="Q160" t="str">
            <v>Tỉnh Lạng Sơn</v>
          </cell>
          <cell r="R160" t="str">
            <v>Khối 3</v>
          </cell>
          <cell r="S160" t="str">
            <v>Thị trấn Cao Lộc</v>
          </cell>
          <cell r="T160" t="str">
            <v>Huyện Cao Lộc</v>
          </cell>
          <cell r="U160" t="str">
            <v>Tỉnh Lạng Sơn</v>
          </cell>
          <cell r="V160" t="str">
            <v>Thị trấn Cao Lộc, Huyện Cao Lộc, Tỉnh Lạng Sơn</v>
          </cell>
          <cell r="W160" t="str">
            <v>14/1/2011</v>
          </cell>
          <cell r="AA160">
            <v>0</v>
          </cell>
          <cell r="AB160" t="str">
            <v>TĐ012</v>
          </cell>
          <cell r="AC160" t="str">
            <v>TDCN</v>
          </cell>
          <cell r="AD160" t="str">
            <v>KP033</v>
          </cell>
          <cell r="AE160" t="str">
            <v>Viên chức</v>
          </cell>
          <cell r="AF160" t="str">
            <v>V.08.05.13</v>
          </cell>
          <cell r="AG160" t="str">
            <v>Điều dưỡng (hạng IV)</v>
          </cell>
          <cell r="AH160">
            <v>3.34</v>
          </cell>
          <cell r="AI160">
            <v>5</v>
          </cell>
          <cell r="AJ160">
            <v>0</v>
          </cell>
          <cell r="AK160">
            <v>45474</v>
          </cell>
          <cell r="AL160" t="str">
            <v>Cao đẳng</v>
          </cell>
          <cell r="AM160" t="str">
            <v>Điều dưỡng CĐ</v>
          </cell>
          <cell r="AO160" t="str">
            <v>CĐ Y tế Lạng Sơn</v>
          </cell>
          <cell r="AP160">
            <v>2008</v>
          </cell>
          <cell r="AQ160" t="str">
            <v>12/12</v>
          </cell>
          <cell r="AR160">
            <v>0</v>
          </cell>
          <cell r="AS160">
            <v>0</v>
          </cell>
          <cell r="AT160">
            <v>0</v>
          </cell>
          <cell r="AU160" t="str">
            <v>Anh B</v>
          </cell>
          <cell r="AV160">
            <v>0</v>
          </cell>
          <cell r="AW160" t="str">
            <v>B</v>
          </cell>
          <cell r="AY160" t="str">
            <v>Nùng</v>
          </cell>
          <cell r="AZ160">
            <v>44399</v>
          </cell>
          <cell r="BA160" t="e">
            <v>#REF!</v>
          </cell>
          <cell r="BB160" t="e">
            <v>#REF!</v>
          </cell>
          <cell r="BC160" t="str">
            <v>24/6/2013</v>
          </cell>
        </row>
        <row r="161">
          <cell r="A161" t="str">
            <v>BV0551</v>
          </cell>
          <cell r="B161">
            <v>155</v>
          </cell>
          <cell r="C161" t="str">
            <v>Vũ Tiến Dũng</v>
          </cell>
          <cell r="D161" t="str">
            <v>BV0551</v>
          </cell>
          <cell r="E161">
            <v>1504000547</v>
          </cell>
          <cell r="G161" t="str">
            <v>082403140, ngày cấp 10/7/2019, Công an tỉnh Lạng Sơn</v>
          </cell>
          <cell r="H161">
            <v>29580</v>
          </cell>
          <cell r="J161">
            <v>45</v>
          </cell>
          <cell r="K161" t="str">
            <v>151686156</v>
          </cell>
          <cell r="L161" t="str">
            <v>06/7/2000</v>
          </cell>
          <cell r="M161" t="str">
            <v>CA Thái Bình</v>
          </cell>
          <cell r="N161" t="str">
            <v>Tỉnh Thái Bình</v>
          </cell>
          <cell r="O161" t="str">
            <v>Xã Quỳnh Ngọc</v>
          </cell>
          <cell r="P161" t="str">
            <v>Huyện Quỳnh Phụ</v>
          </cell>
          <cell r="Q161" t="str">
            <v>Tỉnh Thái Bình</v>
          </cell>
          <cell r="R161" t="str">
            <v>Khối 7</v>
          </cell>
          <cell r="S161" t="str">
            <v>Thị trấn Cao Lộc</v>
          </cell>
          <cell r="T161" t="str">
            <v>Huyện Cao Lộc</v>
          </cell>
          <cell r="U161" t="str">
            <v>Tỉnh Lạng Sơn</v>
          </cell>
          <cell r="V161" t="str">
            <v>Thị trấn Cao Lộc, Huyện Cao Lộc, Tỉnh Lạng Sơn</v>
          </cell>
          <cell r="W161" t="str">
            <v>1/10/2002</v>
          </cell>
          <cell r="AA161">
            <v>0</v>
          </cell>
          <cell r="AB161" t="str">
            <v>TĐ013</v>
          </cell>
          <cell r="AC161" t="str">
            <v>Ngoại TK-LN</v>
          </cell>
          <cell r="AD161" t="str">
            <v>KP015</v>
          </cell>
          <cell r="AE161" t="str">
            <v>Viên chức</v>
          </cell>
          <cell r="AF161" t="str">
            <v>V.08.05.13</v>
          </cell>
          <cell r="AG161" t="str">
            <v>Điều dưỡng (hạng IV)</v>
          </cell>
          <cell r="AH161">
            <v>3.66</v>
          </cell>
          <cell r="AI161">
            <v>10</v>
          </cell>
          <cell r="AJ161">
            <v>0</v>
          </cell>
          <cell r="AK161">
            <v>45627</v>
          </cell>
          <cell r="AL161" t="str">
            <v>Trung cấp</v>
          </cell>
          <cell r="AM161" t="str">
            <v>Điều dưỡng TC</v>
          </cell>
          <cell r="AO161" t="str">
            <v>CĐ Y tế Nam Định</v>
          </cell>
          <cell r="AP161">
            <v>2002</v>
          </cell>
          <cell r="AQ161" t="str">
            <v>12/12</v>
          </cell>
          <cell r="AR161">
            <v>0</v>
          </cell>
          <cell r="AS161">
            <v>0</v>
          </cell>
          <cell r="AT161">
            <v>0</v>
          </cell>
          <cell r="AU161">
            <v>0</v>
          </cell>
          <cell r="AV161">
            <v>0</v>
          </cell>
          <cell r="AW161">
            <v>0</v>
          </cell>
          <cell r="AY161" t="str">
            <v>Kinh</v>
          </cell>
          <cell r="BA161" t="e">
            <v>#REF!</v>
          </cell>
          <cell r="BB161" t="e">
            <v>#REF!</v>
          </cell>
          <cell r="BC161" t="str">
            <v>24/6/2013</v>
          </cell>
        </row>
        <row r="162">
          <cell r="A162" t="str">
            <v>BV0241</v>
          </cell>
          <cell r="B162">
            <v>156</v>
          </cell>
          <cell r="C162" t="str">
            <v>Phạm Thanh Huyền</v>
          </cell>
          <cell r="D162" t="str">
            <v>BV0241</v>
          </cell>
          <cell r="E162">
            <v>1596007540</v>
          </cell>
          <cell r="G162" t="str">
            <v>020169001413
Cấp ngày: 16/04/2021
Cục cảnh sát QLHC
về TTXH</v>
          </cell>
          <cell r="I162">
            <v>25344</v>
          </cell>
          <cell r="J162">
            <v>57</v>
          </cell>
          <cell r="K162" t="str">
            <v>080790369</v>
          </cell>
          <cell r="L162" t="str">
            <v>10/01/2007</v>
          </cell>
          <cell r="M162" t="str">
            <v>CA tỉnh Lạng Sơn</v>
          </cell>
          <cell r="N162" t="str">
            <v>Tỉnh Lạng Sơn</v>
          </cell>
          <cell r="P162" t="str">
            <v>Thành phố Lạng Sơn</v>
          </cell>
          <cell r="Q162" t="str">
            <v>Tỉnh Lạng Sơn</v>
          </cell>
          <cell r="S162" t="str">
            <v>Phường Hoàng Văn Thụ</v>
          </cell>
          <cell r="T162" t="str">
            <v>Thành phố Lạng Sơn</v>
          </cell>
          <cell r="U162" t="str">
            <v>Tỉnh Lạng Sơn</v>
          </cell>
          <cell r="V162" t="str">
            <v>Phường Hoàng Văn Thụ, Thành phố Lạng Sơn, Tỉnh Lạng Sơn</v>
          </cell>
          <cell r="W162" t="str">
            <v>1/11/1994</v>
          </cell>
          <cell r="AA162" t="e">
            <v>#N/A</v>
          </cell>
          <cell r="AB162" t="e">
            <v>#N/A</v>
          </cell>
          <cell r="AC162" t="e">
            <v>#N/A</v>
          </cell>
          <cell r="AD162" t="e">
            <v>#N/A</v>
          </cell>
          <cell r="AE162" t="e">
            <v>#N/A</v>
          </cell>
          <cell r="AF162" t="str">
            <v>V.08.01.02</v>
          </cell>
          <cell r="AG162" t="e">
            <v>#N/A</v>
          </cell>
          <cell r="AH162">
            <v>5.42</v>
          </cell>
          <cell r="AI162">
            <v>4</v>
          </cell>
          <cell r="AJ162">
            <v>0</v>
          </cell>
          <cell r="AK162">
            <v>45017</v>
          </cell>
          <cell r="AL162" t="str">
            <v>Đại học</v>
          </cell>
          <cell r="AM162" t="e">
            <v>#N/A</v>
          </cell>
          <cell r="AN162" t="str">
            <v>Sản phụ khoa</v>
          </cell>
          <cell r="AO162" t="str">
            <v>Đại học Y Hà Nội</v>
          </cell>
          <cell r="AP162">
            <v>2005</v>
          </cell>
          <cell r="AQ162" t="str">
            <v>10/10</v>
          </cell>
          <cell r="AR162" t="str">
            <v>Chuyên viên</v>
          </cell>
          <cell r="AS162" t="str">
            <v>x</v>
          </cell>
          <cell r="AT162" t="str">
            <v>Trung cấp</v>
          </cell>
          <cell r="AU162" t="str">
            <v>Anh B</v>
          </cell>
          <cell r="AV162" t="str">
            <v>Nùng</v>
          </cell>
          <cell r="AW162" t="str">
            <v>B</v>
          </cell>
          <cell r="AY162" t="str">
            <v>Kinh</v>
          </cell>
          <cell r="AZ162">
            <v>40177</v>
          </cell>
          <cell r="BA162" t="e">
            <v>#REF!</v>
          </cell>
          <cell r="BB162" t="e">
            <v>#REF!</v>
          </cell>
          <cell r="BC162" t="str">
            <v>24/6/2013</v>
          </cell>
        </row>
        <row r="163">
          <cell r="A163" t="str">
            <v>BV0242</v>
          </cell>
          <cell r="B163">
            <v>157</v>
          </cell>
          <cell r="C163" t="str">
            <v>Vi Thị Việt Hà</v>
          </cell>
          <cell r="D163" t="str">
            <v>BV0242</v>
          </cell>
          <cell r="E163">
            <v>1596010981</v>
          </cell>
          <cell r="G163" t="str">
            <v>019170001512
Cấp ngày: 29/04/2021
Cục Cảnh Sát QLHC
về TTXH</v>
          </cell>
          <cell r="I163">
            <v>25868</v>
          </cell>
          <cell r="J163">
            <v>55</v>
          </cell>
          <cell r="K163" t="str">
            <v>082001740</v>
          </cell>
          <cell r="L163" t="str">
            <v>23/3/2009</v>
          </cell>
          <cell r="M163" t="str">
            <v>CA tỉnh Lạng Sơn</v>
          </cell>
          <cell r="N163" t="str">
            <v>Tỉnh Thái Nguyên</v>
          </cell>
          <cell r="O163" t="str">
            <v>Xã Xuất Lễ</v>
          </cell>
          <cell r="P163" t="str">
            <v>Huyện Cao Lộc</v>
          </cell>
          <cell r="Q163" t="str">
            <v>Tỉnh Lạng Sơn</v>
          </cell>
          <cell r="S163" t="str">
            <v>Phường Tam Thanh</v>
          </cell>
          <cell r="T163" t="str">
            <v>Thành phố Lạng Sơn</v>
          </cell>
          <cell r="U163" t="str">
            <v>Tỉnh Lạng Sơn</v>
          </cell>
          <cell r="V163" t="str">
            <v>Phường Tam Thanh, Thành phố Lạng Sơn, Tỉnh Lạng Sơn</v>
          </cell>
          <cell r="W163" t="str">
            <v>1/10/1994</v>
          </cell>
          <cell r="AA163">
            <v>0</v>
          </cell>
          <cell r="AB163" t="str">
            <v>TĐ003</v>
          </cell>
          <cell r="AC163" t="str">
            <v>Phụ sản</v>
          </cell>
          <cell r="AD163" t="str">
            <v>KP016</v>
          </cell>
          <cell r="AE163" t="str">
            <v>Viên chức</v>
          </cell>
          <cell r="AF163" t="str">
            <v>V.08.01.02</v>
          </cell>
          <cell r="AG163" t="str">
            <v>Bác sĩ chính (hạng II)</v>
          </cell>
          <cell r="AH163">
            <v>5.76</v>
          </cell>
          <cell r="AI163">
            <v>5</v>
          </cell>
          <cell r="AJ163">
            <v>0</v>
          </cell>
          <cell r="AK163">
            <v>45323</v>
          </cell>
          <cell r="AL163" t="str">
            <v>Đại học</v>
          </cell>
          <cell r="AM163" t="str">
            <v>BSCKI</v>
          </cell>
          <cell r="AN163" t="str">
            <v>Sản phụ khoa</v>
          </cell>
          <cell r="AO163" t="str">
            <v>Đại học Y Hà Nội</v>
          </cell>
          <cell r="AP163">
            <v>2012</v>
          </cell>
          <cell r="AQ163" t="str">
            <v>12/12</v>
          </cell>
          <cell r="AR163">
            <v>0</v>
          </cell>
          <cell r="AS163">
            <v>0</v>
          </cell>
          <cell r="AT163">
            <v>0</v>
          </cell>
          <cell r="AU163">
            <v>0</v>
          </cell>
          <cell r="AV163" t="str">
            <v>Tày</v>
          </cell>
          <cell r="AW163" t="str">
            <v>B</v>
          </cell>
          <cell r="AY163" t="str">
            <v>Tày</v>
          </cell>
          <cell r="AZ163">
            <v>41649</v>
          </cell>
          <cell r="BA163" t="e">
            <v>#REF!</v>
          </cell>
          <cell r="BB163" t="e">
            <v>#REF!</v>
          </cell>
          <cell r="BC163" t="str">
            <v>24/6/2013</v>
          </cell>
        </row>
        <row r="164">
          <cell r="A164" t="str">
            <v>BV0003</v>
          </cell>
          <cell r="B164">
            <v>158</v>
          </cell>
          <cell r="C164" t="str">
            <v>Nguyễn Thúy Vân</v>
          </cell>
          <cell r="D164" t="str">
            <v>BV0003</v>
          </cell>
          <cell r="E164">
            <v>1596006903</v>
          </cell>
          <cell r="G164" t="str">
            <v>020171000754
Cấp ngày: 21/06/2021
Cục cảnh sát QLHC
về TTXH</v>
          </cell>
          <cell r="I164">
            <v>26226</v>
          </cell>
          <cell r="J164">
            <v>54</v>
          </cell>
          <cell r="K164" t="str">
            <v>082265362</v>
          </cell>
          <cell r="L164" t="str">
            <v>31/8/2011</v>
          </cell>
          <cell r="M164" t="str">
            <v>CA tỉnh Lạng Sơn</v>
          </cell>
          <cell r="N164" t="str">
            <v>Tỉnh Lạng Sơn</v>
          </cell>
          <cell r="P164" t="str">
            <v>Huyện Ý Yên</v>
          </cell>
          <cell r="Q164" t="str">
            <v>Tỉnh Nam Định</v>
          </cell>
          <cell r="S164" t="str">
            <v>Thị trấn Đồng Đăng</v>
          </cell>
          <cell r="T164" t="str">
            <v>Huyện Cao Lộc</v>
          </cell>
          <cell r="U164" t="str">
            <v>Tỉnh Lạng Sơn</v>
          </cell>
          <cell r="V164" t="str">
            <v>Thị trấn Đồng Đăng, Huyện Cao Lộc, Tỉnh Lạng Sơn</v>
          </cell>
          <cell r="W164" t="str">
            <v>15/11/1993</v>
          </cell>
          <cell r="AA164">
            <v>0</v>
          </cell>
          <cell r="AB164" t="str">
            <v>TĐ003</v>
          </cell>
          <cell r="AC164" t="str">
            <v>Phụ sản</v>
          </cell>
          <cell r="AD164" t="str">
            <v>KP016</v>
          </cell>
          <cell r="AE164" t="str">
            <v>Viên chức</v>
          </cell>
          <cell r="AF164" t="str">
            <v>V.08.01.02</v>
          </cell>
          <cell r="AG164" t="str">
            <v>Bác sĩ chính (hạng II)</v>
          </cell>
          <cell r="AH164">
            <v>5.42</v>
          </cell>
          <cell r="AI164">
            <v>4</v>
          </cell>
          <cell r="AJ164">
            <v>0</v>
          </cell>
          <cell r="AK164">
            <v>45047</v>
          </cell>
          <cell r="AL164" t="str">
            <v>Đại học</v>
          </cell>
          <cell r="AM164" t="str">
            <v>BSCKI</v>
          </cell>
          <cell r="AN164" t="str">
            <v>Sản phụ khoa</v>
          </cell>
          <cell r="AO164" t="str">
            <v>Đại học Y Hà Nội</v>
          </cell>
          <cell r="AP164">
            <v>2005</v>
          </cell>
          <cell r="AQ164" t="str">
            <v>12/12</v>
          </cell>
          <cell r="AR164">
            <v>0</v>
          </cell>
          <cell r="AS164">
            <v>0</v>
          </cell>
          <cell r="AT164">
            <v>0</v>
          </cell>
          <cell r="AU164">
            <v>0</v>
          </cell>
          <cell r="AV164" t="str">
            <v>Nùng</v>
          </cell>
          <cell r="AW164" t="str">
            <v>Cơ bản</v>
          </cell>
          <cell r="AY164" t="str">
            <v>Kinh</v>
          </cell>
          <cell r="AZ164">
            <v>41121</v>
          </cell>
          <cell r="BA164" t="e">
            <v>#REF!</v>
          </cell>
          <cell r="BB164" t="e">
            <v>#REF!</v>
          </cell>
          <cell r="BC164" t="str">
            <v>24/6/2013</v>
          </cell>
        </row>
        <row r="165">
          <cell r="A165" t="str">
            <v>BV0246</v>
          </cell>
          <cell r="B165">
            <v>159</v>
          </cell>
          <cell r="C165" t="str">
            <v>Hoàng Thị Hồng Chiêm</v>
          </cell>
          <cell r="D165" t="str">
            <v>BV0246</v>
          </cell>
          <cell r="E165">
            <v>2011001567</v>
          </cell>
          <cell r="G165" t="str">
            <v>020186011848
Cấp ngày: 14/08/2021
Cục cảnh sát QLHC
về TTXH</v>
          </cell>
          <cell r="I165">
            <v>31639</v>
          </cell>
          <cell r="J165">
            <v>39</v>
          </cell>
          <cell r="K165" t="str">
            <v>082008757</v>
          </cell>
          <cell r="L165" t="str">
            <v>02/7/2010</v>
          </cell>
          <cell r="M165" t="str">
            <v>CA tỉnh Lạng Sơn</v>
          </cell>
          <cell r="N165" t="str">
            <v>Xã Quốc Khánh, huyện Tràng Định, tỉnh Lạng Sơn</v>
          </cell>
          <cell r="O165" t="str">
            <v>Xã Quốc Khánh</v>
          </cell>
          <cell r="P165" t="str">
            <v>Huyện Tràng Định</v>
          </cell>
          <cell r="Q165" t="str">
            <v>Tỉnh Lạng Sơn</v>
          </cell>
          <cell r="S165" t="str">
            <v>Phường Chi Lăng</v>
          </cell>
          <cell r="T165" t="str">
            <v>Thành phố Lạng Sơn</v>
          </cell>
          <cell r="U165" t="str">
            <v>Tỉnh Lạng Sơn</v>
          </cell>
          <cell r="V165" t="str">
            <v>Phường Chi Lăng, Thành phố Lạng Sơn, Tỉnh Lạng Sơn</v>
          </cell>
          <cell r="W165" t="str">
            <v>10/6/2013</v>
          </cell>
          <cell r="AA165">
            <v>0</v>
          </cell>
          <cell r="AB165" t="str">
            <v>TĐ003</v>
          </cell>
          <cell r="AC165" t="str">
            <v>Phụ sản</v>
          </cell>
          <cell r="AD165" t="str">
            <v>KP016</v>
          </cell>
          <cell r="AE165" t="str">
            <v>Viên chức</v>
          </cell>
          <cell r="AF165" t="str">
            <v>V.08.01.03</v>
          </cell>
          <cell r="AG165" t="str">
            <v>Bác sĩ (hạng III)</v>
          </cell>
          <cell r="AH165">
            <v>3.66</v>
          </cell>
          <cell r="AI165">
            <v>5</v>
          </cell>
          <cell r="AJ165">
            <v>0</v>
          </cell>
          <cell r="AK165">
            <v>45631</v>
          </cell>
          <cell r="AL165" t="str">
            <v>Đại học</v>
          </cell>
          <cell r="AM165" t="str">
            <v>BSCKI</v>
          </cell>
          <cell r="AN165" t="str">
            <v>Sản phụ khoa</v>
          </cell>
          <cell r="AO165" t="str">
            <v>Đại học Y Hà Nội</v>
          </cell>
          <cell r="AP165">
            <v>2018</v>
          </cell>
          <cell r="AQ165" t="str">
            <v>12/12</v>
          </cell>
          <cell r="AR165">
            <v>0</v>
          </cell>
          <cell r="AS165">
            <v>0</v>
          </cell>
          <cell r="AT165">
            <v>0</v>
          </cell>
          <cell r="AU165">
            <v>0</v>
          </cell>
          <cell r="AV165">
            <v>0</v>
          </cell>
          <cell r="AW165">
            <v>0</v>
          </cell>
          <cell r="AY165" t="str">
            <v>Nùng</v>
          </cell>
          <cell r="BA165" t="e">
            <v>#REF!</v>
          </cell>
          <cell r="BB165" t="e">
            <v>#REF!</v>
          </cell>
          <cell r="BC165" t="str">
            <v>24/6/2013</v>
          </cell>
        </row>
        <row r="166">
          <cell r="A166" t="str">
            <v>BV0684</v>
          </cell>
          <cell r="B166">
            <v>160</v>
          </cell>
          <cell r="C166" t="str">
            <v>Tạ Tuấn Vũ</v>
          </cell>
          <cell r="D166" t="str">
            <v>BV0684</v>
          </cell>
          <cell r="E166">
            <v>2016000984</v>
          </cell>
          <cell r="G166" t="str">
            <v>082113216
Cấp:28/05/2007
Công An Tỉnh Lạng Sơn</v>
          </cell>
          <cell r="H166" t="str">
            <v>02/01/1990</v>
          </cell>
          <cell r="J166">
            <v>36</v>
          </cell>
          <cell r="K166" t="str">
            <v>082113216</v>
          </cell>
          <cell r="L166" t="str">
            <v>28/5/2007</v>
          </cell>
          <cell r="M166" t="str">
            <v>CA tỉnh Lạng Sơn</v>
          </cell>
          <cell r="N166" t="str">
            <v>Tỉnh Lạng Sơn</v>
          </cell>
          <cell r="P166" t="str">
            <v>Huyện Tiên Du</v>
          </cell>
          <cell r="Q166" t="str">
            <v>Tỉnh Bắc Ninh</v>
          </cell>
          <cell r="S166" t="str">
            <v>Phường Tam Thanh</v>
          </cell>
          <cell r="T166" t="str">
            <v>Thành phố Lạng Sơn</v>
          </cell>
          <cell r="U166" t="str">
            <v>Tỉnh Lạng Sơn</v>
          </cell>
          <cell r="V166" t="str">
            <v>Phường Tam Thanh, Thành phố Lạng Sơn, Tỉnh Lạng Sơn</v>
          </cell>
          <cell r="W166" t="str">
            <v>10/01/2016</v>
          </cell>
          <cell r="AA166" t="e">
            <v>#N/A</v>
          </cell>
          <cell r="AB166" t="e">
            <v>#N/A</v>
          </cell>
          <cell r="AC166" t="e">
            <v>#N/A</v>
          </cell>
          <cell r="AD166" t="e">
            <v>#N/A</v>
          </cell>
          <cell r="AE166" t="e">
            <v>#N/A</v>
          </cell>
          <cell r="AF166" t="str">
            <v>V.08.01.03</v>
          </cell>
          <cell r="AG166" t="e">
            <v>#N/A</v>
          </cell>
          <cell r="AH166">
            <v>3</v>
          </cell>
          <cell r="AI166">
            <v>3</v>
          </cell>
          <cell r="AJ166">
            <v>0</v>
          </cell>
          <cell r="AK166" t="str">
            <v>21/10/2022</v>
          </cell>
          <cell r="AL166" t="str">
            <v>Đại học</v>
          </cell>
          <cell r="AM166" t="e">
            <v>#N/A</v>
          </cell>
          <cell r="AN166" t="str">
            <v>Sản phụ khoa</v>
          </cell>
          <cell r="AO166" t="str">
            <v>Đại học Y Dược  - ĐH Thái Nguyên</v>
          </cell>
          <cell r="AP166">
            <v>2015</v>
          </cell>
          <cell r="AQ166" t="str">
            <v>12/12</v>
          </cell>
          <cell r="AR166">
            <v>0</v>
          </cell>
          <cell r="AS166">
            <v>0</v>
          </cell>
          <cell r="AT166">
            <v>0</v>
          </cell>
          <cell r="AU166">
            <v>0</v>
          </cell>
          <cell r="AV166">
            <v>0</v>
          </cell>
          <cell r="AW166">
            <v>0</v>
          </cell>
          <cell r="AY166" t="str">
            <v>Kinh</v>
          </cell>
          <cell r="BA166" t="e">
            <v>#REF!</v>
          </cell>
          <cell r="BB166" t="e">
            <v>#REF!</v>
          </cell>
        </row>
        <row r="167">
          <cell r="A167" t="str">
            <v>BV0243</v>
          </cell>
          <cell r="B167">
            <v>161</v>
          </cell>
          <cell r="C167" t="str">
            <v>Đoàn Anh Đức</v>
          </cell>
          <cell r="D167" t="str">
            <v>BV0243</v>
          </cell>
          <cell r="E167">
            <v>1506002912</v>
          </cell>
          <cell r="G167" t="str">
            <v>020082001917
Cấp ngày: 16/04/2021
Cục cảnh sát QLHC
về TTXH</v>
          </cell>
          <cell r="H167">
            <v>30081</v>
          </cell>
          <cell r="J167">
            <v>44</v>
          </cell>
          <cell r="K167" t="str">
            <v>080986441</v>
          </cell>
          <cell r="L167" t="str">
            <v>12/12/2011</v>
          </cell>
          <cell r="M167" t="str">
            <v>CA tỉnh Lạng Sơn</v>
          </cell>
          <cell r="P167" t="str">
            <v>Huyện Tràng Định</v>
          </cell>
          <cell r="Q167" t="str">
            <v>Tỉnh Lạng Sơn</v>
          </cell>
          <cell r="S167" t="str">
            <v>Phường Hoàng Văn Thụ</v>
          </cell>
          <cell r="T167" t="str">
            <v>Thành phố Lạng Sơn</v>
          </cell>
          <cell r="U167" t="str">
            <v>Tỉnh Lạng Sơn</v>
          </cell>
          <cell r="V167" t="str">
            <v>Phường Hoàng Văn Thụ, Thành phố Lạng Sơn, Tỉnh Lạng Sơn</v>
          </cell>
          <cell r="W167" t="str">
            <v>5/12/2006</v>
          </cell>
          <cell r="AA167" t="str">
            <v>Phó trưởng khoa</v>
          </cell>
          <cell r="AB167" t="str">
            <v>TĐ004</v>
          </cell>
          <cell r="AC167" t="str">
            <v>Phụ sản</v>
          </cell>
          <cell r="AD167" t="str">
            <v>KP016</v>
          </cell>
          <cell r="AE167" t="str">
            <v>Viên chức</v>
          </cell>
          <cell r="AF167" t="str">
            <v>V.08.01.03</v>
          </cell>
          <cell r="AG167" t="str">
            <v>Bác sĩ (hạng III)</v>
          </cell>
          <cell r="AH167">
            <v>4.32</v>
          </cell>
          <cell r="AI167">
            <v>7</v>
          </cell>
          <cell r="AJ167">
            <v>0</v>
          </cell>
          <cell r="AK167">
            <v>45717</v>
          </cell>
          <cell r="AL167" t="str">
            <v>Đại học</v>
          </cell>
          <cell r="AM167" t="str">
            <v>Thạc sỹ</v>
          </cell>
          <cell r="AN167" t="str">
            <v>Sản phụ khoa</v>
          </cell>
          <cell r="AO167" t="str">
            <v xml:space="preserve">ĐH Y Hà Nội </v>
          </cell>
          <cell r="AP167">
            <v>2014</v>
          </cell>
          <cell r="AQ167" t="str">
            <v>12/12</v>
          </cell>
          <cell r="AR167">
            <v>0</v>
          </cell>
          <cell r="AS167">
            <v>0</v>
          </cell>
          <cell r="AT167">
            <v>0</v>
          </cell>
          <cell r="AU167">
            <v>0</v>
          </cell>
          <cell r="AV167">
            <v>0</v>
          </cell>
          <cell r="AW167">
            <v>0</v>
          </cell>
          <cell r="AY167" t="str">
            <v>Tày</v>
          </cell>
          <cell r="AZ167">
            <v>40753</v>
          </cell>
          <cell r="BA167" t="e">
            <v>#REF!</v>
          </cell>
          <cell r="BB167" t="e">
            <v>#REF!</v>
          </cell>
        </row>
        <row r="168">
          <cell r="A168" t="str">
            <v>BV0245</v>
          </cell>
          <cell r="B168">
            <v>162</v>
          </cell>
          <cell r="C168" t="str">
            <v>Như Thùy Vân</v>
          </cell>
          <cell r="D168" t="str">
            <v>BV0245</v>
          </cell>
          <cell r="E168">
            <v>2009000920</v>
          </cell>
          <cell r="G168" t="str">
            <v>020184006989
Cấp ngày: 21/06/2021
Cục cảnh sát QLHC
về TTXH</v>
          </cell>
          <cell r="I168">
            <v>30947</v>
          </cell>
          <cell r="J168">
            <v>41</v>
          </cell>
          <cell r="K168" t="str">
            <v>081037940</v>
          </cell>
          <cell r="L168" t="str">
            <v>17/8/2011</v>
          </cell>
          <cell r="M168" t="str">
            <v>CA tỉnh Lạng Sơn</v>
          </cell>
          <cell r="N168" t="str">
            <v>Tỉnh Lạng Sơn</v>
          </cell>
          <cell r="P168" t="str">
            <v>Huyện Lạng Giang</v>
          </cell>
          <cell r="Q168" t="str">
            <v>Tỉnh Bắc Giang</v>
          </cell>
          <cell r="S168" t="str">
            <v>Phường Hoàng Văn Thụ</v>
          </cell>
          <cell r="T168" t="str">
            <v>Thành phố Lạng Sơn</v>
          </cell>
          <cell r="U168" t="str">
            <v>Tỉnh Lạng Sơn</v>
          </cell>
          <cell r="V168" t="str">
            <v>Phường Hoàng Văn Thụ, Thành phố Lạng Sơn, Tỉnh Lạng Sơn</v>
          </cell>
          <cell r="W168" t="str">
            <v>1/12/2008</v>
          </cell>
          <cell r="AA168">
            <v>0</v>
          </cell>
          <cell r="AB168" t="str">
            <v>TĐ001</v>
          </cell>
          <cell r="AC168" t="str">
            <v>Phụ sản</v>
          </cell>
          <cell r="AD168" t="str">
            <v>KP016</v>
          </cell>
          <cell r="AE168" t="str">
            <v>Viên chức</v>
          </cell>
          <cell r="AF168" t="str">
            <v>V.08.01.02</v>
          </cell>
          <cell r="AG168" t="str">
            <v>Bác sĩ chính (hạng II)</v>
          </cell>
          <cell r="AH168">
            <v>4.74</v>
          </cell>
          <cell r="AI168">
            <v>2</v>
          </cell>
          <cell r="AJ168">
            <v>0</v>
          </cell>
          <cell r="AK168">
            <v>45992</v>
          </cell>
          <cell r="AL168" t="str">
            <v>Đại học</v>
          </cell>
          <cell r="AM168" t="str">
            <v>BSCKII</v>
          </cell>
          <cell r="AN168" t="str">
            <v>Sản phụ khoa</v>
          </cell>
          <cell r="AO168" t="str">
            <v>Đại học Y Hà Nội</v>
          </cell>
          <cell r="AP168">
            <v>2016</v>
          </cell>
          <cell r="AQ168" t="str">
            <v>12/12</v>
          </cell>
          <cell r="AR168">
            <v>0</v>
          </cell>
          <cell r="AS168" t="str">
            <v>x</v>
          </cell>
          <cell r="AT168" t="str">
            <v>Trung cấp</v>
          </cell>
          <cell r="AU168" t="str">
            <v>Anh B</v>
          </cell>
          <cell r="AV168" t="str">
            <v>Tày</v>
          </cell>
          <cell r="AW168" t="str">
            <v>Cơ bản</v>
          </cell>
          <cell r="AY168" t="str">
            <v>Kinh</v>
          </cell>
          <cell r="AZ168">
            <v>39229</v>
          </cell>
          <cell r="BA168" t="e">
            <v>#REF!</v>
          </cell>
          <cell r="BB168" t="e">
            <v>#REF!</v>
          </cell>
          <cell r="BC168" t="str">
            <v>24/6/2013</v>
          </cell>
        </row>
        <row r="169">
          <cell r="A169" t="str">
            <v>BV0809</v>
          </cell>
          <cell r="B169">
            <v>163</v>
          </cell>
          <cell r="C169" t="str">
            <v>Bạch Khánh Vân</v>
          </cell>
          <cell r="D169" t="str">
            <v>BV0809</v>
          </cell>
          <cell r="E169">
            <v>2016001453</v>
          </cell>
          <cell r="G169" t="str">
            <v xml:space="preserve">082106008
Cấp ngày: 21/12/2006
Công An Tỉnh Lạng Sơn
</v>
          </cell>
          <cell r="I169" t="str">
            <v>18/5/1990</v>
          </cell>
          <cell r="J169">
            <v>36</v>
          </cell>
          <cell r="K169" t="str">
            <v>082106008</v>
          </cell>
          <cell r="L169" t="str">
            <v>21/12/2006</v>
          </cell>
          <cell r="M169" t="str">
            <v>CA tỉnh Lạng Sơn</v>
          </cell>
          <cell r="N169" t="str">
            <v>Tỉnh Lạng Sơn</v>
          </cell>
          <cell r="O169" t="str">
            <v>TT Bình Gia</v>
          </cell>
          <cell r="P169" t="str">
            <v>Huyện Bình Gia</v>
          </cell>
          <cell r="Q169" t="str">
            <v>Tỉnh Lạng Sơn</v>
          </cell>
          <cell r="S169" t="str">
            <v>Thị Trấn Bình Gia</v>
          </cell>
          <cell r="T169" t="str">
            <v>Huyện Bình Gia</v>
          </cell>
          <cell r="U169" t="str">
            <v>Tỉnh Lạng Sơn</v>
          </cell>
          <cell r="V169" t="str">
            <v>Thị trấn Bình Gia, Huyện Bình Gia, Tỉnh Lạng Sơn</v>
          </cell>
          <cell r="W169" t="str">
            <v>10/01/2016</v>
          </cell>
          <cell r="AA169">
            <v>0</v>
          </cell>
          <cell r="AB169" t="str">
            <v>TĐ003</v>
          </cell>
          <cell r="AC169" t="str">
            <v>Phụ sản</v>
          </cell>
          <cell r="AD169" t="str">
            <v>KP016</v>
          </cell>
          <cell r="AE169" t="str">
            <v>Viên chức</v>
          </cell>
          <cell r="AF169" t="str">
            <v>V.08.01.03</v>
          </cell>
          <cell r="AG169" t="str">
            <v>Bác sĩ (hạng III)</v>
          </cell>
          <cell r="AH169">
            <v>3.33</v>
          </cell>
          <cell r="AI169">
            <v>4</v>
          </cell>
          <cell r="AJ169">
            <v>0</v>
          </cell>
          <cell r="AK169">
            <v>45941</v>
          </cell>
          <cell r="AL169" t="str">
            <v>Đại học</v>
          </cell>
          <cell r="AM169" t="str">
            <v>BSCKI</v>
          </cell>
          <cell r="AN169" t="str">
            <v>Sản phụ khoa</v>
          </cell>
          <cell r="AO169" t="str">
            <v>Đại học Y Dược  - ĐH Thái Nguyên</v>
          </cell>
          <cell r="AP169">
            <v>2015</v>
          </cell>
          <cell r="AQ169" t="str">
            <v>12/12</v>
          </cell>
          <cell r="AR169">
            <v>0</v>
          </cell>
          <cell r="AS169">
            <v>0</v>
          </cell>
          <cell r="AT169">
            <v>0</v>
          </cell>
          <cell r="AU169" t="str">
            <v>Anh B</v>
          </cell>
          <cell r="AV169">
            <v>0</v>
          </cell>
          <cell r="AW169" t="str">
            <v>B</v>
          </cell>
          <cell r="AY169" t="str">
            <v>Kinh</v>
          </cell>
          <cell r="AZ169">
            <v>43517</v>
          </cell>
          <cell r="BA169" t="e">
            <v>#REF!</v>
          </cell>
          <cell r="BB169" t="e">
            <v>#REF!</v>
          </cell>
        </row>
        <row r="170">
          <cell r="A170" t="str">
            <v>BV0248</v>
          </cell>
          <cell r="B170">
            <v>164</v>
          </cell>
          <cell r="C170" t="str">
            <v>Đặng Thúy Loan</v>
          </cell>
          <cell r="D170" t="str">
            <v>BV0248</v>
          </cell>
          <cell r="E170">
            <v>2015002114</v>
          </cell>
          <cell r="G170" t="str">
            <v>002188005485
Cấp ngày: 14/09/2021
Cục cảnh sát QLHC
về TTXH</v>
          </cell>
          <cell r="I170">
            <v>32159</v>
          </cell>
          <cell r="J170">
            <v>38</v>
          </cell>
          <cell r="K170" t="str">
            <v>082331415</v>
          </cell>
          <cell r="L170" t="str">
            <v>18/3/2015</v>
          </cell>
          <cell r="M170" t="str">
            <v>CA tỉnh Lạng Sơn</v>
          </cell>
          <cell r="N170" t="str">
            <v xml:space="preserve">Hà Giang </v>
          </cell>
          <cell r="O170" t="str">
            <v>Phường Tam Thanh</v>
          </cell>
          <cell r="P170" t="str">
            <v>Thành phố Lạng Sơn</v>
          </cell>
          <cell r="Q170" t="str">
            <v>Tỉnh Lạng Sơn</v>
          </cell>
          <cell r="R170" t="str">
            <v>Số 60 Phố Muối</v>
          </cell>
          <cell r="S170" t="str">
            <v>Phường Tam Thanh</v>
          </cell>
          <cell r="T170" t="str">
            <v>Thành phố Lạng Sơn</v>
          </cell>
          <cell r="U170" t="str">
            <v>Tỉnh Lạng Sơn</v>
          </cell>
          <cell r="V170" t="str">
            <v>Phường Tam Thanh, Thành phố Lạng Sơn, Tỉnh Lạng Sơn</v>
          </cell>
          <cell r="W170" t="str">
            <v>1/1/2015</v>
          </cell>
          <cell r="AA170">
            <v>0</v>
          </cell>
          <cell r="AB170" t="str">
            <v>TĐ003</v>
          </cell>
          <cell r="AC170" t="str">
            <v>Phụ sản</v>
          </cell>
          <cell r="AD170" t="str">
            <v>KP016</v>
          </cell>
          <cell r="AE170" t="str">
            <v>Viên chức</v>
          </cell>
          <cell r="AF170" t="str">
            <v>V.08.01.03</v>
          </cell>
          <cell r="AG170" t="str">
            <v>Bác sĩ (hạng III)</v>
          </cell>
          <cell r="AH170">
            <v>3</v>
          </cell>
          <cell r="AI170">
            <v>3</v>
          </cell>
          <cell r="AJ170">
            <v>0</v>
          </cell>
          <cell r="AK170">
            <v>45006</v>
          </cell>
          <cell r="AL170" t="str">
            <v>Đại học</v>
          </cell>
          <cell r="AM170" t="str">
            <v>BSCKI</v>
          </cell>
          <cell r="AN170" t="str">
            <v>Sản phụ khoa</v>
          </cell>
          <cell r="AO170" t="str">
            <v>Đại học Y Dược Thái Bình</v>
          </cell>
          <cell r="AP170">
            <v>2014</v>
          </cell>
          <cell r="AQ170" t="str">
            <v>12/12</v>
          </cell>
          <cell r="AR170">
            <v>0</v>
          </cell>
          <cell r="AS170">
            <v>0</v>
          </cell>
          <cell r="AT170">
            <v>0</v>
          </cell>
          <cell r="AU170">
            <v>0</v>
          </cell>
          <cell r="AV170">
            <v>0</v>
          </cell>
          <cell r="AW170">
            <v>0</v>
          </cell>
          <cell r="AY170" t="str">
            <v>Kinh</v>
          </cell>
          <cell r="BA170" t="e">
            <v>#REF!</v>
          </cell>
          <cell r="BB170" t="e">
            <v>#REF!</v>
          </cell>
          <cell r="BC170" t="str">
            <v>20/12/2012</v>
          </cell>
        </row>
        <row r="171">
          <cell r="A171" t="str">
            <v>BV0841</v>
          </cell>
          <cell r="B171">
            <v>165</v>
          </cell>
          <cell r="C171" t="str">
            <v>Vi Việt Chinh</v>
          </cell>
          <cell r="D171" t="str">
            <v>BV0841</v>
          </cell>
          <cell r="E171" t="str">
            <v>2020671989</v>
          </cell>
          <cell r="G171" t="str">
            <v>020092002124
Cấp ngày: 24/04/2021
Cục cảnh sát QLHC
về TTXH</v>
          </cell>
          <cell r="H171" t="str">
            <v>15/9/1992</v>
          </cell>
          <cell r="J171">
            <v>33</v>
          </cell>
          <cell r="K171" t="str">
            <v>082166535</v>
          </cell>
          <cell r="L171" t="str">
            <v>08/04/2008</v>
          </cell>
          <cell r="M171" t="str">
            <v>CA tỉnh Lạng Sơn</v>
          </cell>
          <cell r="N171" t="str">
            <v>Thị trấn Lộc Bình</v>
          </cell>
          <cell r="O171" t="str">
            <v>Xã Khuất Xá</v>
          </cell>
          <cell r="P171" t="str">
            <v>Huyện Lộc Bình</v>
          </cell>
          <cell r="Q171" t="str">
            <v>Tỉnh Lạng Sơn</v>
          </cell>
          <cell r="R171" t="str">
            <v xml:space="preserve">Khu Hòa Bình </v>
          </cell>
          <cell r="S171" t="str">
            <v>TT Lộc Bình</v>
          </cell>
          <cell r="T171" t="str">
            <v>Huyện Lộc Bình</v>
          </cell>
          <cell r="U171" t="str">
            <v>Tỉnh Lạng Sơn</v>
          </cell>
          <cell r="V171" t="str">
            <v>Khu Hòa Bình Thị trấn Lộc Bình, huyện Lộc Bình, tỉnh Lạng Sơn</v>
          </cell>
          <cell r="W171" t="str">
            <v>20/3/2018</v>
          </cell>
          <cell r="Y171">
            <v>574</v>
          </cell>
          <cell r="Z171" t="str">
            <v>18/3/2018</v>
          </cell>
          <cell r="AA171">
            <v>0</v>
          </cell>
          <cell r="AB171" t="str">
            <v>TĐ003</v>
          </cell>
          <cell r="AC171" t="str">
            <v>Phụ sản</v>
          </cell>
          <cell r="AD171" t="str">
            <v>KP016</v>
          </cell>
          <cell r="AE171" t="str">
            <v>Viên chức</v>
          </cell>
          <cell r="AF171" t="str">
            <v>V.08.01.03</v>
          </cell>
          <cell r="AG171" t="str">
            <v>Bác sĩ (hạng III)</v>
          </cell>
          <cell r="AH171">
            <v>3</v>
          </cell>
          <cell r="AI171">
            <v>3</v>
          </cell>
          <cell r="AJ171">
            <v>0</v>
          </cell>
          <cell r="AK171">
            <v>45658</v>
          </cell>
          <cell r="AL171" t="str">
            <v>Đại học</v>
          </cell>
          <cell r="AM171" t="str">
            <v>BSCKI</v>
          </cell>
          <cell r="AN171" t="str">
            <v>Đa khoa</v>
          </cell>
          <cell r="AO171" t="str">
            <v>Đại học Y Dược Hải Phòng</v>
          </cell>
          <cell r="AP171">
            <v>2017</v>
          </cell>
          <cell r="AQ171" t="str">
            <v>12/12</v>
          </cell>
          <cell r="AR171">
            <v>0</v>
          </cell>
          <cell r="AS171">
            <v>0</v>
          </cell>
          <cell r="AT171">
            <v>0</v>
          </cell>
          <cell r="AU171" t="str">
            <v>Anh B</v>
          </cell>
          <cell r="AV171">
            <v>0</v>
          </cell>
          <cell r="AW171" t="str">
            <v>Cơ bản</v>
          </cell>
          <cell r="AY171" t="str">
            <v>Tày</v>
          </cell>
          <cell r="AZ171">
            <v>42881</v>
          </cell>
          <cell r="BC171" t="str">
            <v>25/10/2012</v>
          </cell>
        </row>
        <row r="172">
          <cell r="A172" t="str">
            <v>BV0790</v>
          </cell>
          <cell r="B172">
            <v>166</v>
          </cell>
          <cell r="C172" t="str">
            <v>Dương Tuyết Nhung</v>
          </cell>
          <cell r="D172" t="str">
            <v>BV0790</v>
          </cell>
          <cell r="E172" t="str">
            <v>2020410452</v>
          </cell>
          <cell r="G172" t="str">
            <v>082230040
Cấp ngày:10/12/2009
Công An Tỉnh Lạng Sơn</v>
          </cell>
          <cell r="I172" t="str">
            <v>20/12/1992</v>
          </cell>
          <cell r="J172">
            <v>33</v>
          </cell>
          <cell r="K172" t="str">
            <v>082230040</v>
          </cell>
          <cell r="L172" t="str">
            <v>10/12/2009</v>
          </cell>
          <cell r="M172" t="str">
            <v>CA tỉnh Lạng Sơn</v>
          </cell>
          <cell r="N172" t="str">
            <v>Long Đống Bắc Sơn</v>
          </cell>
          <cell r="O172" t="str">
            <v>Long Đống</v>
          </cell>
          <cell r="P172" t="str">
            <v>Bắc Sơn</v>
          </cell>
          <cell r="Q172" t="str">
            <v>Lạng Sơn</v>
          </cell>
          <cell r="R172" t="str">
            <v>Xã Long Đống, huyện Bắc Sơn, tỉnh Lạng Sơn</v>
          </cell>
          <cell r="V172" t="str">
            <v>Xã Long Đống, huyện Bắc Sơn, tỉnh Lạng Sơn</v>
          </cell>
          <cell r="W172" t="str">
            <v>20/3/2018</v>
          </cell>
          <cell r="X172" t="str">
            <v xml:space="preserve"> 01/9/2017</v>
          </cell>
          <cell r="Y172">
            <v>570</v>
          </cell>
          <cell r="Z172" t="str">
            <v>18/3/2018</v>
          </cell>
          <cell r="AA172">
            <v>0</v>
          </cell>
          <cell r="AB172" t="str">
            <v>TĐ003</v>
          </cell>
          <cell r="AC172" t="str">
            <v>Phụ sản</v>
          </cell>
          <cell r="AD172" t="str">
            <v>KP016</v>
          </cell>
          <cell r="AE172" t="str">
            <v>Viên chức</v>
          </cell>
          <cell r="AF172" t="str">
            <v>V.08.01.03</v>
          </cell>
          <cell r="AG172" t="str">
            <v>Bác sĩ (hạng III)</v>
          </cell>
          <cell r="AH172">
            <v>3</v>
          </cell>
          <cell r="AI172">
            <v>3</v>
          </cell>
          <cell r="AJ172">
            <v>0</v>
          </cell>
          <cell r="AK172">
            <v>45658</v>
          </cell>
          <cell r="AL172" t="str">
            <v>Đại học</v>
          </cell>
          <cell r="AM172" t="str">
            <v>BSCKI</v>
          </cell>
          <cell r="AN172" t="str">
            <v>Đa khoa</v>
          </cell>
          <cell r="AO172" t="str">
            <v>ĐH Y Dược Thái Bình</v>
          </cell>
          <cell r="AP172">
            <v>2017</v>
          </cell>
          <cell r="AQ172" t="str">
            <v>12/12</v>
          </cell>
          <cell r="AR172">
            <v>0</v>
          </cell>
          <cell r="AS172">
            <v>0</v>
          </cell>
          <cell r="AT172">
            <v>0</v>
          </cell>
          <cell r="AU172">
            <v>0</v>
          </cell>
          <cell r="AV172">
            <v>0</v>
          </cell>
          <cell r="AW172">
            <v>0</v>
          </cell>
          <cell r="AY172" t="str">
            <v>Tày</v>
          </cell>
          <cell r="BC172" t="str">
            <v>09/5/2012</v>
          </cell>
        </row>
        <row r="173">
          <cell r="A173" t="str">
            <v>BV0264</v>
          </cell>
          <cell r="B173">
            <v>167</v>
          </cell>
          <cell r="C173" t="str">
            <v>Trần Thị Hương</v>
          </cell>
          <cell r="D173" t="str">
            <v>BV0264</v>
          </cell>
          <cell r="E173">
            <v>1504000559</v>
          </cell>
          <cell r="G173" t="str">
            <v>034180011929
Cấp ngày: 29 /04/2021
Cục cảnh sát QLHC
về TTXH</v>
          </cell>
          <cell r="I173">
            <v>29230</v>
          </cell>
          <cell r="J173">
            <v>46</v>
          </cell>
          <cell r="K173" t="str">
            <v>082219683</v>
          </cell>
          <cell r="L173" t="str">
            <v>23/12/2009</v>
          </cell>
          <cell r="M173" t="str">
            <v>CA tỉnh Lạng Sơn</v>
          </cell>
          <cell r="N173" t="str">
            <v>Tỉnh Thái Bình</v>
          </cell>
          <cell r="O173" t="str">
            <v>Xã Nam Bình</v>
          </cell>
          <cell r="P173" t="str">
            <v>Huyện Kiến Xương</v>
          </cell>
          <cell r="Q173" t="str">
            <v>Tỉnh Thái Bình</v>
          </cell>
          <cell r="S173" t="str">
            <v>Phường Tam Thanh</v>
          </cell>
          <cell r="T173" t="str">
            <v>Thành phố Lạng Sơn</v>
          </cell>
          <cell r="U173" t="str">
            <v>Tỉnh Lạng Sơn</v>
          </cell>
          <cell r="V173" t="str">
            <v>Phường Tam Thanh, Thành phố Lạng Sơn, Tỉnh Lạng Sơn</v>
          </cell>
          <cell r="W173" t="str">
            <v>1/10/2002</v>
          </cell>
          <cell r="AA173">
            <v>0</v>
          </cell>
          <cell r="AB173" t="str">
            <v>TĐ017</v>
          </cell>
          <cell r="AC173" t="str">
            <v>Phụ sản</v>
          </cell>
          <cell r="AD173" t="str">
            <v>KP016</v>
          </cell>
          <cell r="AE173" t="str">
            <v>Viên chức</v>
          </cell>
          <cell r="AF173" t="str">
            <v>V.08.06.16</v>
          </cell>
          <cell r="AG173" t="str">
            <v>Hộ sinh (hạng III)</v>
          </cell>
          <cell r="AH173">
            <v>3.99</v>
          </cell>
          <cell r="AI173">
            <v>6</v>
          </cell>
          <cell r="AJ173">
            <v>0</v>
          </cell>
          <cell r="AK173">
            <v>45292</v>
          </cell>
          <cell r="AL173" t="str">
            <v>Đại học</v>
          </cell>
          <cell r="AM173" t="str">
            <v>Hộ sinh ĐH</v>
          </cell>
          <cell r="AR173">
            <v>0</v>
          </cell>
          <cell r="AS173">
            <v>0</v>
          </cell>
          <cell r="AT173">
            <v>0</v>
          </cell>
          <cell r="AU173" t="str">
            <v>Anh B</v>
          </cell>
          <cell r="AV173" t="str">
            <v>Tày</v>
          </cell>
          <cell r="AW173" t="str">
            <v>B</v>
          </cell>
          <cell r="AY173" t="str">
            <v>Kinh</v>
          </cell>
          <cell r="AZ173">
            <v>41439</v>
          </cell>
          <cell r="BA173" t="e">
            <v>#REF!</v>
          </cell>
          <cell r="BB173" t="e">
            <v>#REF!</v>
          </cell>
          <cell r="BC173" t="str">
            <v>24/6/2013</v>
          </cell>
        </row>
        <row r="174">
          <cell r="A174" t="str">
            <v>BV0265</v>
          </cell>
          <cell r="B174">
            <v>168</v>
          </cell>
          <cell r="C174" t="str">
            <v>Quách Thị Hà</v>
          </cell>
          <cell r="D174" t="str">
            <v>BV0265</v>
          </cell>
          <cell r="E174">
            <v>1506002931</v>
          </cell>
          <cell r="G174" t="str">
            <v>020183010280
Cấp ngày: 16/08/2021
Cục cảnh sát QLHC
về TTXH</v>
          </cell>
          <cell r="I174">
            <v>30517</v>
          </cell>
          <cell r="J174">
            <v>42</v>
          </cell>
          <cell r="K174" t="str">
            <v>081044307</v>
          </cell>
          <cell r="L174" t="str">
            <v>13/12/2006</v>
          </cell>
          <cell r="M174" t="str">
            <v>CA tỉnh Lạng Sơn</v>
          </cell>
          <cell r="N174" t="str">
            <v>Tỉnh Lạng Sơn</v>
          </cell>
          <cell r="P174" t="str">
            <v>Huyện Thanh Oai</v>
          </cell>
          <cell r="Q174" t="str">
            <v>Tỉnh Hà Tây</v>
          </cell>
          <cell r="S174" t="str">
            <v>Thị trấn Lộc Bình</v>
          </cell>
          <cell r="T174" t="str">
            <v>Huyện Lộc Bình</v>
          </cell>
          <cell r="U174" t="str">
            <v>Tỉnh Lạng Sơn</v>
          </cell>
          <cell r="V174" t="str">
            <v>Thị trấn Lộc Bình, Huyện Lộc Bình, Tỉnh Lạng Sơn</v>
          </cell>
          <cell r="W174" t="str">
            <v>7/11/2006</v>
          </cell>
          <cell r="AA174" t="e">
            <v>#N/A</v>
          </cell>
          <cell r="AB174" t="e">
            <v>#N/A</v>
          </cell>
          <cell r="AC174" t="e">
            <v>#N/A</v>
          </cell>
          <cell r="AD174" t="e">
            <v>#N/A</v>
          </cell>
          <cell r="AE174" t="e">
            <v>#N/A</v>
          </cell>
          <cell r="AF174" t="str">
            <v>V.08.06.16</v>
          </cell>
          <cell r="AG174" t="e">
            <v>#N/A</v>
          </cell>
          <cell r="AH174">
            <v>3.99</v>
          </cell>
          <cell r="AI174">
            <v>6</v>
          </cell>
          <cell r="AJ174">
            <v>0</v>
          </cell>
          <cell r="AK174">
            <v>45778</v>
          </cell>
          <cell r="AL174" t="str">
            <v>Đại học</v>
          </cell>
          <cell r="AM174" t="e">
            <v>#N/A</v>
          </cell>
          <cell r="AR174">
            <v>0</v>
          </cell>
          <cell r="AS174">
            <v>0</v>
          </cell>
          <cell r="AT174" t="str">
            <v>Sơ cấp</v>
          </cell>
          <cell r="AU174" t="str">
            <v>Anh B</v>
          </cell>
          <cell r="AV174" t="str">
            <v>Tày</v>
          </cell>
          <cell r="AW174" t="str">
            <v>B</v>
          </cell>
          <cell r="AY174" t="str">
            <v>Tày</v>
          </cell>
          <cell r="AZ174">
            <v>41572</v>
          </cell>
          <cell r="BA174" t="e">
            <v>#REF!</v>
          </cell>
          <cell r="BB174" t="e">
            <v>#REF!</v>
          </cell>
          <cell r="BC174" t="str">
            <v>24/6/2013</v>
          </cell>
        </row>
        <row r="175">
          <cell r="A175" t="str">
            <v>BV0266</v>
          </cell>
          <cell r="B175">
            <v>169</v>
          </cell>
          <cell r="C175" t="str">
            <v>Âu Thị Thủy</v>
          </cell>
          <cell r="D175" t="str">
            <v>BV0266</v>
          </cell>
          <cell r="E175">
            <v>1503002282</v>
          </cell>
          <cell r="G175" t="str">
            <v>020179002519
Cấp ngày: 29/04/2021
Cục cảnh sát QLHC
về TTXH</v>
          </cell>
          <cell r="I175">
            <v>28960</v>
          </cell>
          <cell r="J175">
            <v>47</v>
          </cell>
          <cell r="K175" t="str">
            <v>081057168</v>
          </cell>
          <cell r="L175" t="str">
            <v>21/3/2000</v>
          </cell>
          <cell r="M175" t="str">
            <v>CA tỉnh Lạng Sơn</v>
          </cell>
          <cell r="N175" t="str">
            <v>Tỉnh Lạng Sơn</v>
          </cell>
          <cell r="P175" t="str">
            <v>Huyện Tràng Định</v>
          </cell>
          <cell r="Q175" t="str">
            <v>Tỉnh Lạng Sơn</v>
          </cell>
          <cell r="S175" t="str">
            <v>Phường Tam Thanh</v>
          </cell>
          <cell r="T175" t="str">
            <v>Thành phố Lạng Sơn</v>
          </cell>
          <cell r="U175" t="str">
            <v>Tỉnh Lạng Sơn</v>
          </cell>
          <cell r="V175" t="str">
            <v>Phường Tam Thanh, Thành phố Lạng Sơn, Tỉnh Lạng Sơn</v>
          </cell>
          <cell r="W175" t="str">
            <v xml:space="preserve">01/11/2005 </v>
          </cell>
          <cell r="AA175">
            <v>0</v>
          </cell>
          <cell r="AB175" t="str">
            <v>TĐ017</v>
          </cell>
          <cell r="AC175" t="str">
            <v>Phụ sản</v>
          </cell>
          <cell r="AD175" t="str">
            <v>KP016</v>
          </cell>
          <cell r="AE175" t="str">
            <v>Viên chức</v>
          </cell>
          <cell r="AF175" t="str">
            <v>V.08.06.16</v>
          </cell>
          <cell r="AG175" t="str">
            <v>Hộ sinh (hạng III)</v>
          </cell>
          <cell r="AH175">
            <v>3.99</v>
          </cell>
          <cell r="AI175">
            <v>6</v>
          </cell>
          <cell r="AJ175">
            <v>0</v>
          </cell>
          <cell r="AK175">
            <v>45809</v>
          </cell>
          <cell r="AL175" t="str">
            <v>Đại học</v>
          </cell>
          <cell r="AM175" t="str">
            <v>Hộ sinh ĐH</v>
          </cell>
          <cell r="AO175" t="str">
            <v>Đại học Điều dưỡng Nam Định</v>
          </cell>
          <cell r="AP175">
            <v>2015</v>
          </cell>
          <cell r="AQ175" t="str">
            <v>12/12</v>
          </cell>
          <cell r="AR175">
            <v>0</v>
          </cell>
          <cell r="AS175">
            <v>0</v>
          </cell>
          <cell r="AT175">
            <v>0</v>
          </cell>
          <cell r="AU175" t="str">
            <v>Anh B</v>
          </cell>
          <cell r="AV175" t="str">
            <v>Tày</v>
          </cell>
          <cell r="AW175" t="str">
            <v>B</v>
          </cell>
          <cell r="AY175" t="str">
            <v>Nùng</v>
          </cell>
          <cell r="AZ175">
            <v>40753</v>
          </cell>
          <cell r="BA175" t="e">
            <v>#REF!</v>
          </cell>
          <cell r="BB175" t="e">
            <v>#REF!</v>
          </cell>
          <cell r="BC175" t="str">
            <v>01/6/2016</v>
          </cell>
        </row>
        <row r="176">
          <cell r="A176" t="str">
            <v>BV0250</v>
          </cell>
          <cell r="B176">
            <v>170</v>
          </cell>
          <cell r="C176" t="str">
            <v>Lương Thị Thoa</v>
          </cell>
          <cell r="D176" t="str">
            <v>BV0250</v>
          </cell>
          <cell r="E176">
            <v>1505001625</v>
          </cell>
          <cell r="G176" t="str">
            <v>020179000572
Cấp ngày: 28/03/2021
Cục cảnh sát QLHC
về TTXH</v>
          </cell>
          <cell r="I176">
            <v>28983</v>
          </cell>
          <cell r="J176">
            <v>47</v>
          </cell>
          <cell r="K176" t="str">
            <v>087628786</v>
          </cell>
          <cell r="L176" t="str">
            <v>26/3/2001</v>
          </cell>
          <cell r="M176" t="str">
            <v>CA tỉnh Lạng Sơn</v>
          </cell>
          <cell r="N176" t="str">
            <v>Tỉnh Lạng Sơn</v>
          </cell>
          <cell r="O176" t="str">
            <v>Xã Hoàng Đồng</v>
          </cell>
          <cell r="P176" t="str">
            <v>Huyện Văn Quan</v>
          </cell>
          <cell r="Q176" t="str">
            <v>Tỉnh Lạng Sơn</v>
          </cell>
          <cell r="S176" t="str">
            <v>Xã Hoàng Đồng</v>
          </cell>
          <cell r="T176" t="str">
            <v>Thành phố Lạng Sơn</v>
          </cell>
          <cell r="U176" t="str">
            <v>Tỉnh Lạng Sơn</v>
          </cell>
          <cell r="V176" t="str">
            <v>Xã Hoàng Đồng, Thành phố Lạng Sơn, Tỉnh Lạng Sơn</v>
          </cell>
          <cell r="W176" t="str">
            <v>25/11/2005</v>
          </cell>
          <cell r="AA176">
            <v>0</v>
          </cell>
          <cell r="AB176" t="str">
            <v>TĐ017</v>
          </cell>
          <cell r="AC176" t="str">
            <v>Phụ sản</v>
          </cell>
          <cell r="AD176" t="str">
            <v>KP016</v>
          </cell>
          <cell r="AE176" t="str">
            <v>Viên chức</v>
          </cell>
          <cell r="AF176" t="str">
            <v>V.08.06.16</v>
          </cell>
          <cell r="AG176" t="str">
            <v>Hộ sinh (hạng III)</v>
          </cell>
          <cell r="AH176">
            <v>3.99</v>
          </cell>
          <cell r="AI176">
            <v>6</v>
          </cell>
          <cell r="AJ176">
            <v>0</v>
          </cell>
          <cell r="AK176">
            <v>45505</v>
          </cell>
          <cell r="AL176" t="str">
            <v>Đại học</v>
          </cell>
          <cell r="AM176" t="str">
            <v>Hộ sinh ĐH</v>
          </cell>
          <cell r="AO176" t="str">
            <v>Đại học Điều dưỡng Nam Định</v>
          </cell>
          <cell r="AP176">
            <v>2009</v>
          </cell>
          <cell r="AQ176" t="str">
            <v>12/12</v>
          </cell>
          <cell r="AR176">
            <v>0</v>
          </cell>
          <cell r="AS176">
            <v>0</v>
          </cell>
          <cell r="AT176">
            <v>0</v>
          </cell>
          <cell r="AU176" t="str">
            <v>Anh B</v>
          </cell>
          <cell r="AV176">
            <v>0</v>
          </cell>
          <cell r="AW176" t="str">
            <v>B</v>
          </cell>
          <cell r="AY176" t="str">
            <v>Nùng</v>
          </cell>
          <cell r="AZ176">
            <v>43517</v>
          </cell>
          <cell r="BA176" t="e">
            <v>#REF!</v>
          </cell>
          <cell r="BB176" t="e">
            <v>#REF!</v>
          </cell>
          <cell r="BC176" t="str">
            <v>25/7/2017</v>
          </cell>
        </row>
        <row r="177">
          <cell r="A177" t="str">
            <v>BV0251</v>
          </cell>
          <cell r="B177">
            <v>171</v>
          </cell>
          <cell r="C177" t="str">
            <v>Hoàng Thị Nụ</v>
          </cell>
          <cell r="D177" t="str">
            <v>BV0251</v>
          </cell>
          <cell r="E177">
            <v>1596005732</v>
          </cell>
          <cell r="G177" t="str">
            <v>020173001765
Cấp ngày: 20/04/2021
Cục cảnh sát QLHC
về TTXH</v>
          </cell>
          <cell r="I177">
            <v>26888</v>
          </cell>
          <cell r="J177">
            <v>52</v>
          </cell>
          <cell r="K177" t="str">
            <v>080957482</v>
          </cell>
          <cell r="L177" t="str">
            <v>19/5/2000</v>
          </cell>
          <cell r="M177" t="str">
            <v>CA tỉnh Lạng Sơn</v>
          </cell>
          <cell r="N177" t="str">
            <v>Tỉnh Lạng Sơn</v>
          </cell>
          <cell r="O177" t="str">
            <v>Thị trấn Na dương</v>
          </cell>
          <cell r="P177" t="str">
            <v>Huyện Lộc Bình</v>
          </cell>
          <cell r="Q177" t="str">
            <v>Tỉnh Lạng Sơn</v>
          </cell>
          <cell r="S177" t="str">
            <v>Phường Hoàng Văn Thụ</v>
          </cell>
          <cell r="T177" t="str">
            <v>Thành phố Lạng Sơn</v>
          </cell>
          <cell r="U177" t="str">
            <v>Tỉnh Lạng Sơn</v>
          </cell>
          <cell r="V177" t="str">
            <v>Phường Hoàng Văn Thụ, Thành phố Lạng Sơn, Tỉnh Lạng Sơn</v>
          </cell>
          <cell r="W177" t="str">
            <v>1/8/1995</v>
          </cell>
          <cell r="AA177">
            <v>0</v>
          </cell>
          <cell r="AB177" t="str">
            <v>TĐ017</v>
          </cell>
          <cell r="AC177" t="str">
            <v>Phụ sản</v>
          </cell>
          <cell r="AD177" t="str">
            <v>KP016</v>
          </cell>
          <cell r="AE177" t="str">
            <v>Viên chức</v>
          </cell>
          <cell r="AF177" t="str">
            <v>V.08.06.16</v>
          </cell>
          <cell r="AG177" t="str">
            <v>Hộ sinh (hạng III)</v>
          </cell>
          <cell r="AH177">
            <v>4.9800000000000004</v>
          </cell>
          <cell r="AI177">
            <v>9</v>
          </cell>
          <cell r="AJ177">
            <v>0.05</v>
          </cell>
          <cell r="AK177">
            <v>45870</v>
          </cell>
          <cell r="AL177" t="str">
            <v>Đại học</v>
          </cell>
          <cell r="AM177" t="str">
            <v>Hộ sinh ĐH</v>
          </cell>
          <cell r="AO177" t="str">
            <v>Đại học Điều dưỡng Nam Định</v>
          </cell>
          <cell r="AP177">
            <v>2008</v>
          </cell>
          <cell r="AQ177" t="str">
            <v>12/12</v>
          </cell>
          <cell r="AR177">
            <v>0</v>
          </cell>
          <cell r="AS177">
            <v>0</v>
          </cell>
          <cell r="AT177">
            <v>0</v>
          </cell>
          <cell r="AU177" t="str">
            <v>x</v>
          </cell>
          <cell r="AV177">
            <v>0</v>
          </cell>
          <cell r="AW177" t="str">
            <v>x</v>
          </cell>
          <cell r="AY177" t="str">
            <v>Tày</v>
          </cell>
          <cell r="BA177" t="e">
            <v>#REF!</v>
          </cell>
          <cell r="BB177" t="e">
            <v>#REF!</v>
          </cell>
          <cell r="BC177" t="str">
            <v>17/9/2018</v>
          </cell>
        </row>
        <row r="178">
          <cell r="A178" t="str">
            <v>BV0252</v>
          </cell>
          <cell r="B178">
            <v>172</v>
          </cell>
          <cell r="C178" t="str">
            <v>Triệu Hoàng Anh</v>
          </cell>
          <cell r="D178" t="str">
            <v>BV0252</v>
          </cell>
          <cell r="E178">
            <v>1504000554</v>
          </cell>
          <cell r="G178" t="str">
            <v>004178000120
Cấp ngày: 25/03/2021
Cục cảnh sát QLHC
về TTXH</v>
          </cell>
          <cell r="I178">
            <v>28569</v>
          </cell>
          <cell r="J178">
            <v>48</v>
          </cell>
          <cell r="K178" t="str">
            <v>080952027</v>
          </cell>
          <cell r="L178" t="str">
            <v>09/6/2005</v>
          </cell>
          <cell r="M178" t="str">
            <v>CA tỉnh Lạng Sơn</v>
          </cell>
          <cell r="N178" t="str">
            <v>Tỉnh Lạng Sơn</v>
          </cell>
          <cell r="O178" t="str">
            <v>Xã Tràng Phái</v>
          </cell>
          <cell r="P178" t="str">
            <v>Huyện Văn Quan</v>
          </cell>
          <cell r="Q178" t="str">
            <v>Tỉnh Lạng Sơn</v>
          </cell>
          <cell r="S178" t="str">
            <v>Phường Tam Thanh</v>
          </cell>
          <cell r="T178" t="str">
            <v>Thành phố Lạng Sơn</v>
          </cell>
          <cell r="U178" t="str">
            <v>Tỉnh Lạng Sơn</v>
          </cell>
          <cell r="V178" t="str">
            <v>Phường Tam Thanh, Thành phố Lạng Sơn, Tỉnh Lạng Sơn</v>
          </cell>
          <cell r="W178" t="str">
            <v>1/2/2005</v>
          </cell>
          <cell r="AA178">
            <v>0</v>
          </cell>
          <cell r="AB178" t="str">
            <v>TĐ017</v>
          </cell>
          <cell r="AC178" t="str">
            <v>Phụ sản</v>
          </cell>
          <cell r="AD178" t="str">
            <v>KP016</v>
          </cell>
          <cell r="AE178" t="str">
            <v>Viên chức</v>
          </cell>
          <cell r="AF178" t="str">
            <v>V.08.06.16</v>
          </cell>
          <cell r="AG178" t="str">
            <v>Hộ sinh (hạng III)</v>
          </cell>
          <cell r="AH178">
            <v>3.99</v>
          </cell>
          <cell r="AI178">
            <v>6</v>
          </cell>
          <cell r="AJ178">
            <v>0</v>
          </cell>
          <cell r="AK178">
            <v>45108</v>
          </cell>
          <cell r="AL178" t="str">
            <v>Đại học</v>
          </cell>
          <cell r="AM178" t="str">
            <v>Hộ sinh ĐH</v>
          </cell>
          <cell r="AO178" t="str">
            <v>ĐH Điều dưỡng Nam Định</v>
          </cell>
          <cell r="AP178">
            <v>2011</v>
          </cell>
          <cell r="AQ178" t="str">
            <v>12/12</v>
          </cell>
          <cell r="AR178">
            <v>0</v>
          </cell>
          <cell r="AS178">
            <v>0</v>
          </cell>
          <cell r="AT178" t="str">
            <v>Sơ cấp</v>
          </cell>
          <cell r="AU178" t="str">
            <v>Anh B</v>
          </cell>
          <cell r="AV178" t="str">
            <v>Tày</v>
          </cell>
          <cell r="AW178" t="str">
            <v>B</v>
          </cell>
          <cell r="AY178" t="str">
            <v>Nùng</v>
          </cell>
          <cell r="AZ178">
            <v>38455</v>
          </cell>
          <cell r="BA178" t="e">
            <v>#REF!</v>
          </cell>
          <cell r="BB178" t="e">
            <v>#REF!</v>
          </cell>
          <cell r="BC178" t="str">
            <v>07/6/2018</v>
          </cell>
        </row>
        <row r="179">
          <cell r="A179" t="str">
            <v>BV0253</v>
          </cell>
          <cell r="B179">
            <v>173</v>
          </cell>
          <cell r="C179" t="str">
            <v>Bùi Thị Oanh</v>
          </cell>
          <cell r="D179" t="str">
            <v>BV0253</v>
          </cell>
          <cell r="E179">
            <v>2014002799</v>
          </cell>
          <cell r="G179" t="str">
            <v>001187037308
Cấp ngày: 16/04/2021
Cục cảnh sát QLHC
về TTXH</v>
          </cell>
          <cell r="I179">
            <v>32024</v>
          </cell>
          <cell r="J179">
            <v>38</v>
          </cell>
          <cell r="K179" t="str">
            <v>112189688</v>
          </cell>
          <cell r="L179" t="str">
            <v>07/02/2006</v>
          </cell>
          <cell r="M179" t="str">
            <v>Hà Tây</v>
          </cell>
          <cell r="N179" t="str">
            <v>Xã Lam Điền, huyện Chương Mỹ, tỉnh Hà Tây</v>
          </cell>
          <cell r="O179" t="str">
            <v>Xã Lam Điền</v>
          </cell>
          <cell r="P179" t="str">
            <v>Huyện Chương Mỹ</v>
          </cell>
          <cell r="Q179" t="str">
            <v>Tỉnh Hà Tây</v>
          </cell>
          <cell r="R179" t="str">
            <v>6/11 Nguyễn Du</v>
          </cell>
          <cell r="S179" t="str">
            <v>Phường Đông Kinh</v>
          </cell>
          <cell r="T179" t="str">
            <v>Thành phố Lạng Sơn</v>
          </cell>
          <cell r="U179" t="str">
            <v>Tỉnh Lạng Sơn</v>
          </cell>
          <cell r="V179" t="str">
            <v>Phường Đông Kinh, Thành phố Lạng Sơn, Tỉnh Lạng Sơn</v>
          </cell>
          <cell r="W179" t="str">
            <v>01/11/2014</v>
          </cell>
          <cell r="AA179">
            <v>0</v>
          </cell>
          <cell r="AB179" t="str">
            <v>TĐ017</v>
          </cell>
          <cell r="AC179" t="str">
            <v>Phụ sản</v>
          </cell>
          <cell r="AD179" t="str">
            <v>KP016</v>
          </cell>
          <cell r="AE179" t="str">
            <v>Viên chức</v>
          </cell>
          <cell r="AF179" t="str">
            <v>V.08.06.16</v>
          </cell>
          <cell r="AG179" t="str">
            <v>Hộ sinh (hạng III)</v>
          </cell>
          <cell r="AH179">
            <v>3.33</v>
          </cell>
          <cell r="AI179">
            <v>4</v>
          </cell>
          <cell r="AJ179">
            <v>0</v>
          </cell>
          <cell r="AK179">
            <v>45597</v>
          </cell>
          <cell r="AL179" t="str">
            <v>Đại học</v>
          </cell>
          <cell r="AM179" t="str">
            <v>Hộ sinh ĐH</v>
          </cell>
          <cell r="AO179" t="str">
            <v>ĐH Điều dưỡng Nam Định</v>
          </cell>
          <cell r="AP179">
            <v>2014</v>
          </cell>
          <cell r="AQ179" t="str">
            <v>12/12</v>
          </cell>
          <cell r="AR179">
            <v>0</v>
          </cell>
          <cell r="AS179">
            <v>0</v>
          </cell>
          <cell r="AT179">
            <v>0</v>
          </cell>
          <cell r="AU179" t="str">
            <v>Anh B</v>
          </cell>
          <cell r="AV179">
            <v>0</v>
          </cell>
          <cell r="AW179" t="str">
            <v>B</v>
          </cell>
          <cell r="AY179" t="str">
            <v>Kinh</v>
          </cell>
          <cell r="BA179" t="e">
            <v>#REF!</v>
          </cell>
          <cell r="BB179" t="e">
            <v>#REF!</v>
          </cell>
          <cell r="BC179" t="str">
            <v>30/01/2018</v>
          </cell>
        </row>
        <row r="180">
          <cell r="A180" t="str">
            <v>BV0268</v>
          </cell>
          <cell r="B180">
            <v>174</v>
          </cell>
          <cell r="C180" t="str">
            <v>Hoàng Thị Hưởng</v>
          </cell>
          <cell r="D180" t="str">
            <v>BV0268</v>
          </cell>
          <cell r="E180">
            <v>1507002001</v>
          </cell>
          <cell r="G180" t="str">
            <v>020185002855
Cấp ngày: 29/04/2021
Cục cảnh sát QLHC
về TTXH</v>
          </cell>
          <cell r="I180">
            <v>31072</v>
          </cell>
          <cell r="J180">
            <v>41</v>
          </cell>
          <cell r="K180" t="str">
            <v>082007344</v>
          </cell>
          <cell r="L180" t="str">
            <v>12/11/2003</v>
          </cell>
          <cell r="M180" t="str">
            <v>CA tỉnh Lạng Sơn</v>
          </cell>
          <cell r="N180" t="str">
            <v>Tỉnh Lạng Sơn</v>
          </cell>
          <cell r="P180" t="str">
            <v>Huyện Bắc Sơn</v>
          </cell>
          <cell r="Q180" t="str">
            <v>Tỉnh Lạng Sơn</v>
          </cell>
          <cell r="S180" t="str">
            <v>Phường Đông Kinh</v>
          </cell>
          <cell r="T180" t="str">
            <v>Thành phố Lạng Sơn</v>
          </cell>
          <cell r="U180" t="str">
            <v>Tỉnh Lạng Sơn</v>
          </cell>
          <cell r="V180" t="str">
            <v>Phường Đông Kinh, Thành phố Lạng Sơn, Tỉnh Lạng Sơn</v>
          </cell>
          <cell r="W180" t="str">
            <v>1/1/2009</v>
          </cell>
          <cell r="AA180">
            <v>0</v>
          </cell>
          <cell r="AB180" t="str">
            <v>TĐ017</v>
          </cell>
          <cell r="AC180" t="str">
            <v>Phụ sản</v>
          </cell>
          <cell r="AD180" t="str">
            <v>KP016</v>
          </cell>
          <cell r="AE180" t="str">
            <v>Viên chức</v>
          </cell>
          <cell r="AF180" t="str">
            <v>V.08.06.16</v>
          </cell>
          <cell r="AG180" t="str">
            <v>Hộ sinh (hạng III)</v>
          </cell>
          <cell r="AH180">
            <v>3.66</v>
          </cell>
          <cell r="AI180">
            <v>5</v>
          </cell>
          <cell r="AJ180">
            <v>0</v>
          </cell>
          <cell r="AK180">
            <v>45839</v>
          </cell>
          <cell r="AL180" t="str">
            <v>Đại học</v>
          </cell>
          <cell r="AM180" t="str">
            <v>Hộ sinh ĐH</v>
          </cell>
          <cell r="AO180" t="str">
            <v>CĐ Y tế Lạng Sơn</v>
          </cell>
          <cell r="AP180" t="str">
            <v>2006</v>
          </cell>
          <cell r="AQ180" t="str">
            <v>12/12</v>
          </cell>
          <cell r="AR180">
            <v>0</v>
          </cell>
          <cell r="AS180">
            <v>0</v>
          </cell>
          <cell r="AT180">
            <v>0</v>
          </cell>
          <cell r="AU180">
            <v>0</v>
          </cell>
          <cell r="AV180" t="str">
            <v>Tày</v>
          </cell>
          <cell r="AW180" t="str">
            <v>B</v>
          </cell>
          <cell r="AY180" t="str">
            <v>Tày</v>
          </cell>
          <cell r="BA180" t="e">
            <v>#REF!</v>
          </cell>
          <cell r="BB180" t="e">
            <v>#REF!</v>
          </cell>
        </row>
        <row r="181">
          <cell r="A181" t="str">
            <v>BV0996</v>
          </cell>
          <cell r="B181">
            <v>175</v>
          </cell>
          <cell r="C181" t="str">
            <v>Hoàng Thị Thuần</v>
          </cell>
          <cell r="D181" t="str">
            <v>BV0996</v>
          </cell>
          <cell r="E181" t="str">
            <v>1597021947</v>
          </cell>
          <cell r="F181" t="str">
            <v>Hộ sinh (hạng III)</v>
          </cell>
          <cell r="G181" t="str">
            <v>004175000163
Cấp ngày: 30/03/2021
Cục cảnh sát QLHC
về TTXH</v>
          </cell>
          <cell r="I181" t="str">
            <v>09/04/1975</v>
          </cell>
          <cell r="J181">
            <v>51</v>
          </cell>
          <cell r="K181" t="str">
            <v>080984034</v>
          </cell>
          <cell r="L181">
            <v>41376</v>
          </cell>
          <cell r="W181" t="str">
            <v>01/2/1997</v>
          </cell>
          <cell r="AA181">
            <v>0</v>
          </cell>
          <cell r="AB181" t="str">
            <v>TĐ017</v>
          </cell>
          <cell r="AC181" t="str">
            <v>Phụ sản</v>
          </cell>
          <cell r="AD181" t="str">
            <v>KP016</v>
          </cell>
          <cell r="AE181" t="str">
            <v>Viên chức</v>
          </cell>
          <cell r="AF181" t="str">
            <v>V. 08.06.15</v>
          </cell>
          <cell r="AG181" t="str">
            <v>Hộ sinh (hạng III)</v>
          </cell>
          <cell r="AH181">
            <v>4.6500000000000004</v>
          </cell>
          <cell r="AI181">
            <v>8</v>
          </cell>
          <cell r="AJ181">
            <v>0</v>
          </cell>
          <cell r="AK181">
            <v>45323</v>
          </cell>
          <cell r="AL181" t="str">
            <v>Đại học</v>
          </cell>
          <cell r="AM181" t="str">
            <v>Hộ sinh ĐH</v>
          </cell>
          <cell r="AR181">
            <v>0</v>
          </cell>
          <cell r="AS181">
            <v>0</v>
          </cell>
          <cell r="AT181">
            <v>0</v>
          </cell>
          <cell r="AU181">
            <v>0</v>
          </cell>
          <cell r="AV181" t="str">
            <v>Tày</v>
          </cell>
          <cell r="AW181" t="str">
            <v>Cơ bản</v>
          </cell>
          <cell r="AY181" t="str">
            <v>Nùng</v>
          </cell>
          <cell r="AZ181">
            <v>39869</v>
          </cell>
          <cell r="BC181" t="str">
            <v>24/6/2013</v>
          </cell>
        </row>
        <row r="182">
          <cell r="A182" t="str">
            <v>BV0008</v>
          </cell>
          <cell r="B182">
            <v>176</v>
          </cell>
          <cell r="C182" t="str">
            <v>Nguyễn Thị Thắm</v>
          </cell>
          <cell r="D182" t="str">
            <v>BV0008</v>
          </cell>
          <cell r="E182">
            <v>1500002001</v>
          </cell>
          <cell r="G182" t="str">
            <v>020174001367
Cấp ngày: 24/04/2021
Cục cảnh sát QLHC
về TTXH</v>
          </cell>
          <cell r="I182">
            <v>27336</v>
          </cell>
          <cell r="J182">
            <v>51</v>
          </cell>
          <cell r="K182" t="str">
            <v>080977258</v>
          </cell>
          <cell r="L182" t="str">
            <v>27/6/2007</v>
          </cell>
          <cell r="M182" t="str">
            <v>CA tỉnh Lạng Sơn</v>
          </cell>
          <cell r="N182" t="str">
            <v>Tỉnh Lạng Sơn</v>
          </cell>
          <cell r="O182" t="str">
            <v>Xã Đại Đồng</v>
          </cell>
          <cell r="P182" t="str">
            <v>Huyện Tràng Định</v>
          </cell>
          <cell r="Q182" t="str">
            <v>Tỉnh Lạng Sơn</v>
          </cell>
          <cell r="S182" t="str">
            <v>Phường Tam Thanh</v>
          </cell>
          <cell r="T182" t="str">
            <v>Thành phố Lạng Sơn</v>
          </cell>
          <cell r="U182" t="str">
            <v>Tỉnh Lạng Sơn</v>
          </cell>
          <cell r="V182" t="str">
            <v>Phường Tam Thanh, Thành phố Lạng Sơn, Tỉnh Lạng Sơn</v>
          </cell>
          <cell r="W182" t="str">
            <v>1/12/2008</v>
          </cell>
          <cell r="AA182">
            <v>0</v>
          </cell>
          <cell r="AB182" t="str">
            <v>TĐ018</v>
          </cell>
          <cell r="AC182" t="str">
            <v>Phụ sản</v>
          </cell>
          <cell r="AD182" t="str">
            <v>KP016</v>
          </cell>
          <cell r="AE182" t="str">
            <v>Viên chức</v>
          </cell>
          <cell r="AF182" t="str">
            <v>V.08.06.16</v>
          </cell>
          <cell r="AG182" t="str">
            <v>Hộ sinh (hạng IV)</v>
          </cell>
          <cell r="AH182">
            <v>4.2699999999999996</v>
          </cell>
          <cell r="AI182">
            <v>8</v>
          </cell>
          <cell r="AJ182">
            <v>0</v>
          </cell>
          <cell r="AK182">
            <v>45809</v>
          </cell>
          <cell r="AL182" t="str">
            <v>Cao đẳng</v>
          </cell>
          <cell r="AM182" t="str">
            <v>Hộ sinh CĐ</v>
          </cell>
          <cell r="AO182" t="str">
            <v>ĐH KT Y tế Hải Dương</v>
          </cell>
          <cell r="AP182">
            <v>2008</v>
          </cell>
          <cell r="AQ182" t="str">
            <v>12/12</v>
          </cell>
          <cell r="AR182">
            <v>0</v>
          </cell>
          <cell r="AS182">
            <v>0</v>
          </cell>
          <cell r="AT182">
            <v>0</v>
          </cell>
          <cell r="AU182" t="str">
            <v>Anh B</v>
          </cell>
          <cell r="AV182">
            <v>0</v>
          </cell>
          <cell r="AW182" t="str">
            <v>B</v>
          </cell>
          <cell r="AY182" t="str">
            <v>Tày</v>
          </cell>
          <cell r="BA182" t="e">
            <v>#REF!</v>
          </cell>
          <cell r="BB182" t="e">
            <v>#REF!</v>
          </cell>
          <cell r="BC182" t="str">
            <v>24/6/2013</v>
          </cell>
        </row>
        <row r="183">
          <cell r="A183" t="str">
            <v>BV0254</v>
          </cell>
          <cell r="B183">
            <v>177</v>
          </cell>
          <cell r="C183" t="str">
            <v>Nông Thị Thu Trang</v>
          </cell>
          <cell r="D183" t="str">
            <v>BV0254</v>
          </cell>
          <cell r="E183">
            <v>1596003062</v>
          </cell>
          <cell r="G183" t="str">
            <v>020176001522
Cấp ngày: 11/04/2021
Cục cảnh sát QLHC
về TTXH</v>
          </cell>
          <cell r="I183">
            <v>27995</v>
          </cell>
          <cell r="J183">
            <v>49</v>
          </cell>
          <cell r="K183" t="str">
            <v>080955037</v>
          </cell>
          <cell r="L183" t="str">
            <v>02/10/2006</v>
          </cell>
          <cell r="M183" t="str">
            <v>CA tỉnh Lạng Sơn</v>
          </cell>
          <cell r="N183" t="str">
            <v>Tỉnh Lạng Sơn</v>
          </cell>
          <cell r="P183" t="str">
            <v>Huyện Tràng Định</v>
          </cell>
          <cell r="Q183" t="str">
            <v>Tỉnh Lạng Sơn</v>
          </cell>
          <cell r="S183" t="str">
            <v>Phường Tam Thanh</v>
          </cell>
          <cell r="T183" t="str">
            <v>Thành phố Lạng Sơn</v>
          </cell>
          <cell r="U183" t="str">
            <v>Tỉnh Lạng Sơn</v>
          </cell>
          <cell r="V183" t="str">
            <v>Phường Tam Thanh, Thành phố Lạng Sơn, Tỉnh Lạng Sơn</v>
          </cell>
          <cell r="W183" t="str">
            <v>15/3/1996</v>
          </cell>
          <cell r="AA183">
            <v>0</v>
          </cell>
          <cell r="AB183" t="str">
            <v>TĐ017</v>
          </cell>
          <cell r="AC183" t="str">
            <v>Phụ sản</v>
          </cell>
          <cell r="AD183" t="str">
            <v>KP016</v>
          </cell>
          <cell r="AE183" t="str">
            <v>Viên chức</v>
          </cell>
          <cell r="AF183" t="str">
            <v>V.08.06.16</v>
          </cell>
          <cell r="AG183" t="str">
            <v>Hộ sinh (hạng III)</v>
          </cell>
          <cell r="AH183">
            <v>4.9800000000000004</v>
          </cell>
          <cell r="AI183">
            <v>9</v>
          </cell>
          <cell r="AJ183">
            <v>0</v>
          </cell>
          <cell r="AK183">
            <v>44927</v>
          </cell>
          <cell r="AL183" t="str">
            <v>Đại học</v>
          </cell>
          <cell r="AM183" t="str">
            <v>Hộ sinh ĐH</v>
          </cell>
          <cell r="AO183" t="str">
            <v>CĐ Y tế Lạng Sơn</v>
          </cell>
          <cell r="AP183">
            <v>2006</v>
          </cell>
          <cell r="AQ183" t="str">
            <v>12/12</v>
          </cell>
          <cell r="AR183">
            <v>0</v>
          </cell>
          <cell r="AS183" t="str">
            <v>x</v>
          </cell>
          <cell r="AT183">
            <v>0</v>
          </cell>
          <cell r="AU183" t="str">
            <v>Anh A2</v>
          </cell>
          <cell r="AV183">
            <v>0</v>
          </cell>
          <cell r="AW183" t="str">
            <v>Cơ bản</v>
          </cell>
          <cell r="AY183" t="str">
            <v>Tày</v>
          </cell>
          <cell r="AZ183">
            <v>37130</v>
          </cell>
          <cell r="BA183" t="e">
            <v>#REF!</v>
          </cell>
          <cell r="BB183" t="e">
            <v>#REF!</v>
          </cell>
          <cell r="BC183" t="str">
            <v>24/6/2013</v>
          </cell>
        </row>
        <row r="184">
          <cell r="A184" t="str">
            <v>BV0255</v>
          </cell>
          <cell r="B184">
            <v>178</v>
          </cell>
          <cell r="C184" t="str">
            <v>Hoàng Quế Anh</v>
          </cell>
          <cell r="D184" t="str">
            <v>BV0255</v>
          </cell>
          <cell r="E184">
            <v>1596007607</v>
          </cell>
          <cell r="G184" t="str">
            <v>022174005122
Cấp ngày: 20/04/2021
Cục cảnh sát QLHC
về TTXH</v>
          </cell>
          <cell r="I184">
            <v>27326</v>
          </cell>
          <cell r="J184">
            <v>51</v>
          </cell>
          <cell r="K184" t="str">
            <v>080986319</v>
          </cell>
          <cell r="L184" t="str">
            <v>23/5/2005</v>
          </cell>
          <cell r="M184" t="str">
            <v>CA tỉnh Lạng Sơn</v>
          </cell>
          <cell r="N184" t="str">
            <v>Tỉnh Lạng Sơn</v>
          </cell>
          <cell r="P184" t="str">
            <v>Huyện Tràng Định</v>
          </cell>
          <cell r="Q184" t="str">
            <v>Tỉnh Lạng Sơn</v>
          </cell>
          <cell r="S184" t="str">
            <v>Phường Hoàng Văn Thụ</v>
          </cell>
          <cell r="T184" t="str">
            <v>Thành phố Lạng Sơn</v>
          </cell>
          <cell r="U184" t="str">
            <v>Tỉnh Lạng Sơn</v>
          </cell>
          <cell r="V184" t="str">
            <v>Phường Hoàng Văn Thụ, Thành phố Lạng Sơn, Tỉnh Lạng Sơn</v>
          </cell>
          <cell r="W184" t="str">
            <v>15/10/1994</v>
          </cell>
          <cell r="AA184" t="str">
            <v>Hộ sinh trưởng</v>
          </cell>
          <cell r="AB184" t="str">
            <v>TĐ017</v>
          </cell>
          <cell r="AC184" t="str">
            <v>Phụ sản</v>
          </cell>
          <cell r="AD184" t="str">
            <v>KP016</v>
          </cell>
          <cell r="AE184" t="str">
            <v>Viên chức</v>
          </cell>
          <cell r="AF184" t="str">
            <v>V.08.06.16</v>
          </cell>
          <cell r="AG184" t="str">
            <v>Hộ sinh (hạng IV)</v>
          </cell>
          <cell r="AH184">
            <v>4.8899999999999997</v>
          </cell>
          <cell r="AI184">
            <v>10</v>
          </cell>
          <cell r="AJ184">
            <v>0</v>
          </cell>
          <cell r="AK184">
            <v>45962</v>
          </cell>
          <cell r="AL184" t="str">
            <v>Đại học</v>
          </cell>
          <cell r="AM184" t="str">
            <v>Hộ sinh ĐH</v>
          </cell>
          <cell r="AO184" t="str">
            <v>ĐH Điều dưỡng Nam Định</v>
          </cell>
          <cell r="AP184">
            <v>2005</v>
          </cell>
          <cell r="AQ184" t="str">
            <v>12/12</v>
          </cell>
          <cell r="AR184">
            <v>0</v>
          </cell>
          <cell r="AS184">
            <v>0</v>
          </cell>
          <cell r="AT184" t="str">
            <v>Sơ cấp</v>
          </cell>
          <cell r="AU184" t="str">
            <v>Anh A2</v>
          </cell>
          <cell r="AV184" t="str">
            <v>Tày</v>
          </cell>
          <cell r="AW184" t="str">
            <v>Cơ bản</v>
          </cell>
          <cell r="AY184" t="str">
            <v>Tày</v>
          </cell>
          <cell r="AZ184">
            <v>41004</v>
          </cell>
          <cell r="BA184" t="e">
            <v>#REF!</v>
          </cell>
          <cell r="BB184" t="e">
            <v>#REF!</v>
          </cell>
          <cell r="BC184" t="str">
            <v>24/6/2013</v>
          </cell>
        </row>
        <row r="185">
          <cell r="A185" t="str">
            <v>BV0274</v>
          </cell>
          <cell r="B185">
            <v>179</v>
          </cell>
          <cell r="C185" t="str">
            <v>Lưu Thị Thu Hằng</v>
          </cell>
          <cell r="D185" t="str">
            <v>BV0274</v>
          </cell>
          <cell r="E185">
            <v>1507002005</v>
          </cell>
          <cell r="G185" t="str">
            <v>020186011745
Cấp ngày: 05/07/2021
Cục cảnh sát QLHC
về TTXH</v>
          </cell>
          <cell r="I185">
            <v>31519</v>
          </cell>
          <cell r="J185">
            <v>40</v>
          </cell>
          <cell r="K185" t="str">
            <v>081037907</v>
          </cell>
          <cell r="L185" t="str">
            <v>03/01/2007</v>
          </cell>
          <cell r="M185" t="str">
            <v>CA tỉnh Lạng Sơn</v>
          </cell>
          <cell r="N185" t="str">
            <v>Tỉnh Lạng Sơn</v>
          </cell>
          <cell r="O185" t="str">
            <v>Phường Hoàng Văn Thụ</v>
          </cell>
          <cell r="P185" t="str">
            <v>Thành phố Lạng Sơn</v>
          </cell>
          <cell r="Q185" t="str">
            <v>Tỉnh Lạng Sơn</v>
          </cell>
          <cell r="S185" t="str">
            <v>Phường Hoàng Văn Thụ</v>
          </cell>
          <cell r="T185" t="str">
            <v>Thành phố Lạng Sơn</v>
          </cell>
          <cell r="U185" t="str">
            <v>Tỉnh Lạng Sơn</v>
          </cell>
          <cell r="V185" t="str">
            <v>Phường Hoàng Văn Thụ, Thành phố Lạng Sơn, Tỉnh Lạng Sơn</v>
          </cell>
          <cell r="W185" t="str">
            <v>1/4/2007</v>
          </cell>
          <cell r="AA185">
            <v>0</v>
          </cell>
          <cell r="AB185" t="str">
            <v>TĐ017</v>
          </cell>
          <cell r="AC185" t="str">
            <v>Phụ sản</v>
          </cell>
          <cell r="AD185" t="str">
            <v>KP016</v>
          </cell>
          <cell r="AE185" t="str">
            <v>Viên chức</v>
          </cell>
          <cell r="AF185" t="str">
            <v>V.08.06.16</v>
          </cell>
          <cell r="AG185" t="str">
            <v>Hộ sinh (hạng III)</v>
          </cell>
          <cell r="AH185">
            <v>3.66</v>
          </cell>
          <cell r="AI185">
            <v>5</v>
          </cell>
          <cell r="AJ185">
            <v>0</v>
          </cell>
          <cell r="AK185">
            <v>45383</v>
          </cell>
          <cell r="AL185" t="str">
            <v>Đại học</v>
          </cell>
          <cell r="AM185" t="str">
            <v>Hộ sinh ĐH</v>
          </cell>
          <cell r="AO185" t="str">
            <v>Trung học Y tế Lạng Sơn</v>
          </cell>
          <cell r="AP185">
            <v>2006</v>
          </cell>
          <cell r="AQ185" t="str">
            <v>12/12</v>
          </cell>
          <cell r="AR185">
            <v>0</v>
          </cell>
          <cell r="AS185">
            <v>0</v>
          </cell>
          <cell r="AT185">
            <v>0</v>
          </cell>
          <cell r="AU185">
            <v>0</v>
          </cell>
          <cell r="AV185">
            <v>0</v>
          </cell>
          <cell r="AW185">
            <v>0</v>
          </cell>
          <cell r="AY185" t="str">
            <v>Nùng</v>
          </cell>
          <cell r="BA185" t="e">
            <v>#REF!</v>
          </cell>
          <cell r="BB185" t="e">
            <v>#REF!</v>
          </cell>
          <cell r="BC185" t="str">
            <v>01/6/2016</v>
          </cell>
        </row>
        <row r="186">
          <cell r="A186" t="str">
            <v>BV0278</v>
          </cell>
          <cell r="B186">
            <v>180</v>
          </cell>
          <cell r="C186" t="str">
            <v>Vi Thị Thuần</v>
          </cell>
          <cell r="D186" t="str">
            <v>BV0278</v>
          </cell>
          <cell r="E186">
            <v>2011000025</v>
          </cell>
          <cell r="G186" t="str">
            <v>020183004378
Cấp ngày: 25/06/2021
Cục cảnh sát QLHC
về TTXH</v>
          </cell>
          <cell r="I186">
            <v>30619</v>
          </cell>
          <cell r="J186">
            <v>42</v>
          </cell>
          <cell r="K186" t="str">
            <v>081028787</v>
          </cell>
          <cell r="L186" t="str">
            <v>07/3/2012</v>
          </cell>
          <cell r="M186" t="str">
            <v>CA tỉnh Lạng Sơn</v>
          </cell>
          <cell r="N186" t="str">
            <v>Tỉnh Lạng Sơn</v>
          </cell>
          <cell r="O186" t="str">
            <v>Xã Tân Đoàn</v>
          </cell>
          <cell r="P186" t="str">
            <v>Huyện Văn Quan</v>
          </cell>
          <cell r="Q186" t="str">
            <v>Tỉnh Lạng Sơn</v>
          </cell>
          <cell r="S186" t="str">
            <v>Xã Tân Đoàn</v>
          </cell>
          <cell r="T186" t="str">
            <v>Huyện Văn Quan</v>
          </cell>
          <cell r="U186" t="str">
            <v>Tỉnh Lạng Sơn</v>
          </cell>
          <cell r="V186" t="str">
            <v>Xã Tân Đoàn, Huyện Văn Quan, Tỉnh Lạng Sơn</v>
          </cell>
          <cell r="W186" t="str">
            <v>1/12/2010</v>
          </cell>
          <cell r="AA186">
            <v>0</v>
          </cell>
          <cell r="AB186" t="str">
            <v>TĐ018</v>
          </cell>
          <cell r="AC186" t="str">
            <v>Phụ sản</v>
          </cell>
          <cell r="AD186" t="str">
            <v>KP016</v>
          </cell>
          <cell r="AE186" t="str">
            <v>Viên chức</v>
          </cell>
          <cell r="AF186" t="str">
            <v>V.08.06.16</v>
          </cell>
          <cell r="AG186" t="str">
            <v>Hộ sinh (hạng IV)</v>
          </cell>
          <cell r="AH186">
            <v>3.34</v>
          </cell>
          <cell r="AI186">
            <v>5</v>
          </cell>
          <cell r="AJ186">
            <v>0</v>
          </cell>
          <cell r="AK186">
            <v>45444</v>
          </cell>
          <cell r="AL186" t="str">
            <v>Cao đẳng</v>
          </cell>
          <cell r="AM186" t="str">
            <v>Hộ sinh CĐ</v>
          </cell>
          <cell r="AO186" t="str">
            <v>Trung học Y tế Lạng Sơn</v>
          </cell>
          <cell r="AP186">
            <v>2005</v>
          </cell>
          <cell r="AQ186" t="str">
            <v>12/12</v>
          </cell>
          <cell r="AR186">
            <v>0</v>
          </cell>
          <cell r="AS186">
            <v>0</v>
          </cell>
          <cell r="AT186">
            <v>0</v>
          </cell>
          <cell r="AU186">
            <v>0</v>
          </cell>
          <cell r="AV186">
            <v>0</v>
          </cell>
          <cell r="AW186">
            <v>0</v>
          </cell>
          <cell r="AY186" t="str">
            <v>Tày</v>
          </cell>
          <cell r="BA186" t="e">
            <v>#REF!</v>
          </cell>
          <cell r="BB186" t="e">
            <v>#REF!</v>
          </cell>
          <cell r="BC186" t="str">
            <v>24/6/2013</v>
          </cell>
        </row>
        <row r="187">
          <cell r="A187" t="str">
            <v>BV0257</v>
          </cell>
          <cell r="B187">
            <v>181</v>
          </cell>
          <cell r="C187" t="str">
            <v>Lý Thị Hường</v>
          </cell>
          <cell r="D187" t="str">
            <v>BV0257</v>
          </cell>
          <cell r="E187">
            <v>1507002321</v>
          </cell>
          <cell r="G187" t="str">
            <v>080937108
Cấp ngày:28/03/2017
Công An Tỉnh Lạng Sơn</v>
          </cell>
          <cell r="I187">
            <v>30118</v>
          </cell>
          <cell r="J187">
            <v>44</v>
          </cell>
          <cell r="K187" t="str">
            <v>080937108</v>
          </cell>
          <cell r="L187" t="str">
            <v>09/3/2013</v>
          </cell>
          <cell r="M187" t="str">
            <v>CA tỉnh Lạng Sơn</v>
          </cell>
          <cell r="N187" t="str">
            <v>Tỉnh Lạng Sơn</v>
          </cell>
          <cell r="O187" t="str">
            <v>Xã Mai Pha</v>
          </cell>
          <cell r="P187" t="str">
            <v>Thành phố Lạng Sơn</v>
          </cell>
          <cell r="Q187" t="str">
            <v>Tỉnh Lạng Sơn</v>
          </cell>
          <cell r="S187" t="str">
            <v>Xã Mai Pha</v>
          </cell>
          <cell r="T187" t="str">
            <v>Thành phố Lạng Sơn</v>
          </cell>
          <cell r="U187" t="str">
            <v>Tỉnh Lạng Sơn</v>
          </cell>
          <cell r="V187" t="str">
            <v>Xã Mai Pha, Thành phố Lạng Sơn, Tỉnh Lạng Sơn</v>
          </cell>
          <cell r="W187" t="str">
            <v>1/12/2010</v>
          </cell>
          <cell r="AA187">
            <v>0</v>
          </cell>
          <cell r="AB187" t="str">
            <v>TĐ018</v>
          </cell>
          <cell r="AC187" t="str">
            <v>Phụ sản</v>
          </cell>
          <cell r="AD187" t="str">
            <v>KP016</v>
          </cell>
          <cell r="AE187" t="str">
            <v>Viên chức</v>
          </cell>
          <cell r="AF187" t="str">
            <v>V.08.06.16</v>
          </cell>
          <cell r="AG187" t="str">
            <v>Hộ sinh (hạng IV)</v>
          </cell>
          <cell r="AH187">
            <v>3.34</v>
          </cell>
          <cell r="AI187">
            <v>5</v>
          </cell>
          <cell r="AJ187">
            <v>0</v>
          </cell>
          <cell r="AK187">
            <v>45444</v>
          </cell>
          <cell r="AL187" t="str">
            <v>Cao đẳng</v>
          </cell>
          <cell r="AM187" t="str">
            <v>Hộ sinh CĐ</v>
          </cell>
          <cell r="AO187" t="str">
            <v>Trung học Y tế Lạng Sơn</v>
          </cell>
          <cell r="AP187">
            <v>2005</v>
          </cell>
          <cell r="AQ187" t="str">
            <v>12/12</v>
          </cell>
          <cell r="AR187">
            <v>0</v>
          </cell>
          <cell r="AS187">
            <v>0</v>
          </cell>
          <cell r="AT187">
            <v>0</v>
          </cell>
          <cell r="AU187">
            <v>0</v>
          </cell>
          <cell r="AV187" t="str">
            <v>x</v>
          </cell>
          <cell r="AW187" t="str">
            <v>x</v>
          </cell>
          <cell r="AY187" t="str">
            <v>Nùng</v>
          </cell>
          <cell r="BA187" t="e">
            <v>#REF!</v>
          </cell>
          <cell r="BB187" t="e">
            <v>#REF!</v>
          </cell>
          <cell r="BC187" t="str">
            <v>24/6/2013</v>
          </cell>
        </row>
        <row r="188">
          <cell r="A188" t="str">
            <v>BV0258</v>
          </cell>
          <cell r="B188">
            <v>182</v>
          </cell>
          <cell r="C188" t="str">
            <v>Chu Thị Hồng Trang</v>
          </cell>
          <cell r="D188" t="str">
            <v>BV0258</v>
          </cell>
          <cell r="E188">
            <v>1506002734</v>
          </cell>
          <cell r="G188" t="str">
            <v>020180000519
Cấp ngày: 02/04/2021
Cục cảnh sát QLHC
về TTXH</v>
          </cell>
          <cell r="I188">
            <v>29416</v>
          </cell>
          <cell r="J188">
            <v>45</v>
          </cell>
          <cell r="K188" t="str">
            <v>080926098</v>
          </cell>
          <cell r="L188" t="str">
            <v>04/8/2008</v>
          </cell>
          <cell r="M188" t="str">
            <v>CA tỉnh Lạng Sơn</v>
          </cell>
          <cell r="N188" t="str">
            <v>Tỉnh Lạng Sơn</v>
          </cell>
          <cell r="P188" t="str">
            <v>Huyện Tràng Định</v>
          </cell>
          <cell r="Q188" t="str">
            <v>Tỉnh Lạng Sơn</v>
          </cell>
          <cell r="S188" t="str">
            <v>Xã Hoàng Đồng</v>
          </cell>
          <cell r="T188" t="str">
            <v>Thành phố Lạng Sơn</v>
          </cell>
          <cell r="U188" t="str">
            <v>Tỉnh Lạng Sơn</v>
          </cell>
          <cell r="V188" t="str">
            <v>Xã Hoàng Đồng, Thành phố Lạng Sơn, Tỉnh Lạng Sơn</v>
          </cell>
          <cell r="W188" t="str">
            <v>1/9/2005</v>
          </cell>
          <cell r="AA188">
            <v>0</v>
          </cell>
          <cell r="AB188" t="str">
            <v>TĐ018</v>
          </cell>
          <cell r="AC188" t="str">
            <v>Phụ sản</v>
          </cell>
          <cell r="AD188" t="str">
            <v>KP016</v>
          </cell>
          <cell r="AE188" t="str">
            <v>Viên chức</v>
          </cell>
          <cell r="AF188" t="str">
            <v>V.08.06.16</v>
          </cell>
          <cell r="AG188" t="str">
            <v>Hộ sinh (hạng IV)</v>
          </cell>
          <cell r="AH188">
            <v>3.65</v>
          </cell>
          <cell r="AI188">
            <v>6</v>
          </cell>
          <cell r="AJ188">
            <v>0</v>
          </cell>
          <cell r="AK188">
            <v>45474</v>
          </cell>
          <cell r="AL188" t="str">
            <v>Cao đẳng</v>
          </cell>
          <cell r="AM188" t="str">
            <v>Hộ sinh CĐ</v>
          </cell>
          <cell r="AO188" t="str">
            <v>Trung học Y tế Lạng Sơn</v>
          </cell>
          <cell r="AP188">
            <v>2001</v>
          </cell>
          <cell r="AQ188" t="str">
            <v>12/12</v>
          </cell>
          <cell r="AR188">
            <v>0</v>
          </cell>
          <cell r="AS188">
            <v>0</v>
          </cell>
          <cell r="AT188">
            <v>0</v>
          </cell>
          <cell r="AU188">
            <v>0</v>
          </cell>
          <cell r="AV188">
            <v>0</v>
          </cell>
          <cell r="AW188" t="str">
            <v>Cơ bản</v>
          </cell>
          <cell r="AY188" t="str">
            <v>Tày</v>
          </cell>
          <cell r="BA188" t="e">
            <v>#REF!</v>
          </cell>
          <cell r="BB188" t="e">
            <v>#REF!</v>
          </cell>
          <cell r="BC188" t="str">
            <v>24/6/2013</v>
          </cell>
        </row>
        <row r="189">
          <cell r="A189" t="str">
            <v>BV0267</v>
          </cell>
          <cell r="B189">
            <v>183</v>
          </cell>
          <cell r="C189" t="str">
            <v>Hoàng Thị Mai quỳnh</v>
          </cell>
          <cell r="D189" t="str">
            <v>BV0267</v>
          </cell>
          <cell r="E189">
            <v>2008002398</v>
          </cell>
          <cell r="G189" t="str">
            <v>020187002868
Cấp ngày: 20/04/2021
Cục cảnh sát QLHC
về TTXH</v>
          </cell>
          <cell r="I189">
            <v>32075</v>
          </cell>
          <cell r="J189">
            <v>38</v>
          </cell>
          <cell r="K189" t="str">
            <v>082020296</v>
          </cell>
          <cell r="L189" t="str">
            <v>31/01/2005</v>
          </cell>
          <cell r="M189" t="str">
            <v>CA tỉnh Lạng Sơn</v>
          </cell>
          <cell r="N189" t="str">
            <v>Tỉnh Lạng Sơn</v>
          </cell>
          <cell r="O189" t="str">
            <v>Xã Mai Pha</v>
          </cell>
          <cell r="P189" t="str">
            <v>Thành phố Lạng Sơn</v>
          </cell>
          <cell r="Q189" t="str">
            <v>Tỉnh Lạng Sơn</v>
          </cell>
          <cell r="S189" t="str">
            <v>Xã Mai Pha</v>
          </cell>
          <cell r="T189" t="str">
            <v>Thành phố Lạng Sơn</v>
          </cell>
          <cell r="U189" t="str">
            <v>Tỉnh Lạng Sơn</v>
          </cell>
          <cell r="V189" t="str">
            <v>Xã Mai Pha, Thành phố Lạng Sơn, Tỉnh Lạng Sơn</v>
          </cell>
          <cell r="W189" t="str">
            <v>1/12/2008</v>
          </cell>
          <cell r="AA189">
            <v>0</v>
          </cell>
          <cell r="AB189" t="str">
            <v>TĐ018</v>
          </cell>
          <cell r="AC189" t="str">
            <v>Phụ sản</v>
          </cell>
          <cell r="AD189" t="str">
            <v>KP016</v>
          </cell>
          <cell r="AE189" t="str">
            <v>Viên chức</v>
          </cell>
          <cell r="AF189" t="str">
            <v>V.08.06.16</v>
          </cell>
          <cell r="AG189" t="str">
            <v>Hộ sinh (hạng IV)</v>
          </cell>
          <cell r="AH189">
            <v>3.65</v>
          </cell>
          <cell r="AI189">
            <v>6</v>
          </cell>
          <cell r="AJ189">
            <v>0</v>
          </cell>
          <cell r="AK189">
            <v>45809</v>
          </cell>
          <cell r="AL189" t="str">
            <v>Cao đẳng</v>
          </cell>
          <cell r="AM189" t="str">
            <v>Hộ sinh CĐ</v>
          </cell>
          <cell r="AO189" t="str">
            <v>CĐ Y tế Lạng Sơn</v>
          </cell>
          <cell r="AP189">
            <v>2007</v>
          </cell>
          <cell r="AQ189" t="str">
            <v>12/12</v>
          </cell>
          <cell r="AR189">
            <v>0</v>
          </cell>
          <cell r="AS189">
            <v>0</v>
          </cell>
          <cell r="AT189">
            <v>0</v>
          </cell>
          <cell r="AU189">
            <v>0</v>
          </cell>
          <cell r="AV189">
            <v>0</v>
          </cell>
          <cell r="AW189" t="str">
            <v>Tin B</v>
          </cell>
          <cell r="AY189" t="str">
            <v>Tày</v>
          </cell>
          <cell r="BA189" t="e">
            <v>#REF!</v>
          </cell>
          <cell r="BB189" t="e">
            <v>#REF!</v>
          </cell>
          <cell r="BC189" t="str">
            <v>24/6/2013</v>
          </cell>
        </row>
        <row r="190">
          <cell r="A190" t="str">
            <v>BV0269</v>
          </cell>
          <cell r="B190">
            <v>184</v>
          </cell>
          <cell r="C190" t="str">
            <v>Hoàng Thị Hương</v>
          </cell>
          <cell r="D190" t="str">
            <v>BV0269</v>
          </cell>
          <cell r="E190">
            <v>1500002060</v>
          </cell>
          <cell r="I190">
            <v>26136</v>
          </cell>
          <cell r="J190">
            <v>54</v>
          </cell>
          <cell r="K190" t="str">
            <v>080935559</v>
          </cell>
          <cell r="L190" t="str">
            <v>10/6/2003</v>
          </cell>
          <cell r="M190" t="str">
            <v>CA tỉnh Lạng Sơn</v>
          </cell>
          <cell r="N190" t="str">
            <v>Tỉnh Lạng Sơn</v>
          </cell>
          <cell r="P190" t="str">
            <v>Huyện Văn Quan</v>
          </cell>
          <cell r="Q190" t="str">
            <v>Tỉnh Lạng Sơn</v>
          </cell>
          <cell r="S190" t="str">
            <v>Phường Tam Thanh</v>
          </cell>
          <cell r="T190" t="str">
            <v>Thành phố Lạng Sơn</v>
          </cell>
          <cell r="U190" t="str">
            <v>Tỉnh Lạng Sơn</v>
          </cell>
          <cell r="V190" t="str">
            <v>Phường Tam Thanh, Thành phố Lạng Sơn, Tỉnh Lạng Sơn</v>
          </cell>
          <cell r="W190" t="str">
            <v>1/5/1996</v>
          </cell>
          <cell r="AA190">
            <v>0</v>
          </cell>
          <cell r="AB190" t="str">
            <v>TĐ018</v>
          </cell>
          <cell r="AC190" t="str">
            <v>Phụ sản</v>
          </cell>
          <cell r="AD190" t="str">
            <v>KP016</v>
          </cell>
          <cell r="AE190" t="str">
            <v>Viên chức</v>
          </cell>
          <cell r="AF190" t="str">
            <v>V.08.06.16</v>
          </cell>
          <cell r="AG190" t="str">
            <v>Hộ sinh (hạng IV)</v>
          </cell>
          <cell r="AH190">
            <v>4.58</v>
          </cell>
          <cell r="AI190">
            <v>9</v>
          </cell>
          <cell r="AJ190">
            <v>0.08</v>
          </cell>
          <cell r="AK190">
            <v>45672</v>
          </cell>
          <cell r="AL190" t="str">
            <v>Trung cấp</v>
          </cell>
          <cell r="AM190" t="str">
            <v>Hộ sinh CĐ</v>
          </cell>
          <cell r="AO190" t="str">
            <v>Trung học Y tế Lạng Sơn</v>
          </cell>
          <cell r="AP190">
            <v>1995</v>
          </cell>
          <cell r="AQ190" t="str">
            <v>12/12</v>
          </cell>
          <cell r="AR190">
            <v>0</v>
          </cell>
          <cell r="AS190">
            <v>0</v>
          </cell>
          <cell r="AT190">
            <v>0</v>
          </cell>
          <cell r="AU190">
            <v>0</v>
          </cell>
          <cell r="AV190">
            <v>0</v>
          </cell>
          <cell r="AW190">
            <v>0</v>
          </cell>
          <cell r="AY190" t="str">
            <v>Tày</v>
          </cell>
          <cell r="AZ190">
            <v>37692</v>
          </cell>
          <cell r="BA190" t="e">
            <v>#REF!</v>
          </cell>
          <cell r="BB190" t="e">
            <v>#REF!</v>
          </cell>
          <cell r="BC190" t="str">
            <v>24/6/2013</v>
          </cell>
        </row>
        <row r="191">
          <cell r="A191" t="str">
            <v>BV0041</v>
          </cell>
          <cell r="B191">
            <v>185</v>
          </cell>
          <cell r="C191" t="str">
            <v>Vi Thị Hương Giang</v>
          </cell>
          <cell r="D191" t="str">
            <v>BV0041</v>
          </cell>
          <cell r="E191">
            <v>2010000164</v>
          </cell>
          <cell r="G191" t="str">
            <v>020187008087
Cấp ngày: 24/06/2021
Cục cảnh sát QLHC
về TTXH</v>
          </cell>
          <cell r="I191">
            <v>31861</v>
          </cell>
          <cell r="J191">
            <v>39</v>
          </cell>
          <cell r="K191" t="str">
            <v>082075209</v>
          </cell>
          <cell r="L191" t="str">
            <v>21/3/2006</v>
          </cell>
          <cell r="M191" t="str">
            <v>CA tỉnh Lạng Sơn</v>
          </cell>
          <cell r="N191" t="str">
            <v>Tỉnh Lạng Sơn</v>
          </cell>
          <cell r="O191" t="str">
            <v>Xã Lâm Sơn</v>
          </cell>
          <cell r="P191" t="str">
            <v>Huyện Chi Lăng</v>
          </cell>
          <cell r="Q191" t="str">
            <v>Tỉnh Lạng Sơn</v>
          </cell>
          <cell r="S191" t="str">
            <v>Xã Lâm Sơn</v>
          </cell>
          <cell r="T191" t="str">
            <v>Huyện Chi Lăng</v>
          </cell>
          <cell r="U191" t="str">
            <v>Tỉnh Lạng Sơn</v>
          </cell>
          <cell r="V191" t="str">
            <v>Xã Lâm Sơn, Huyện Chi Lăng, Tỉnh Lạng Sơn</v>
          </cell>
          <cell r="W191" t="str">
            <v>15/1/2010</v>
          </cell>
          <cell r="AA191">
            <v>0</v>
          </cell>
          <cell r="AB191" t="str">
            <v>TĐ018</v>
          </cell>
          <cell r="AC191" t="str">
            <v>Phụ sản</v>
          </cell>
          <cell r="AD191" t="str">
            <v>KP016</v>
          </cell>
          <cell r="AE191" t="str">
            <v>Viên chức</v>
          </cell>
          <cell r="AF191" t="str">
            <v>V.08.06.16</v>
          </cell>
          <cell r="AG191" t="str">
            <v>Hộ sinh (hạng IV)</v>
          </cell>
          <cell r="AH191">
            <v>3.34</v>
          </cell>
          <cell r="AI191">
            <v>5</v>
          </cell>
          <cell r="AJ191">
            <v>0</v>
          </cell>
          <cell r="AK191">
            <v>45306</v>
          </cell>
          <cell r="AL191" t="str">
            <v>Cao đẳng</v>
          </cell>
          <cell r="AM191" t="str">
            <v>Hộ sinh CĐ</v>
          </cell>
          <cell r="AO191" t="str">
            <v>CĐ Y tế Lạng Sơn</v>
          </cell>
          <cell r="AP191">
            <v>2018</v>
          </cell>
          <cell r="AQ191" t="str">
            <v>12/12</v>
          </cell>
          <cell r="AR191">
            <v>0</v>
          </cell>
          <cell r="AS191">
            <v>0</v>
          </cell>
          <cell r="AT191">
            <v>0</v>
          </cell>
          <cell r="AU191">
            <v>0</v>
          </cell>
          <cell r="AV191">
            <v>0</v>
          </cell>
          <cell r="AW191" t="str">
            <v>B</v>
          </cell>
          <cell r="AY191" t="str">
            <v>Tày</v>
          </cell>
          <cell r="BA191" t="e">
            <v>#REF!</v>
          </cell>
          <cell r="BB191" t="e">
            <v>#REF!</v>
          </cell>
          <cell r="BC191" t="str">
            <v>30/01/2018</v>
          </cell>
        </row>
        <row r="192">
          <cell r="A192" t="str">
            <v>BV0271</v>
          </cell>
          <cell r="B192">
            <v>186</v>
          </cell>
          <cell r="C192" t="str">
            <v>Chu Thị Mười</v>
          </cell>
          <cell r="D192" t="str">
            <v>BV0271</v>
          </cell>
          <cell r="E192">
            <v>2008000940</v>
          </cell>
          <cell r="G192" t="str">
            <v>020183003149
Cấp ngày: 01/05/2021
Cục cảnh sát QLHC
về TTXH</v>
          </cell>
          <cell r="I192">
            <v>30416</v>
          </cell>
          <cell r="J192">
            <v>43</v>
          </cell>
          <cell r="K192" t="str">
            <v>080990753</v>
          </cell>
          <cell r="L192" t="str">
            <v>22/12/1999</v>
          </cell>
          <cell r="M192" t="str">
            <v>CA tỉnh Lạng Sơn</v>
          </cell>
          <cell r="N192" t="str">
            <v>Tỉnh Lạng Sơn</v>
          </cell>
          <cell r="P192" t="str">
            <v>Huyện Văn Lãng</v>
          </cell>
          <cell r="Q192" t="str">
            <v>Tỉnh Lạng Sơn</v>
          </cell>
          <cell r="S192" t="str">
            <v>Xã Hoàng Văn Thụ</v>
          </cell>
          <cell r="T192" t="str">
            <v>Huyện Văn Lãng</v>
          </cell>
          <cell r="U192" t="str">
            <v>Tỉnh Lạng Sơn</v>
          </cell>
          <cell r="V192" t="str">
            <v>Xã Hoàng Văn Thụ, Huyện Văn Lãng, Tỉnh Lạng Sơn</v>
          </cell>
          <cell r="W192" t="str">
            <v>15/1/2010</v>
          </cell>
          <cell r="AA192">
            <v>0</v>
          </cell>
          <cell r="AB192" t="str">
            <v>TĐ018</v>
          </cell>
          <cell r="AC192" t="str">
            <v>Phụ sản</v>
          </cell>
          <cell r="AD192" t="str">
            <v>KP016</v>
          </cell>
          <cell r="AE192" t="str">
            <v>Viên chức</v>
          </cell>
          <cell r="AF192" t="str">
            <v>V.08.06.16</v>
          </cell>
          <cell r="AG192" t="str">
            <v>Hộ sinh (hạng IV)</v>
          </cell>
          <cell r="AH192">
            <v>3.34</v>
          </cell>
          <cell r="AI192">
            <v>5</v>
          </cell>
          <cell r="AJ192">
            <v>0</v>
          </cell>
          <cell r="AK192">
            <v>44927</v>
          </cell>
          <cell r="AL192" t="str">
            <v>Cao đẳng</v>
          </cell>
          <cell r="AM192" t="str">
            <v>Hộ sinh CĐ</v>
          </cell>
          <cell r="AO192" t="str">
            <v>Trung học Y tế Lạng Sơn</v>
          </cell>
          <cell r="AP192">
            <v>2005</v>
          </cell>
          <cell r="AQ192" t="str">
            <v>12/12</v>
          </cell>
          <cell r="AR192">
            <v>0</v>
          </cell>
          <cell r="AS192">
            <v>0</v>
          </cell>
          <cell r="AT192">
            <v>0</v>
          </cell>
          <cell r="AU192">
            <v>0</v>
          </cell>
          <cell r="AV192">
            <v>0</v>
          </cell>
          <cell r="AW192">
            <v>0</v>
          </cell>
          <cell r="AY192" t="str">
            <v>Tày</v>
          </cell>
          <cell r="BA192" t="e">
            <v>#REF!</v>
          </cell>
          <cell r="BB192" t="e">
            <v>#REF!</v>
          </cell>
          <cell r="BC192" t="str">
            <v>24/6/2013</v>
          </cell>
        </row>
        <row r="193">
          <cell r="A193" t="str">
            <v>BV0272</v>
          </cell>
          <cell r="B193">
            <v>187</v>
          </cell>
          <cell r="C193" t="str">
            <v>Hứa Thanh Ngà</v>
          </cell>
          <cell r="D193" t="str">
            <v>BV0272</v>
          </cell>
          <cell r="E193">
            <v>2010000162</v>
          </cell>
          <cell r="G193" t="str">
            <v>020176001521
Cấp ngày: 11/04/2021
Cục cảnh sát QLHC
về TTXH</v>
          </cell>
          <cell r="I193">
            <v>28080</v>
          </cell>
          <cell r="J193">
            <v>49</v>
          </cell>
          <cell r="K193" t="str">
            <v>080939654</v>
          </cell>
          <cell r="L193" t="str">
            <v>06/02/2013</v>
          </cell>
          <cell r="M193" t="str">
            <v>CA tỉnh Lạng Sơn</v>
          </cell>
          <cell r="N193" t="str">
            <v>Tỉnh Lạng Sơn</v>
          </cell>
          <cell r="O193" t="str">
            <v>Thị trấn Thất Khê</v>
          </cell>
          <cell r="P193" t="str">
            <v>Huyện Tràng Định</v>
          </cell>
          <cell r="Q193" t="str">
            <v>Tỉnh Lạng Sơn</v>
          </cell>
          <cell r="R193" t="str">
            <v>Đường Trần Quang Khải</v>
          </cell>
          <cell r="S193" t="str">
            <v>Phường Chi Lăng</v>
          </cell>
          <cell r="T193" t="str">
            <v>Thành phố Lạng Sơn</v>
          </cell>
          <cell r="U193" t="str">
            <v>Tỉnh Lạng Sơn</v>
          </cell>
          <cell r="V193" t="str">
            <v>Phường Chi Lăng, Thành phố Lạng Sơn, Tỉnh Lạng Sơn</v>
          </cell>
          <cell r="W193" t="str">
            <v>15/1/2010</v>
          </cell>
          <cell r="AA193">
            <v>0</v>
          </cell>
          <cell r="AB193" t="str">
            <v>TĐ017</v>
          </cell>
          <cell r="AC193" t="str">
            <v>Phụ sản</v>
          </cell>
          <cell r="AD193" t="str">
            <v>KP016</v>
          </cell>
          <cell r="AE193" t="str">
            <v>Viên chức</v>
          </cell>
          <cell r="AF193" t="str">
            <v>V.08.06.16</v>
          </cell>
          <cell r="AG193" t="str">
            <v>Hộ sinh (hạng III)</v>
          </cell>
          <cell r="AH193">
            <v>3.66</v>
          </cell>
          <cell r="AI193">
            <v>5</v>
          </cell>
          <cell r="AJ193">
            <v>0</v>
          </cell>
          <cell r="AK193">
            <v>45383</v>
          </cell>
          <cell r="AL193" t="str">
            <v>Đại học</v>
          </cell>
          <cell r="AM193" t="str">
            <v>Hộ sinh ĐH</v>
          </cell>
          <cell r="AO193" t="str">
            <v>Trung học Y tế Lạng Sơn</v>
          </cell>
          <cell r="AP193">
            <v>2004</v>
          </cell>
          <cell r="AQ193" t="str">
            <v>12/12</v>
          </cell>
          <cell r="AR193">
            <v>0</v>
          </cell>
          <cell r="AS193">
            <v>0</v>
          </cell>
          <cell r="AT193">
            <v>0</v>
          </cell>
          <cell r="AU193" t="str">
            <v>Anh A2</v>
          </cell>
          <cell r="AV193">
            <v>0</v>
          </cell>
          <cell r="AW193" t="str">
            <v>Cơ bản</v>
          </cell>
          <cell r="AY193" t="str">
            <v>Nùng</v>
          </cell>
          <cell r="BA193" t="e">
            <v>#REF!</v>
          </cell>
          <cell r="BB193" t="e">
            <v>#REF!</v>
          </cell>
          <cell r="BC193" t="str">
            <v>24/6/2013</v>
          </cell>
        </row>
        <row r="194">
          <cell r="A194" t="str">
            <v>BV0273</v>
          </cell>
          <cell r="B194">
            <v>188</v>
          </cell>
          <cell r="C194" t="str">
            <v>Phan Thị Thi</v>
          </cell>
          <cell r="D194" t="str">
            <v>BV0273</v>
          </cell>
          <cell r="E194">
            <v>2010000132</v>
          </cell>
          <cell r="G194" t="str">
            <v>020185002564
Cấp ngày: 20/04/2021
Cục cảnh sát QLHC
về TTXH</v>
          </cell>
          <cell r="I194">
            <v>31289</v>
          </cell>
          <cell r="J194">
            <v>40</v>
          </cell>
          <cell r="K194" t="str">
            <v>082000362</v>
          </cell>
          <cell r="L194" t="str">
            <v>06/4/2012</v>
          </cell>
          <cell r="M194" t="str">
            <v>CA tỉnh Lạng Sơn</v>
          </cell>
          <cell r="N194" t="str">
            <v>Tỉnh Lạng Sơn</v>
          </cell>
          <cell r="O194" t="str">
            <v>Kiên Mộc</v>
          </cell>
          <cell r="P194" t="str">
            <v>Huyện Đình Lập</v>
          </cell>
          <cell r="Q194" t="str">
            <v>Tỉnh Lạng Sơn</v>
          </cell>
          <cell r="R194" t="str">
            <v>Bản Có</v>
          </cell>
          <cell r="S194" t="str">
            <v>Xã Kiên Mộc</v>
          </cell>
          <cell r="T194" t="str">
            <v>Huyện Đình Lập</v>
          </cell>
          <cell r="U194" t="str">
            <v>Tỉnh Lạng Sơn</v>
          </cell>
          <cell r="V194" t="str">
            <v>Xã Kiên Mộc, Huyện Đình Lập, Tỉnh Lạng Sơn</v>
          </cell>
          <cell r="W194" t="str">
            <v>15/1/2010</v>
          </cell>
          <cell r="AA194">
            <v>0</v>
          </cell>
          <cell r="AB194" t="str">
            <v>TĐ018</v>
          </cell>
          <cell r="AC194" t="str">
            <v>Phụ sản</v>
          </cell>
          <cell r="AD194" t="str">
            <v>KP016</v>
          </cell>
          <cell r="AE194" t="str">
            <v>Viên chức</v>
          </cell>
          <cell r="AF194" t="str">
            <v>V.08.06.16</v>
          </cell>
          <cell r="AG194" t="str">
            <v>Hộ sinh (hạng IV)</v>
          </cell>
          <cell r="AH194">
            <v>3.34</v>
          </cell>
          <cell r="AI194">
            <v>5</v>
          </cell>
          <cell r="AJ194">
            <v>0</v>
          </cell>
          <cell r="AK194">
            <v>44927</v>
          </cell>
          <cell r="AL194" t="str">
            <v>Cao đẳng</v>
          </cell>
          <cell r="AM194" t="str">
            <v>Hộ sinh CĐ</v>
          </cell>
          <cell r="AO194" t="str">
            <v>CĐ Y tế Lạng Sơn</v>
          </cell>
          <cell r="AP194">
            <v>2008</v>
          </cell>
          <cell r="AQ194" t="str">
            <v>12/12</v>
          </cell>
          <cell r="AR194">
            <v>0</v>
          </cell>
          <cell r="AS194">
            <v>0</v>
          </cell>
          <cell r="AT194">
            <v>0</v>
          </cell>
          <cell r="AU194">
            <v>0</v>
          </cell>
          <cell r="AV194">
            <v>0</v>
          </cell>
          <cell r="AW194">
            <v>0</v>
          </cell>
          <cell r="AY194" t="str">
            <v>Tày</v>
          </cell>
          <cell r="BA194" t="e">
            <v>#REF!</v>
          </cell>
          <cell r="BB194" t="e">
            <v>#REF!</v>
          </cell>
          <cell r="BC194" t="str">
            <v>24/6/2013</v>
          </cell>
        </row>
        <row r="195">
          <cell r="A195" t="str">
            <v>BV0275</v>
          </cell>
          <cell r="B195">
            <v>189</v>
          </cell>
          <cell r="C195" t="str">
            <v>Dương Thị Huế</v>
          </cell>
          <cell r="D195" t="str">
            <v>BV0275</v>
          </cell>
          <cell r="E195">
            <v>2010000163</v>
          </cell>
          <cell r="G195" t="str">
            <v>020185011311
Cấp ngày: 12/08/2021
Cục cảnh sát QLHC
về TTXH</v>
          </cell>
          <cell r="I195">
            <v>31310</v>
          </cell>
          <cell r="J195">
            <v>40</v>
          </cell>
          <cell r="K195" t="str">
            <v>082007471</v>
          </cell>
          <cell r="L195" t="str">
            <v>14/11/2003</v>
          </cell>
          <cell r="M195" t="str">
            <v>CA tỉnh Lạng Sơn</v>
          </cell>
          <cell r="N195" t="str">
            <v>Tỉnh Lạng Sơn</v>
          </cell>
          <cell r="O195" t="str">
            <v>Xã Hưng Vũ</v>
          </cell>
          <cell r="P195" t="str">
            <v>Huyện Bắc Sơn</v>
          </cell>
          <cell r="Q195" t="str">
            <v>Tỉnh Lạng Sơn</v>
          </cell>
          <cell r="S195" t="str">
            <v>Xã Hưng Vũ</v>
          </cell>
          <cell r="T195" t="str">
            <v>Huyện Bắc Sơn</v>
          </cell>
          <cell r="U195" t="str">
            <v>Tỉnh Lạng Sơn</v>
          </cell>
          <cell r="V195" t="str">
            <v>Xã Hưng Vũ, Huyện Bắc Sơn, Tỉnh Lạng Sơn</v>
          </cell>
          <cell r="W195" t="str">
            <v>15/1/2010</v>
          </cell>
          <cell r="AA195">
            <v>0</v>
          </cell>
          <cell r="AB195" t="str">
            <v>TĐ018</v>
          </cell>
          <cell r="AC195" t="str">
            <v>Phụ sản</v>
          </cell>
          <cell r="AD195" t="str">
            <v>KP016</v>
          </cell>
          <cell r="AE195" t="str">
            <v>Viên chức</v>
          </cell>
          <cell r="AF195" t="str">
            <v>V.08.06.16</v>
          </cell>
          <cell r="AG195" t="str">
            <v>Hộ sinh (hạng IV)</v>
          </cell>
          <cell r="AH195">
            <v>3.34</v>
          </cell>
          <cell r="AI195">
            <v>5</v>
          </cell>
          <cell r="AJ195">
            <v>0</v>
          </cell>
          <cell r="AK195">
            <v>44927</v>
          </cell>
          <cell r="AL195" t="str">
            <v>Cao đẳng</v>
          </cell>
          <cell r="AM195" t="str">
            <v>Hộ sinh CĐ</v>
          </cell>
          <cell r="AO195" t="str">
            <v>CĐ Y tế Lạng Sơn</v>
          </cell>
          <cell r="AP195">
            <v>2007</v>
          </cell>
          <cell r="AQ195" t="str">
            <v>12/12</v>
          </cell>
          <cell r="AR195">
            <v>0</v>
          </cell>
          <cell r="AS195">
            <v>0</v>
          </cell>
          <cell r="AT195">
            <v>0</v>
          </cell>
          <cell r="AU195">
            <v>0</v>
          </cell>
          <cell r="AV195">
            <v>0</v>
          </cell>
          <cell r="AW195">
            <v>0</v>
          </cell>
          <cell r="AY195" t="str">
            <v>Tày</v>
          </cell>
          <cell r="BA195" t="e">
            <v>#REF!</v>
          </cell>
          <cell r="BB195" t="e">
            <v>#REF!</v>
          </cell>
          <cell r="BC195" t="str">
            <v>24/6/2013</v>
          </cell>
        </row>
        <row r="196">
          <cell r="A196" t="str">
            <v>BV0276</v>
          </cell>
          <cell r="B196">
            <v>190</v>
          </cell>
          <cell r="C196" t="str">
            <v>Hoàng Thị Nhung</v>
          </cell>
          <cell r="D196" t="str">
            <v>BV0276</v>
          </cell>
          <cell r="E196">
            <v>1507000526</v>
          </cell>
          <cell r="G196" t="str">
            <v>020185005897
Cấp ngày: 27/06/2021
Cục cảnh sát QLHC
về TTXH</v>
          </cell>
          <cell r="I196">
            <v>31295</v>
          </cell>
          <cell r="J196">
            <v>40</v>
          </cell>
          <cell r="K196" t="str">
            <v>081064503</v>
          </cell>
          <cell r="L196" t="str">
            <v>18/02/2013</v>
          </cell>
          <cell r="M196" t="str">
            <v>CA tỉnh Lạng Sơn</v>
          </cell>
          <cell r="N196" t="str">
            <v>Tỉnh Lạng Sơn</v>
          </cell>
          <cell r="O196" t="str">
            <v>Xã Mai Pha</v>
          </cell>
          <cell r="P196" t="str">
            <v>Thành phố Lạng Sơn</v>
          </cell>
          <cell r="Q196" t="str">
            <v>Tỉnh Lạng Sơn</v>
          </cell>
          <cell r="R196" t="str">
            <v>Thôn Mai Thành</v>
          </cell>
          <cell r="S196" t="str">
            <v>Xã Mai Pha</v>
          </cell>
          <cell r="T196" t="str">
            <v>Thành phố Lạng Sơn</v>
          </cell>
          <cell r="U196" t="str">
            <v>Tỉnh Lạng Sơn</v>
          </cell>
          <cell r="V196" t="str">
            <v>Xã Mai Pha, Thành phố Lạng Sơn, Tỉnh Lạng Sơn</v>
          </cell>
          <cell r="W196" t="str">
            <v>1/12/2010</v>
          </cell>
          <cell r="AA196">
            <v>0</v>
          </cell>
          <cell r="AB196" t="str">
            <v>TĐ018</v>
          </cell>
          <cell r="AC196" t="str">
            <v>Phụ sản</v>
          </cell>
          <cell r="AD196" t="str">
            <v>KP016</v>
          </cell>
          <cell r="AE196" t="str">
            <v>Viên chức</v>
          </cell>
          <cell r="AF196" t="str">
            <v>V.08.06.16</v>
          </cell>
          <cell r="AG196" t="str">
            <v>Hộ sinh (hạng IV)</v>
          </cell>
          <cell r="AH196">
            <v>3.34</v>
          </cell>
          <cell r="AI196">
            <v>5</v>
          </cell>
          <cell r="AJ196">
            <v>0</v>
          </cell>
          <cell r="AK196">
            <v>45444</v>
          </cell>
          <cell r="AL196" t="str">
            <v>Cao đẳng</v>
          </cell>
          <cell r="AM196" t="str">
            <v>Hộ sinh CĐ</v>
          </cell>
          <cell r="AO196" t="str">
            <v>Trung học Y tế Lạng Sơn</v>
          </cell>
          <cell r="AP196">
            <v>2005</v>
          </cell>
          <cell r="AQ196" t="str">
            <v>12/12</v>
          </cell>
          <cell r="AR196">
            <v>0</v>
          </cell>
          <cell r="AS196">
            <v>0</v>
          </cell>
          <cell r="AT196">
            <v>0</v>
          </cell>
          <cell r="AU196" t="str">
            <v>Anh B</v>
          </cell>
          <cell r="AV196">
            <v>0</v>
          </cell>
          <cell r="AW196" t="str">
            <v>Cơ bản</v>
          </cell>
          <cell r="AY196" t="str">
            <v>Tày</v>
          </cell>
          <cell r="BA196" t="e">
            <v>#REF!</v>
          </cell>
          <cell r="BB196" t="e">
            <v>#REF!</v>
          </cell>
          <cell r="BC196" t="str">
            <v>24/6/2013</v>
          </cell>
        </row>
        <row r="197">
          <cell r="A197" t="str">
            <v>BV0279</v>
          </cell>
          <cell r="B197">
            <v>191</v>
          </cell>
          <cell r="C197" t="str">
            <v>Phạm Thu Hương</v>
          </cell>
          <cell r="D197" t="str">
            <v>BV0279</v>
          </cell>
          <cell r="E197">
            <v>2009002561</v>
          </cell>
          <cell r="G197" t="str">
            <v>020185006315
Cấp ngày: 25/06/2021
Cục cảnh sát QLHC
về TTXH</v>
          </cell>
          <cell r="I197">
            <v>31077</v>
          </cell>
          <cell r="J197">
            <v>41</v>
          </cell>
          <cell r="K197" t="str">
            <v>081064713</v>
          </cell>
          <cell r="L197" t="str">
            <v>27/02/2003</v>
          </cell>
          <cell r="M197" t="str">
            <v>CA tỉnh Lạng Sơn</v>
          </cell>
          <cell r="N197" t="str">
            <v>Tỉnh Lạng Sơn</v>
          </cell>
          <cell r="P197" t="str">
            <v>Huyện Bình Giang</v>
          </cell>
          <cell r="Q197" t="str">
            <v>Tỉnh Hải Dương</v>
          </cell>
          <cell r="S197" t="str">
            <v>Phường Hoàng Văn Thụ</v>
          </cell>
          <cell r="T197" t="str">
            <v>Thành phố Lạng Sơn</v>
          </cell>
          <cell r="U197" t="str">
            <v>Tỉnh Lạng Sơn</v>
          </cell>
          <cell r="V197" t="str">
            <v>Phường Hoàng Văn Thụ, Thành phố Lạng Sơn, Tỉnh Lạng Sơn</v>
          </cell>
          <cell r="W197" t="str">
            <v>14/1/2011</v>
          </cell>
          <cell r="AA197">
            <v>0</v>
          </cell>
          <cell r="AB197" t="str">
            <v>TĐ017</v>
          </cell>
          <cell r="AC197" t="str">
            <v>Phụ sản</v>
          </cell>
          <cell r="AD197" t="str">
            <v>KP016</v>
          </cell>
          <cell r="AE197" t="str">
            <v>Viên chức</v>
          </cell>
          <cell r="AF197" t="str">
            <v>V.08.06.16</v>
          </cell>
          <cell r="AG197" t="str">
            <v>Hộ sinh (hạng III)</v>
          </cell>
          <cell r="AH197">
            <v>3.66</v>
          </cell>
          <cell r="AI197">
            <v>5</v>
          </cell>
          <cell r="AJ197">
            <v>0</v>
          </cell>
          <cell r="AK197">
            <v>45839</v>
          </cell>
          <cell r="AL197" t="str">
            <v>Đại học</v>
          </cell>
          <cell r="AM197" t="str">
            <v>Hộ sinh ĐH</v>
          </cell>
          <cell r="AO197" t="str">
            <v>CĐ Kỹ thuật y tế Hải Dương</v>
          </cell>
          <cell r="AP197">
            <v>2007</v>
          </cell>
          <cell r="AQ197" t="str">
            <v>12/12</v>
          </cell>
          <cell r="AR197">
            <v>0</v>
          </cell>
          <cell r="AS197">
            <v>0</v>
          </cell>
          <cell r="AT197">
            <v>0</v>
          </cell>
          <cell r="AU197" t="str">
            <v>x</v>
          </cell>
          <cell r="AV197">
            <v>0</v>
          </cell>
          <cell r="AW197" t="str">
            <v>x</v>
          </cell>
          <cell r="AY197" t="str">
            <v>Kinh</v>
          </cell>
          <cell r="BA197" t="e">
            <v>#REF!</v>
          </cell>
          <cell r="BB197" t="e">
            <v>#REF!</v>
          </cell>
          <cell r="BC197" t="str">
            <v>24/6/2013</v>
          </cell>
        </row>
        <row r="198">
          <cell r="A198" t="str">
            <v>BV0280</v>
          </cell>
          <cell r="B198">
            <v>192</v>
          </cell>
          <cell r="C198" t="str">
            <v>Nguyễn Thị Định</v>
          </cell>
          <cell r="D198" t="str">
            <v>BV0280</v>
          </cell>
          <cell r="E198">
            <v>2011000156</v>
          </cell>
          <cell r="G198" t="str">
            <v>020186011754
Cấp ngày: 28/06/2021
Cục cảnh sát QLHC
về TTXH</v>
          </cell>
          <cell r="I198">
            <v>31452</v>
          </cell>
          <cell r="J198">
            <v>40</v>
          </cell>
          <cell r="K198" t="str">
            <v>082044597</v>
          </cell>
          <cell r="L198" t="str">
            <v>06/5/2009</v>
          </cell>
          <cell r="M198" t="str">
            <v>CA tỉnh Lạng Sơn</v>
          </cell>
          <cell r="N198" t="str">
            <v>Tỉnh Lạng Sơn</v>
          </cell>
          <cell r="O198" t="str">
            <v>Cẩm Văn</v>
          </cell>
          <cell r="P198" t="str">
            <v>Huyện Cẩm Bình</v>
          </cell>
          <cell r="Q198" t="str">
            <v>Tỉnh Hải Dương</v>
          </cell>
          <cell r="S198" t="str">
            <v>Xã Vân Nham</v>
          </cell>
          <cell r="T198" t="str">
            <v>Huyện Hữu Lũng</v>
          </cell>
          <cell r="U198" t="str">
            <v>Tỉnh Lạng Sơn</v>
          </cell>
          <cell r="V198" t="str">
            <v>Xã Vân Nham, Huyện Hữu Lũng, Tỉnh Lạng Sơn</v>
          </cell>
          <cell r="W198" t="str">
            <v>9/2/1986</v>
          </cell>
          <cell r="AA198">
            <v>0</v>
          </cell>
          <cell r="AB198" t="str">
            <v>TĐ017</v>
          </cell>
          <cell r="AC198" t="str">
            <v>Phụ sản</v>
          </cell>
          <cell r="AD198" t="str">
            <v>KP016</v>
          </cell>
          <cell r="AE198" t="str">
            <v>Viên chức</v>
          </cell>
          <cell r="AF198" t="str">
            <v>V.08.06.16</v>
          </cell>
          <cell r="AG198" t="str">
            <v>Hộ sinh (hạng III)</v>
          </cell>
          <cell r="AH198">
            <v>3.66</v>
          </cell>
          <cell r="AI198">
            <v>5</v>
          </cell>
          <cell r="AJ198">
            <v>0</v>
          </cell>
          <cell r="AK198">
            <v>45474</v>
          </cell>
          <cell r="AL198" t="str">
            <v>Đại học</v>
          </cell>
          <cell r="AM198" t="str">
            <v>Hộ sinh ĐH</v>
          </cell>
          <cell r="AO198" t="str">
            <v>CĐ Y tế Lạng Sơn</v>
          </cell>
          <cell r="AP198">
            <v>2008</v>
          </cell>
          <cell r="AQ198" t="str">
            <v>12/12</v>
          </cell>
          <cell r="AR198">
            <v>0</v>
          </cell>
          <cell r="AS198">
            <v>0</v>
          </cell>
          <cell r="AT198">
            <v>0</v>
          </cell>
          <cell r="AU198" t="str">
            <v>x</v>
          </cell>
          <cell r="AV198">
            <v>0</v>
          </cell>
          <cell r="AW198" t="str">
            <v>x</v>
          </cell>
          <cell r="AY198" t="str">
            <v>Nùng</v>
          </cell>
          <cell r="BA198" t="e">
            <v>#REF!</v>
          </cell>
          <cell r="BB198" t="e">
            <v>#REF!</v>
          </cell>
          <cell r="BC198" t="str">
            <v>24/6/2013</v>
          </cell>
        </row>
        <row r="199">
          <cell r="A199" t="str">
            <v>BV0281</v>
          </cell>
          <cell r="B199">
            <v>193</v>
          </cell>
          <cell r="C199" t="str">
            <v>Phạm Thúy Hường</v>
          </cell>
          <cell r="D199" t="str">
            <v>BV0281</v>
          </cell>
          <cell r="E199">
            <v>2008000159</v>
          </cell>
          <cell r="G199" t="str">
            <v>020184000822
Cấp ngày: 29/03/2021
Cục cảnh sát QLHC
về TTXH</v>
          </cell>
          <cell r="I199">
            <v>30771</v>
          </cell>
          <cell r="J199">
            <v>42</v>
          </cell>
          <cell r="K199" t="str">
            <v>081000979</v>
          </cell>
          <cell r="L199" t="str">
            <v>18/5/2011</v>
          </cell>
          <cell r="M199" t="str">
            <v>CA tỉnh Lạng Sơn</v>
          </cell>
          <cell r="N199" t="str">
            <v>Tỉnh Lạng Sơn</v>
          </cell>
          <cell r="O199" t="str">
            <v>Xã Hoàng Đồng</v>
          </cell>
          <cell r="P199" t="str">
            <v>Thành phố Lạng Sơn</v>
          </cell>
          <cell r="Q199" t="str">
            <v>Tỉnh Lạng Sơn</v>
          </cell>
          <cell r="S199" t="str">
            <v>Xã Hoàng Đồng</v>
          </cell>
          <cell r="T199" t="str">
            <v>Thành phố Lạng Sơn</v>
          </cell>
          <cell r="U199" t="str">
            <v>Tỉnh Lạng Sơn</v>
          </cell>
          <cell r="V199" t="str">
            <v>Xã Hoàng Đồng, Thành phố Lạng Sơn, Tỉnh Lạng Sơn</v>
          </cell>
          <cell r="W199" t="str">
            <v>10/6/2013</v>
          </cell>
          <cell r="AA199">
            <v>0</v>
          </cell>
          <cell r="AB199" t="str">
            <v>TĐ018</v>
          </cell>
          <cell r="AC199" t="str">
            <v>Phụ sản</v>
          </cell>
          <cell r="AD199" t="str">
            <v>KP016</v>
          </cell>
          <cell r="AE199" t="str">
            <v>Viên chức</v>
          </cell>
          <cell r="AF199" t="str">
            <v>V.08.06.16</v>
          </cell>
          <cell r="AG199" t="str">
            <v>Hộ sinh (hạng IV)</v>
          </cell>
          <cell r="AH199">
            <v>3.03</v>
          </cell>
          <cell r="AI199">
            <v>4</v>
          </cell>
          <cell r="AJ199">
            <v>0</v>
          </cell>
          <cell r="AK199">
            <v>45265</v>
          </cell>
          <cell r="AL199" t="str">
            <v>Cao đẳng</v>
          </cell>
          <cell r="AM199" t="str">
            <v>Hộ sinh CĐ</v>
          </cell>
          <cell r="AO199" t="str">
            <v>Trung học Y tế Lạng Sơn</v>
          </cell>
          <cell r="AP199">
            <v>2005</v>
          </cell>
          <cell r="AQ199" t="str">
            <v>12/12</v>
          </cell>
          <cell r="AR199">
            <v>0</v>
          </cell>
          <cell r="AS199">
            <v>0</v>
          </cell>
          <cell r="AT199">
            <v>0</v>
          </cell>
          <cell r="AU199">
            <v>0</v>
          </cell>
          <cell r="AV199">
            <v>0</v>
          </cell>
          <cell r="AW199" t="str">
            <v>Cơ bản</v>
          </cell>
          <cell r="AY199" t="str">
            <v>Kinh</v>
          </cell>
          <cell r="AZ199">
            <v>42925</v>
          </cell>
          <cell r="BA199" t="e">
            <v>#REF!</v>
          </cell>
          <cell r="BB199" t="e">
            <v>#REF!</v>
          </cell>
          <cell r="BC199" t="str">
            <v>24/6/2013</v>
          </cell>
        </row>
        <row r="200">
          <cell r="A200" t="str">
            <v>BV0282</v>
          </cell>
          <cell r="B200">
            <v>194</v>
          </cell>
          <cell r="C200" t="str">
            <v>Hoàng Thị Hiển</v>
          </cell>
          <cell r="D200" t="str">
            <v>BV0282</v>
          </cell>
          <cell r="E200">
            <v>2012000294</v>
          </cell>
          <cell r="G200" t="str">
            <v>020188003362
Cấp ngày: 24/04/2021
Cục cảnh sát QLHC
về TTXH</v>
          </cell>
          <cell r="I200">
            <v>32282</v>
          </cell>
          <cell r="J200">
            <v>38</v>
          </cell>
          <cell r="K200" t="str">
            <v>082059073</v>
          </cell>
          <cell r="L200" t="str">
            <v>01/9/2005</v>
          </cell>
          <cell r="M200" t="str">
            <v>CA tỉnh Lạng Sơn</v>
          </cell>
          <cell r="N200" t="str">
            <v>Tỉnh Lạng Sơn</v>
          </cell>
          <cell r="O200" t="str">
            <v>Phường Chi Lăng</v>
          </cell>
          <cell r="P200" t="str">
            <v>Thành phố Lạng Sơn</v>
          </cell>
          <cell r="Q200" t="str">
            <v>Tỉnh Lạng Sơn</v>
          </cell>
          <cell r="S200" t="str">
            <v>Phường Chi Lăng</v>
          </cell>
          <cell r="T200" t="str">
            <v>Thành phố Lạng Sơn</v>
          </cell>
          <cell r="U200" t="str">
            <v>Tỉnh Lạng Sơn</v>
          </cell>
          <cell r="V200" t="str">
            <v>Phường Chi Lăng, Thành phố Lạng Sơn, Tỉnh Lạng Sơn</v>
          </cell>
          <cell r="W200" t="str">
            <v>10/6/2013</v>
          </cell>
          <cell r="AA200">
            <v>0</v>
          </cell>
          <cell r="AB200" t="str">
            <v>TĐ018</v>
          </cell>
          <cell r="AC200" t="str">
            <v>Phụ sản</v>
          </cell>
          <cell r="AD200" t="str">
            <v>KP016</v>
          </cell>
          <cell r="AE200" t="str">
            <v>Viên chức</v>
          </cell>
          <cell r="AF200" t="str">
            <v>V.08.06.16</v>
          </cell>
          <cell r="AG200" t="str">
            <v>Hộ sinh (hạng IV)</v>
          </cell>
          <cell r="AH200">
            <v>3.03</v>
          </cell>
          <cell r="AI200">
            <v>4</v>
          </cell>
          <cell r="AJ200">
            <v>0</v>
          </cell>
          <cell r="AK200">
            <v>45448</v>
          </cell>
          <cell r="AL200" t="str">
            <v>Trung cấp</v>
          </cell>
          <cell r="AM200" t="str">
            <v>Hộ sinh CĐ</v>
          </cell>
          <cell r="AO200" t="str">
            <v>CĐ Y tế Lạng Sơn</v>
          </cell>
          <cell r="AP200">
            <v>2009</v>
          </cell>
          <cell r="AQ200" t="str">
            <v>12/12</v>
          </cell>
          <cell r="AR200">
            <v>0</v>
          </cell>
          <cell r="AS200">
            <v>0</v>
          </cell>
          <cell r="AT200">
            <v>0</v>
          </cell>
          <cell r="AU200" t="str">
            <v>x</v>
          </cell>
          <cell r="AV200">
            <v>0</v>
          </cell>
          <cell r="AW200">
            <v>0</v>
          </cell>
          <cell r="AY200" t="str">
            <v>Tày</v>
          </cell>
          <cell r="BA200" t="e">
            <v>#REF!</v>
          </cell>
          <cell r="BB200" t="e">
            <v>#REF!</v>
          </cell>
          <cell r="BC200" t="str">
            <v>24/6/2013</v>
          </cell>
        </row>
        <row r="201">
          <cell r="A201" t="str">
            <v>BV0283</v>
          </cell>
          <cell r="B201">
            <v>195</v>
          </cell>
          <cell r="C201" t="str">
            <v>Nguyễn Thị Huế</v>
          </cell>
          <cell r="D201" t="str">
            <v>BV0283</v>
          </cell>
          <cell r="E201">
            <v>2013002128</v>
          </cell>
          <cell r="G201" t="str">
            <v>038191019929
Cấp ngày: 09/05/2021
Cục cảnh sát QLHC
về TTXH</v>
          </cell>
          <cell r="I201">
            <v>33456</v>
          </cell>
          <cell r="J201">
            <v>34</v>
          </cell>
          <cell r="K201" t="str">
            <v>173071329</v>
          </cell>
          <cell r="L201" t="str">
            <v>04/9/2006</v>
          </cell>
          <cell r="M201" t="str">
            <v>CA Thanh Hóa</v>
          </cell>
          <cell r="N201" t="str">
            <v>Tỉnh Thanh Hóa</v>
          </cell>
          <cell r="O201" t="str">
            <v>Phường Tam Thanh</v>
          </cell>
          <cell r="P201" t="str">
            <v>Thành phố Lạng Sơn</v>
          </cell>
          <cell r="Q201" t="str">
            <v>Tỉnh Lạng Sơn</v>
          </cell>
          <cell r="S201" t="str">
            <v>Phường Tam Thanh</v>
          </cell>
          <cell r="T201" t="str">
            <v>Thành phố Lạng Sơn</v>
          </cell>
          <cell r="U201" t="str">
            <v>Tỉnh Lạng Sơn</v>
          </cell>
          <cell r="V201" t="str">
            <v>Phường Tam Thanh, Thành phố Lạng Sơn, Tỉnh Lạng Sơn</v>
          </cell>
          <cell r="W201" t="str">
            <v>10/6/2013</v>
          </cell>
          <cell r="AA201">
            <v>0</v>
          </cell>
          <cell r="AB201" t="str">
            <v>TĐ018</v>
          </cell>
          <cell r="AC201" t="str">
            <v>Phụ sản</v>
          </cell>
          <cell r="AD201" t="str">
            <v>KP016</v>
          </cell>
          <cell r="AE201" t="str">
            <v>Viên chức</v>
          </cell>
          <cell r="AF201" t="str">
            <v>V.08.06.16</v>
          </cell>
          <cell r="AG201" t="str">
            <v>Hộ sinh (hạng IV)</v>
          </cell>
          <cell r="AH201">
            <v>3.03</v>
          </cell>
          <cell r="AI201">
            <v>4</v>
          </cell>
          <cell r="AJ201">
            <v>0</v>
          </cell>
          <cell r="AK201">
            <v>45636</v>
          </cell>
          <cell r="AL201" t="str">
            <v>Cao đẳng</v>
          </cell>
          <cell r="AM201" t="str">
            <v>Hộ sinh CĐ</v>
          </cell>
          <cell r="AO201" t="str">
            <v>CĐ Y tế Lạng Sơn</v>
          </cell>
          <cell r="AP201">
            <v>2011</v>
          </cell>
          <cell r="AQ201" t="str">
            <v>12/12</v>
          </cell>
          <cell r="AR201">
            <v>0</v>
          </cell>
          <cell r="AS201">
            <v>0</v>
          </cell>
          <cell r="AT201">
            <v>0</v>
          </cell>
          <cell r="AU201">
            <v>0</v>
          </cell>
          <cell r="AV201">
            <v>0</v>
          </cell>
          <cell r="AW201" t="str">
            <v>x</v>
          </cell>
          <cell r="AY201" t="str">
            <v>Kinh</v>
          </cell>
          <cell r="BA201" t="e">
            <v>#REF!</v>
          </cell>
          <cell r="BB201" t="e">
            <v>#REF!</v>
          </cell>
          <cell r="BC201" t="str">
            <v>24/6/2013</v>
          </cell>
        </row>
        <row r="202">
          <cell r="A202" t="str">
            <v>BV0284</v>
          </cell>
          <cell r="B202">
            <v>196</v>
          </cell>
          <cell r="C202" t="str">
            <v>Lăng Thị Điệp</v>
          </cell>
          <cell r="D202" t="str">
            <v>BV0284</v>
          </cell>
          <cell r="E202">
            <v>2712009513</v>
          </cell>
          <cell r="G202" t="str">
            <v>006189000681
Cấp ngày: 29/04/2021
Cục cảnh sát QLHC 
 về TTXH</v>
          </cell>
          <cell r="I202">
            <v>32780</v>
          </cell>
          <cell r="J202">
            <v>36</v>
          </cell>
          <cell r="K202" t="str">
            <v>095143804</v>
          </cell>
          <cell r="L202" t="str">
            <v>30/3/2007</v>
          </cell>
          <cell r="M202" t="str">
            <v>CA Bắc Kạn</v>
          </cell>
          <cell r="N202" t="str">
            <v>Tỉnh Bắc Kạn</v>
          </cell>
          <cell r="O202" t="str">
            <v>Xã Hòa Bình</v>
          </cell>
          <cell r="P202" t="str">
            <v>Huyện Bình Gia</v>
          </cell>
          <cell r="Q202" t="str">
            <v>Tỉnh Lạng Sơn</v>
          </cell>
          <cell r="S202" t="str">
            <v>Xã Hòa Bình</v>
          </cell>
          <cell r="T202" t="str">
            <v>Huyện Bình Gia</v>
          </cell>
          <cell r="U202" t="str">
            <v>Tỉnh Lạng Sơn</v>
          </cell>
          <cell r="V202" t="str">
            <v>Xã Hòa Bình, Huyện Bình Gia, Tỉnh Lạng Sơn</v>
          </cell>
          <cell r="W202" t="str">
            <v>10/6/2013</v>
          </cell>
          <cell r="AA202">
            <v>0</v>
          </cell>
          <cell r="AB202" t="str">
            <v>TĐ018</v>
          </cell>
          <cell r="AC202" t="str">
            <v>Phụ sản</v>
          </cell>
          <cell r="AD202" t="str">
            <v>KP016</v>
          </cell>
          <cell r="AE202" t="str">
            <v>Viên chức</v>
          </cell>
          <cell r="AF202" t="str">
            <v>V.08.06.16</v>
          </cell>
          <cell r="AG202" t="str">
            <v>Hộ sinh (hạng IV)</v>
          </cell>
          <cell r="AH202">
            <v>3.03</v>
          </cell>
          <cell r="AI202">
            <v>4</v>
          </cell>
          <cell r="AJ202">
            <v>0</v>
          </cell>
          <cell r="AK202">
            <v>45453</v>
          </cell>
          <cell r="AL202" t="str">
            <v>Cao đẳng</v>
          </cell>
          <cell r="AM202" t="str">
            <v>Hộ sinh CĐ</v>
          </cell>
          <cell r="AO202" t="str">
            <v>CĐ Y tế Lạng Sơn</v>
          </cell>
          <cell r="AP202">
            <v>2011</v>
          </cell>
          <cell r="AQ202" t="str">
            <v>12/12</v>
          </cell>
          <cell r="AR202">
            <v>0</v>
          </cell>
          <cell r="AS202">
            <v>0</v>
          </cell>
          <cell r="AT202">
            <v>0</v>
          </cell>
          <cell r="AU202">
            <v>0</v>
          </cell>
          <cell r="AV202">
            <v>0</v>
          </cell>
          <cell r="AW202">
            <v>0</v>
          </cell>
          <cell r="AY202" t="str">
            <v>Nùng</v>
          </cell>
          <cell r="BA202" t="e">
            <v>#REF!</v>
          </cell>
          <cell r="BB202" t="e">
            <v>#REF!</v>
          </cell>
          <cell r="BC202" t="str">
            <v>24/6/2013</v>
          </cell>
        </row>
        <row r="203">
          <cell r="A203" t="str">
            <v>BV0285</v>
          </cell>
          <cell r="B203">
            <v>197</v>
          </cell>
          <cell r="C203" t="str">
            <v>Trần Thị Hoàng Mai</v>
          </cell>
          <cell r="D203" t="str">
            <v>BV0285</v>
          </cell>
          <cell r="E203">
            <v>2013002139</v>
          </cell>
          <cell r="G203" t="str">
            <v>020189012593
Cấp ngày: 25/06/2021
Cục cảnh sát QLHC về TTXH</v>
          </cell>
          <cell r="I203">
            <v>32841</v>
          </cell>
          <cell r="J203">
            <v>36</v>
          </cell>
          <cell r="K203" t="str">
            <v>082105431</v>
          </cell>
          <cell r="L203" t="str">
            <v>14/12/2015</v>
          </cell>
          <cell r="M203" t="str">
            <v>CA tỉnh Lạng Sơn</v>
          </cell>
          <cell r="N203" t="str">
            <v>Tỉnh Lạng Sơn</v>
          </cell>
          <cell r="O203" t="str">
            <v>Phường Chi Lăng</v>
          </cell>
          <cell r="P203" t="str">
            <v>Thành phố Lạng Sơn</v>
          </cell>
          <cell r="Q203" t="str">
            <v>Tỉnh Lạng Sơn</v>
          </cell>
          <cell r="S203" t="str">
            <v>Phường Chi Lăng</v>
          </cell>
          <cell r="T203" t="str">
            <v>Thành phố Lạng Sơn</v>
          </cell>
          <cell r="U203" t="str">
            <v>Tỉnh Lạng Sơn</v>
          </cell>
          <cell r="V203" t="str">
            <v>Phường Chi Lăng, Thành phố Lạng Sơn, Tỉnh Lạng Sơn</v>
          </cell>
          <cell r="W203" t="str">
            <v>10/6/2013</v>
          </cell>
          <cell r="AA203">
            <v>0</v>
          </cell>
          <cell r="AB203" t="str">
            <v>TĐ018</v>
          </cell>
          <cell r="AC203" t="str">
            <v>Phụ sản</v>
          </cell>
          <cell r="AD203" t="str">
            <v>KP016</v>
          </cell>
          <cell r="AE203" t="str">
            <v>Viên chức</v>
          </cell>
          <cell r="AF203" t="str">
            <v>V.08.06.16</v>
          </cell>
          <cell r="AG203" t="str">
            <v>Hộ sinh (hạng IV)</v>
          </cell>
          <cell r="AH203" t="str">
            <v>3.03</v>
          </cell>
          <cell r="AI203">
            <v>4</v>
          </cell>
          <cell r="AJ203">
            <v>0</v>
          </cell>
          <cell r="AK203">
            <v>45270</v>
          </cell>
          <cell r="AL203" t="str">
            <v>Trung cấp</v>
          </cell>
          <cell r="AM203" t="str">
            <v>Hộ sinh CĐ</v>
          </cell>
          <cell r="AO203" t="str">
            <v>CĐ Y tế Lạng Sơn</v>
          </cell>
          <cell r="AP203">
            <v>2011</v>
          </cell>
          <cell r="AQ203" t="str">
            <v>12/12</v>
          </cell>
          <cell r="AR203">
            <v>0</v>
          </cell>
          <cell r="AS203">
            <v>0</v>
          </cell>
          <cell r="AT203">
            <v>0</v>
          </cell>
          <cell r="AU203" t="str">
            <v>Trung A</v>
          </cell>
          <cell r="AV203">
            <v>0</v>
          </cell>
          <cell r="AW203" t="str">
            <v>A</v>
          </cell>
          <cell r="AY203" t="str">
            <v>Kinh</v>
          </cell>
          <cell r="BA203" t="e">
            <v>#REF!</v>
          </cell>
          <cell r="BB203" t="e">
            <v>#REF!</v>
          </cell>
          <cell r="BC203" t="str">
            <v>19/7/2013</v>
          </cell>
        </row>
        <row r="204">
          <cell r="A204" t="str">
            <v>BV0286</v>
          </cell>
          <cell r="B204">
            <v>198</v>
          </cell>
          <cell r="C204" t="str">
            <v>Nông Thị Thời</v>
          </cell>
          <cell r="D204" t="str">
            <v>BV0286</v>
          </cell>
          <cell r="E204">
            <v>2010001247</v>
          </cell>
          <cell r="G204" t="str">
            <v>020186012449
Cấp ngày: 16 /08/2021
Cục cảnh sát QLHC
về TTXH</v>
          </cell>
          <cell r="I204">
            <v>31695</v>
          </cell>
          <cell r="J204">
            <v>39</v>
          </cell>
          <cell r="K204" t="str">
            <v>081022134</v>
          </cell>
          <cell r="L204" t="str">
            <v>13/12/2000</v>
          </cell>
          <cell r="M204" t="str">
            <v>CA tỉnh Lạng Sơn</v>
          </cell>
          <cell r="N204" t="str">
            <v>Tỉnh Lạng Sơn</v>
          </cell>
          <cell r="O204" t="str">
            <v>Xã Yên Bình</v>
          </cell>
          <cell r="P204" t="str">
            <v>Huyện Hữu Lũng</v>
          </cell>
          <cell r="Q204" t="str">
            <v>Tỉnh Lạng Sơn</v>
          </cell>
          <cell r="S204" t="str">
            <v>Xã Yên Bình</v>
          </cell>
          <cell r="T204" t="str">
            <v>Huyện Hữu Lũng</v>
          </cell>
          <cell r="U204" t="str">
            <v>Tỉnh Lạng Sơn</v>
          </cell>
          <cell r="V204" t="str">
            <v>Xã Yên Bình, Huyện Hữu Lũng, Tỉnh Lạng Sơn</v>
          </cell>
          <cell r="W204" t="str">
            <v>1/11/2014</v>
          </cell>
          <cell r="AA204">
            <v>0</v>
          </cell>
          <cell r="AB204" t="str">
            <v>TĐ018</v>
          </cell>
          <cell r="AC204" t="str">
            <v>Phụ sản</v>
          </cell>
          <cell r="AD204" t="str">
            <v>KP016</v>
          </cell>
          <cell r="AE204" t="str">
            <v>Viên chức</v>
          </cell>
          <cell r="AF204" t="str">
            <v>V.08.06.16</v>
          </cell>
          <cell r="AG204" t="str">
            <v>Hộ sinh (hạng IV)</v>
          </cell>
          <cell r="AH204">
            <v>3.34</v>
          </cell>
          <cell r="AI204">
            <v>5</v>
          </cell>
          <cell r="AJ204">
            <v>0</v>
          </cell>
          <cell r="AK204">
            <v>45636</v>
          </cell>
          <cell r="AL204" t="str">
            <v>Cao đẳng</v>
          </cell>
          <cell r="AM204" t="str">
            <v>Hộ sinh CĐ</v>
          </cell>
          <cell r="AO204" t="str">
            <v>CĐ Y tế Lạng Sơn</v>
          </cell>
          <cell r="AP204">
            <v>2008</v>
          </cell>
          <cell r="AQ204" t="str">
            <v>12/12</v>
          </cell>
          <cell r="AR204">
            <v>0</v>
          </cell>
          <cell r="AS204">
            <v>0</v>
          </cell>
          <cell r="AT204">
            <v>0</v>
          </cell>
          <cell r="AU204">
            <v>0</v>
          </cell>
          <cell r="AV204">
            <v>0</v>
          </cell>
          <cell r="AW204">
            <v>0</v>
          </cell>
          <cell r="AY204" t="str">
            <v>Nùng</v>
          </cell>
          <cell r="BA204" t="e">
            <v>#REF!</v>
          </cell>
          <cell r="BB204" t="e">
            <v>#REF!</v>
          </cell>
          <cell r="BC204" t="str">
            <v>24/6/2013</v>
          </cell>
        </row>
        <row r="205">
          <cell r="A205" t="str">
            <v>BV0287</v>
          </cell>
          <cell r="B205">
            <v>199</v>
          </cell>
          <cell r="C205" t="str">
            <v>Hoàng Thị Thiệp</v>
          </cell>
          <cell r="D205" t="str">
            <v>BV0287</v>
          </cell>
          <cell r="E205">
            <v>1505001701</v>
          </cell>
          <cell r="G205" t="str">
            <v>020180007282
Cấp ngày: 09/05/2021
Cục cảnh sát QLHC
về TTXH</v>
          </cell>
          <cell r="I205">
            <v>29448</v>
          </cell>
          <cell r="J205">
            <v>45</v>
          </cell>
          <cell r="K205" t="str">
            <v>080926813</v>
          </cell>
          <cell r="L205" t="str">
            <v>30/10/2006</v>
          </cell>
          <cell r="M205" t="str">
            <v>CA tỉnh Lạng Sơn</v>
          </cell>
          <cell r="N205" t="str">
            <v>Tỉnh Lạng Sơn</v>
          </cell>
          <cell r="O205" t="str">
            <v>Xã Đại Đồng</v>
          </cell>
          <cell r="P205" t="str">
            <v>Huyện Tràng Định</v>
          </cell>
          <cell r="Q205" t="str">
            <v>Tỉnh Lạng Sơn</v>
          </cell>
          <cell r="S205" t="str">
            <v>Xã Đại Đồng</v>
          </cell>
          <cell r="T205" t="str">
            <v>Huyện Tràng Định</v>
          </cell>
          <cell r="U205" t="str">
            <v>Tỉnh Lạng Sơn</v>
          </cell>
          <cell r="V205" t="str">
            <v>Xã Đại Đồng, Huyện Tràng Định, Tỉnh Lạng Sơn</v>
          </cell>
          <cell r="W205" t="str">
            <v>19/01/2005</v>
          </cell>
          <cell r="AA205">
            <v>0</v>
          </cell>
          <cell r="AB205" t="str">
            <v>TĐ017</v>
          </cell>
          <cell r="AC205" t="str">
            <v>Phụ sản</v>
          </cell>
          <cell r="AD205" t="str">
            <v>KP016</v>
          </cell>
          <cell r="AE205" t="str">
            <v>Viên chức</v>
          </cell>
          <cell r="AF205" t="str">
            <v>V.08.05.13</v>
          </cell>
          <cell r="AG205" t="str">
            <v>Hộ sinh (hạng III)</v>
          </cell>
          <cell r="AH205">
            <v>3.99</v>
          </cell>
          <cell r="AI205">
            <v>6</v>
          </cell>
          <cell r="AJ205">
            <v>0</v>
          </cell>
          <cell r="AK205">
            <v>45505</v>
          </cell>
          <cell r="AL205" t="str">
            <v>Đại học</v>
          </cell>
          <cell r="AM205" t="str">
            <v>Hộ sinh ĐH</v>
          </cell>
          <cell r="AO205" t="str">
            <v>CĐ Kỹ thuật y tế Hải Dương</v>
          </cell>
          <cell r="AP205">
            <v>2004</v>
          </cell>
          <cell r="AQ205" t="str">
            <v>12/12</v>
          </cell>
          <cell r="AR205">
            <v>0</v>
          </cell>
          <cell r="AS205">
            <v>0</v>
          </cell>
          <cell r="AT205">
            <v>0</v>
          </cell>
          <cell r="AU205" t="str">
            <v>Anh A2</v>
          </cell>
          <cell r="AV205">
            <v>0</v>
          </cell>
          <cell r="AW205" t="str">
            <v>Cơ bản</v>
          </cell>
          <cell r="AY205" t="str">
            <v>Tày</v>
          </cell>
          <cell r="BA205" t="e">
            <v>#REF!</v>
          </cell>
          <cell r="BB205" t="e">
            <v>#REF!</v>
          </cell>
          <cell r="BC205" t="str">
            <v>24/6/2013</v>
          </cell>
        </row>
        <row r="206">
          <cell r="A206" t="str">
            <v>BV0290</v>
          </cell>
          <cell r="B206">
            <v>200</v>
          </cell>
          <cell r="C206" t="str">
            <v>Ngọ Thị Ngoan</v>
          </cell>
          <cell r="D206" t="str">
            <v>BV0290</v>
          </cell>
          <cell r="E206">
            <v>1507002326</v>
          </cell>
          <cell r="G206" t="str">
            <v>024183004315
Cấp ngày: 20/04/2021
Cục cảnh sát QLHC
về TTXH</v>
          </cell>
          <cell r="I206">
            <v>30551</v>
          </cell>
          <cell r="J206">
            <v>42</v>
          </cell>
          <cell r="K206" t="str">
            <v>121539857</v>
          </cell>
          <cell r="L206" t="str">
            <v>12/3/2002</v>
          </cell>
          <cell r="M206" t="str">
            <v>CA Bắc Giang</v>
          </cell>
          <cell r="N206" t="str">
            <v>Tỉnh Bắc Giang</v>
          </cell>
          <cell r="O206" t="str">
            <v>Xã Đại Thành</v>
          </cell>
          <cell r="P206" t="str">
            <v>Huyện Hiệp Hòa</v>
          </cell>
          <cell r="Q206" t="str">
            <v>Tỉnh Bắc Giang</v>
          </cell>
          <cell r="S206" t="str">
            <v>Phường Vĩnh Trại</v>
          </cell>
          <cell r="T206" t="str">
            <v>Thành phố Lạng Sơn</v>
          </cell>
          <cell r="U206" t="str">
            <v>Tỉnh Lạng Sơn</v>
          </cell>
          <cell r="V206" t="str">
            <v>Phường Vĩnh Trại, Thành phố Lạng Sơn, Tỉnh Lạng Sơn</v>
          </cell>
          <cell r="W206" t="str">
            <v>2/1/2009</v>
          </cell>
          <cell r="AA206">
            <v>0</v>
          </cell>
          <cell r="AB206" t="str">
            <v>TĐ018</v>
          </cell>
          <cell r="AC206" t="str">
            <v>Khám bệnh</v>
          </cell>
          <cell r="AD206" t="str">
            <v>KP001</v>
          </cell>
          <cell r="AE206" t="str">
            <v>Viên chức</v>
          </cell>
          <cell r="AF206" t="str">
            <v>V.08.06.16</v>
          </cell>
          <cell r="AG206" t="str">
            <v>Hộ sinh (hạng IV)</v>
          </cell>
          <cell r="AH206">
            <v>3.34</v>
          </cell>
          <cell r="AI206">
            <v>5</v>
          </cell>
          <cell r="AJ206">
            <v>0</v>
          </cell>
          <cell r="AK206">
            <v>44927</v>
          </cell>
          <cell r="AL206" t="str">
            <v>Cao đẳng</v>
          </cell>
          <cell r="AM206" t="str">
            <v>Hộ sinh CĐ</v>
          </cell>
          <cell r="AO206" t="str">
            <v>Trung học Y tế Lạng Sơn</v>
          </cell>
          <cell r="AP206">
            <v>2005</v>
          </cell>
          <cell r="AQ206" t="str">
            <v>12/12</v>
          </cell>
          <cell r="AR206">
            <v>0</v>
          </cell>
          <cell r="AS206">
            <v>0</v>
          </cell>
          <cell r="AT206">
            <v>0</v>
          </cell>
          <cell r="AU206">
            <v>0</v>
          </cell>
          <cell r="AV206">
            <v>0</v>
          </cell>
          <cell r="AW206">
            <v>0</v>
          </cell>
          <cell r="AY206" t="str">
            <v>Kinh</v>
          </cell>
          <cell r="BA206" t="e">
            <v>#REF!</v>
          </cell>
          <cell r="BB206" t="e">
            <v>#REF!</v>
          </cell>
          <cell r="BC206" t="str">
            <v>24/6/2013</v>
          </cell>
        </row>
        <row r="207">
          <cell r="A207" t="str">
            <v>BV0040</v>
          </cell>
          <cell r="B207">
            <v>201</v>
          </cell>
          <cell r="C207" t="str">
            <v>Hoàng Hồ Điệp</v>
          </cell>
          <cell r="D207" t="str">
            <v>BV0040</v>
          </cell>
          <cell r="E207">
            <v>1506002930</v>
          </cell>
          <cell r="G207" t="str">
            <v>020183001348
Cấp ngày: 25/04/2021
Cục cảnh sát QLHC
về TTXH</v>
          </cell>
          <cell r="I207">
            <v>30601</v>
          </cell>
          <cell r="J207">
            <v>42</v>
          </cell>
          <cell r="K207" t="str">
            <v>080540608</v>
          </cell>
          <cell r="L207" t="str">
            <v>16/7/2010</v>
          </cell>
          <cell r="M207" t="str">
            <v>CA tỉnh Lạng Sơn</v>
          </cell>
          <cell r="N207" t="str">
            <v>Tỉnh Lạng Sơn</v>
          </cell>
          <cell r="O207" t="str">
            <v>Thị trấn  Đồng Đăng</v>
          </cell>
          <cell r="P207" t="str">
            <v>Huyện Văn Lãng</v>
          </cell>
          <cell r="Q207" t="str">
            <v>Tỉnh Lạng Sơn</v>
          </cell>
          <cell r="S207" t="str">
            <v>Thị trấn Đồng Đăng</v>
          </cell>
          <cell r="T207" t="str">
            <v>Huyện Cao Lộc</v>
          </cell>
          <cell r="U207" t="str">
            <v>Tỉnh Lạng Sơn</v>
          </cell>
          <cell r="V207" t="str">
            <v>Thị trấn Đồng Đăng, Huyện Cao Lộc, Tỉnh Lạng Sơn</v>
          </cell>
          <cell r="W207" t="str">
            <v>7/11/2006</v>
          </cell>
          <cell r="AA207">
            <v>0</v>
          </cell>
          <cell r="AB207" t="str">
            <v>TĐ018</v>
          </cell>
          <cell r="AC207" t="str">
            <v>Phụ sản</v>
          </cell>
          <cell r="AD207" t="str">
            <v>KP016</v>
          </cell>
          <cell r="AE207" t="str">
            <v>Viên chức</v>
          </cell>
          <cell r="AF207" t="str">
            <v>V.08.06.16</v>
          </cell>
          <cell r="AG207" t="str">
            <v>Hộ sinh (hạng IV)</v>
          </cell>
          <cell r="AH207">
            <v>3.65</v>
          </cell>
          <cell r="AI207">
            <v>6</v>
          </cell>
          <cell r="AJ207">
            <v>0</v>
          </cell>
          <cell r="AK207">
            <v>45231</v>
          </cell>
          <cell r="AL207" t="str">
            <v>Cao đẳng</v>
          </cell>
          <cell r="AM207" t="str">
            <v>Hộ sinh CĐ</v>
          </cell>
          <cell r="AO207" t="str">
            <v>Trung học Y tế Lạng Sơn</v>
          </cell>
          <cell r="AP207">
            <v>2005</v>
          </cell>
          <cell r="AQ207" t="str">
            <v>12/12</v>
          </cell>
          <cell r="AR207">
            <v>0</v>
          </cell>
          <cell r="AS207">
            <v>0</v>
          </cell>
          <cell r="AT207">
            <v>0</v>
          </cell>
          <cell r="AU207" t="str">
            <v>Anh B</v>
          </cell>
          <cell r="AV207">
            <v>0</v>
          </cell>
          <cell r="AW207">
            <v>0</v>
          </cell>
          <cell r="AY207" t="str">
            <v>Nùng</v>
          </cell>
          <cell r="BA207" t="e">
            <v>#REF!</v>
          </cell>
          <cell r="BB207" t="e">
            <v>#REF!</v>
          </cell>
          <cell r="BC207" t="str">
            <v>24/6/2013</v>
          </cell>
        </row>
        <row r="208">
          <cell r="A208" t="str">
            <v>BV0291</v>
          </cell>
          <cell r="B208">
            <v>202</v>
          </cell>
          <cell r="C208" t="str">
            <v>Nguyễn Thị Tuyết</v>
          </cell>
          <cell r="D208" t="str">
            <v>BV0291</v>
          </cell>
          <cell r="E208">
            <v>2008002397</v>
          </cell>
          <cell r="G208" t="str">
            <v>020183001842
Cấp ngày: 24/04/2021
Cục cảnh sát QLHC
về TTXH</v>
          </cell>
          <cell r="I208">
            <v>30572</v>
          </cell>
          <cell r="J208">
            <v>42</v>
          </cell>
          <cell r="K208" t="str">
            <v>081039547</v>
          </cell>
          <cell r="L208" t="str">
            <v>26/3/2002</v>
          </cell>
          <cell r="M208" t="str">
            <v>CA tỉnh Lạng Sơn</v>
          </cell>
          <cell r="N208" t="str">
            <v>Tỉnh Lạng Sơn</v>
          </cell>
          <cell r="P208" t="str">
            <v>Huyện Lục Nam</v>
          </cell>
          <cell r="Q208" t="str">
            <v>Tỉnh Bắc Giang</v>
          </cell>
          <cell r="S208" t="str">
            <v>Phường Tam Thanh</v>
          </cell>
          <cell r="T208" t="str">
            <v>Thành phố Lạng Sơn</v>
          </cell>
          <cell r="U208" t="str">
            <v>Tỉnh Lạng Sơn</v>
          </cell>
          <cell r="V208" t="str">
            <v>Phường Tam Thanh, Thành phố Lạng Sơn, Tỉnh Lạng Sơn</v>
          </cell>
          <cell r="W208" t="str">
            <v>2/1/2009</v>
          </cell>
          <cell r="AA208">
            <v>0</v>
          </cell>
          <cell r="AB208" t="str">
            <v>TĐ018</v>
          </cell>
          <cell r="AC208" t="str">
            <v>Phụ sản</v>
          </cell>
          <cell r="AD208" t="str">
            <v>KP016</v>
          </cell>
          <cell r="AE208" t="str">
            <v>Viên chức</v>
          </cell>
          <cell r="AF208" t="str">
            <v>V.08.06.16</v>
          </cell>
          <cell r="AG208" t="str">
            <v>Hộ sinh (hạng IV)</v>
          </cell>
          <cell r="AH208">
            <v>3.65</v>
          </cell>
          <cell r="AI208">
            <v>6</v>
          </cell>
          <cell r="AJ208">
            <v>0</v>
          </cell>
          <cell r="AK208">
            <v>45839</v>
          </cell>
          <cell r="AL208" t="str">
            <v>Cao đẳng</v>
          </cell>
          <cell r="AM208" t="str">
            <v>Hộ sinh CĐ</v>
          </cell>
          <cell r="AO208" t="str">
            <v>Trung học Y tế Lạng Sơn</v>
          </cell>
          <cell r="AP208">
            <v>2005</v>
          </cell>
          <cell r="AQ208" t="str">
            <v>12/12</v>
          </cell>
          <cell r="AR208">
            <v>0</v>
          </cell>
          <cell r="AS208">
            <v>0</v>
          </cell>
          <cell r="AT208">
            <v>0</v>
          </cell>
          <cell r="AU208" t="str">
            <v>Anh B</v>
          </cell>
          <cell r="AV208">
            <v>0</v>
          </cell>
          <cell r="AW208" t="str">
            <v>Cơ bản</v>
          </cell>
          <cell r="AY208" t="str">
            <v>Tày</v>
          </cell>
          <cell r="AZ208">
            <v>41947</v>
          </cell>
          <cell r="BA208" t="e">
            <v>#REF!</v>
          </cell>
          <cell r="BB208" t="e">
            <v>#REF!</v>
          </cell>
          <cell r="BC208" t="str">
            <v>24/6/2013</v>
          </cell>
        </row>
        <row r="209">
          <cell r="A209" t="str">
            <v>BV0288</v>
          </cell>
          <cell r="B209">
            <v>203</v>
          </cell>
          <cell r="C209" t="str">
            <v>Hứa Thu Hồng</v>
          </cell>
          <cell r="D209" t="str">
            <v>BV0288</v>
          </cell>
          <cell r="E209">
            <v>1506000594</v>
          </cell>
          <cell r="G209" t="str">
            <v>020181005361
Cấp ngày: 09/05/2021
Cục cảnh sát QLHC
về TTXH</v>
          </cell>
          <cell r="I209">
            <v>29721</v>
          </cell>
          <cell r="J209">
            <v>45</v>
          </cell>
          <cell r="K209" t="str">
            <v>080969063</v>
          </cell>
          <cell r="L209" t="str">
            <v>23/3/2000</v>
          </cell>
          <cell r="M209" t="str">
            <v>CA tỉnh Lạng Sơn</v>
          </cell>
          <cell r="N209" t="str">
            <v>Tỉnh Lạng Sơn</v>
          </cell>
          <cell r="O209" t="str">
            <v>Xã Hồng Thái</v>
          </cell>
          <cell r="P209" t="str">
            <v>Huyện Bình Gia</v>
          </cell>
          <cell r="Q209" t="str">
            <v>Tỉnh Lạng Sơn</v>
          </cell>
          <cell r="S209" t="str">
            <v>Xã Tô Hiệu</v>
          </cell>
          <cell r="T209" t="str">
            <v>Huyện Bình Gia</v>
          </cell>
          <cell r="U209" t="str">
            <v>Tỉnh Lạng Sơn</v>
          </cell>
          <cell r="V209" t="str">
            <v>Xã Tô Hiệu, Huyện Bình Gia, Tỉnh Lạng Sơn</v>
          </cell>
          <cell r="W209" t="str">
            <v>30/10/2006</v>
          </cell>
          <cell r="AA209">
            <v>0</v>
          </cell>
          <cell r="AB209" t="str">
            <v>TĐ017</v>
          </cell>
          <cell r="AC209" t="str">
            <v>Phụ sản</v>
          </cell>
          <cell r="AD209" t="str">
            <v>KP016</v>
          </cell>
          <cell r="AE209" t="str">
            <v>Viên chức</v>
          </cell>
          <cell r="AF209" t="str">
            <v>V.08.06.16</v>
          </cell>
          <cell r="AG209" t="str">
            <v>Hộ sinh (hạng III)</v>
          </cell>
          <cell r="AH209">
            <v>3.66</v>
          </cell>
          <cell r="AI209">
            <v>5</v>
          </cell>
          <cell r="AJ209">
            <v>0</v>
          </cell>
          <cell r="AK209">
            <v>45383</v>
          </cell>
          <cell r="AL209" t="str">
            <v>Đại học</v>
          </cell>
          <cell r="AM209" t="str">
            <v>Hộ sinh ĐH</v>
          </cell>
          <cell r="AO209" t="str">
            <v>Trung học Y tế Lạng Sơn</v>
          </cell>
          <cell r="AP209">
            <v>2003</v>
          </cell>
          <cell r="AQ209" t="str">
            <v>12/12</v>
          </cell>
          <cell r="AR209">
            <v>0</v>
          </cell>
          <cell r="AS209">
            <v>0</v>
          </cell>
          <cell r="AT209">
            <v>0</v>
          </cell>
          <cell r="AU209" t="str">
            <v>TOEIC</v>
          </cell>
          <cell r="AV209">
            <v>0</v>
          </cell>
          <cell r="AW209" t="str">
            <v>Cơ bản</v>
          </cell>
          <cell r="AY209" t="str">
            <v>Nùng</v>
          </cell>
          <cell r="BA209" t="e">
            <v>#REF!</v>
          </cell>
          <cell r="BB209" t="e">
            <v>#REF!</v>
          </cell>
          <cell r="BC209" t="str">
            <v>24/6/2013</v>
          </cell>
        </row>
        <row r="210">
          <cell r="A210" t="str">
            <v>BV0843</v>
          </cell>
          <cell r="B210">
            <v>204</v>
          </cell>
          <cell r="C210" t="str">
            <v>Lý Thị Diệu Linh</v>
          </cell>
          <cell r="D210" t="str">
            <v>BV0843</v>
          </cell>
          <cell r="E210">
            <v>2016001670</v>
          </cell>
          <cell r="G210" t="str">
            <v>020194004227
Cấp ngày: 09/05/2021
Cục cảnh sát QLHC
về TTXH</v>
          </cell>
          <cell r="I210" t="str">
            <v>17/8/1994</v>
          </cell>
          <cell r="J210">
            <v>31</v>
          </cell>
          <cell r="K210" t="str">
            <v>082190794</v>
          </cell>
          <cell r="L210" t="str">
            <v>01/07/2016</v>
          </cell>
          <cell r="M210" t="str">
            <v>CA tỉnh Lạng Sơn</v>
          </cell>
          <cell r="N210" t="str">
            <v>Xã Gia Miễn, huyện Văn Lãng</v>
          </cell>
          <cell r="O210" t="str">
            <v>Gia Miễn</v>
          </cell>
          <cell r="P210" t="str">
            <v>Văn Lãng</v>
          </cell>
          <cell r="Q210" t="str">
            <v>Lạng Sơn</v>
          </cell>
          <cell r="R210" t="str">
            <v>Số 4 ngõ 9, đường Trần Đăng Ninh</v>
          </cell>
          <cell r="S210" t="str">
            <v>Phường Hoàng Văn Thụ</v>
          </cell>
          <cell r="T210" t="str">
            <v>TP. Lạng Sơn</v>
          </cell>
          <cell r="U210" t="str">
            <v>Lạng Sơn</v>
          </cell>
          <cell r="V210" t="str">
            <v>Phường Hoàng Văn Thụ, TP. Lạng Sơn, Lạng Sơn</v>
          </cell>
          <cell r="W210" t="str">
            <v>25/01/2016</v>
          </cell>
          <cell r="Y210" t="str">
            <v>87</v>
          </cell>
          <cell r="Z210" t="str">
            <v>08/01/2016</v>
          </cell>
          <cell r="AA210">
            <v>0</v>
          </cell>
          <cell r="AB210" t="str">
            <v>TĐ017</v>
          </cell>
          <cell r="AC210" t="str">
            <v>Phụ sản</v>
          </cell>
          <cell r="AD210" t="str">
            <v>KP016</v>
          </cell>
          <cell r="AE210" t="str">
            <v>Viên chức</v>
          </cell>
          <cell r="AF210" t="str">
            <v>V.08.06.16</v>
          </cell>
          <cell r="AG210" t="str">
            <v>Hộ sinh (hạng IV)</v>
          </cell>
          <cell r="AH210">
            <v>2.72</v>
          </cell>
          <cell r="AI210">
            <v>3</v>
          </cell>
          <cell r="AJ210">
            <v>0</v>
          </cell>
          <cell r="AK210">
            <v>45498</v>
          </cell>
          <cell r="AL210" t="str">
            <v>Trung cấp</v>
          </cell>
          <cell r="AM210" t="str">
            <v>Hộ sinh ĐH</v>
          </cell>
          <cell r="AO210" t="str">
            <v>CĐ Y tế Lạng Sơn</v>
          </cell>
          <cell r="AP210">
            <v>2014</v>
          </cell>
          <cell r="AQ210" t="str">
            <v>12/12</v>
          </cell>
          <cell r="AR210">
            <v>0</v>
          </cell>
          <cell r="AS210">
            <v>0</v>
          </cell>
          <cell r="AT210">
            <v>0</v>
          </cell>
          <cell r="AU210" t="str">
            <v>x</v>
          </cell>
          <cell r="AV210">
            <v>0</v>
          </cell>
          <cell r="AW210" t="str">
            <v>x</v>
          </cell>
          <cell r="AY210" t="str">
            <v>Nùng</v>
          </cell>
          <cell r="BC210" t="str">
            <v>18/07/2016</v>
          </cell>
        </row>
        <row r="211">
          <cell r="A211" t="str">
            <v>BV0846</v>
          </cell>
          <cell r="B211">
            <v>205</v>
          </cell>
          <cell r="C211" t="str">
            <v>Hoàng Thị Khuynh</v>
          </cell>
          <cell r="D211" t="str">
            <v>BV0846</v>
          </cell>
          <cell r="E211">
            <v>1505000542</v>
          </cell>
          <cell r="G211" t="str">
            <v>020175005140
Cấp ngày: 18/11/2021
Cục cảnh sát QLHC
về TTXH</v>
          </cell>
          <cell r="I211" t="str">
            <v>19/9/1975</v>
          </cell>
          <cell r="J211">
            <v>50</v>
          </cell>
          <cell r="K211" t="str">
            <v>082056447</v>
          </cell>
          <cell r="L211" t="str">
            <v>05/7/2005</v>
          </cell>
          <cell r="M211" t="str">
            <v>CA tỉnh Lạng Sơn</v>
          </cell>
          <cell r="N211" t="str">
            <v>Xã Xuân Lễ, huyện Lộc Bình, tỉnh Lạng Sơn</v>
          </cell>
          <cell r="O211" t="str">
            <v>Xã Xuân Lễ</v>
          </cell>
          <cell r="P211" t="str">
            <v>Huyện Lộc Bình</v>
          </cell>
          <cell r="Q211" t="str">
            <v>Tỉnh Lạng Sơn</v>
          </cell>
          <cell r="R211" t="str">
            <v>Thôn Bản Lầy</v>
          </cell>
          <cell r="S211" t="str">
            <v>Xã Xuân Lễ</v>
          </cell>
          <cell r="T211" t="str">
            <v>Huyện Lộc Bình</v>
          </cell>
          <cell r="U211" t="str">
            <v>Tỉnh Lạng Sơn</v>
          </cell>
          <cell r="V211" t="str">
            <v>Xã Xuân Lễ, huyện Lộc Bình, tỉnh Lạng Sơn</v>
          </cell>
          <cell r="W211" t="str">
            <v>01/6/2017</v>
          </cell>
          <cell r="X211" t="str">
            <v>02/07/2018</v>
          </cell>
          <cell r="AA211">
            <v>0</v>
          </cell>
          <cell r="AB211" t="str">
            <v>TĐ017</v>
          </cell>
          <cell r="AC211" t="str">
            <v>Phụ sản</v>
          </cell>
          <cell r="AD211" t="str">
            <v>KP016</v>
          </cell>
          <cell r="AE211" t="str">
            <v>Viên chức</v>
          </cell>
          <cell r="AF211" t="str">
            <v>V.08.06.16</v>
          </cell>
          <cell r="AG211" t="str">
            <v>Hộ sinh (hạng III)</v>
          </cell>
          <cell r="AH211">
            <v>3.99</v>
          </cell>
          <cell r="AI211">
            <v>6</v>
          </cell>
          <cell r="AJ211">
            <v>0</v>
          </cell>
          <cell r="AK211">
            <v>44927</v>
          </cell>
          <cell r="AL211" t="str">
            <v>Đại học</v>
          </cell>
          <cell r="AM211" t="str">
            <v>Hộ sinh ĐH</v>
          </cell>
          <cell r="AO211" t="str">
            <v>CĐ Y tế Lạng Sơn</v>
          </cell>
          <cell r="AP211">
            <v>2007</v>
          </cell>
          <cell r="AQ211" t="str">
            <v>12/12</v>
          </cell>
          <cell r="AR211">
            <v>0</v>
          </cell>
          <cell r="AS211">
            <v>0</v>
          </cell>
          <cell r="AT211">
            <v>0</v>
          </cell>
          <cell r="AU211" t="str">
            <v>x</v>
          </cell>
          <cell r="AV211">
            <v>0</v>
          </cell>
          <cell r="AW211" t="str">
            <v>x</v>
          </cell>
          <cell r="AY211" t="str">
            <v>Tày</v>
          </cell>
          <cell r="BA211" t="e">
            <v>#REF!</v>
          </cell>
          <cell r="BB211" t="e">
            <v>#REF!</v>
          </cell>
          <cell r="BC211" t="str">
            <v>18/4/2017</v>
          </cell>
        </row>
        <row r="212">
          <cell r="A212" t="str">
            <v>BV1003</v>
          </cell>
          <cell r="B212">
            <v>206</v>
          </cell>
          <cell r="C212" t="str">
            <v>Tô Thị Hành</v>
          </cell>
          <cell r="D212" t="str">
            <v>BV1003</v>
          </cell>
          <cell r="E212" t="str">
            <v>2014001958</v>
          </cell>
          <cell r="F212" t="str">
            <v>Hộ sinh (hạng IV)</v>
          </cell>
          <cell r="I212" t="str">
            <v>04/05/1986</v>
          </cell>
          <cell r="J212">
            <v>40</v>
          </cell>
          <cell r="K212" t="str">
            <v>082103467</v>
          </cell>
          <cell r="L212">
            <v>39098</v>
          </cell>
          <cell r="M212" t="str">
            <v>CA tỉnh Lạng Sơn</v>
          </cell>
          <cell r="V212" t="str">
            <v>Số 26 ngõ 1 Chùa Tiên, phường Chi Lăng, TP. Lạng Sơn</v>
          </cell>
          <cell r="W212" t="str">
            <v>01/11/2014</v>
          </cell>
          <cell r="AA212">
            <v>0</v>
          </cell>
          <cell r="AB212" t="str">
            <v>TĐ017</v>
          </cell>
          <cell r="AC212" t="str">
            <v>Phụ sản</v>
          </cell>
          <cell r="AD212" t="str">
            <v>KP016</v>
          </cell>
          <cell r="AE212" t="str">
            <v>Viên chức</v>
          </cell>
          <cell r="AF212" t="str">
            <v>V. 08.06.16</v>
          </cell>
          <cell r="AG212" t="str">
            <v>Hộ sinh (hạng IV)</v>
          </cell>
          <cell r="AH212">
            <v>3</v>
          </cell>
          <cell r="AI212">
            <v>3</v>
          </cell>
          <cell r="AJ212">
            <v>0</v>
          </cell>
          <cell r="AK212">
            <v>44927</v>
          </cell>
          <cell r="AL212" t="str">
            <v>Đại học</v>
          </cell>
          <cell r="AM212" t="str">
            <v>Hộ sinh ĐH</v>
          </cell>
          <cell r="AR212">
            <v>0</v>
          </cell>
          <cell r="AS212">
            <v>0</v>
          </cell>
          <cell r="AT212">
            <v>0</v>
          </cell>
          <cell r="AU212" t="str">
            <v>x</v>
          </cell>
          <cell r="AV212">
            <v>0</v>
          </cell>
          <cell r="AW212" t="str">
            <v>Cơ bản</v>
          </cell>
          <cell r="AY212" t="str">
            <v>Tày</v>
          </cell>
          <cell r="BC212" t="str">
            <v>24/6/2013</v>
          </cell>
        </row>
        <row r="213">
          <cell r="A213" t="str">
            <v>BV0296</v>
          </cell>
          <cell r="B213">
            <v>207</v>
          </cell>
          <cell r="C213" t="str">
            <v>Lê Quang Phương</v>
          </cell>
          <cell r="D213" t="str">
            <v>BV0296</v>
          </cell>
          <cell r="E213">
            <v>1596005568</v>
          </cell>
          <cell r="G213" t="str">
            <v>020071007657,
Ngày cấp 25/6/2021, nơi cấp: Cục cảnh sát quản lý hành chính và trật tự xã hội</v>
          </cell>
          <cell r="H213">
            <v>26033</v>
          </cell>
          <cell r="J213">
            <v>55</v>
          </cell>
          <cell r="K213" t="str">
            <v>081039810</v>
          </cell>
          <cell r="L213" t="str">
            <v>16/4/2002</v>
          </cell>
          <cell r="M213" t="str">
            <v>CA tỉnh Lạng Sơn</v>
          </cell>
          <cell r="N213" t="str">
            <v>Tỉnh Lạng Sơn</v>
          </cell>
          <cell r="P213" t="str">
            <v>Huyện Bắc Sơn</v>
          </cell>
          <cell r="Q213" t="str">
            <v>Tỉnh Lạng Sơn</v>
          </cell>
          <cell r="S213" t="str">
            <v>Phường Tam Thanh</v>
          </cell>
          <cell r="T213" t="str">
            <v>Thành phố Lạng Sơn</v>
          </cell>
          <cell r="U213" t="str">
            <v>Tỉnh Lạng Sơn</v>
          </cell>
          <cell r="V213" t="str">
            <v>Phường Tam Thanh, Thành phố Lạng Sơn, Tỉnh Lạng Sơn</v>
          </cell>
          <cell r="W213" t="str">
            <v>29/4/1997</v>
          </cell>
          <cell r="AA213" t="str">
            <v>Phó trưởng khoa/Phụ trách khoa</v>
          </cell>
          <cell r="AB213" t="str">
            <v>TĐ001</v>
          </cell>
          <cell r="AC213" t="str">
            <v>Nhi</v>
          </cell>
          <cell r="AD213" t="str">
            <v>KP017</v>
          </cell>
          <cell r="AE213" t="str">
            <v>Viên chức</v>
          </cell>
          <cell r="AF213" t="str">
            <v>V.08.01.02</v>
          </cell>
          <cell r="AG213" t="str">
            <v>Bác sĩ chính (hạng II)</v>
          </cell>
          <cell r="AH213">
            <v>6.1</v>
          </cell>
          <cell r="AI213">
            <v>6</v>
          </cell>
          <cell r="AJ213">
            <v>0</v>
          </cell>
          <cell r="AK213">
            <v>45839</v>
          </cell>
          <cell r="AL213" t="str">
            <v>Đại học</v>
          </cell>
          <cell r="AM213" t="str">
            <v>BSCKII</v>
          </cell>
          <cell r="AN213" t="str">
            <v>Nhi khoa</v>
          </cell>
          <cell r="AQ213" t="str">
            <v>12/12</v>
          </cell>
          <cell r="AR213" t="str">
            <v>Chuyên viên</v>
          </cell>
          <cell r="AS213" t="str">
            <v>x</v>
          </cell>
          <cell r="AT213" t="str">
            <v>Trung cấp</v>
          </cell>
          <cell r="AU213" t="str">
            <v>Anh B</v>
          </cell>
          <cell r="AV213">
            <v>0</v>
          </cell>
          <cell r="AW213" t="str">
            <v>Tin B</v>
          </cell>
          <cell r="AY213" t="str">
            <v>Tày</v>
          </cell>
          <cell r="AZ213">
            <v>40876</v>
          </cell>
          <cell r="BA213" t="e">
            <v>#REF!</v>
          </cell>
          <cell r="BB213" t="e">
            <v>#REF!</v>
          </cell>
          <cell r="BC213" t="str">
            <v>01/08/2012</v>
          </cell>
        </row>
        <row r="214">
          <cell r="A214" t="str">
            <v>BV0300</v>
          </cell>
          <cell r="B214">
            <v>208</v>
          </cell>
          <cell r="C214" t="str">
            <v>Nguyễn Thành Long</v>
          </cell>
          <cell r="D214" t="str">
            <v>BV0300</v>
          </cell>
          <cell r="E214">
            <v>2014002738</v>
          </cell>
          <cell r="G214" t="str">
            <v>020089007110,
Ngày cấp 25/06/2021, nơi cấp: Cục cảnh sát quản lý hành chính và trật tự xã hội</v>
          </cell>
          <cell r="H214" t="str">
            <v>27/02/1989</v>
          </cell>
          <cell r="J214">
            <v>37</v>
          </cell>
          <cell r="K214" t="str">
            <v>082106655</v>
          </cell>
          <cell r="L214" t="str">
            <v>08/3/2007</v>
          </cell>
          <cell r="M214" t="str">
            <v>CA tỉnh Lạng Sơn</v>
          </cell>
          <cell r="N214" t="str">
            <v>Tỉnh Lạng Sơn</v>
          </cell>
          <cell r="O214" t="str">
            <v>Thị trấn Bình Gia</v>
          </cell>
          <cell r="P214" t="str">
            <v>Huyện Bình Gia</v>
          </cell>
          <cell r="Q214" t="str">
            <v>Tỉnh Lạng Sơn</v>
          </cell>
          <cell r="S214" t="str">
            <v>Thị trấn Bình Gia</v>
          </cell>
          <cell r="T214" t="str">
            <v>Huyện Bình Gia</v>
          </cell>
          <cell r="U214" t="str">
            <v>Tỉnh Lạng Sơn</v>
          </cell>
          <cell r="V214" t="str">
            <v>Thị trấn Bình Gia, Huyện Bình Gia, Tỉnh Lạng Sơn</v>
          </cell>
          <cell r="W214" t="str">
            <v>1/11/2014</v>
          </cell>
          <cell r="X214">
            <v>42292</v>
          </cell>
          <cell r="AA214">
            <v>0</v>
          </cell>
          <cell r="AB214" t="str">
            <v>TĐ003</v>
          </cell>
          <cell r="AC214" t="str">
            <v>Nhi</v>
          </cell>
          <cell r="AD214" t="str">
            <v>KP017</v>
          </cell>
          <cell r="AE214" t="str">
            <v>Viên chức</v>
          </cell>
          <cell r="AF214" t="str">
            <v>V.08.01.03</v>
          </cell>
          <cell r="AG214" t="str">
            <v>Bác sĩ (hạng III)</v>
          </cell>
          <cell r="AH214">
            <v>3.33</v>
          </cell>
          <cell r="AI214">
            <v>4</v>
          </cell>
          <cell r="AJ214">
            <v>0</v>
          </cell>
          <cell r="AK214">
            <v>45323</v>
          </cell>
          <cell r="AL214" t="str">
            <v>Đại học</v>
          </cell>
          <cell r="AM214" t="str">
            <v>BSCKI</v>
          </cell>
          <cell r="AN214" t="str">
            <v>Nhi khoa</v>
          </cell>
          <cell r="AO214" t="str">
            <v>Đại học Y Dược Thái Nguyên</v>
          </cell>
          <cell r="AP214">
            <v>2014</v>
          </cell>
          <cell r="AQ214" t="str">
            <v>12/12</v>
          </cell>
          <cell r="AR214">
            <v>0</v>
          </cell>
          <cell r="AS214">
            <v>0</v>
          </cell>
          <cell r="AT214" t="str">
            <v>Sơ cấp</v>
          </cell>
          <cell r="AU214" t="str">
            <v>Anh B</v>
          </cell>
          <cell r="AV214">
            <v>0</v>
          </cell>
          <cell r="AW214" t="str">
            <v>Tin B</v>
          </cell>
          <cell r="AY214" t="str">
            <v>Kinh</v>
          </cell>
          <cell r="BA214" t="e">
            <v>#REF!</v>
          </cell>
          <cell r="BB214" t="e">
            <v>#REF!</v>
          </cell>
          <cell r="BC214" t="str">
            <v>24/6/2013</v>
          </cell>
        </row>
        <row r="215">
          <cell r="A215" t="str">
            <v>BV0298</v>
          </cell>
          <cell r="B215">
            <v>209</v>
          </cell>
          <cell r="C215" t="str">
            <v>Trần Thị Diệp</v>
          </cell>
          <cell r="D215" t="str">
            <v>BV0298</v>
          </cell>
          <cell r="E215">
            <v>1506001851</v>
          </cell>
          <cell r="G215" t="str">
            <v>020180002195,
Ngày cấp 29/04/2021, nơi cấp: Cục cảnh sát quản lý hành chính và trật tự xã hội</v>
          </cell>
          <cell r="I215">
            <v>29452</v>
          </cell>
          <cell r="J215">
            <v>45</v>
          </cell>
          <cell r="K215" t="str">
            <v>080987798</v>
          </cell>
          <cell r="L215" t="str">
            <v>14/8/1996</v>
          </cell>
          <cell r="M215" t="str">
            <v>CA tỉnh Lạng Sơn</v>
          </cell>
          <cell r="N215" t="str">
            <v>Tỉnh Lạng Sơn</v>
          </cell>
          <cell r="O215" t="str">
            <v>Xã Sơn Hà</v>
          </cell>
          <cell r="P215" t="str">
            <v>Huyện Hữu Lũng</v>
          </cell>
          <cell r="Q215" t="str">
            <v>Tỉnh Lạng Sơn</v>
          </cell>
          <cell r="S215" t="str">
            <v>Phường Tam Thanh</v>
          </cell>
          <cell r="T215" t="str">
            <v>Thành phố Lạng Sơn</v>
          </cell>
          <cell r="U215" t="str">
            <v>Tỉnh Lạng Sơn</v>
          </cell>
          <cell r="V215" t="str">
            <v>Phường Tam Thanh, Thành phố Lạng Sơn, Tỉnh Lạng Sơn</v>
          </cell>
          <cell r="W215" t="str">
            <v>07/11/2006</v>
          </cell>
          <cell r="AA215" t="str">
            <v>Phó trưởng khoa</v>
          </cell>
          <cell r="AB215" t="str">
            <v>TĐ004</v>
          </cell>
          <cell r="AC215" t="str">
            <v>Nhi</v>
          </cell>
          <cell r="AD215" t="str">
            <v>KP017</v>
          </cell>
          <cell r="AE215" t="str">
            <v>Viên chức</v>
          </cell>
          <cell r="AF215" t="str">
            <v>V.08.01.02</v>
          </cell>
          <cell r="AG215" t="str">
            <v>Bác sĩ chính (hạng II)</v>
          </cell>
          <cell r="AH215">
            <v>5.08</v>
          </cell>
          <cell r="AI215">
            <v>3</v>
          </cell>
          <cell r="AJ215">
            <v>0</v>
          </cell>
          <cell r="AK215">
            <v>44927</v>
          </cell>
          <cell r="AL215" t="str">
            <v>Đại học</v>
          </cell>
          <cell r="AM215" t="str">
            <v>Thạc sỹ</v>
          </cell>
          <cell r="AN215" t="str">
            <v>Nhi khoa</v>
          </cell>
          <cell r="AO215" t="str">
            <v>Đại học Y Hà Nội</v>
          </cell>
          <cell r="AP215">
            <v>2014</v>
          </cell>
          <cell r="AQ215" t="str">
            <v>12/12</v>
          </cell>
          <cell r="AR215">
            <v>0</v>
          </cell>
          <cell r="AS215" t="str">
            <v>x</v>
          </cell>
          <cell r="AT215" t="str">
            <v>Sơ cấp</v>
          </cell>
          <cell r="AU215" t="str">
            <v>Anh B1</v>
          </cell>
          <cell r="AV215" t="str">
            <v>Tày</v>
          </cell>
          <cell r="AW215" t="str">
            <v>CC tin Sau ĐH</v>
          </cell>
          <cell r="AY215" t="str">
            <v>Nùng</v>
          </cell>
          <cell r="AZ215">
            <v>40756</v>
          </cell>
          <cell r="BA215" t="e">
            <v>#REF!</v>
          </cell>
          <cell r="BB215" t="e">
            <v>#REF!</v>
          </cell>
          <cell r="BC215" t="str">
            <v>16/9/2013</v>
          </cell>
        </row>
        <row r="216">
          <cell r="A216" t="str">
            <v>BV0682</v>
          </cell>
          <cell r="B216">
            <v>210</v>
          </cell>
          <cell r="C216" t="str">
            <v>Lăng Thùy Ngân</v>
          </cell>
          <cell r="D216" t="str">
            <v>BV0682</v>
          </cell>
          <cell r="E216">
            <v>2016000983</v>
          </cell>
          <cell r="G216" t="str">
            <v>020190012859,
Ngày cấp 26/8/2021, nơi cấp: Cục cảnh sát quản lý hành chính và trật tự xã hội</v>
          </cell>
          <cell r="I216" t="str">
            <v>21/12/1990</v>
          </cell>
          <cell r="J216">
            <v>35</v>
          </cell>
          <cell r="K216" t="str">
            <v>082082214</v>
          </cell>
          <cell r="L216" t="str">
            <v>18/5/2006</v>
          </cell>
          <cell r="M216" t="str">
            <v>CA tỉnh Lạng Sơn</v>
          </cell>
          <cell r="N216" t="str">
            <v>Tỉnh Lạng Sơn</v>
          </cell>
          <cell r="O216" t="str">
            <v>Xã Tân Mỹ</v>
          </cell>
          <cell r="P216" t="str">
            <v>Huyện Văn Lãng</v>
          </cell>
          <cell r="Q216" t="str">
            <v>Tỉnh Lạng Sơn</v>
          </cell>
          <cell r="R216" t="str">
            <v>Thôn Pò Cại</v>
          </cell>
          <cell r="S216" t="str">
            <v>Xã Tân Mỹ</v>
          </cell>
          <cell r="T216" t="str">
            <v>Huyện Văn Lãng</v>
          </cell>
          <cell r="U216" t="str">
            <v>Tỉnh Lạng Sơn</v>
          </cell>
          <cell r="V216" t="str">
            <v>Xã Tân Mỹ, Huyện Văn Lãng, Tỉnh Lạng Sơn</v>
          </cell>
          <cell r="W216" t="str">
            <v>10/01/2016</v>
          </cell>
          <cell r="AA216">
            <v>0</v>
          </cell>
          <cell r="AB216" t="str">
            <v>TĐ003</v>
          </cell>
          <cell r="AC216" t="str">
            <v>Nhi</v>
          </cell>
          <cell r="AD216" t="str">
            <v>KP017</v>
          </cell>
          <cell r="AE216" t="str">
            <v>Viên chức</v>
          </cell>
          <cell r="AF216" t="str">
            <v>V.08.01.03</v>
          </cell>
          <cell r="AG216" t="str">
            <v>Bác sĩ (hạng III)</v>
          </cell>
          <cell r="AH216">
            <v>3.33</v>
          </cell>
          <cell r="AI216">
            <v>4</v>
          </cell>
          <cell r="AJ216">
            <v>0</v>
          </cell>
          <cell r="AK216">
            <v>45951</v>
          </cell>
          <cell r="AL216" t="str">
            <v>Đại học</v>
          </cell>
          <cell r="AM216" t="str">
            <v>BSCKI</v>
          </cell>
          <cell r="AN216" t="str">
            <v>Nhi khoa</v>
          </cell>
          <cell r="AO216" t="str">
            <v>ĐH Y Dược Thái Nguyên</v>
          </cell>
          <cell r="AP216">
            <v>2015</v>
          </cell>
          <cell r="AQ216" t="str">
            <v>12/12</v>
          </cell>
          <cell r="AR216">
            <v>0</v>
          </cell>
          <cell r="AS216">
            <v>0</v>
          </cell>
          <cell r="AT216" t="str">
            <v>Sơ cấp</v>
          </cell>
          <cell r="AU216" t="str">
            <v>Anh B</v>
          </cell>
          <cell r="AV216">
            <v>0</v>
          </cell>
          <cell r="AW216" t="str">
            <v>Tin B</v>
          </cell>
          <cell r="AY216" t="str">
            <v>Nùng</v>
          </cell>
          <cell r="BA216" t="e">
            <v>#REF!</v>
          </cell>
          <cell r="BB216" t="e">
            <v>#REF!</v>
          </cell>
        </row>
        <row r="217">
          <cell r="A217" t="str">
            <v>BV0886</v>
          </cell>
          <cell r="B217">
            <v>211</v>
          </cell>
          <cell r="C217" t="str">
            <v>Hoàng Thu Hiền</v>
          </cell>
          <cell r="D217" t="str">
            <v>BV0886</v>
          </cell>
          <cell r="E217" t="str">
            <v>2009000923</v>
          </cell>
          <cell r="G217" t="str">
            <v>020194011668,
Ngày cấp 28/6/2021, nơi cấp: Cục cảnh sát quản lý hành chính và trật tự xã hội</v>
          </cell>
          <cell r="I217" t="str">
            <v>07/11/1994</v>
          </cell>
          <cell r="J217">
            <v>31</v>
          </cell>
          <cell r="K217" t="str">
            <v>082235838</v>
          </cell>
          <cell r="L217" t="str">
            <v>25/07/2017</v>
          </cell>
          <cell r="M217" t="str">
            <v>CA tỉnh Lạng Sơn</v>
          </cell>
          <cell r="W217" t="str">
            <v>05/04/2019</v>
          </cell>
          <cell r="AA217">
            <v>0</v>
          </cell>
          <cell r="AB217" t="str">
            <v>TĐ005</v>
          </cell>
          <cell r="AC217" t="str">
            <v>Nhi</v>
          </cell>
          <cell r="AD217" t="str">
            <v>KP017</v>
          </cell>
          <cell r="AE217" t="str">
            <v>Viên chức</v>
          </cell>
          <cell r="AF217" t="str">
            <v>V.08.01.03</v>
          </cell>
          <cell r="AG217" t="str">
            <v>Bác sĩ (hạng III)</v>
          </cell>
          <cell r="AH217">
            <v>2.67</v>
          </cell>
          <cell r="AI217">
            <v>2</v>
          </cell>
          <cell r="AJ217">
            <v>0</v>
          </cell>
          <cell r="AK217">
            <v>44958</v>
          </cell>
          <cell r="AL217" t="str">
            <v>Đại học</v>
          </cell>
          <cell r="AM217" t="str">
            <v>Bác sĩ</v>
          </cell>
          <cell r="AN217" t="str">
            <v>Y đa khoa</v>
          </cell>
          <cell r="AQ217" t="str">
            <v>12/12</v>
          </cell>
          <cell r="AR217">
            <v>0</v>
          </cell>
          <cell r="AS217">
            <v>0</v>
          </cell>
          <cell r="AT217">
            <v>0</v>
          </cell>
          <cell r="AU217" t="str">
            <v>Anh B</v>
          </cell>
          <cell r="AV217">
            <v>0</v>
          </cell>
          <cell r="AW217" t="str">
            <v>Cơ bản</v>
          </cell>
          <cell r="AY217" t="str">
            <v>Tày</v>
          </cell>
          <cell r="BC217" t="str">
            <v>25/02/2014</v>
          </cell>
        </row>
        <row r="218">
          <cell r="A218" t="str">
            <v>BV0308</v>
          </cell>
          <cell r="B218">
            <v>212</v>
          </cell>
          <cell r="C218" t="str">
            <v>Nguyễn Thị Minh Hiệp</v>
          </cell>
          <cell r="D218" t="str">
            <v>BV0308</v>
          </cell>
          <cell r="E218">
            <v>1506001852</v>
          </cell>
          <cell r="G218" t="str">
            <v>020181000732,
Ngày cấp 31/3/2021, nơi cấp: Cục cảnh sát quản lý hành chính và trật tự xã hội</v>
          </cell>
          <cell r="I218">
            <v>29854</v>
          </cell>
          <cell r="J218">
            <v>44</v>
          </cell>
          <cell r="K218" t="str">
            <v>080986125</v>
          </cell>
          <cell r="L218" t="str">
            <v>25/9/2006</v>
          </cell>
          <cell r="M218" t="str">
            <v>CA tỉnh Lạng Sơn</v>
          </cell>
          <cell r="N218" t="str">
            <v>Tỉnh Lạng Sơn</v>
          </cell>
          <cell r="O218" t="str">
            <v>Thị trấn Cao Lộc</v>
          </cell>
          <cell r="P218" t="str">
            <v>Huyện Cao Lộc</v>
          </cell>
          <cell r="Q218" t="str">
            <v>Tỉnh Lạng Sơn</v>
          </cell>
          <cell r="R218" t="str">
            <v>Khối 7</v>
          </cell>
          <cell r="S218" t="str">
            <v>Thị trấn Cao Lộc</v>
          </cell>
          <cell r="T218" t="str">
            <v>Huyện Cao Lộc</v>
          </cell>
          <cell r="U218" t="str">
            <v>Tỉnh Lạng Sơn</v>
          </cell>
          <cell r="V218" t="str">
            <v>Thị trấn Cao Lộc, Huyện Cao Lộc, Tỉnh Lạng Sơn</v>
          </cell>
          <cell r="W218" t="str">
            <v>1/12/2008</v>
          </cell>
          <cell r="X218" t="str">
            <v>2005</v>
          </cell>
          <cell r="AA218">
            <v>0</v>
          </cell>
          <cell r="AB218" t="str">
            <v>TĐ011</v>
          </cell>
          <cell r="AC218" t="str">
            <v>Nhi</v>
          </cell>
          <cell r="AD218" t="str">
            <v>KP017</v>
          </cell>
          <cell r="AE218" t="str">
            <v>Viên chức</v>
          </cell>
          <cell r="AF218" t="str">
            <v>V.08.05.12</v>
          </cell>
          <cell r="AG218" t="str">
            <v>Điều dưỡng (hạng III)</v>
          </cell>
          <cell r="AH218">
            <v>3.99</v>
          </cell>
          <cell r="AI218">
            <v>6</v>
          </cell>
          <cell r="AJ218">
            <v>0</v>
          </cell>
          <cell r="AK218">
            <v>45809</v>
          </cell>
          <cell r="AL218" t="str">
            <v>Đại học</v>
          </cell>
          <cell r="AM218" t="str">
            <v>Điều dưỡng ĐH</v>
          </cell>
          <cell r="AO218" t="str">
            <v>TH Y tế Lạng Sơn</v>
          </cell>
          <cell r="AP218">
            <v>2005</v>
          </cell>
          <cell r="AQ218" t="str">
            <v>12/12</v>
          </cell>
          <cell r="AR218">
            <v>0</v>
          </cell>
          <cell r="AS218">
            <v>0</v>
          </cell>
          <cell r="AT218" t="str">
            <v>Sơ cấp</v>
          </cell>
          <cell r="AU218" t="str">
            <v>Anh B</v>
          </cell>
          <cell r="AV218" t="str">
            <v>Tày</v>
          </cell>
          <cell r="AW218" t="str">
            <v>Tin B</v>
          </cell>
          <cell r="AY218" t="str">
            <v>Tày</v>
          </cell>
          <cell r="AZ218">
            <v>44614</v>
          </cell>
          <cell r="BA218" t="e">
            <v>#REF!</v>
          </cell>
          <cell r="BB218" t="e">
            <v>#REF!</v>
          </cell>
        </row>
        <row r="219">
          <cell r="A219" t="str">
            <v>BV0301</v>
          </cell>
          <cell r="B219">
            <v>213</v>
          </cell>
          <cell r="C219" t="str">
            <v>Nguyễn Thị Chanh</v>
          </cell>
          <cell r="D219" t="str">
            <v>BV0301</v>
          </cell>
          <cell r="E219">
            <v>1506002920</v>
          </cell>
          <cell r="G219" t="str">
            <v>020183000661,
Ngày cấp 02/04/2021, nơi cấp: Cục cảnh sát quản lý hành chính và trật tự xã hội</v>
          </cell>
          <cell r="I219">
            <v>30494</v>
          </cell>
          <cell r="J219">
            <v>43</v>
          </cell>
          <cell r="K219" t="str">
            <v>081034212</v>
          </cell>
          <cell r="L219" t="str">
            <v>12/06/2006</v>
          </cell>
          <cell r="M219" t="str">
            <v>CA tỉnh Lạng Sơn</v>
          </cell>
          <cell r="P219" t="str">
            <v>Huyện Bắc Sơn</v>
          </cell>
          <cell r="Q219" t="str">
            <v>Tỉnh Lạng Sơn</v>
          </cell>
          <cell r="S219" t="str">
            <v>Phường Tam Thanh</v>
          </cell>
          <cell r="T219" t="str">
            <v>Thành phố Lạng Sơn</v>
          </cell>
          <cell r="U219" t="str">
            <v>Tỉnh Lạng Sơn</v>
          </cell>
          <cell r="V219" t="str">
            <v>Phường Tam Thanh, Thành phố Lạng Sơn, Tỉnh Lạng Sơn</v>
          </cell>
          <cell r="W219" t="str">
            <v>7/11/2006</v>
          </cell>
          <cell r="AA219" t="str">
            <v>Điều dưỡng trưởng</v>
          </cell>
          <cell r="AB219" t="str">
            <v>TĐ011</v>
          </cell>
          <cell r="AC219" t="str">
            <v>Nhi</v>
          </cell>
          <cell r="AD219" t="str">
            <v>KP017</v>
          </cell>
          <cell r="AE219" t="str">
            <v>Viên chức</v>
          </cell>
          <cell r="AF219" t="str">
            <v>V.08.05.12</v>
          </cell>
          <cell r="AG219" t="str">
            <v>Điều dưỡng (hạng III)</v>
          </cell>
          <cell r="AH219">
            <v>3.99</v>
          </cell>
          <cell r="AI219">
            <v>6</v>
          </cell>
          <cell r="AJ219">
            <v>0</v>
          </cell>
          <cell r="AK219">
            <v>45778</v>
          </cell>
          <cell r="AL219" t="str">
            <v>Đại học</v>
          </cell>
          <cell r="AM219" t="str">
            <v>Điều dưỡng ĐH</v>
          </cell>
          <cell r="AR219" t="str">
            <v>Chuyên viên</v>
          </cell>
          <cell r="AS219">
            <v>0</v>
          </cell>
          <cell r="AT219" t="str">
            <v>Sơ cấp</v>
          </cell>
          <cell r="AU219" t="str">
            <v>Anh B</v>
          </cell>
          <cell r="AV219" t="str">
            <v>Tày</v>
          </cell>
          <cell r="AW219" t="str">
            <v>Tin B</v>
          </cell>
          <cell r="AY219" t="str">
            <v>Tày</v>
          </cell>
          <cell r="AZ219">
            <v>42677</v>
          </cell>
          <cell r="BA219" t="e">
            <v>#REF!</v>
          </cell>
          <cell r="BB219" t="e">
            <v>#REF!</v>
          </cell>
          <cell r="BC219" t="str">
            <v>24/6/2013</v>
          </cell>
        </row>
        <row r="220">
          <cell r="A220" t="str">
            <v>BV0303</v>
          </cell>
          <cell r="B220">
            <v>214</v>
          </cell>
          <cell r="C220" t="str">
            <v>Lữ Thị Đại</v>
          </cell>
          <cell r="D220" t="str">
            <v>BV0303</v>
          </cell>
          <cell r="E220">
            <v>2013002123</v>
          </cell>
          <cell r="G220" t="str">
            <v>082159341,
Ngày cấp 20/3/2008, nơi cấp: Công an tỉnh Lạng Sơn</v>
          </cell>
          <cell r="I220">
            <v>32932</v>
          </cell>
          <cell r="J220">
            <v>36</v>
          </cell>
          <cell r="K220" t="str">
            <v>082159341</v>
          </cell>
          <cell r="L220" t="str">
            <v>20/3/2008</v>
          </cell>
          <cell r="M220" t="str">
            <v>CA tỉnh Lạng Sơn</v>
          </cell>
          <cell r="N220" t="str">
            <v>Tỉnh Lạng Sơn</v>
          </cell>
          <cell r="O220" t="str">
            <v>Xã Hòa Thắng</v>
          </cell>
          <cell r="P220" t="str">
            <v>Huyện Hữu Lũng</v>
          </cell>
          <cell r="Q220" t="str">
            <v>Tỉnh Lạng Sơn</v>
          </cell>
          <cell r="S220" t="str">
            <v>Xã Hòa Thắng</v>
          </cell>
          <cell r="T220" t="str">
            <v>Huyện Hữu Lũng</v>
          </cell>
          <cell r="U220" t="str">
            <v>Tỉnh Lạng Sơn</v>
          </cell>
          <cell r="V220" t="str">
            <v>Xã Hòa Thắng, Huyện Hữu Lũng, Tỉnh Lạng Sơn</v>
          </cell>
          <cell r="W220" t="str">
            <v>05/6/2013</v>
          </cell>
          <cell r="AA220">
            <v>0</v>
          </cell>
          <cell r="AB220" t="str">
            <v>TĐ011</v>
          </cell>
          <cell r="AC220" t="str">
            <v>Nhi</v>
          </cell>
          <cell r="AD220" t="str">
            <v>KP017</v>
          </cell>
          <cell r="AE220" t="str">
            <v>Viên chức</v>
          </cell>
          <cell r="AF220" t="str">
            <v>V.08.05.12</v>
          </cell>
          <cell r="AG220" t="str">
            <v>Điều dưỡng (hạng III)</v>
          </cell>
          <cell r="AH220" t="str">
            <v>3.66</v>
          </cell>
          <cell r="AI220">
            <v>6</v>
          </cell>
          <cell r="AJ220">
            <v>0</v>
          </cell>
          <cell r="AK220">
            <v>45818</v>
          </cell>
          <cell r="AL220" t="str">
            <v>Cao đẳng</v>
          </cell>
          <cell r="AM220" t="str">
            <v>Điều dưỡng ĐH</v>
          </cell>
          <cell r="AO220" t="str">
            <v>CĐ Y tế Lạng Sơn</v>
          </cell>
          <cell r="AP220">
            <v>2011</v>
          </cell>
          <cell r="AQ220" t="str">
            <v>12/12</v>
          </cell>
          <cell r="AR220">
            <v>0</v>
          </cell>
          <cell r="AS220">
            <v>0</v>
          </cell>
          <cell r="AT220" t="str">
            <v>Sơ cấp</v>
          </cell>
          <cell r="AU220" t="str">
            <v>Anh A2</v>
          </cell>
          <cell r="AV220">
            <v>0</v>
          </cell>
          <cell r="AW220" t="str">
            <v>Cơ bản</v>
          </cell>
          <cell r="AY220" t="str">
            <v>Nùng</v>
          </cell>
          <cell r="BA220" t="e">
            <v>#REF!</v>
          </cell>
          <cell r="BB220" t="e">
            <v>#REF!</v>
          </cell>
          <cell r="BC220" t="str">
            <v>28/6/2012</v>
          </cell>
        </row>
        <row r="221">
          <cell r="A221" t="str">
            <v>BV0313</v>
          </cell>
          <cell r="B221">
            <v>215</v>
          </cell>
          <cell r="C221" t="str">
            <v>Đàm Thị Liên</v>
          </cell>
          <cell r="D221" t="str">
            <v>BV0313</v>
          </cell>
          <cell r="E221">
            <v>2010000179</v>
          </cell>
          <cell r="G221" t="str">
            <v>020186002925,
Ngày cấp 29/4/2021, nơi cấp: Cục cảnh sát quản lý hành chính và trật tự xã hội</v>
          </cell>
          <cell r="I221">
            <v>31644</v>
          </cell>
          <cell r="J221">
            <v>39</v>
          </cell>
          <cell r="K221" t="str">
            <v>082011634</v>
          </cell>
          <cell r="L221" t="str">
            <v>09/02/2004</v>
          </cell>
          <cell r="M221" t="str">
            <v>CA tỉnh Lạng Sơn</v>
          </cell>
          <cell r="N221" t="str">
            <v>Tỉnh Lạng Sơn</v>
          </cell>
          <cell r="O221" t="str">
            <v>Xã Tràng Phái</v>
          </cell>
          <cell r="P221" t="str">
            <v>Huyện Văn Quan</v>
          </cell>
          <cell r="Q221" t="str">
            <v>Tỉnh Lạng Sơn</v>
          </cell>
          <cell r="S221" t="str">
            <v>Xã Tràng Phái</v>
          </cell>
          <cell r="T221" t="str">
            <v>Huyện Văn Quan</v>
          </cell>
          <cell r="U221" t="str">
            <v>Tỉnh Lạng Sơn</v>
          </cell>
          <cell r="V221" t="str">
            <v>Xã Tràng Phái, Huyện Văn Quan, Tỉnh Lạng Sơn</v>
          </cell>
          <cell r="W221" t="str">
            <v>15/1/2010</v>
          </cell>
          <cell r="AA221">
            <v>0</v>
          </cell>
          <cell r="AB221" t="str">
            <v>TĐ012</v>
          </cell>
          <cell r="AC221" t="str">
            <v>Nhi</v>
          </cell>
          <cell r="AD221" t="str">
            <v>KP017</v>
          </cell>
          <cell r="AE221" t="str">
            <v>Viên chức</v>
          </cell>
          <cell r="AF221" t="str">
            <v>V.08.05.13</v>
          </cell>
          <cell r="AG221" t="str">
            <v>Điều dưỡng (hạng IV)</v>
          </cell>
          <cell r="AH221">
            <v>3.34</v>
          </cell>
          <cell r="AI221">
            <v>5</v>
          </cell>
          <cell r="AJ221">
            <v>0</v>
          </cell>
          <cell r="AK221">
            <v>45275</v>
          </cell>
          <cell r="AL221" t="str">
            <v>Cao đẳng</v>
          </cell>
          <cell r="AM221" t="str">
            <v>Điều dưỡng CĐ</v>
          </cell>
          <cell r="AO221" t="str">
            <v>CĐ Y tế Lạng Sơn</v>
          </cell>
          <cell r="AP221">
            <v>2007</v>
          </cell>
          <cell r="AQ221" t="str">
            <v>12/12</v>
          </cell>
          <cell r="AR221">
            <v>0</v>
          </cell>
          <cell r="AS221">
            <v>0</v>
          </cell>
          <cell r="AT221" t="str">
            <v xml:space="preserve">K </v>
          </cell>
          <cell r="AU221" t="str">
            <v>Toefl</v>
          </cell>
          <cell r="AV221" t="str">
            <v xml:space="preserve">K </v>
          </cell>
          <cell r="AW221" t="str">
            <v>Cơ bản</v>
          </cell>
          <cell r="AY221" t="str">
            <v>Nùng</v>
          </cell>
          <cell r="BA221" t="e">
            <v>#REF!</v>
          </cell>
          <cell r="BB221" t="e">
            <v>#REF!</v>
          </cell>
          <cell r="BC221" t="str">
            <v>28/6/2012</v>
          </cell>
        </row>
        <row r="222">
          <cell r="A222" t="str">
            <v>BV0315</v>
          </cell>
          <cell r="B222">
            <v>216</v>
          </cell>
          <cell r="C222" t="str">
            <v>Hoàng Thị Vượng</v>
          </cell>
          <cell r="D222" t="str">
            <v>BV0315</v>
          </cell>
          <cell r="E222">
            <v>2011002111</v>
          </cell>
          <cell r="G222" t="str">
            <v>020187010650,
Ngày cấp 25/6/2021, nơi cấp: Cục cảnh sát quản lý hành chính và trật tự xã hội</v>
          </cell>
          <cell r="I222">
            <v>31973</v>
          </cell>
          <cell r="J222">
            <v>38</v>
          </cell>
          <cell r="K222" t="str">
            <v>081038938</v>
          </cell>
          <cell r="L222" t="str">
            <v>23/4/2003</v>
          </cell>
          <cell r="M222" t="str">
            <v>CA tỉnh Lạng Sơn</v>
          </cell>
          <cell r="N222" t="str">
            <v>Tỉnh Lạng Sơn</v>
          </cell>
          <cell r="O222" t="str">
            <v>Xã Thạch Đạn</v>
          </cell>
          <cell r="P222" t="str">
            <v>Huyện Cao Lộc</v>
          </cell>
          <cell r="Q222" t="str">
            <v>Tỉnh Lạng Sơn</v>
          </cell>
          <cell r="S222" t="str">
            <v>Xã Thạch Đạn</v>
          </cell>
          <cell r="T222" t="str">
            <v>Huyện Cao Lộc</v>
          </cell>
          <cell r="U222" t="str">
            <v>Tỉnh Lạng Sơn</v>
          </cell>
          <cell r="V222" t="str">
            <v>Xã Thạch Đạn, Huyện Cao Lộc, Tỉnh Lạng Sơn</v>
          </cell>
          <cell r="W222" t="str">
            <v>1/12/2010</v>
          </cell>
          <cell r="AA222">
            <v>0</v>
          </cell>
          <cell r="AB222" t="str">
            <v>TĐ012</v>
          </cell>
          <cell r="AC222" t="str">
            <v>Nhi</v>
          </cell>
          <cell r="AD222" t="str">
            <v>KP017</v>
          </cell>
          <cell r="AE222" t="str">
            <v>Viên chức</v>
          </cell>
          <cell r="AF222" t="str">
            <v>V.08.05.13</v>
          </cell>
          <cell r="AG222" t="str">
            <v>Điều dưỡng (hạng IV)</v>
          </cell>
          <cell r="AH222">
            <v>3.34</v>
          </cell>
          <cell r="AI222">
            <v>5</v>
          </cell>
          <cell r="AJ222">
            <v>0</v>
          </cell>
          <cell r="AK222">
            <v>45566</v>
          </cell>
          <cell r="AL222" t="str">
            <v>Cao đẳng</v>
          </cell>
          <cell r="AM222" t="str">
            <v>Điều dưỡng CĐ</v>
          </cell>
          <cell r="AO222" t="str">
            <v>CĐ Y tế Lạng Sơn</v>
          </cell>
          <cell r="AP222">
            <v>2008</v>
          </cell>
          <cell r="AQ222" t="str">
            <v>12/12</v>
          </cell>
          <cell r="AR222">
            <v>0</v>
          </cell>
          <cell r="AS222">
            <v>0</v>
          </cell>
          <cell r="AT222">
            <v>0</v>
          </cell>
          <cell r="AU222" t="str">
            <v>Anh B</v>
          </cell>
          <cell r="AV222">
            <v>0</v>
          </cell>
          <cell r="AW222" t="str">
            <v>Cơ bản</v>
          </cell>
          <cell r="AY222" t="str">
            <v>Nùng</v>
          </cell>
          <cell r="BA222" t="e">
            <v>#REF!</v>
          </cell>
          <cell r="BB222" t="e">
            <v>#REF!</v>
          </cell>
          <cell r="BC222" t="str">
            <v>28/6/2012</v>
          </cell>
        </row>
        <row r="223">
          <cell r="A223" t="str">
            <v>BV0127</v>
          </cell>
          <cell r="B223">
            <v>217</v>
          </cell>
          <cell r="C223" t="str">
            <v>Luân Thị Hiếu</v>
          </cell>
          <cell r="D223" t="str">
            <v>BV0127</v>
          </cell>
          <cell r="E223">
            <v>2014000514</v>
          </cell>
          <cell r="G223" t="str">
            <v>082025965,
Ngày cấp 09/03/2020, nơi cấp: Công an tỉnh Lạng Sơn</v>
          </cell>
          <cell r="I223">
            <v>32077</v>
          </cell>
          <cell r="J223">
            <v>38</v>
          </cell>
          <cell r="K223" t="str">
            <v>082025965</v>
          </cell>
          <cell r="L223" t="str">
            <v>08/6/2004</v>
          </cell>
          <cell r="M223" t="str">
            <v>CA tỉnh Lạng Sơn</v>
          </cell>
          <cell r="N223" t="str">
            <v>Tỉnh Lạng Sơn</v>
          </cell>
          <cell r="O223" t="str">
            <v>Phường Hoàng Văn Thụ</v>
          </cell>
          <cell r="P223" t="str">
            <v>Thành phố Lạng Sơn</v>
          </cell>
          <cell r="Q223" t="str">
            <v>Tỉnh Lạng Sơn</v>
          </cell>
          <cell r="S223" t="str">
            <v>Phường Hoàng Văn Thụ</v>
          </cell>
          <cell r="T223" t="str">
            <v>Thành phố Lạng Sơn</v>
          </cell>
          <cell r="U223" t="str">
            <v>Tỉnh Lạng Sơn</v>
          </cell>
          <cell r="V223" t="str">
            <v>Phường Hoàng Văn Thụ, Thành phố Lạng Sơn, Tỉnh Lạng Sơn</v>
          </cell>
          <cell r="W223" t="str">
            <v>01/11/2014</v>
          </cell>
          <cell r="AA223">
            <v>0</v>
          </cell>
          <cell r="AB223" t="str">
            <v>TĐ012</v>
          </cell>
          <cell r="AC223" t="str">
            <v>Nhi</v>
          </cell>
          <cell r="AD223" t="str">
            <v>KP017</v>
          </cell>
          <cell r="AE223" t="str">
            <v>Viên chức</v>
          </cell>
          <cell r="AF223" t="str">
            <v>V.08.05.13</v>
          </cell>
          <cell r="AG223" t="str">
            <v>Điều dưỡng (hạng IV)</v>
          </cell>
          <cell r="AH223">
            <v>2.72</v>
          </cell>
          <cell r="AI223">
            <v>3</v>
          </cell>
          <cell r="AJ223">
            <v>0</v>
          </cell>
          <cell r="AK223">
            <v>44927</v>
          </cell>
          <cell r="AL223" t="str">
            <v>Cao đẳng</v>
          </cell>
          <cell r="AM223" t="str">
            <v>Điều dưỡng CĐ</v>
          </cell>
          <cell r="AQ223" t="str">
            <v>12/12</v>
          </cell>
          <cell r="AR223">
            <v>0</v>
          </cell>
          <cell r="AS223">
            <v>0</v>
          </cell>
          <cell r="AT223" t="str">
            <v>Sơ cấp</v>
          </cell>
          <cell r="AU223" t="str">
            <v>Anh B</v>
          </cell>
          <cell r="AV223">
            <v>0</v>
          </cell>
          <cell r="AW223" t="str">
            <v>B</v>
          </cell>
          <cell r="AY223" t="str">
            <v>Nùng</v>
          </cell>
          <cell r="BA223" t="e">
            <v>#REF!</v>
          </cell>
          <cell r="BB223" t="e">
            <v>#REF!</v>
          </cell>
          <cell r="BC223" t="str">
            <v>1/06/2016</v>
          </cell>
        </row>
        <row r="224">
          <cell r="A224" t="str">
            <v>BV0309</v>
          </cell>
          <cell r="B224">
            <v>218</v>
          </cell>
          <cell r="C224" t="str">
            <v>Vi Thị Thùy</v>
          </cell>
          <cell r="D224" t="str">
            <v>BV0309</v>
          </cell>
          <cell r="E224">
            <v>2009000910</v>
          </cell>
          <cell r="G224" t="str">
            <v>020188008446,
Ngày cấp 09/05/2021, nơi cấp: Cục cảnh sát quản lý hành chính và trật tự xã hội</v>
          </cell>
          <cell r="I224">
            <v>32367</v>
          </cell>
          <cell r="J224">
            <v>37</v>
          </cell>
          <cell r="K224" t="str">
            <v>081038755</v>
          </cell>
          <cell r="L224" t="str">
            <v>15/4/2003</v>
          </cell>
          <cell r="M224" t="str">
            <v>CA tỉnh Lạng Sơn</v>
          </cell>
          <cell r="P224" t="str">
            <v>Huyện Cao Lộc</v>
          </cell>
          <cell r="Q224" t="str">
            <v>Tỉnh Lạng Sơn</v>
          </cell>
          <cell r="T224" t="str">
            <v>Huyện Cao Lộc</v>
          </cell>
          <cell r="U224" t="str">
            <v>Tỉnh Lạng Sơn</v>
          </cell>
          <cell r="V224" t="str">
            <v>, Huyện Cao Lộc, Tỉnh Lạng Sơn</v>
          </cell>
          <cell r="W224" t="str">
            <v>02/01/2009</v>
          </cell>
          <cell r="AA224">
            <v>0</v>
          </cell>
          <cell r="AB224" t="str">
            <v>TĐ011</v>
          </cell>
          <cell r="AC224" t="str">
            <v>Nhi</v>
          </cell>
          <cell r="AD224" t="str">
            <v>KP017</v>
          </cell>
          <cell r="AE224" t="str">
            <v>Viên chức</v>
          </cell>
          <cell r="AF224" t="str">
            <v>V.08.05.12</v>
          </cell>
          <cell r="AG224" t="str">
            <v>Điều dưỡng (hạng III)</v>
          </cell>
          <cell r="AH224">
            <v>3.66</v>
          </cell>
          <cell r="AI224">
            <v>5</v>
          </cell>
          <cell r="AJ224">
            <v>0</v>
          </cell>
          <cell r="AK224">
            <v>45383</v>
          </cell>
          <cell r="AL224" t="str">
            <v>Đại học</v>
          </cell>
          <cell r="AM224" t="str">
            <v>Điều dưỡng ĐH</v>
          </cell>
          <cell r="AR224">
            <v>0</v>
          </cell>
          <cell r="AS224">
            <v>0</v>
          </cell>
          <cell r="AT224" t="str">
            <v>Sơ cấp</v>
          </cell>
          <cell r="AU224" t="str">
            <v>TOEIC</v>
          </cell>
          <cell r="AV224">
            <v>0</v>
          </cell>
          <cell r="AW224" t="str">
            <v>Cơ bản</v>
          </cell>
          <cell r="AY224" t="str">
            <v>Nùng</v>
          </cell>
          <cell r="AZ224">
            <v>43417</v>
          </cell>
          <cell r="BA224" t="e">
            <v>#REF!</v>
          </cell>
          <cell r="BB224" t="e">
            <v>#REF!</v>
          </cell>
          <cell r="BC224" t="str">
            <v>24/6/2013</v>
          </cell>
        </row>
        <row r="225">
          <cell r="A225" t="str">
            <v>BV0310</v>
          </cell>
          <cell r="B225">
            <v>219</v>
          </cell>
          <cell r="C225" t="str">
            <v>Nông Văn Bộ</v>
          </cell>
          <cell r="D225" t="str">
            <v>BV0310</v>
          </cell>
          <cell r="E225">
            <v>2009000907</v>
          </cell>
          <cell r="G225" t="str">
            <v>020084006815,
Ngày cấp 25/08/2021, nơi cấp: Cục cảnh sát quản lý hành chính và trật tự xã hội</v>
          </cell>
          <cell r="H225">
            <v>30689</v>
          </cell>
          <cell r="J225">
            <v>42</v>
          </cell>
          <cell r="K225" t="str">
            <v>081008523</v>
          </cell>
          <cell r="L225" t="str">
            <v>07/4/2003</v>
          </cell>
          <cell r="M225" t="str">
            <v>CA tỉnh Lạng Sơn</v>
          </cell>
          <cell r="N225" t="str">
            <v>Tỉnh Lạng Sơn</v>
          </cell>
          <cell r="O225" t="str">
            <v>Xã Đề Thám</v>
          </cell>
          <cell r="P225" t="str">
            <v>Huyện Tràng Định</v>
          </cell>
          <cell r="Q225" t="str">
            <v>Tỉnh Lạng Sơn</v>
          </cell>
          <cell r="S225" t="str">
            <v>Phường Tam Thanh</v>
          </cell>
          <cell r="T225" t="str">
            <v>Thành phố Lạng Sơn</v>
          </cell>
          <cell r="U225" t="str">
            <v>Tỉnh Lạng Sơn</v>
          </cell>
          <cell r="V225" t="str">
            <v>Phường Tam Thanh, Thành phố Lạng Sơn, Tỉnh Lạng Sơn</v>
          </cell>
          <cell r="W225" t="str">
            <v>1/1/2009</v>
          </cell>
          <cell r="AA225">
            <v>0</v>
          </cell>
          <cell r="AB225" t="str">
            <v>TĐ012</v>
          </cell>
          <cell r="AC225" t="str">
            <v>Nhi</v>
          </cell>
          <cell r="AD225" t="str">
            <v>KP017</v>
          </cell>
          <cell r="AE225" t="str">
            <v>Viên chức</v>
          </cell>
          <cell r="AF225" t="str">
            <v>V.08.05.13</v>
          </cell>
          <cell r="AG225" t="str">
            <v>Điều dưỡng (hạng IV)</v>
          </cell>
          <cell r="AH225">
            <v>3.65</v>
          </cell>
          <cell r="AI225">
            <v>6</v>
          </cell>
          <cell r="AJ225">
            <v>0</v>
          </cell>
          <cell r="AK225">
            <v>45839</v>
          </cell>
          <cell r="AL225" t="str">
            <v>Cao đẳng</v>
          </cell>
          <cell r="AM225" t="str">
            <v>Điều dưỡng CĐ</v>
          </cell>
          <cell r="AO225" t="str">
            <v>CĐ Y tế Lạng Sơn</v>
          </cell>
          <cell r="AP225">
            <v>2007</v>
          </cell>
          <cell r="AQ225" t="str">
            <v>12/12</v>
          </cell>
          <cell r="AR225">
            <v>0</v>
          </cell>
          <cell r="AS225">
            <v>0</v>
          </cell>
          <cell r="AT225" t="str">
            <v xml:space="preserve">K </v>
          </cell>
          <cell r="AU225" t="str">
            <v>Toefl</v>
          </cell>
          <cell r="AV225" t="str">
            <v xml:space="preserve">K </v>
          </cell>
          <cell r="AW225" t="str">
            <v>Cơ bản</v>
          </cell>
          <cell r="AY225" t="str">
            <v>Tày</v>
          </cell>
          <cell r="BA225" t="e">
            <v>#REF!</v>
          </cell>
          <cell r="BB225" t="e">
            <v>#REF!</v>
          </cell>
          <cell r="BC225" t="str">
            <v>24/01/2017</v>
          </cell>
        </row>
        <row r="226">
          <cell r="A226" t="str">
            <v>BV0311</v>
          </cell>
          <cell r="B226">
            <v>220</v>
          </cell>
          <cell r="C226" t="str">
            <v>Lương Thu Thảo</v>
          </cell>
          <cell r="D226" t="str">
            <v>BV0311</v>
          </cell>
          <cell r="E226">
            <v>2010000150</v>
          </cell>
          <cell r="G226" t="str">
            <v>020185007064,
Ngày cấp 09/05/2021, nơi cấp: Cục cảnh sát quản lý hành chính và trật tự xã hội</v>
          </cell>
          <cell r="I226">
            <v>31171</v>
          </cell>
          <cell r="J226">
            <v>41</v>
          </cell>
          <cell r="K226" t="str">
            <v>081000913</v>
          </cell>
          <cell r="L226" t="str">
            <v>27/10/2000</v>
          </cell>
          <cell r="M226" t="str">
            <v>CA tỉnh Lạng Sơn</v>
          </cell>
          <cell r="N226" t="str">
            <v>Tỉnh Lạng Sơn</v>
          </cell>
          <cell r="O226" t="str">
            <v>Xã Chi Lăng</v>
          </cell>
          <cell r="P226" t="str">
            <v>Huyện Tràng Định</v>
          </cell>
          <cell r="Q226" t="str">
            <v>Tỉnh Lạng Sơn</v>
          </cell>
          <cell r="S226" t="str">
            <v>Xã Chi Lăng</v>
          </cell>
          <cell r="T226" t="str">
            <v>Huyện Tràng Định</v>
          </cell>
          <cell r="U226" t="str">
            <v>Tỉnh Lạng Sơn</v>
          </cell>
          <cell r="V226" t="str">
            <v>Xã Chi Lăng, Huyện Tràng Định, Tỉnh Lạng Sơn</v>
          </cell>
          <cell r="W226" t="str">
            <v>15/1/2010</v>
          </cell>
          <cell r="AA226">
            <v>0</v>
          </cell>
          <cell r="AB226" t="str">
            <v>TĐ011</v>
          </cell>
          <cell r="AC226" t="str">
            <v>Nhi</v>
          </cell>
          <cell r="AD226" t="str">
            <v>KP017</v>
          </cell>
          <cell r="AE226" t="str">
            <v>Viên chức</v>
          </cell>
          <cell r="AF226" t="str">
            <v>V.08.05.12</v>
          </cell>
          <cell r="AG226" t="str">
            <v>Điều dưỡng (hạng III)</v>
          </cell>
          <cell r="AH226">
            <v>3.66</v>
          </cell>
          <cell r="AI226">
            <v>5</v>
          </cell>
          <cell r="AJ226">
            <v>0</v>
          </cell>
          <cell r="AK226">
            <v>45383</v>
          </cell>
          <cell r="AL226" t="str">
            <v>Đại học</v>
          </cell>
          <cell r="AM226" t="str">
            <v>Điều dưỡng ĐH</v>
          </cell>
          <cell r="AO226" t="str">
            <v>TH Y tế Lạng Sơn</v>
          </cell>
          <cell r="AP226">
            <v>2006</v>
          </cell>
          <cell r="AQ226" t="str">
            <v>12/12</v>
          </cell>
          <cell r="AR226">
            <v>0</v>
          </cell>
          <cell r="AS226">
            <v>0</v>
          </cell>
          <cell r="AT226">
            <v>0</v>
          </cell>
          <cell r="AU226" t="str">
            <v>Anh A2</v>
          </cell>
          <cell r="AV226">
            <v>0</v>
          </cell>
          <cell r="AW226" t="str">
            <v>Cơ bản</v>
          </cell>
          <cell r="AY226" t="str">
            <v>Tày</v>
          </cell>
          <cell r="BA226" t="e">
            <v>#REF!</v>
          </cell>
          <cell r="BB226" t="e">
            <v>#REF!</v>
          </cell>
          <cell r="BC226" t="str">
            <v>30/10/2017</v>
          </cell>
        </row>
        <row r="227">
          <cell r="A227" t="str">
            <v>BV0312</v>
          </cell>
          <cell r="B227">
            <v>221</v>
          </cell>
          <cell r="C227" t="str">
            <v>Lăng Thị Yến</v>
          </cell>
          <cell r="D227" t="str">
            <v>BV0312</v>
          </cell>
          <cell r="E227">
            <v>2010000147</v>
          </cell>
          <cell r="G227" t="str">
            <v>020187003171,
Ngày cấp 29/4/2021, nơi cấp: Cục cảnh sát quản lý hành chính và trật tự xã hội</v>
          </cell>
          <cell r="I227">
            <v>31978</v>
          </cell>
          <cell r="J227">
            <v>38</v>
          </cell>
          <cell r="K227" t="str">
            <v>082010951</v>
          </cell>
          <cell r="L227" t="str">
            <v>06/8/2004</v>
          </cell>
          <cell r="M227" t="str">
            <v>CA tỉnh Lạng Sơn</v>
          </cell>
          <cell r="N227" t="str">
            <v>Tỉnh Lạng Sơn</v>
          </cell>
          <cell r="O227" t="str">
            <v>Xã Thụy Hùng</v>
          </cell>
          <cell r="P227" t="str">
            <v>Huyện Cao Lộc</v>
          </cell>
          <cell r="Q227" t="str">
            <v>Tỉnh Lạng Sơn</v>
          </cell>
          <cell r="S227" t="str">
            <v>Xã Thụy Hùng</v>
          </cell>
          <cell r="T227" t="str">
            <v>Huyện Cao Lộc</v>
          </cell>
          <cell r="U227" t="str">
            <v>Tỉnh Lạng Sơn</v>
          </cell>
          <cell r="V227" t="str">
            <v>Xã Thụy Hùng, Huyện Cao Lộc, Tỉnh Lạng Sơn</v>
          </cell>
          <cell r="W227" t="str">
            <v>15/1/2010</v>
          </cell>
          <cell r="AA227">
            <v>0</v>
          </cell>
          <cell r="AB227" t="str">
            <v>TĐ012</v>
          </cell>
          <cell r="AC227" t="str">
            <v>Nhi</v>
          </cell>
          <cell r="AD227" t="str">
            <v>KP017</v>
          </cell>
          <cell r="AE227" t="str">
            <v>Viên chức</v>
          </cell>
          <cell r="AF227" t="str">
            <v>V.08.05.13</v>
          </cell>
          <cell r="AG227" t="str">
            <v>Điều dưỡng (hạng IV)</v>
          </cell>
          <cell r="AH227">
            <v>3.34</v>
          </cell>
          <cell r="AI227">
            <v>5</v>
          </cell>
          <cell r="AJ227">
            <v>0</v>
          </cell>
          <cell r="AK227">
            <v>44927</v>
          </cell>
          <cell r="AL227" t="str">
            <v>Cao đẳng</v>
          </cell>
          <cell r="AM227" t="str">
            <v>Điều dưỡng CĐ</v>
          </cell>
          <cell r="AO227" t="str">
            <v>CĐ Y tế Lạng Sơn</v>
          </cell>
          <cell r="AP227">
            <v>2008</v>
          </cell>
          <cell r="AQ227" t="str">
            <v>12/12</v>
          </cell>
          <cell r="AR227">
            <v>0</v>
          </cell>
          <cell r="AS227">
            <v>0</v>
          </cell>
          <cell r="AT227" t="str">
            <v xml:space="preserve">K </v>
          </cell>
          <cell r="AU227" t="str">
            <v>Toefl</v>
          </cell>
          <cell r="AV227" t="str">
            <v xml:space="preserve">K </v>
          </cell>
          <cell r="AW227" t="str">
            <v>Cơ bản</v>
          </cell>
          <cell r="AY227" t="str">
            <v>Nùng</v>
          </cell>
          <cell r="BA227" t="e">
            <v>#REF!</v>
          </cell>
          <cell r="BB227" t="e">
            <v>#REF!</v>
          </cell>
          <cell r="BC227" t="str">
            <v>24/6/2013</v>
          </cell>
        </row>
        <row r="228">
          <cell r="A228" t="str">
            <v>BV0314</v>
          </cell>
          <cell r="B228">
            <v>222</v>
          </cell>
          <cell r="C228" t="str">
            <v>Hoàng Thị Oanh</v>
          </cell>
          <cell r="D228" t="str">
            <v>BV0314</v>
          </cell>
          <cell r="E228">
            <v>2009000932</v>
          </cell>
          <cell r="G228" t="str">
            <v>020186007388,
Ngày cấp 24/6/2021, nơi cấp: Cục cảnh sát quản lý hành chính và trật tự xã hội</v>
          </cell>
          <cell r="I228">
            <v>31772</v>
          </cell>
          <cell r="J228">
            <v>39</v>
          </cell>
          <cell r="K228" t="str">
            <v>082007389</v>
          </cell>
          <cell r="L228" t="str">
            <v>13/11/2003</v>
          </cell>
          <cell r="M228" t="str">
            <v>CA tỉnh Lạng Sơn</v>
          </cell>
          <cell r="N228" t="str">
            <v>Tỉnh Lạng Sơn</v>
          </cell>
          <cell r="O228" t="str">
            <v>Xã Long Đống</v>
          </cell>
          <cell r="P228" t="str">
            <v>Huyện Bắc Sơn</v>
          </cell>
          <cell r="Q228" t="str">
            <v>Tỉnh Lạng Sơn</v>
          </cell>
          <cell r="S228" t="str">
            <v>Phường Chi Lăng</v>
          </cell>
          <cell r="T228" t="str">
            <v>Thành phố Lạng Sơn</v>
          </cell>
          <cell r="U228" t="str">
            <v>Tỉnh Lạng Sơn</v>
          </cell>
          <cell r="V228" t="str">
            <v>Phường Chi Lăng, Thành phố Lạng Sơn, Tỉnh Lạng Sơn</v>
          </cell>
          <cell r="W228" t="str">
            <v>1/12/2008</v>
          </cell>
          <cell r="AA228">
            <v>0</v>
          </cell>
          <cell r="AB228" t="str">
            <v>TĐ011</v>
          </cell>
          <cell r="AC228" t="str">
            <v>Nhi</v>
          </cell>
          <cell r="AD228" t="str">
            <v>KP017</v>
          </cell>
          <cell r="AE228" t="str">
            <v>Viên chức</v>
          </cell>
          <cell r="AF228" t="str">
            <v>V.08.05.12</v>
          </cell>
          <cell r="AG228" t="str">
            <v>Điều dưỡng (hạng III)</v>
          </cell>
          <cell r="AH228">
            <v>3.66</v>
          </cell>
          <cell r="AI228">
            <v>5</v>
          </cell>
          <cell r="AJ228">
            <v>0</v>
          </cell>
          <cell r="AK228">
            <v>45383</v>
          </cell>
          <cell r="AL228" t="str">
            <v>Đại học</v>
          </cell>
          <cell r="AM228" t="str">
            <v>Điều dưỡng ĐH</v>
          </cell>
          <cell r="AO228" t="str">
            <v>CĐ Y tế Lạng Sơn</v>
          </cell>
          <cell r="AP228">
            <v>2007</v>
          </cell>
          <cell r="AQ228" t="str">
            <v>12/12</v>
          </cell>
          <cell r="AR228">
            <v>0</v>
          </cell>
          <cell r="AS228">
            <v>0</v>
          </cell>
          <cell r="AT228">
            <v>0</v>
          </cell>
          <cell r="AU228" t="str">
            <v>TOEIC</v>
          </cell>
          <cell r="AV228">
            <v>0</v>
          </cell>
          <cell r="AW228" t="str">
            <v>Cơ bản</v>
          </cell>
          <cell r="AY228" t="str">
            <v>Tày</v>
          </cell>
          <cell r="BA228" t="e">
            <v>#REF!</v>
          </cell>
          <cell r="BB228" t="e">
            <v>#REF!</v>
          </cell>
          <cell r="BC228" t="str">
            <v>24/6/2013</v>
          </cell>
        </row>
        <row r="229">
          <cell r="A229" t="str">
            <v>BV0316</v>
          </cell>
          <cell r="B229">
            <v>223</v>
          </cell>
          <cell r="C229" t="str">
            <v>Vy Thị Nhuận</v>
          </cell>
          <cell r="D229" t="str">
            <v>BV0316</v>
          </cell>
          <cell r="E229">
            <v>2011000022</v>
          </cell>
          <cell r="G229" t="str">
            <v>020184004767,
Ngày cấp 28/9/2021, nơi cấp: Cục cảnh sát quản lý hành chính và trật tự xã hội</v>
          </cell>
          <cell r="I229">
            <v>31002</v>
          </cell>
          <cell r="J229">
            <v>41</v>
          </cell>
          <cell r="K229" t="str">
            <v>082035751</v>
          </cell>
          <cell r="L229" t="str">
            <v>03/8/2009</v>
          </cell>
          <cell r="M229" t="str">
            <v>CA tỉnh Lạng Sơn</v>
          </cell>
          <cell r="N229" t="str">
            <v>Tỉnh Lạng Sơn</v>
          </cell>
          <cell r="O229" t="str">
            <v>Xã Quang Lang</v>
          </cell>
          <cell r="P229" t="str">
            <v>Huyện Chi Lăng</v>
          </cell>
          <cell r="Q229" t="str">
            <v>Tỉnh Lạng Sơn</v>
          </cell>
          <cell r="S229" t="str">
            <v>Xã Quang Lang</v>
          </cell>
          <cell r="T229" t="str">
            <v>Huyện Chi Lăng</v>
          </cell>
          <cell r="U229" t="str">
            <v>Tỉnh Lạng Sơn</v>
          </cell>
          <cell r="V229" t="str">
            <v>Xã Quang Lang, Huyện Chi Lăng, Tỉnh Lạng Sơn</v>
          </cell>
          <cell r="W229" t="str">
            <v>1/12/2010</v>
          </cell>
          <cell r="AA229">
            <v>0</v>
          </cell>
          <cell r="AB229" t="str">
            <v>TĐ012</v>
          </cell>
          <cell r="AC229" t="str">
            <v>Nhi</v>
          </cell>
          <cell r="AD229" t="str">
            <v>KP017</v>
          </cell>
          <cell r="AE229" t="str">
            <v>Viên chức</v>
          </cell>
          <cell r="AF229" t="str">
            <v>V.08.05.13</v>
          </cell>
          <cell r="AG229" t="str">
            <v>Điều dưỡng (hạng IV)</v>
          </cell>
          <cell r="AH229">
            <v>3.34</v>
          </cell>
          <cell r="AI229">
            <v>5</v>
          </cell>
          <cell r="AJ229">
            <v>0</v>
          </cell>
          <cell r="AK229">
            <v>45444</v>
          </cell>
          <cell r="AL229" t="str">
            <v>Cao đẳng</v>
          </cell>
          <cell r="AM229" t="str">
            <v>Điều dưỡng CĐ</v>
          </cell>
          <cell r="AO229" t="str">
            <v>CĐ Y tế Lạng Sơn</v>
          </cell>
          <cell r="AP229">
            <v>2008</v>
          </cell>
          <cell r="AQ229" t="str">
            <v>12/12</v>
          </cell>
          <cell r="AR229">
            <v>0</v>
          </cell>
          <cell r="AS229">
            <v>0</v>
          </cell>
          <cell r="AT229" t="str">
            <v xml:space="preserve">K </v>
          </cell>
          <cell r="AU229" t="str">
            <v>Toefl</v>
          </cell>
          <cell r="AV229" t="str">
            <v xml:space="preserve">K </v>
          </cell>
          <cell r="AW229" t="str">
            <v>Cơ bản</v>
          </cell>
          <cell r="AY229" t="str">
            <v>Tày</v>
          </cell>
          <cell r="BA229" t="e">
            <v>#REF!</v>
          </cell>
          <cell r="BB229" t="e">
            <v>#REF!</v>
          </cell>
          <cell r="BC229" t="str">
            <v>01/6/2016</v>
          </cell>
        </row>
        <row r="230">
          <cell r="A230" t="str">
            <v>BV0320</v>
          </cell>
          <cell r="B230">
            <v>224</v>
          </cell>
          <cell r="C230" t="str">
            <v>Nông Thị Hợp</v>
          </cell>
          <cell r="D230" t="str">
            <v>BV0320</v>
          </cell>
          <cell r="E230">
            <v>2010000146</v>
          </cell>
          <cell r="G230" t="str">
            <v>020186002493,
Ngày cấp 17/4/2021, nơi cấp: Cục cảnh sát quản lý hành chính và trật tự xã hội</v>
          </cell>
          <cell r="I230">
            <v>31692</v>
          </cell>
          <cell r="J230">
            <v>39</v>
          </cell>
          <cell r="K230" t="str">
            <v>082006157</v>
          </cell>
          <cell r="L230" t="str">
            <v>02/10/2003</v>
          </cell>
          <cell r="M230" t="str">
            <v>CA tỉnh Lạng Sơn</v>
          </cell>
          <cell r="N230" t="str">
            <v>Tỉnh Lạng Sơn</v>
          </cell>
          <cell r="O230" t="str">
            <v>Xã Lục Thôn</v>
          </cell>
          <cell r="P230" t="str">
            <v>Huyện Lộc Bình</v>
          </cell>
          <cell r="Q230" t="str">
            <v>Tỉnh Lạng Sơn</v>
          </cell>
          <cell r="S230" t="str">
            <v>Xã Tú Mịch</v>
          </cell>
          <cell r="T230" t="str">
            <v>Huyện Lộc Bình</v>
          </cell>
          <cell r="U230" t="str">
            <v>Tỉnh Lạng Sơn</v>
          </cell>
          <cell r="V230" t="str">
            <v>Xã Tú Mịch, Huyện Lộc Bình, Tỉnh Lạng Sơn</v>
          </cell>
          <cell r="W230" t="str">
            <v>15/1/2010</v>
          </cell>
          <cell r="AA230">
            <v>0</v>
          </cell>
          <cell r="AB230" t="str">
            <v>TĐ012</v>
          </cell>
          <cell r="AC230" t="str">
            <v>Nhi</v>
          </cell>
          <cell r="AD230" t="str">
            <v>KP017</v>
          </cell>
          <cell r="AE230" t="str">
            <v>Viên chức</v>
          </cell>
          <cell r="AF230" t="str">
            <v>V.08.05.13</v>
          </cell>
          <cell r="AG230" t="str">
            <v>Điều dưỡng (hạng IV)</v>
          </cell>
          <cell r="AH230">
            <v>3.65</v>
          </cell>
          <cell r="AI230">
            <v>6</v>
          </cell>
          <cell r="AJ230">
            <v>0</v>
          </cell>
          <cell r="AK230">
            <v>45839</v>
          </cell>
          <cell r="AL230" t="str">
            <v>Cao đẳng</v>
          </cell>
          <cell r="AM230" t="str">
            <v>Điều dưỡng CĐ</v>
          </cell>
          <cell r="AO230" t="str">
            <v>CĐ Y tế Lạng Sơn</v>
          </cell>
          <cell r="AP230">
            <v>2007</v>
          </cell>
          <cell r="AQ230" t="str">
            <v>12/12</v>
          </cell>
          <cell r="AR230">
            <v>0</v>
          </cell>
          <cell r="AS230">
            <v>0</v>
          </cell>
          <cell r="AT230" t="str">
            <v xml:space="preserve">K </v>
          </cell>
          <cell r="AU230" t="str">
            <v>Toefl</v>
          </cell>
          <cell r="AV230" t="str">
            <v xml:space="preserve">K </v>
          </cell>
          <cell r="AW230" t="str">
            <v>Cơ bản</v>
          </cell>
          <cell r="AY230" t="str">
            <v>Tày</v>
          </cell>
          <cell r="BA230" t="e">
            <v>#REF!</v>
          </cell>
          <cell r="BB230" t="e">
            <v>#REF!</v>
          </cell>
          <cell r="BC230" t="str">
            <v>24/6/2013</v>
          </cell>
        </row>
        <row r="231">
          <cell r="A231" t="str">
            <v>BV0321</v>
          </cell>
          <cell r="B231">
            <v>225</v>
          </cell>
          <cell r="C231" t="str">
            <v>Mạc Minh Thùy</v>
          </cell>
          <cell r="D231" t="str">
            <v>BV0321</v>
          </cell>
          <cell r="E231">
            <v>2010001251</v>
          </cell>
          <cell r="G231" t="str">
            <v>020187001460,
Ngày cấp 31/3/2021, nơi cấp: Cục cảnh sát quản lý hành chính và trật tự xã hội</v>
          </cell>
          <cell r="I231">
            <v>31820</v>
          </cell>
          <cell r="J231">
            <v>39</v>
          </cell>
          <cell r="K231" t="str">
            <v>082035043</v>
          </cell>
          <cell r="L231" t="str">
            <v>24/8/2004</v>
          </cell>
          <cell r="M231" t="str">
            <v>CA tỉnh Lạng Sơn</v>
          </cell>
          <cell r="N231" t="str">
            <v>Tỉnh Lạng Sơn</v>
          </cell>
          <cell r="O231" t="str">
            <v>Xã Hòa Bình</v>
          </cell>
          <cell r="P231" t="str">
            <v>Huyện Chi Lăng</v>
          </cell>
          <cell r="Q231" t="str">
            <v>Tỉnh Lạng Sơn</v>
          </cell>
          <cell r="S231" t="str">
            <v>Thị trấn Đồng Mỏ</v>
          </cell>
          <cell r="T231" t="str">
            <v>Huyện Chi Lăng</v>
          </cell>
          <cell r="U231" t="str">
            <v>Tỉnh Lạng Sơn</v>
          </cell>
          <cell r="V231" t="str">
            <v>Thị trấn Đồng Mỏ, Huyện Chi Lăng, Tỉnh Lạng Sơn</v>
          </cell>
          <cell r="W231" t="str">
            <v>10/6/2013</v>
          </cell>
          <cell r="AA231">
            <v>0</v>
          </cell>
          <cell r="AB231" t="str">
            <v>TĐ012</v>
          </cell>
          <cell r="AC231" t="str">
            <v>Nhi</v>
          </cell>
          <cell r="AD231" t="str">
            <v>KP017</v>
          </cell>
          <cell r="AE231" t="str">
            <v>Viên chức</v>
          </cell>
          <cell r="AF231" t="str">
            <v>V.08.05.13</v>
          </cell>
          <cell r="AG231" t="str">
            <v>Điều dưỡng (hạng IV)</v>
          </cell>
          <cell r="AH231">
            <v>3.34</v>
          </cell>
          <cell r="AI231">
            <v>5</v>
          </cell>
          <cell r="AJ231">
            <v>0</v>
          </cell>
          <cell r="AK231">
            <v>45813</v>
          </cell>
          <cell r="AL231" t="str">
            <v>Cao đẳng</v>
          </cell>
          <cell r="AM231" t="str">
            <v>Điều dưỡng CĐ</v>
          </cell>
          <cell r="AO231" t="str">
            <v>CĐ Y tế Lạng Sơn</v>
          </cell>
          <cell r="AP231">
            <v>2008</v>
          </cell>
          <cell r="AQ231" t="str">
            <v>12/12</v>
          </cell>
          <cell r="AR231">
            <v>0</v>
          </cell>
          <cell r="AS231">
            <v>0</v>
          </cell>
          <cell r="AT231" t="str">
            <v xml:space="preserve">K </v>
          </cell>
          <cell r="AU231" t="str">
            <v>Toefl</v>
          </cell>
          <cell r="AV231" t="str">
            <v xml:space="preserve">K </v>
          </cell>
          <cell r="AW231" t="str">
            <v>Cơ bản</v>
          </cell>
          <cell r="AY231" t="str">
            <v>Nùng</v>
          </cell>
          <cell r="BA231" t="e">
            <v>#REF!</v>
          </cell>
          <cell r="BB231" t="e">
            <v>#REF!</v>
          </cell>
          <cell r="BC231" t="str">
            <v>24/6/2013</v>
          </cell>
        </row>
        <row r="232">
          <cell r="A232" t="str">
            <v>BV0200</v>
          </cell>
          <cell r="B232">
            <v>226</v>
          </cell>
          <cell r="C232" t="str">
            <v>Phan Văn Hiếu</v>
          </cell>
          <cell r="D232" t="str">
            <v>BV0200</v>
          </cell>
          <cell r="E232">
            <v>2010000148</v>
          </cell>
          <cell r="G232" t="str">
            <v>020088007058,
Ngày cấp 25/06/2021, nơi cấp: Cục cảnh sát quản lý hành chính và trật tự xã hội</v>
          </cell>
          <cell r="H232">
            <v>32175</v>
          </cell>
          <cell r="J232">
            <v>38</v>
          </cell>
          <cell r="K232" t="str">
            <v>082025946</v>
          </cell>
          <cell r="L232" t="str">
            <v>08/6/2004</v>
          </cell>
          <cell r="M232" t="str">
            <v>CA tỉnh Lạng Sơn</v>
          </cell>
          <cell r="N232" t="str">
            <v>Tỉnh Lạng Sơn</v>
          </cell>
          <cell r="O232" t="str">
            <v>Xã Hợp Thành</v>
          </cell>
          <cell r="P232" t="str">
            <v>Huyện Cao Lộc</v>
          </cell>
          <cell r="Q232" t="str">
            <v>Tỉnh Lạng Sơn</v>
          </cell>
          <cell r="R232" t="str">
            <v>Khối 8</v>
          </cell>
          <cell r="S232" t="str">
            <v>Phường Vĩnh Trại</v>
          </cell>
          <cell r="T232" t="str">
            <v>Thành phố Lạng Sơn</v>
          </cell>
          <cell r="U232" t="str">
            <v>Tỉnh Lạng Sơn</v>
          </cell>
          <cell r="V232" t="str">
            <v>Phường Vĩnh Trại, Thành phố Lạng Sơn, Tỉnh Lạng Sơn</v>
          </cell>
          <cell r="W232" t="str">
            <v>07/11/2006</v>
          </cell>
          <cell r="AA232">
            <v>0</v>
          </cell>
          <cell r="AB232" t="str">
            <v>TĐ012</v>
          </cell>
          <cell r="AC232" t="str">
            <v>Nhi</v>
          </cell>
          <cell r="AD232" t="str">
            <v>KP017</v>
          </cell>
          <cell r="AE232" t="str">
            <v>Viên chức</v>
          </cell>
          <cell r="AF232" t="str">
            <v>V.08.05.13</v>
          </cell>
          <cell r="AG232" t="str">
            <v>Điều dưỡng (hạng IV)</v>
          </cell>
          <cell r="AH232">
            <v>3.34</v>
          </cell>
          <cell r="AI232">
            <v>5</v>
          </cell>
          <cell r="AJ232">
            <v>0</v>
          </cell>
          <cell r="AK232">
            <v>44927</v>
          </cell>
          <cell r="AL232" t="str">
            <v>Cao đẳng</v>
          </cell>
          <cell r="AM232" t="str">
            <v>Điều dưỡng CĐ</v>
          </cell>
          <cell r="AO232" t="str">
            <v>CĐ Y tế Lạng Sơn</v>
          </cell>
          <cell r="AP232">
            <v>2008</v>
          </cell>
          <cell r="AQ232" t="str">
            <v>12/12</v>
          </cell>
          <cell r="AR232">
            <v>0</v>
          </cell>
          <cell r="AS232">
            <v>0</v>
          </cell>
          <cell r="AT232">
            <v>0</v>
          </cell>
          <cell r="AU232" t="str">
            <v>Anh A</v>
          </cell>
          <cell r="AV232">
            <v>0</v>
          </cell>
          <cell r="AW232" t="str">
            <v>A</v>
          </cell>
          <cell r="AY232" t="str">
            <v>Tày</v>
          </cell>
          <cell r="AZ232">
            <v>42163</v>
          </cell>
          <cell r="BA232" t="e">
            <v>#REF!</v>
          </cell>
          <cell r="BB232" t="e">
            <v>#REF!</v>
          </cell>
        </row>
        <row r="233">
          <cell r="A233" t="str">
            <v>BV0417</v>
          </cell>
          <cell r="B233">
            <v>227</v>
          </cell>
          <cell r="C233" t="str">
            <v>Nguyễn Diệu Thúy</v>
          </cell>
          <cell r="D233" t="str">
            <v>BV0417</v>
          </cell>
          <cell r="E233">
            <v>2008002391</v>
          </cell>
          <cell r="G233" t="str">
            <v>081001794,
Ngày cấp 05/8/2016, nơi cấp: Công an tỉnh Lạng Sơn</v>
          </cell>
          <cell r="I233">
            <v>32012</v>
          </cell>
          <cell r="J233">
            <v>38</v>
          </cell>
          <cell r="K233" t="str">
            <v>081001794</v>
          </cell>
          <cell r="L233" t="str">
            <v>28/02/2003</v>
          </cell>
          <cell r="M233" t="str">
            <v>CA tỉnh Lạng Sơn</v>
          </cell>
          <cell r="N233" t="str">
            <v>Tỉnh Lạng Sơn</v>
          </cell>
          <cell r="O233" t="str">
            <v>Thị trấn Na Sầm</v>
          </cell>
          <cell r="P233" t="str">
            <v>Huyện Văn Lãng</v>
          </cell>
          <cell r="Q233" t="str">
            <v>Tỉnh Lạng Sơn</v>
          </cell>
          <cell r="S233" t="str">
            <v>Phường Đông Kinh</v>
          </cell>
          <cell r="T233" t="str">
            <v>Thành phố Lạng Sơn</v>
          </cell>
          <cell r="U233" t="str">
            <v>Tỉnh Lạng Sơn</v>
          </cell>
          <cell r="V233" t="str">
            <v>Phường Đông Kinh, Thành phố Lạng Sơn, Tỉnh Lạng Sơn</v>
          </cell>
          <cell r="W233" t="str">
            <v>14/1/2011</v>
          </cell>
          <cell r="AA233">
            <v>0</v>
          </cell>
          <cell r="AB233" t="str">
            <v>TĐ012</v>
          </cell>
          <cell r="AC233" t="str">
            <v>Nhi</v>
          </cell>
          <cell r="AD233" t="str">
            <v>KP017</v>
          </cell>
          <cell r="AE233" t="str">
            <v>Viên chức</v>
          </cell>
          <cell r="AF233" t="str">
            <v>V.08.05.13</v>
          </cell>
          <cell r="AG233" t="str">
            <v>Điều dưỡng (hạng IV)</v>
          </cell>
          <cell r="AH233">
            <v>3.34</v>
          </cell>
          <cell r="AI233">
            <v>5</v>
          </cell>
          <cell r="AJ233">
            <v>0</v>
          </cell>
          <cell r="AK233">
            <v>45292</v>
          </cell>
          <cell r="AL233" t="str">
            <v>Cao đẳng</v>
          </cell>
          <cell r="AM233" t="str">
            <v>Điều dưỡng CĐ</v>
          </cell>
          <cell r="AO233" t="str">
            <v>CĐ Y tế Lạng Sơn</v>
          </cell>
          <cell r="AP233">
            <v>2007</v>
          </cell>
          <cell r="AQ233" t="str">
            <v>12/12</v>
          </cell>
          <cell r="AR233">
            <v>0</v>
          </cell>
          <cell r="AS233">
            <v>0</v>
          </cell>
          <cell r="AT233">
            <v>0</v>
          </cell>
          <cell r="AU233" t="str">
            <v>Toefl</v>
          </cell>
          <cell r="AV233">
            <v>0</v>
          </cell>
          <cell r="AW233" t="str">
            <v>B</v>
          </cell>
          <cell r="AY233" t="str">
            <v>Kinh</v>
          </cell>
          <cell r="BA233" t="e">
            <v>#REF!</v>
          </cell>
          <cell r="BB233" t="e">
            <v>#REF!</v>
          </cell>
        </row>
        <row r="234">
          <cell r="A234" t="str">
            <v>BV0132</v>
          </cell>
          <cell r="B234">
            <v>228</v>
          </cell>
          <cell r="C234" t="str">
            <v>Hoàng Thị Khảo</v>
          </cell>
          <cell r="D234" t="str">
            <v>BV0132</v>
          </cell>
          <cell r="E234">
            <v>1506002929</v>
          </cell>
          <cell r="G234" t="str">
            <v>020183001920, ngày cấp 25/4/2021, nơi cấp cục cảnh sát quản lý hành chính về trật tự xã hội</v>
          </cell>
          <cell r="I234">
            <v>30609</v>
          </cell>
          <cell r="J234">
            <v>42</v>
          </cell>
          <cell r="K234" t="str">
            <v>081029842</v>
          </cell>
          <cell r="L234" t="str">
            <v>15/01/2002</v>
          </cell>
          <cell r="M234" t="str">
            <v>CA tỉnh Lạng Sơn</v>
          </cell>
          <cell r="N234" t="str">
            <v>Xã Vân An, huyện Chi Lăng, tỉnh Lạng Sơn</v>
          </cell>
          <cell r="P234" t="str">
            <v>Huyện Chi Lăng</v>
          </cell>
          <cell r="Q234" t="str">
            <v>Tỉnh Lạng Sơn</v>
          </cell>
          <cell r="S234" t="str">
            <v>Phường Tam Thanh</v>
          </cell>
          <cell r="T234" t="str">
            <v>Thành phố Lạng Sơn</v>
          </cell>
          <cell r="U234" t="str">
            <v>Tỉnh Lạng Sơn</v>
          </cell>
          <cell r="V234" t="str">
            <v>Phường Tam Thanh, Thành phố Lạng Sơn, Tỉnh Lạng Sơn</v>
          </cell>
          <cell r="W234" t="str">
            <v>30/10/2006</v>
          </cell>
          <cell r="AA234">
            <v>0</v>
          </cell>
          <cell r="AB234" t="str">
            <v>TĐ003</v>
          </cell>
          <cell r="AC234" t="str">
            <v>Tâm thần - Thần kinh</v>
          </cell>
          <cell r="AD234" t="str">
            <v>KP006</v>
          </cell>
          <cell r="AE234" t="str">
            <v>Viên chức</v>
          </cell>
          <cell r="AF234" t="str">
            <v>V.08.03.07</v>
          </cell>
          <cell r="AG234" t="str">
            <v>Bác sĩ (hạng III)</v>
          </cell>
          <cell r="AH234">
            <v>3.99</v>
          </cell>
          <cell r="AI234">
            <v>6</v>
          </cell>
          <cell r="AJ234">
            <v>0</v>
          </cell>
          <cell r="AK234">
            <v>45778</v>
          </cell>
          <cell r="AL234" t="str">
            <v>Đại học</v>
          </cell>
          <cell r="AM234" t="str">
            <v>BSCKI</v>
          </cell>
          <cell r="AN234" t="str">
            <v>Đa khoa</v>
          </cell>
          <cell r="AO234" t="str">
            <v>Đại học Y dược Thái Nguyên</v>
          </cell>
          <cell r="AP234">
            <v>2018</v>
          </cell>
          <cell r="AQ234" t="str">
            <v>12/12</v>
          </cell>
          <cell r="AR234">
            <v>0</v>
          </cell>
          <cell r="AS234">
            <v>0</v>
          </cell>
          <cell r="AT234">
            <v>0</v>
          </cell>
          <cell r="AU234" t="str">
            <v>Anh B</v>
          </cell>
          <cell r="AV234" t="str">
            <v>Tày</v>
          </cell>
          <cell r="AW234" t="str">
            <v>Cơ bản</v>
          </cell>
          <cell r="AY234" t="str">
            <v>Tày</v>
          </cell>
          <cell r="AZ234">
            <v>41525</v>
          </cell>
          <cell r="BA234" t="e">
            <v>#REF!</v>
          </cell>
          <cell r="BB234" t="e">
            <v>#REF!</v>
          </cell>
          <cell r="BC234" t="str">
            <v>24/6/2013</v>
          </cell>
        </row>
        <row r="235">
          <cell r="A235" t="str">
            <v>BV0327</v>
          </cell>
          <cell r="B235">
            <v>229</v>
          </cell>
          <cell r="C235" t="str">
            <v>Nguyễn Quang Lương</v>
          </cell>
          <cell r="D235" t="str">
            <v>BV0327</v>
          </cell>
          <cell r="E235">
            <v>1596012044</v>
          </cell>
          <cell r="G235" t="str">
            <v>020067000304 ngày cấp 29/3/2021 , Cục cảnh sát quản lý hành chính về trật tự xã hội</v>
          </cell>
          <cell r="H235">
            <v>24795</v>
          </cell>
          <cell r="J235">
            <v>58</v>
          </cell>
          <cell r="K235" t="str">
            <v>082153207</v>
          </cell>
          <cell r="L235" t="str">
            <v>10/12/2007</v>
          </cell>
          <cell r="M235" t="str">
            <v>CA tỉnh Lạng Sơn</v>
          </cell>
          <cell r="P235" t="str">
            <v>Huyện Tràng Định</v>
          </cell>
          <cell r="Q235" t="str">
            <v>Tỉnh Lạng Sơn</v>
          </cell>
          <cell r="S235" t="str">
            <v>Xã Hoàng Đồng</v>
          </cell>
          <cell r="T235" t="str">
            <v>Thành phố Lạng Sơn</v>
          </cell>
          <cell r="U235" t="str">
            <v>Tỉnh Lạng Sơn</v>
          </cell>
          <cell r="V235" t="str">
            <v>Xã Hoàng Đồng, Thành phố Lạng Sơn, Tỉnh Lạng Sơn</v>
          </cell>
          <cell r="W235" t="str">
            <v>1/3/1994</v>
          </cell>
          <cell r="AA235" t="str">
            <v>Trưởng khoa</v>
          </cell>
          <cell r="AB235" t="str">
            <v>TĐ003</v>
          </cell>
          <cell r="AC235" t="str">
            <v>Truyền nhiễm</v>
          </cell>
          <cell r="AD235" t="str">
            <v>KP018</v>
          </cell>
          <cell r="AE235" t="str">
            <v>Viên chức</v>
          </cell>
          <cell r="AF235" t="str">
            <v>V.08.01.03</v>
          </cell>
          <cell r="AG235" t="str">
            <v>Bác sĩ (hạng III)</v>
          </cell>
          <cell r="AH235">
            <v>4.9800000000000004</v>
          </cell>
          <cell r="AI235">
            <v>9</v>
          </cell>
          <cell r="AJ235">
            <v>7.0000000000000007E-2</v>
          </cell>
          <cell r="AK235">
            <v>45717</v>
          </cell>
          <cell r="AL235" t="str">
            <v>Đại học</v>
          </cell>
          <cell r="AM235" t="str">
            <v>BSCKI</v>
          </cell>
          <cell r="AN235" t="str">
            <v>Truyền nhiễm</v>
          </cell>
          <cell r="AO235" t="str">
            <v>ĐH Y Hà Nội</v>
          </cell>
          <cell r="AP235">
            <v>2010</v>
          </cell>
          <cell r="AQ235" t="str">
            <v>12/12</v>
          </cell>
          <cell r="AR235">
            <v>0</v>
          </cell>
          <cell r="AS235" t="str">
            <v>x</v>
          </cell>
          <cell r="AT235" t="str">
            <v>Sơ cấp</v>
          </cell>
          <cell r="AU235">
            <v>0</v>
          </cell>
          <cell r="AV235">
            <v>0</v>
          </cell>
          <cell r="AW235">
            <v>0</v>
          </cell>
          <cell r="AY235" t="str">
            <v>Tày</v>
          </cell>
          <cell r="AZ235">
            <v>41100</v>
          </cell>
          <cell r="BA235" t="e">
            <v>#REF!</v>
          </cell>
          <cell r="BB235" t="e">
            <v>#REF!</v>
          </cell>
          <cell r="BC235" t="str">
            <v>24/6/2013</v>
          </cell>
        </row>
        <row r="236">
          <cell r="A236" t="str">
            <v>BV0052</v>
          </cell>
          <cell r="B236">
            <v>230</v>
          </cell>
          <cell r="C236" t="str">
            <v>La Thị Thu Hiền</v>
          </cell>
          <cell r="D236" t="str">
            <v>BV0052</v>
          </cell>
          <cell r="E236">
            <v>2015003280</v>
          </cell>
          <cell r="G236" t="str">
            <v>020190009365 ngày cấp 14/8/2021 , Cục cảnh sát quản lý hành chính về trật tự xã hội</v>
          </cell>
          <cell r="I236">
            <v>33162</v>
          </cell>
          <cell r="J236">
            <v>35</v>
          </cell>
          <cell r="K236" t="str">
            <v>082145441</v>
          </cell>
          <cell r="M236" t="str">
            <v>CA tỉnh Lạng Sơn</v>
          </cell>
          <cell r="O236" t="str">
            <v>Xã Chu Túc</v>
          </cell>
          <cell r="P236" t="str">
            <v>Huyện Văn Quan</v>
          </cell>
          <cell r="Q236" t="str">
            <v>Tỉnh Lạng Sơn</v>
          </cell>
          <cell r="S236" t="str">
            <v>Xã Chu Túc</v>
          </cell>
          <cell r="T236" t="str">
            <v>Huyện Văn Quan</v>
          </cell>
          <cell r="U236" t="str">
            <v>Tỉnh Lạng Sơn</v>
          </cell>
          <cell r="V236" t="str">
            <v>Xã Chu Túc, Huyện Văn Quan, Tỉnh Lạng Sơn</v>
          </cell>
          <cell r="W236" t="str">
            <v>17/8/2015</v>
          </cell>
          <cell r="AA236" t="str">
            <v>Phó trưởng khoa</v>
          </cell>
          <cell r="AB236" t="str">
            <v>TĐ003</v>
          </cell>
          <cell r="AC236" t="str">
            <v>Truyền nhiễm</v>
          </cell>
          <cell r="AD236" t="str">
            <v>KP018</v>
          </cell>
          <cell r="AE236" t="str">
            <v>Viên chức</v>
          </cell>
          <cell r="AF236" t="str">
            <v>V.08.01.03</v>
          </cell>
          <cell r="AG236" t="str">
            <v>Bác sĩ (hạng III)</v>
          </cell>
          <cell r="AH236">
            <v>3.33</v>
          </cell>
          <cell r="AI236">
            <v>4</v>
          </cell>
          <cell r="AJ236">
            <v>0</v>
          </cell>
          <cell r="AK236">
            <v>45721</v>
          </cell>
          <cell r="AL236" t="str">
            <v>Đại học</v>
          </cell>
          <cell r="AM236" t="str">
            <v>BSCKI</v>
          </cell>
          <cell r="AN236" t="str">
            <v>Truyền nhiễm</v>
          </cell>
          <cell r="AO236" t="str">
            <v>ĐH Y Dược Thái Nguyên</v>
          </cell>
          <cell r="AP236">
            <v>2015</v>
          </cell>
          <cell r="AQ236" t="str">
            <v>12/12</v>
          </cell>
          <cell r="AR236" t="str">
            <v>Chuyên viên</v>
          </cell>
          <cell r="AS236">
            <v>0</v>
          </cell>
          <cell r="AT236" t="str">
            <v>Sơ cấp</v>
          </cell>
          <cell r="AU236" t="str">
            <v>Anh B</v>
          </cell>
          <cell r="AV236">
            <v>0</v>
          </cell>
          <cell r="AW236" t="str">
            <v>B</v>
          </cell>
          <cell r="AY236" t="str">
            <v>Tày</v>
          </cell>
          <cell r="BA236" t="e">
            <v>#REF!</v>
          </cell>
          <cell r="BB236" t="e">
            <v>#REF!</v>
          </cell>
          <cell r="BC236" t="str">
            <v>24/6/2013</v>
          </cell>
        </row>
        <row r="237">
          <cell r="A237" t="str">
            <v>BV0018</v>
          </cell>
          <cell r="B237">
            <v>231</v>
          </cell>
          <cell r="C237" t="str">
            <v>Lê Thị Ngọc Hoàng</v>
          </cell>
          <cell r="D237" t="str">
            <v>BV0018</v>
          </cell>
          <cell r="E237">
            <v>1506002934</v>
          </cell>
          <cell r="G237" t="str">
            <v>020184000486 ngày cấp 25/3/2021, Cục cảnh sát quản lý hành chính về trật tự xã hội</v>
          </cell>
          <cell r="I237">
            <v>30818</v>
          </cell>
          <cell r="J237">
            <v>42</v>
          </cell>
          <cell r="K237" t="str">
            <v>081037417</v>
          </cell>
          <cell r="L237" t="str">
            <v>27/4/2007</v>
          </cell>
          <cell r="M237" t="str">
            <v>CA tỉnh Lạng Sơn</v>
          </cell>
          <cell r="N237" t="str">
            <v>Tỉnh Lạng Sơn</v>
          </cell>
          <cell r="O237" t="str">
            <v>Phường Hoàng Văn Thụ</v>
          </cell>
          <cell r="P237" t="str">
            <v>Thành phố Lạng Sơn</v>
          </cell>
          <cell r="Q237" t="str">
            <v>Tỉnh Lạng Sơn</v>
          </cell>
          <cell r="S237" t="str">
            <v>Phường Hoàng Văn Thụ</v>
          </cell>
          <cell r="T237" t="str">
            <v>Thành phố Lạng Sơn</v>
          </cell>
          <cell r="U237" t="str">
            <v>Tỉnh Lạng Sơn</v>
          </cell>
          <cell r="V237" t="str">
            <v>Phường Hoàng Văn Thụ, Thành phố Lạng Sơn, Tỉnh Lạng Sơn</v>
          </cell>
          <cell r="W237" t="str">
            <v>7/11/2006</v>
          </cell>
          <cell r="AA237">
            <v>0</v>
          </cell>
          <cell r="AB237" t="str">
            <v>TĐ003</v>
          </cell>
          <cell r="AC237" t="str">
            <v>Truyền nhiễm</v>
          </cell>
          <cell r="AD237" t="str">
            <v>KP018</v>
          </cell>
          <cell r="AE237" t="str">
            <v>Viên chức</v>
          </cell>
          <cell r="AF237" t="str">
            <v>V.08.03.07</v>
          </cell>
          <cell r="AG237" t="str">
            <v>Bác sĩ (hạng III)</v>
          </cell>
          <cell r="AH237">
            <v>3.99</v>
          </cell>
          <cell r="AI237">
            <v>6</v>
          </cell>
          <cell r="AJ237">
            <v>0</v>
          </cell>
          <cell r="AK237">
            <v>45778</v>
          </cell>
          <cell r="AL237" t="str">
            <v>Đại học</v>
          </cell>
          <cell r="AM237" t="str">
            <v>BSCKI</v>
          </cell>
          <cell r="AN237" t="str">
            <v>Đa khoa</v>
          </cell>
          <cell r="AO237" t="str">
            <v>Đại học Y dược Thái Bình</v>
          </cell>
          <cell r="AP237">
            <v>2018</v>
          </cell>
          <cell r="AQ237" t="str">
            <v>12/12</v>
          </cell>
          <cell r="AR237">
            <v>0</v>
          </cell>
          <cell r="AS237" t="str">
            <v>x</v>
          </cell>
          <cell r="AT237" t="str">
            <v>Sơ cấp</v>
          </cell>
          <cell r="AU237">
            <v>0</v>
          </cell>
          <cell r="AV237" t="str">
            <v>Tày</v>
          </cell>
          <cell r="AW237" t="str">
            <v>B</v>
          </cell>
          <cell r="AY237" t="str">
            <v>Tày</v>
          </cell>
          <cell r="AZ237">
            <v>41767</v>
          </cell>
          <cell r="BA237" t="e">
            <v>#REF!</v>
          </cell>
          <cell r="BB237" t="e">
            <v>#REF!</v>
          </cell>
          <cell r="BC237" t="str">
            <v>24/6/2013</v>
          </cell>
        </row>
        <row r="238">
          <cell r="A238" t="str">
            <v>BV0014</v>
          </cell>
          <cell r="B238">
            <v>232</v>
          </cell>
          <cell r="C238" t="str">
            <v>Mông Thị Luận</v>
          </cell>
          <cell r="D238" t="str">
            <v>BV0014</v>
          </cell>
          <cell r="E238">
            <v>1505002587</v>
          </cell>
          <cell r="G238" t="str">
            <v>20178009041 Ngày cấp 20/8/2021, Cục cảnh sát quản lý hành chính về trật tự xã hội</v>
          </cell>
          <cell r="I238">
            <v>28781</v>
          </cell>
          <cell r="J238">
            <v>47</v>
          </cell>
          <cell r="K238" t="str">
            <v>080941631</v>
          </cell>
          <cell r="L238" t="str">
            <v>27/02/2009</v>
          </cell>
          <cell r="M238" t="str">
            <v>CA tỉnh Lạng Sơn</v>
          </cell>
          <cell r="O238" t="str">
            <v>Xã Hội Hoan</v>
          </cell>
          <cell r="P238" t="str">
            <v>Huyện Văn Lãng</v>
          </cell>
          <cell r="Q238" t="str">
            <v>Tỉnh Lạng Sơn</v>
          </cell>
          <cell r="S238" t="str">
            <v>Phường Đông Kinh</v>
          </cell>
          <cell r="T238" t="str">
            <v>Thành phố Lạng Sơn</v>
          </cell>
          <cell r="U238" t="str">
            <v>Tỉnh Lạng Sơn</v>
          </cell>
          <cell r="V238" t="str">
            <v>Phường Đông Kinh, Thành phố Lạng Sơn, Tỉnh Lạng Sơn</v>
          </cell>
          <cell r="W238" t="str">
            <v>19/1/2005</v>
          </cell>
          <cell r="AA238">
            <v>0</v>
          </cell>
          <cell r="AB238" t="str">
            <v>TĐ011</v>
          </cell>
          <cell r="AC238" t="str">
            <v>Truyền nhiễm</v>
          </cell>
          <cell r="AD238" t="str">
            <v>KP018</v>
          </cell>
          <cell r="AE238" t="str">
            <v>Viên chức</v>
          </cell>
          <cell r="AF238" t="str">
            <v>V.08.05.12</v>
          </cell>
          <cell r="AG238" t="str">
            <v>Điều dưỡng (hạng III)</v>
          </cell>
          <cell r="AH238">
            <v>3.99</v>
          </cell>
          <cell r="AI238">
            <v>6</v>
          </cell>
          <cell r="AJ238">
            <v>0</v>
          </cell>
          <cell r="AK238">
            <v>45323</v>
          </cell>
          <cell r="AL238" t="str">
            <v>Đại học</v>
          </cell>
          <cell r="AM238" t="str">
            <v>Điều dưỡng ĐH</v>
          </cell>
          <cell r="AO238" t="str">
            <v>ĐH Y Dược Thái Nguyên</v>
          </cell>
          <cell r="AP238">
            <v>2013</v>
          </cell>
          <cell r="AQ238" t="str">
            <v>12/12</v>
          </cell>
          <cell r="AR238">
            <v>0</v>
          </cell>
          <cell r="AS238">
            <v>0</v>
          </cell>
          <cell r="AT238" t="str">
            <v>Sơ cấp</v>
          </cell>
          <cell r="AU238">
            <v>0</v>
          </cell>
          <cell r="AV238">
            <v>0</v>
          </cell>
          <cell r="AW238">
            <v>0</v>
          </cell>
          <cell r="AY238" t="str">
            <v>Tày</v>
          </cell>
          <cell r="BA238" t="e">
            <v>#REF!</v>
          </cell>
          <cell r="BB238" t="e">
            <v>#REF!</v>
          </cell>
          <cell r="BC238" t="str">
            <v>24/6/2013</v>
          </cell>
        </row>
        <row r="239">
          <cell r="A239" t="str">
            <v>BV0126</v>
          </cell>
          <cell r="B239">
            <v>233</v>
          </cell>
          <cell r="C239" t="str">
            <v>Lưu Hải Châu</v>
          </cell>
          <cell r="D239" t="str">
            <v>BV0126</v>
          </cell>
          <cell r="E239">
            <v>1504002807</v>
          </cell>
          <cell r="G239" t="str">
            <v>031180009182 Ngày cấp 29/4/2021, Cục cảnh sát quản lý hành chính về trật tự xã hội</v>
          </cell>
          <cell r="I239">
            <v>29580</v>
          </cell>
          <cell r="J239">
            <v>45</v>
          </cell>
          <cell r="K239" t="str">
            <v>031043856</v>
          </cell>
          <cell r="L239" t="str">
            <v>22/04/1999</v>
          </cell>
          <cell r="M239" t="str">
            <v>CA tỉnh Lạng Sơn</v>
          </cell>
          <cell r="N239" t="str">
            <v>Xã Hòa Bình, huyện Thủy Nguyên, tỉnh Hải Phòng</v>
          </cell>
          <cell r="P239" t="str">
            <v>Huyện Thủy Nguyên</v>
          </cell>
          <cell r="Q239" t="str">
            <v>Thành phố Hải Phòng</v>
          </cell>
          <cell r="S239" t="str">
            <v>Thị trấn Na Dương</v>
          </cell>
          <cell r="T239" t="str">
            <v>Huyện Lộc Bình</v>
          </cell>
          <cell r="U239" t="str">
            <v>Tỉnh Lạng Sơn</v>
          </cell>
          <cell r="V239" t="str">
            <v>Thị trấn Na Dương, Huyện Lộc Bình, Tỉnh Lạng Sơn</v>
          </cell>
          <cell r="W239" t="str">
            <v>19/01/2005</v>
          </cell>
          <cell r="AA239" t="str">
            <v>Điều dưỡng trưởng</v>
          </cell>
          <cell r="AB239" t="str">
            <v>TĐ011</v>
          </cell>
          <cell r="AC239" t="str">
            <v>Truyền nhiễm</v>
          </cell>
          <cell r="AD239" t="str">
            <v>KP018</v>
          </cell>
          <cell r="AE239" t="str">
            <v>Viên chức</v>
          </cell>
          <cell r="AF239" t="str">
            <v>V.08.05.12</v>
          </cell>
          <cell r="AG239" t="str">
            <v>Điều dưỡng (hạng III)</v>
          </cell>
          <cell r="AH239">
            <v>4.32</v>
          </cell>
          <cell r="AI239">
            <v>7</v>
          </cell>
          <cell r="AJ239">
            <v>0</v>
          </cell>
          <cell r="AK239">
            <v>46023</v>
          </cell>
          <cell r="AL239" t="str">
            <v>Đại học</v>
          </cell>
          <cell r="AM239" t="str">
            <v>Điều dưỡng ĐH</v>
          </cell>
          <cell r="AO239" t="str">
            <v>Đại học Y dược Thái Nguyên</v>
          </cell>
          <cell r="AP239">
            <v>2017</v>
          </cell>
          <cell r="AQ239" t="str">
            <v>12/12</v>
          </cell>
          <cell r="AR239">
            <v>0</v>
          </cell>
          <cell r="AS239">
            <v>0</v>
          </cell>
          <cell r="AT239" t="str">
            <v>Sơ cấp</v>
          </cell>
          <cell r="AU239" t="str">
            <v>Anh B</v>
          </cell>
          <cell r="AV239" t="str">
            <v>Tày</v>
          </cell>
          <cell r="AW239" t="str">
            <v>B</v>
          </cell>
          <cell r="AY239" t="str">
            <v>Kinh</v>
          </cell>
          <cell r="AZ239">
            <v>41072</v>
          </cell>
          <cell r="BA239" t="e">
            <v>#REF!</v>
          </cell>
          <cell r="BB239" t="e">
            <v>#REF!</v>
          </cell>
          <cell r="BC239" t="str">
            <v>24/6/2013</v>
          </cell>
        </row>
        <row r="240">
          <cell r="A240" t="str">
            <v>BV0743</v>
          </cell>
          <cell r="B240">
            <v>234</v>
          </cell>
          <cell r="C240" t="str">
            <v>Hứa Văn Quốc</v>
          </cell>
          <cell r="D240" t="str">
            <v>BV0743</v>
          </cell>
          <cell r="E240" t="str">
            <v>2016001050</v>
          </cell>
          <cell r="G240" t="str">
            <v>020092002119 Ngày cấp 29/4/2021, Cục cảnh sát quản lý hành chính về trật tự xã hội</v>
          </cell>
          <cell r="H240" t="str">
            <v>03/01/1992</v>
          </cell>
          <cell r="J240">
            <v>34</v>
          </cell>
          <cell r="K240" t="str">
            <v>082226333</v>
          </cell>
          <cell r="L240" t="str">
            <v>09/11/2009</v>
          </cell>
          <cell r="M240" t="str">
            <v>CA tỉnh Lạng Sơn</v>
          </cell>
          <cell r="N240" t="str">
            <v>Minh khai, Bình Gia</v>
          </cell>
          <cell r="O240" t="str">
            <v>Minh Khai</v>
          </cell>
          <cell r="P240" t="str">
            <v>Bình Gia</v>
          </cell>
          <cell r="Q240" t="str">
            <v>Lạng Sơn</v>
          </cell>
          <cell r="R240" t="str">
            <v>Nà Mạ</v>
          </cell>
          <cell r="S240" t="str">
            <v>Minh Khai</v>
          </cell>
          <cell r="T240" t="str">
            <v>Bình Gia</v>
          </cell>
          <cell r="U240" t="str">
            <v>Lạng Sơn</v>
          </cell>
          <cell r="V240" t="str">
            <v>Minh Khai, Bình Gia, Lạng Sơn</v>
          </cell>
          <cell r="W240" t="str">
            <v>01/11/2016</v>
          </cell>
          <cell r="AA240">
            <v>0</v>
          </cell>
          <cell r="AB240" t="str">
            <v>TĐ012</v>
          </cell>
          <cell r="AC240" t="str">
            <v>Truyền nhiễm</v>
          </cell>
          <cell r="AD240" t="str">
            <v>KP018</v>
          </cell>
          <cell r="AE240" t="str">
            <v>Viên chức</v>
          </cell>
          <cell r="AF240" t="str">
            <v>V.08.05.13</v>
          </cell>
          <cell r="AG240" t="str">
            <v>Điều dưỡng (hạng IV)</v>
          </cell>
          <cell r="AH240" t="str">
            <v>2.72</v>
          </cell>
          <cell r="AI240">
            <v>3</v>
          </cell>
          <cell r="AJ240">
            <v>0</v>
          </cell>
          <cell r="AK240" t="str">
            <v>16/2/2023</v>
          </cell>
          <cell r="AL240" t="str">
            <v>Cao đẳng</v>
          </cell>
          <cell r="AM240" t="str">
            <v>Điều dưỡng CĐ</v>
          </cell>
          <cell r="AO240" t="str">
            <v>CĐ Y tế Thái Nguyên</v>
          </cell>
          <cell r="AP240">
            <v>2014</v>
          </cell>
          <cell r="AQ240" t="str">
            <v>12/12</v>
          </cell>
          <cell r="AR240">
            <v>0</v>
          </cell>
          <cell r="AS240">
            <v>0</v>
          </cell>
          <cell r="AT240" t="str">
            <v>Sơ cấp</v>
          </cell>
          <cell r="AU240">
            <v>0</v>
          </cell>
          <cell r="AV240">
            <v>0</v>
          </cell>
          <cell r="AW240">
            <v>0</v>
          </cell>
          <cell r="AY240" t="str">
            <v>Nùng</v>
          </cell>
          <cell r="BC240" t="str">
            <v>24/6/2013</v>
          </cell>
        </row>
        <row r="241">
          <cell r="A241" t="str">
            <v>BV0332</v>
          </cell>
          <cell r="B241">
            <v>235</v>
          </cell>
          <cell r="C241" t="str">
            <v>Nông Thị Mai</v>
          </cell>
          <cell r="D241" t="str">
            <v>BV0332</v>
          </cell>
          <cell r="E241">
            <v>2013002130</v>
          </cell>
          <cell r="G241" t="str">
            <v>020186010922 ngày cấp 12/8/2021, Cục cảnh sát quản lý hành chính về trật tự xã hội</v>
          </cell>
          <cell r="I241">
            <v>31699</v>
          </cell>
          <cell r="J241">
            <v>39</v>
          </cell>
          <cell r="K241" t="str">
            <v>082025971</v>
          </cell>
          <cell r="L241" t="str">
            <v>08/04/2004</v>
          </cell>
          <cell r="M241" t="str">
            <v>CA tỉnh Lạng Sơn</v>
          </cell>
          <cell r="O241" t="str">
            <v>Xã Hợp Thành</v>
          </cell>
          <cell r="P241" t="str">
            <v>Huyện Cao Lộc</v>
          </cell>
          <cell r="Q241" t="str">
            <v>Tỉnh Lạng Sơn</v>
          </cell>
          <cell r="S241" t="str">
            <v>Xã Hợp Thành</v>
          </cell>
          <cell r="T241" t="str">
            <v>Huyện Cao Lộc</v>
          </cell>
          <cell r="U241" t="str">
            <v>Tỉnh Lạng Sơn</v>
          </cell>
          <cell r="V241" t="str">
            <v>Xã Hợp Thành, Huyện Cao Lộc, Tỉnh Lạng Sơn</v>
          </cell>
          <cell r="W241" t="str">
            <v>10/6/2013</v>
          </cell>
          <cell r="AA241">
            <v>0</v>
          </cell>
          <cell r="AB241" t="str">
            <v>TĐ012</v>
          </cell>
          <cell r="AC241" t="str">
            <v>Truyền nhiễm</v>
          </cell>
          <cell r="AD241" t="str">
            <v>KP018</v>
          </cell>
          <cell r="AE241" t="str">
            <v>Viên chức</v>
          </cell>
          <cell r="AF241" t="str">
            <v>V.08.05.13</v>
          </cell>
          <cell r="AG241" t="str">
            <v>Điều dưỡng (hạng IV)</v>
          </cell>
          <cell r="AH241">
            <v>3.03</v>
          </cell>
          <cell r="AI241">
            <v>4</v>
          </cell>
          <cell r="AJ241">
            <v>0</v>
          </cell>
          <cell r="AK241">
            <v>45453</v>
          </cell>
          <cell r="AL241" t="str">
            <v>Cao đẳng</v>
          </cell>
          <cell r="AM241" t="str">
            <v>Điều dưỡng CĐ</v>
          </cell>
          <cell r="AO241" t="str">
            <v>CĐ Y tế Lang sơn</v>
          </cell>
          <cell r="AP241">
            <v>2009</v>
          </cell>
          <cell r="AQ241" t="str">
            <v>12/12</v>
          </cell>
          <cell r="AR241">
            <v>0</v>
          </cell>
          <cell r="AS241">
            <v>0</v>
          </cell>
          <cell r="AT241">
            <v>0</v>
          </cell>
          <cell r="AU241">
            <v>0</v>
          </cell>
          <cell r="AV241">
            <v>0</v>
          </cell>
          <cell r="AW241" t="str">
            <v>Cơ bản</v>
          </cell>
          <cell r="AY241" t="str">
            <v>Tày</v>
          </cell>
          <cell r="AZ241">
            <v>44614</v>
          </cell>
          <cell r="BA241" t="e">
            <v>#REF!</v>
          </cell>
          <cell r="BB241" t="e">
            <v>#REF!</v>
          </cell>
          <cell r="BC241" t="str">
            <v>24/6/2013</v>
          </cell>
        </row>
        <row r="242">
          <cell r="A242" t="str">
            <v>BV0334</v>
          </cell>
          <cell r="B242">
            <v>236</v>
          </cell>
          <cell r="C242" t="str">
            <v>Nguyễn Khắc Đảng</v>
          </cell>
          <cell r="D242" t="str">
            <v>BV0334</v>
          </cell>
          <cell r="E242">
            <v>1596007618</v>
          </cell>
          <cell r="G242" t="str">
            <v>020072001945 ngày cấp 29/4/2021, Cục cảnh sát quản lý hành chính về trật tự xã hội</v>
          </cell>
          <cell r="H242">
            <v>26470</v>
          </cell>
          <cell r="J242">
            <v>54</v>
          </cell>
          <cell r="K242" t="str">
            <v>080814693</v>
          </cell>
          <cell r="L242" t="str">
            <v>30/01/2013</v>
          </cell>
          <cell r="M242" t="str">
            <v>CA tỉnh Lạng Sơn</v>
          </cell>
          <cell r="P242" t="str">
            <v>Huyện Bắc Sơn</v>
          </cell>
          <cell r="Q242" t="str">
            <v>Tỉnh Lạng Sơn</v>
          </cell>
          <cell r="S242" t="str">
            <v>Phường Tam Thanh</v>
          </cell>
          <cell r="T242" t="str">
            <v>Thành phố Lạng Sơn</v>
          </cell>
          <cell r="U242" t="str">
            <v>Tỉnh Lạng Sơn</v>
          </cell>
          <cell r="V242" t="str">
            <v>Phường Tam Thanh, Thành phố Lạng Sơn, Tỉnh Lạng Sơn</v>
          </cell>
          <cell r="W242" t="str">
            <v>1/11/1994</v>
          </cell>
          <cell r="AA242">
            <v>0</v>
          </cell>
          <cell r="AB242" t="str">
            <v>TĐ012</v>
          </cell>
          <cell r="AC242" t="str">
            <v>Truyền nhiễm</v>
          </cell>
          <cell r="AD242" t="str">
            <v>KP018</v>
          </cell>
          <cell r="AE242" t="str">
            <v>Viên chức</v>
          </cell>
          <cell r="AF242" t="str">
            <v>V.08.05.13</v>
          </cell>
          <cell r="AG242" t="str">
            <v>Điều dưỡng (hạng IV)</v>
          </cell>
          <cell r="AH242">
            <v>4.58</v>
          </cell>
          <cell r="AI242">
            <v>9</v>
          </cell>
          <cell r="AJ242" t="str">
            <v>%</v>
          </cell>
          <cell r="AK242">
            <v>46023</v>
          </cell>
          <cell r="AL242" t="str">
            <v>Trung cấp</v>
          </cell>
          <cell r="AM242" t="str">
            <v>Điều dưỡng CĐ</v>
          </cell>
          <cell r="AR242">
            <v>0</v>
          </cell>
          <cell r="AS242">
            <v>0</v>
          </cell>
          <cell r="AT242" t="str">
            <v>Sơ cấp</v>
          </cell>
          <cell r="AU242">
            <v>0</v>
          </cell>
          <cell r="AV242">
            <v>0</v>
          </cell>
          <cell r="AW242" t="str">
            <v>A</v>
          </cell>
          <cell r="AY242" t="str">
            <v>Kinh</v>
          </cell>
          <cell r="BA242" t="e">
            <v>#REF!</v>
          </cell>
          <cell r="BB242" t="e">
            <v>#REF!</v>
          </cell>
          <cell r="BC242" t="str">
            <v>19/07/2013</v>
          </cell>
        </row>
        <row r="243">
          <cell r="A243" t="str">
            <v>BV0335</v>
          </cell>
          <cell r="B243">
            <v>237</v>
          </cell>
          <cell r="C243" t="str">
            <v>Lăng Thị Thúy</v>
          </cell>
          <cell r="D243" t="str">
            <v>BV0335</v>
          </cell>
          <cell r="E243">
            <v>2010000153</v>
          </cell>
          <cell r="G243" t="str">
            <v>020186002906 Ngày cấp 29/4/2021, Cục cảnh sát quản lý hành chính về trật tự xã hội</v>
          </cell>
          <cell r="I243">
            <v>31423</v>
          </cell>
          <cell r="J243">
            <v>40</v>
          </cell>
          <cell r="K243" t="str">
            <v>082002431</v>
          </cell>
          <cell r="L243" t="str">
            <v>21/10/2003</v>
          </cell>
          <cell r="M243" t="str">
            <v>CA tỉnh Lạng Sơn</v>
          </cell>
          <cell r="O243" t="str">
            <v>Xã Thượng Cường</v>
          </cell>
          <cell r="P243" t="str">
            <v>Huyện Chi Lăng</v>
          </cell>
          <cell r="Q243" t="str">
            <v>Tỉnh Lạng Sơn</v>
          </cell>
          <cell r="S243" t="str">
            <v>Xã Tân Văn</v>
          </cell>
          <cell r="T243" t="str">
            <v>Huyện Bình Gia</v>
          </cell>
          <cell r="U243" t="str">
            <v>Tỉnh Lạng Sơn</v>
          </cell>
          <cell r="V243" t="str">
            <v>Xã Tân Văn, Huyện Bình Gia, Tỉnh Lạng Sơn</v>
          </cell>
          <cell r="W243" t="str">
            <v>15/1/2010</v>
          </cell>
          <cell r="AA243">
            <v>0</v>
          </cell>
          <cell r="AB243" t="str">
            <v>TĐ011</v>
          </cell>
          <cell r="AC243" t="str">
            <v>Truyền nhiễm</v>
          </cell>
          <cell r="AD243" t="str">
            <v>KP018</v>
          </cell>
          <cell r="AE243" t="str">
            <v>Viên chức</v>
          </cell>
          <cell r="AF243" t="str">
            <v>V.08.05.13</v>
          </cell>
          <cell r="AG243" t="str">
            <v>Điều dưỡng (hạng III)</v>
          </cell>
          <cell r="AH243">
            <v>3.66</v>
          </cell>
          <cell r="AI243">
            <v>5</v>
          </cell>
          <cell r="AJ243">
            <v>0</v>
          </cell>
          <cell r="AK243">
            <v>45778</v>
          </cell>
          <cell r="AL243" t="str">
            <v>Đại học</v>
          </cell>
          <cell r="AM243" t="str">
            <v>Điều dưỡng ĐH</v>
          </cell>
          <cell r="AO243" t="str">
            <v>CĐ Y tế Lang sơn</v>
          </cell>
          <cell r="AP243">
            <v>2006</v>
          </cell>
          <cell r="AQ243" t="str">
            <v>12/12</v>
          </cell>
          <cell r="AR243">
            <v>0</v>
          </cell>
          <cell r="AS243">
            <v>0</v>
          </cell>
          <cell r="AT243">
            <v>0</v>
          </cell>
          <cell r="AU243" t="str">
            <v>A2</v>
          </cell>
          <cell r="AV243">
            <v>0</v>
          </cell>
          <cell r="AW243" t="str">
            <v>Cơ bản</v>
          </cell>
          <cell r="AY243" t="str">
            <v>Nùng</v>
          </cell>
          <cell r="AZ243">
            <v>42677</v>
          </cell>
          <cell r="BA243" t="e">
            <v>#REF!</v>
          </cell>
          <cell r="BB243" t="e">
            <v>#REF!</v>
          </cell>
          <cell r="BC243" t="str">
            <v>01/6/2016</v>
          </cell>
        </row>
        <row r="244">
          <cell r="A244" t="str">
            <v>BV0337</v>
          </cell>
          <cell r="B244">
            <v>238</v>
          </cell>
          <cell r="C244" t="str">
            <v>Lương Thị Minh</v>
          </cell>
          <cell r="D244" t="str">
            <v>BV0337</v>
          </cell>
          <cell r="E244">
            <v>2012000200</v>
          </cell>
          <cell r="G244" t="str">
            <v>020190001398 ngày cấp 31/3/2021, Cục cảnh sát quản lý hành chính về trật tự xã hội</v>
          </cell>
          <cell r="I244">
            <v>33161</v>
          </cell>
          <cell r="J244">
            <v>35</v>
          </cell>
          <cell r="K244" t="str">
            <v>082106820</v>
          </cell>
          <cell r="L244" t="str">
            <v>10/04/2007</v>
          </cell>
          <cell r="M244" t="str">
            <v>CA tỉnh Lạng Sơn</v>
          </cell>
          <cell r="P244" t="str">
            <v>Huyện Bình Gia</v>
          </cell>
          <cell r="Q244" t="str">
            <v>Tỉnh Lạng Sơn</v>
          </cell>
          <cell r="S244" t="str">
            <v>Phường Tam Thanh</v>
          </cell>
          <cell r="T244" t="str">
            <v>Thành phố Lạng Sơn</v>
          </cell>
          <cell r="U244" t="str">
            <v>Tỉnh Lạng Sơn</v>
          </cell>
          <cell r="V244" t="str">
            <v>Phường Tam Thanh, Thành phố Lạng Sơn, Tỉnh Lạng Sơn</v>
          </cell>
          <cell r="W244" t="str">
            <v>10/6/2013</v>
          </cell>
          <cell r="AA244">
            <v>0</v>
          </cell>
          <cell r="AB244" t="str">
            <v>TĐ012</v>
          </cell>
          <cell r="AC244" t="str">
            <v>Truyền nhiễm</v>
          </cell>
          <cell r="AD244" t="str">
            <v>KP018</v>
          </cell>
          <cell r="AE244" t="str">
            <v>Viên chức</v>
          </cell>
          <cell r="AF244" t="str">
            <v>V.08.05.13</v>
          </cell>
          <cell r="AG244" t="str">
            <v>Điều dưỡng (hạng IV)</v>
          </cell>
          <cell r="AH244">
            <v>3.03</v>
          </cell>
          <cell r="AI244">
            <v>4</v>
          </cell>
          <cell r="AJ244">
            <v>0</v>
          </cell>
          <cell r="AK244">
            <v>45265</v>
          </cell>
          <cell r="AL244" t="str">
            <v>Cao đẳng</v>
          </cell>
          <cell r="AM244" t="str">
            <v>Điều dưỡng CĐ</v>
          </cell>
          <cell r="AO244" t="str">
            <v>CĐ Y tế Lang sơn</v>
          </cell>
          <cell r="AP244">
            <v>2011</v>
          </cell>
          <cell r="AQ244" t="str">
            <v>12/12</v>
          </cell>
          <cell r="AR244">
            <v>0</v>
          </cell>
          <cell r="AS244">
            <v>0</v>
          </cell>
          <cell r="AT244">
            <v>0</v>
          </cell>
          <cell r="AU244">
            <v>0</v>
          </cell>
          <cell r="AV244">
            <v>0</v>
          </cell>
          <cell r="AW244">
            <v>0</v>
          </cell>
          <cell r="AY244" t="str">
            <v>Tày</v>
          </cell>
          <cell r="BA244" t="e">
            <v>#REF!</v>
          </cell>
          <cell r="BB244" t="e">
            <v>#REF!</v>
          </cell>
          <cell r="BC244" t="str">
            <v>24/06/2013</v>
          </cell>
        </row>
        <row r="245">
          <cell r="A245" t="str">
            <v>BV0338</v>
          </cell>
          <cell r="B245">
            <v>239</v>
          </cell>
          <cell r="C245" t="str">
            <v>Lương Thúy Nga</v>
          </cell>
          <cell r="D245" t="str">
            <v>BV0338</v>
          </cell>
          <cell r="E245">
            <v>2012000291</v>
          </cell>
          <cell r="G245" t="str">
            <v>20189011553 ngày cấp 09/5/2021, Cục cảnh sát quản lý hành chính về trật tự xã hội</v>
          </cell>
          <cell r="I245">
            <v>32510</v>
          </cell>
          <cell r="J245">
            <v>37</v>
          </cell>
          <cell r="K245" t="str">
            <v>082061644</v>
          </cell>
          <cell r="L245" t="str">
            <v>16/11/2005</v>
          </cell>
          <cell r="M245" t="str">
            <v>CA tỉnh Lạng Sơn</v>
          </cell>
          <cell r="P245" t="str">
            <v>Huyện Tràng Định</v>
          </cell>
          <cell r="Q245" t="str">
            <v>Tỉnh Lạng Sơn</v>
          </cell>
          <cell r="S245" t="str">
            <v>Phường Tam Thanh</v>
          </cell>
          <cell r="T245" t="str">
            <v>Thành phố Lạng Sơn</v>
          </cell>
          <cell r="U245" t="str">
            <v>Tỉnh Lạng Sơn</v>
          </cell>
          <cell r="V245" t="str">
            <v>Phường Tam Thanh, Thành phố Lạng Sơn, Tỉnh Lạng Sơn</v>
          </cell>
          <cell r="W245" t="str">
            <v>10/6/2013</v>
          </cell>
          <cell r="AA245">
            <v>0</v>
          </cell>
          <cell r="AB245" t="str">
            <v>TĐ012</v>
          </cell>
          <cell r="AC245" t="str">
            <v>Truyền nhiễm</v>
          </cell>
          <cell r="AD245" t="str">
            <v>KP018</v>
          </cell>
          <cell r="AE245" t="str">
            <v>Viên chức</v>
          </cell>
          <cell r="AF245" t="str">
            <v>V.08.05.13</v>
          </cell>
          <cell r="AG245" t="str">
            <v>Điều dưỡng (hạng IV)</v>
          </cell>
          <cell r="AH245">
            <v>3.03</v>
          </cell>
          <cell r="AI245">
            <v>4</v>
          </cell>
          <cell r="AJ245">
            <v>0</v>
          </cell>
          <cell r="AK245">
            <v>45631</v>
          </cell>
          <cell r="AL245" t="str">
            <v>Cao đẳng</v>
          </cell>
          <cell r="AM245" t="str">
            <v>Điều dưỡng CĐ</v>
          </cell>
          <cell r="AR245">
            <v>0</v>
          </cell>
          <cell r="AS245">
            <v>0</v>
          </cell>
          <cell r="AT245">
            <v>0</v>
          </cell>
          <cell r="AU245">
            <v>0</v>
          </cell>
          <cell r="AV245">
            <v>0</v>
          </cell>
          <cell r="AW245" t="str">
            <v>Cơ bản</v>
          </cell>
          <cell r="AY245" t="str">
            <v>Tày</v>
          </cell>
          <cell r="BA245" t="e">
            <v>#REF!</v>
          </cell>
          <cell r="BB245" t="e">
            <v>#REF!</v>
          </cell>
          <cell r="BC245" t="str">
            <v>16/09/2013</v>
          </cell>
        </row>
        <row r="246">
          <cell r="A246" t="str">
            <v>BV0197</v>
          </cell>
          <cell r="B246">
            <v>240</v>
          </cell>
          <cell r="C246" t="str">
            <v>Nguyễn Thị Hợi</v>
          </cell>
          <cell r="D246" t="str">
            <v>BV0197</v>
          </cell>
          <cell r="E246">
            <v>2010000181</v>
          </cell>
          <cell r="G246" t="str">
            <v>038184050846, Ngày cấp 24/3/2022, nơi cấp: Cục Quản lý hành chính về trật tự xã hội</v>
          </cell>
          <cell r="I246">
            <v>30845</v>
          </cell>
          <cell r="J246">
            <v>42</v>
          </cell>
          <cell r="K246" t="str">
            <v>172261977</v>
          </cell>
          <cell r="L246" t="str">
            <v>21/10/2000</v>
          </cell>
          <cell r="M246" t="str">
            <v>CA tỉnh Lạng Sơn</v>
          </cell>
          <cell r="O246" t="str">
            <v>Thiệu Thành</v>
          </cell>
          <cell r="P246" t="str">
            <v>Huyện Thiệu Hóa</v>
          </cell>
          <cell r="Q246" t="str">
            <v>Tỉnh Thanh Hóa</v>
          </cell>
          <cell r="S246" t="str">
            <v>Phường Chi Lăng</v>
          </cell>
          <cell r="T246" t="str">
            <v>Thành phố Lạng Sơn</v>
          </cell>
          <cell r="U246" t="str">
            <v>Tỉnh Lạng Sơn</v>
          </cell>
          <cell r="V246" t="str">
            <v>Phường Chi Lăng, Thành phố Lạng Sơn, Tỉnh Lạng Sơn</v>
          </cell>
          <cell r="W246" t="str">
            <v>15/1/2010</v>
          </cell>
          <cell r="AA246">
            <v>0</v>
          </cell>
          <cell r="AB246" t="str">
            <v>TĐ012</v>
          </cell>
          <cell r="AC246" t="str">
            <v>Truyền nhiễm</v>
          </cell>
          <cell r="AD246" t="str">
            <v>KP018</v>
          </cell>
          <cell r="AE246" t="str">
            <v>Viên chức</v>
          </cell>
          <cell r="AF246" t="str">
            <v>V.08.05.13</v>
          </cell>
          <cell r="AG246" t="str">
            <v>Điều dưỡng (hạng IV)</v>
          </cell>
          <cell r="AH246">
            <v>3.34</v>
          </cell>
          <cell r="AI246">
            <v>5</v>
          </cell>
          <cell r="AJ246">
            <v>0</v>
          </cell>
          <cell r="AK246">
            <v>44927</v>
          </cell>
          <cell r="AL246" t="str">
            <v>Cao đẳng</v>
          </cell>
          <cell r="AM246" t="str">
            <v>Điều dưỡng CĐ</v>
          </cell>
          <cell r="AR246">
            <v>0</v>
          </cell>
          <cell r="AS246">
            <v>0</v>
          </cell>
          <cell r="AT246">
            <v>0</v>
          </cell>
          <cell r="AU246">
            <v>0</v>
          </cell>
          <cell r="AV246">
            <v>0</v>
          </cell>
          <cell r="AW246" t="str">
            <v>Cơ bản</v>
          </cell>
          <cell r="AY246" t="str">
            <v>Kinh</v>
          </cell>
          <cell r="BA246" t="e">
            <v>#REF!</v>
          </cell>
          <cell r="BB246" t="e">
            <v>#REF!</v>
          </cell>
        </row>
        <row r="247">
          <cell r="A247" t="str">
            <v>BV0341</v>
          </cell>
          <cell r="B247">
            <v>241</v>
          </cell>
          <cell r="C247" t="str">
            <v>Mông Tuấn Hùng</v>
          </cell>
          <cell r="D247" t="str">
            <v>BV0341</v>
          </cell>
          <cell r="E247">
            <v>1596007558</v>
          </cell>
          <cell r="G247" t="str">
            <v>CCCD: 020071000379 
Ngày cấp 8/4/2021, 
Tại Cục cảnh sát quản lý hành chính về trật tự xã hội</v>
          </cell>
          <cell r="H247">
            <v>26245</v>
          </cell>
          <cell r="J247">
            <v>54</v>
          </cell>
          <cell r="K247" t="str">
            <v>080906225</v>
          </cell>
          <cell r="L247" t="str">
            <v>30/05/2005</v>
          </cell>
          <cell r="M247" t="str">
            <v>CA tỉnh Lạng Sơn</v>
          </cell>
          <cell r="O247" t="str">
            <v>Xã Trùng Khánh</v>
          </cell>
          <cell r="P247" t="str">
            <v>Huyện Văn Lãng</v>
          </cell>
          <cell r="Q247" t="str">
            <v>Tỉnh Lạng Sơn</v>
          </cell>
          <cell r="S247" t="str">
            <v>Phường Đông Kinh</v>
          </cell>
          <cell r="T247" t="str">
            <v>Thành phố Lạng Sơn</v>
          </cell>
          <cell r="U247" t="str">
            <v>Tỉnh Lạng Sơn</v>
          </cell>
          <cell r="V247" t="str">
            <v>Phường Đông Kinh, Thành phố Lạng Sơn, Tỉnh Lạng Sơn</v>
          </cell>
          <cell r="W247" t="str">
            <v>4/1/1996</v>
          </cell>
          <cell r="AA247" t="str">
            <v>Trưởng khoa</v>
          </cell>
          <cell r="AB247" t="str">
            <v>TĐ003</v>
          </cell>
          <cell r="AC247" t="str">
            <v>Da liễu</v>
          </cell>
          <cell r="AD247" t="str">
            <v>KP019</v>
          </cell>
          <cell r="AE247" t="str">
            <v>Viên chức</v>
          </cell>
          <cell r="AF247" t="str">
            <v>V.08.01.02</v>
          </cell>
          <cell r="AG247" t="str">
            <v>Bác sĩ chính (hạng II)</v>
          </cell>
          <cell r="AH247">
            <v>6.1</v>
          </cell>
          <cell r="AI247">
            <v>6</v>
          </cell>
          <cell r="AJ247">
            <v>0</v>
          </cell>
          <cell r="AK247">
            <v>46023</v>
          </cell>
          <cell r="AL247" t="str">
            <v>Đại học</v>
          </cell>
          <cell r="AM247" t="str">
            <v>BSCKI</v>
          </cell>
          <cell r="AN247" t="str">
            <v>Da liễu</v>
          </cell>
          <cell r="AO247" t="str">
            <v>ĐH Y Hà Nội</v>
          </cell>
          <cell r="AQ247" t="str">
            <v>12/12</v>
          </cell>
          <cell r="AR247" t="str">
            <v>Chuyên viên</v>
          </cell>
          <cell r="AS247" t="str">
            <v>x</v>
          </cell>
          <cell r="AT247" t="str">
            <v>Trung cấp</v>
          </cell>
          <cell r="AU247" t="str">
            <v>B</v>
          </cell>
          <cell r="AV247">
            <v>0</v>
          </cell>
          <cell r="AW247" t="str">
            <v>A</v>
          </cell>
          <cell r="AY247" t="str">
            <v>Nùng</v>
          </cell>
          <cell r="AZ247">
            <v>38832</v>
          </cell>
          <cell r="BA247" t="e">
            <v>#REF!</v>
          </cell>
          <cell r="BB247" t="e">
            <v>#REF!</v>
          </cell>
          <cell r="BC247" t="str">
            <v>30/01/2018</v>
          </cell>
        </row>
        <row r="248">
          <cell r="A248" t="str">
            <v>BV0342</v>
          </cell>
          <cell r="B248">
            <v>242</v>
          </cell>
          <cell r="C248" t="str">
            <v>Nguyễn Mạnh Cường</v>
          </cell>
          <cell r="D248" t="str">
            <v>BV0342</v>
          </cell>
          <cell r="E248">
            <v>1596010527</v>
          </cell>
          <cell r="G248" t="str">
            <v>CCCD: 020069007177 
Ngày cấp 20/8/2021,
Tại Cục cảnh sát quản lý hành chính về trật tự xã hội</v>
          </cell>
          <cell r="H248">
            <v>25516</v>
          </cell>
          <cell r="J248">
            <v>56</v>
          </cell>
          <cell r="K248" t="str">
            <v>080776847</v>
          </cell>
          <cell r="L248" t="str">
            <v>03/07/2008</v>
          </cell>
          <cell r="M248" t="str">
            <v>CA tỉnh Lạng Sơn</v>
          </cell>
          <cell r="P248" t="str">
            <v>Thành phố Lạng Sơn</v>
          </cell>
          <cell r="Q248" t="str">
            <v>Tỉnh Lạng Sơn</v>
          </cell>
          <cell r="S248" t="str">
            <v>Phường Chi Lăng</v>
          </cell>
          <cell r="T248" t="str">
            <v>Thành phố Lạng Sơn</v>
          </cell>
          <cell r="U248" t="str">
            <v>Tỉnh Lạng Sơn</v>
          </cell>
          <cell r="V248" t="str">
            <v>Phường Chi Lăng, Thành phố Lạng Sơn, Tỉnh Lạng Sơn</v>
          </cell>
          <cell r="W248" t="str">
            <v>11/10/1994</v>
          </cell>
          <cell r="AA248" t="str">
            <v>Phó trưởng khoa</v>
          </cell>
          <cell r="AB248" t="str">
            <v>TĐ003</v>
          </cell>
          <cell r="AC248" t="str">
            <v>Da liễu</v>
          </cell>
          <cell r="AD248" t="str">
            <v>KP019</v>
          </cell>
          <cell r="AE248" t="str">
            <v>Viên chức</v>
          </cell>
          <cell r="AF248" t="str">
            <v>V.08.01.03</v>
          </cell>
          <cell r="AG248" t="str">
            <v>Bác sĩ (hạng III)</v>
          </cell>
          <cell r="AH248">
            <v>4.9800000000000004</v>
          </cell>
          <cell r="AI248">
            <v>9</v>
          </cell>
          <cell r="AJ248">
            <v>0</v>
          </cell>
          <cell r="AK248">
            <v>45383</v>
          </cell>
          <cell r="AL248" t="str">
            <v>Đại học</v>
          </cell>
          <cell r="AM248" t="str">
            <v>BSCKI</v>
          </cell>
          <cell r="AN248" t="str">
            <v>Da liễu</v>
          </cell>
          <cell r="AO248" t="str">
            <v>ĐH Y Hà Nội</v>
          </cell>
          <cell r="AP248">
            <v>2016</v>
          </cell>
          <cell r="AQ248" t="str">
            <v>12/12</v>
          </cell>
          <cell r="AR248">
            <v>0</v>
          </cell>
          <cell r="AS248" t="str">
            <v>X</v>
          </cell>
          <cell r="AT248" t="str">
            <v>Sơ cấp</v>
          </cell>
          <cell r="AU248" t="str">
            <v>B</v>
          </cell>
          <cell r="AV248">
            <v>0</v>
          </cell>
          <cell r="AW248" t="str">
            <v>B</v>
          </cell>
          <cell r="AY248" t="str">
            <v>Kinh</v>
          </cell>
          <cell r="AZ248">
            <v>41898</v>
          </cell>
          <cell r="BA248" t="e">
            <v>#REF!</v>
          </cell>
          <cell r="BB248" t="e">
            <v>#REF!</v>
          </cell>
        </row>
        <row r="249">
          <cell r="A249" t="str">
            <v>BV0823</v>
          </cell>
          <cell r="B249">
            <v>243</v>
          </cell>
          <cell r="C249" t="str">
            <v>Lương Thị Hằng</v>
          </cell>
          <cell r="D249" t="str">
            <v>BV0823</v>
          </cell>
          <cell r="E249" t="str">
            <v>1597019431</v>
          </cell>
          <cell r="G249" t="str">
            <v>CCCD: 020174002035 
Ngày cấp 29/4/2021, 
Tại Cục cảnh sát quản lý hành chính về trật tự xã hội</v>
          </cell>
          <cell r="I249" t="str">
            <v>21/4/1974</v>
          </cell>
          <cell r="J249">
            <v>52</v>
          </cell>
          <cell r="K249" t="str">
            <v>080948017</v>
          </cell>
          <cell r="L249" t="str">
            <v>08/12/12014</v>
          </cell>
          <cell r="M249" t="str">
            <v>CA tỉnh Lạng Sơn</v>
          </cell>
          <cell r="N249" t="str">
            <v>Thị trấn Na Dương, huyện Cao Lộc</v>
          </cell>
          <cell r="O249" t="str">
            <v>Trấn Ninh</v>
          </cell>
          <cell r="P249" t="str">
            <v>Văn Quan</v>
          </cell>
          <cell r="Q249" t="str">
            <v>Lạng Sơn</v>
          </cell>
          <cell r="R249" t="str">
            <v>Số 20B, ngõ 1, Tô Thị</v>
          </cell>
          <cell r="S249" t="str">
            <v>Phường Tam Thanh</v>
          </cell>
          <cell r="T249" t="str">
            <v>TP. Lạng Sơn</v>
          </cell>
          <cell r="U249" t="str">
            <v>Lạng Sơn</v>
          </cell>
          <cell r="V249" t="str">
            <v>Phường Tam Thanh, TP. Lạng Sơn, Lạng Sơn</v>
          </cell>
          <cell r="W249" t="str">
            <v>20/10/1995</v>
          </cell>
          <cell r="X249" t="str">
            <v>Mỏ than Na Dương</v>
          </cell>
          <cell r="Y249" t="str">
            <v>759 TNĐ-ND-TCLĐ</v>
          </cell>
          <cell r="Z249" t="str">
            <v>20/10/1995</v>
          </cell>
          <cell r="AA249">
            <v>0</v>
          </cell>
          <cell r="AB249" t="str">
            <v>TĐ005</v>
          </cell>
          <cell r="AC249" t="str">
            <v>Da liễu</v>
          </cell>
          <cell r="AD249" t="str">
            <v>KP019</v>
          </cell>
          <cell r="AE249" t="str">
            <v>Viên chức</v>
          </cell>
          <cell r="AF249" t="str">
            <v>V.08.01.03</v>
          </cell>
          <cell r="AG249" t="str">
            <v>Bác sĩ (hạng III)</v>
          </cell>
          <cell r="AH249">
            <v>4.9800000000000004</v>
          </cell>
          <cell r="AI249">
            <v>9</v>
          </cell>
          <cell r="AJ249">
            <v>0</v>
          </cell>
          <cell r="AK249">
            <v>45658</v>
          </cell>
          <cell r="AL249" t="str">
            <v>Đại học</v>
          </cell>
          <cell r="AM249" t="str">
            <v>Bác sĩ</v>
          </cell>
          <cell r="AN249" t="str">
            <v>Da liễu</v>
          </cell>
          <cell r="AR249">
            <v>0</v>
          </cell>
          <cell r="AS249">
            <v>0</v>
          </cell>
          <cell r="AT249" t="str">
            <v>x</v>
          </cell>
          <cell r="AU249">
            <v>0</v>
          </cell>
          <cell r="AV249">
            <v>0</v>
          </cell>
          <cell r="AW249" t="str">
            <v>Cơ bản</v>
          </cell>
          <cell r="AY249" t="str">
            <v>Tày</v>
          </cell>
          <cell r="AZ249">
            <v>39344</v>
          </cell>
          <cell r="BA249" t="e">
            <v>#REF!</v>
          </cell>
          <cell r="BB249" t="e">
            <v>#REF!</v>
          </cell>
          <cell r="BC249" t="str">
            <v>24/06/2013</v>
          </cell>
        </row>
        <row r="250">
          <cell r="A250" t="str">
            <v>BV0329</v>
          </cell>
          <cell r="B250">
            <v>244</v>
          </cell>
          <cell r="C250" t="str">
            <v>Đào Thị Ngọc</v>
          </cell>
          <cell r="D250" t="str">
            <v>BV0329</v>
          </cell>
          <cell r="E250">
            <v>1505002928</v>
          </cell>
          <cell r="G250" t="str">
            <v>CCCD: 036182023580 
Ngày cấp 25/6/2021,
Tại Cục cảnh sát quản lý hành chính về trật tự xã hội</v>
          </cell>
          <cell r="I250">
            <v>30032</v>
          </cell>
          <cell r="J250">
            <v>44</v>
          </cell>
          <cell r="K250" t="str">
            <v>162450559</v>
          </cell>
          <cell r="L250" t="str">
            <v>13/03/2000</v>
          </cell>
          <cell r="M250" t="str">
            <v>CA tỉnh Lạng Sơn</v>
          </cell>
          <cell r="O250" t="str">
            <v>Xã Nghĩa An</v>
          </cell>
          <cell r="P250" t="str">
            <v>Huyện Nam Trực</v>
          </cell>
          <cell r="Q250" t="str">
            <v>Tỉnh Nam Định</v>
          </cell>
          <cell r="R250" t="str">
            <v>Thôn Tân Lập</v>
          </cell>
          <cell r="S250" t="str">
            <v>Xã Mai Pha</v>
          </cell>
          <cell r="T250" t="str">
            <v>Thành phố Lạng Sơn</v>
          </cell>
          <cell r="U250" t="str">
            <v>Tỉnh Lạng Sơn</v>
          </cell>
          <cell r="V250" t="str">
            <v>Xã Mai Pha, Thành phố Lạng Sơn, Tỉnh Lạng Sơn</v>
          </cell>
          <cell r="W250" t="str">
            <v>16/2/2005</v>
          </cell>
          <cell r="AA250" t="str">
            <v>Điều dưỡng trưởng</v>
          </cell>
          <cell r="AB250" t="str">
            <v>TĐ011</v>
          </cell>
          <cell r="AC250" t="str">
            <v>Da liễu</v>
          </cell>
          <cell r="AD250" t="str">
            <v>KP019</v>
          </cell>
          <cell r="AE250" t="str">
            <v>Viên chức</v>
          </cell>
          <cell r="AF250" t="str">
            <v>V.08.05.12</v>
          </cell>
          <cell r="AG250" t="str">
            <v>Điều dưỡng (hạng III)</v>
          </cell>
          <cell r="AH250">
            <v>4.32</v>
          </cell>
          <cell r="AI250">
            <v>7</v>
          </cell>
          <cell r="AJ250">
            <v>0</v>
          </cell>
          <cell r="AK250">
            <v>45323</v>
          </cell>
          <cell r="AL250" t="str">
            <v>Đại học</v>
          </cell>
          <cell r="AM250" t="str">
            <v>Điều dưỡng ĐH</v>
          </cell>
          <cell r="AO250" t="str">
            <v>ĐH Điều dưỡng Nam Định</v>
          </cell>
          <cell r="AP250">
            <v>2009</v>
          </cell>
          <cell r="AQ250" t="str">
            <v>12/12</v>
          </cell>
          <cell r="AR250">
            <v>0</v>
          </cell>
          <cell r="AS250" t="str">
            <v>x</v>
          </cell>
          <cell r="AT250" t="str">
            <v>x</v>
          </cell>
          <cell r="AU250" t="str">
            <v>B</v>
          </cell>
          <cell r="AV250">
            <v>0</v>
          </cell>
          <cell r="AW250" t="str">
            <v>B</v>
          </cell>
          <cell r="AY250" t="str">
            <v>Kinh</v>
          </cell>
          <cell r="AZ250">
            <v>41795</v>
          </cell>
          <cell r="BA250" t="e">
            <v>#REF!</v>
          </cell>
          <cell r="BB250" t="e">
            <v>#REF!</v>
          </cell>
        </row>
        <row r="251">
          <cell r="A251" t="str">
            <v>BV0113</v>
          </cell>
          <cell r="B251">
            <v>245</v>
          </cell>
          <cell r="C251" t="str">
            <v>Lăng Hồng Chiêm</v>
          </cell>
          <cell r="D251" t="str">
            <v>BV0113</v>
          </cell>
          <cell r="E251">
            <v>2010000158</v>
          </cell>
          <cell r="G251" t="str">
            <v>CCCD: 020183002322 
Ngày cấp 20/4/2021, 
Tại Cục cảnh sát quản lý hành chính về trật tự xã hội</v>
          </cell>
          <cell r="I251">
            <v>30429</v>
          </cell>
          <cell r="J251">
            <v>43</v>
          </cell>
          <cell r="K251" t="str">
            <v>082009988</v>
          </cell>
          <cell r="L251" t="str">
            <v>30/09/2003</v>
          </cell>
          <cell r="M251" t="str">
            <v>CA tỉnh Lạng Sơn</v>
          </cell>
          <cell r="O251" t="str">
            <v>Xã Thụy Hùng</v>
          </cell>
          <cell r="P251" t="str">
            <v>Huyện Cao Lộc</v>
          </cell>
          <cell r="Q251" t="str">
            <v>Tỉnh Lạng Sơn</v>
          </cell>
          <cell r="S251" t="str">
            <v>Xã Thụy Hùng</v>
          </cell>
          <cell r="T251" t="str">
            <v>Huyện Cao Lộc</v>
          </cell>
          <cell r="U251" t="str">
            <v>Tỉnh Lạng Sơn</v>
          </cell>
          <cell r="V251" t="str">
            <v>Xã Thụy Hùng, Huyện Cao Lộc, Tỉnh Lạng Sơn</v>
          </cell>
          <cell r="W251" t="str">
            <v>15/1/2010</v>
          </cell>
          <cell r="AA251">
            <v>0</v>
          </cell>
          <cell r="AB251" t="str">
            <v>TĐ012</v>
          </cell>
          <cell r="AC251" t="str">
            <v>Da liễu</v>
          </cell>
          <cell r="AD251" t="str">
            <v>KP019</v>
          </cell>
          <cell r="AE251" t="str">
            <v>Viên chức</v>
          </cell>
          <cell r="AF251" t="str">
            <v>V.08.05.13</v>
          </cell>
          <cell r="AG251" t="str">
            <v>Điều dưỡng (hạng IV)</v>
          </cell>
          <cell r="AH251">
            <v>3.65</v>
          </cell>
          <cell r="AI251">
            <v>6</v>
          </cell>
          <cell r="AJ251">
            <v>0</v>
          </cell>
          <cell r="AK251">
            <v>45839</v>
          </cell>
          <cell r="AL251" t="str">
            <v>Cao đẳng</v>
          </cell>
          <cell r="AM251" t="str">
            <v>Điều dưỡng CĐ</v>
          </cell>
          <cell r="AO251" t="str">
            <v>Trung học Y tế Lạng Sơn</v>
          </cell>
          <cell r="AP251">
            <v>2006</v>
          </cell>
          <cell r="AQ251" t="str">
            <v>12/12</v>
          </cell>
          <cell r="AR251">
            <v>0</v>
          </cell>
          <cell r="AS251">
            <v>0</v>
          </cell>
          <cell r="AT251">
            <v>0</v>
          </cell>
          <cell r="AU251" t="str">
            <v>Anh B</v>
          </cell>
          <cell r="AV251">
            <v>0</v>
          </cell>
          <cell r="AW251" t="str">
            <v>Cơ bản</v>
          </cell>
          <cell r="AY251" t="str">
            <v>Nùng</v>
          </cell>
          <cell r="BA251" t="e">
            <v>#REF!</v>
          </cell>
          <cell r="BB251" t="e">
            <v>#REF!</v>
          </cell>
          <cell r="BC251" t="str">
            <v>01/06/2016</v>
          </cell>
        </row>
        <row r="252">
          <cell r="A252" t="str">
            <v>BV0134</v>
          </cell>
          <cell r="B252">
            <v>246</v>
          </cell>
          <cell r="C252" t="str">
            <v>Lý Thị Dần</v>
          </cell>
          <cell r="D252" t="str">
            <v>BV0134</v>
          </cell>
          <cell r="E252">
            <v>2009000937</v>
          </cell>
          <cell r="G252" t="str">
            <v>CCCD: 020179006580 
Ngày cấp 9/5/2021,
Tại Cục cảnh sát quản lý hành chính về trật tự xã hội</v>
          </cell>
          <cell r="I252">
            <v>29143</v>
          </cell>
          <cell r="J252">
            <v>46</v>
          </cell>
          <cell r="K252" t="str">
            <v>081036867</v>
          </cell>
          <cell r="L252" t="str">
            <v>04/03/2002</v>
          </cell>
          <cell r="M252" t="str">
            <v>CA tỉnh Lạng Sơn</v>
          </cell>
          <cell r="P252" t="str">
            <v>Huyện Bình Gia</v>
          </cell>
          <cell r="Q252" t="str">
            <v>Tỉnh Lạng Sơn</v>
          </cell>
          <cell r="S252" t="str">
            <v>Phường Tam Thanh</v>
          </cell>
          <cell r="T252" t="str">
            <v>Thành phố Lạng Sơn</v>
          </cell>
          <cell r="U252" t="str">
            <v>Tỉnh Lạng Sơn</v>
          </cell>
          <cell r="V252" t="str">
            <v>Phường Tam Thanh, Thành phố Lạng Sơn, Tỉnh Lạng Sơn</v>
          </cell>
          <cell r="W252" t="str">
            <v>1/12/2008</v>
          </cell>
          <cell r="AA252">
            <v>0</v>
          </cell>
          <cell r="AB252" t="str">
            <v>TĐ012</v>
          </cell>
          <cell r="AC252" t="str">
            <v>Da liễu</v>
          </cell>
          <cell r="AD252" t="str">
            <v>KP019</v>
          </cell>
          <cell r="AE252" t="str">
            <v>Viên chức</v>
          </cell>
          <cell r="AF252" t="str">
            <v>V.08.05.13</v>
          </cell>
          <cell r="AG252" t="str">
            <v>Điều dưỡng (hạng IV)</v>
          </cell>
          <cell r="AH252">
            <v>3.26</v>
          </cell>
          <cell r="AI252">
            <v>8</v>
          </cell>
          <cell r="AJ252">
            <v>0</v>
          </cell>
          <cell r="AK252">
            <v>45488</v>
          </cell>
          <cell r="AL252" t="str">
            <v>Trung cấp</v>
          </cell>
          <cell r="AM252" t="str">
            <v>Điều dưỡng CĐ</v>
          </cell>
          <cell r="AO252" t="str">
            <v>CĐ Y tế Lang sơn</v>
          </cell>
          <cell r="AR252">
            <v>0</v>
          </cell>
          <cell r="AS252">
            <v>0</v>
          </cell>
          <cell r="AT252">
            <v>0</v>
          </cell>
          <cell r="AU252">
            <v>0</v>
          </cell>
          <cell r="AV252">
            <v>0</v>
          </cell>
          <cell r="AW252">
            <v>0</v>
          </cell>
          <cell r="AY252" t="str">
            <v>Nùng</v>
          </cell>
          <cell r="BA252" t="e">
            <v>#REF!</v>
          </cell>
          <cell r="BB252" t="e">
            <v>#REF!</v>
          </cell>
          <cell r="BC252" t="str">
            <v>6/01/2016</v>
          </cell>
        </row>
        <row r="253">
          <cell r="A253" t="str">
            <v>BV0141</v>
          </cell>
          <cell r="B253">
            <v>247</v>
          </cell>
          <cell r="C253" t="str">
            <v>Vũ Thị Thu Trang</v>
          </cell>
          <cell r="D253" t="str">
            <v>BV0141</v>
          </cell>
          <cell r="E253">
            <v>2013000007</v>
          </cell>
          <cell r="G253" t="str">
            <v>CMT: 082160465 
Ngày cấp 4/6/2008, 
nơi cấp CA Lạng Sơn</v>
          </cell>
          <cell r="I253">
            <v>33673</v>
          </cell>
          <cell r="J253">
            <v>34</v>
          </cell>
          <cell r="K253" t="str">
            <v>082160465</v>
          </cell>
          <cell r="L253" t="str">
            <v>04/06/2008</v>
          </cell>
          <cell r="M253" t="str">
            <v>CA tỉnh Lạng Sơn</v>
          </cell>
          <cell r="O253" t="str">
            <v>Yêu Kiêu</v>
          </cell>
          <cell r="P253" t="str">
            <v>Gia Lộc</v>
          </cell>
          <cell r="Q253" t="str">
            <v>Tỉnh Hải Dương</v>
          </cell>
          <cell r="R253" t="str">
            <v>Khối 9</v>
          </cell>
          <cell r="S253" t="str">
            <v>Phường Vĩnh Trại</v>
          </cell>
          <cell r="T253" t="str">
            <v>Thành phố Lạng Sơn</v>
          </cell>
          <cell r="U253" t="str">
            <v>Tỉnh Lạng Sơn</v>
          </cell>
          <cell r="V253" t="str">
            <v>Phường Vĩnh Trại, Thành phố Lạng Sơn, Tỉnh Lạng Sơn</v>
          </cell>
          <cell r="W253" t="str">
            <v>10/6/2013</v>
          </cell>
          <cell r="AA253">
            <v>0</v>
          </cell>
          <cell r="AB253" t="str">
            <v>TĐ011</v>
          </cell>
          <cell r="AC253" t="str">
            <v>Da liễu</v>
          </cell>
          <cell r="AD253" t="str">
            <v>KP019</v>
          </cell>
          <cell r="AE253" t="str">
            <v>Viên chức</v>
          </cell>
          <cell r="AF253" t="str">
            <v>V.08.05.13</v>
          </cell>
          <cell r="AG253" t="str">
            <v>Điều dưỡng (hạng III)</v>
          </cell>
          <cell r="AH253">
            <v>3.33</v>
          </cell>
          <cell r="AI253">
            <v>4</v>
          </cell>
          <cell r="AJ253">
            <v>0</v>
          </cell>
          <cell r="AK253">
            <v>45636</v>
          </cell>
          <cell r="AL253" t="str">
            <v>Cao đẳng</v>
          </cell>
          <cell r="AM253" t="str">
            <v>Điều dưỡng ĐH</v>
          </cell>
          <cell r="AO253" t="str">
            <v>ĐH Kỹ thuật Y tế Hải Dương</v>
          </cell>
          <cell r="AP253">
            <v>2012</v>
          </cell>
          <cell r="AQ253" t="str">
            <v>12/12</v>
          </cell>
          <cell r="AR253">
            <v>0</v>
          </cell>
          <cell r="AS253">
            <v>0</v>
          </cell>
          <cell r="AT253">
            <v>0</v>
          </cell>
          <cell r="AU253" t="str">
            <v>B</v>
          </cell>
          <cell r="AV253">
            <v>0</v>
          </cell>
          <cell r="AW253" t="str">
            <v>B</v>
          </cell>
          <cell r="AY253" t="str">
            <v>Kinh</v>
          </cell>
          <cell r="BA253" t="e">
            <v>#REF!</v>
          </cell>
          <cell r="BB253" t="e">
            <v>#REF!</v>
          </cell>
          <cell r="BC253" t="str">
            <v>01/06/2016</v>
          </cell>
        </row>
        <row r="254">
          <cell r="A254" t="str">
            <v>BV0349</v>
          </cell>
          <cell r="B254">
            <v>248</v>
          </cell>
          <cell r="C254" t="str">
            <v>Dương Thị Tiếp</v>
          </cell>
          <cell r="D254" t="str">
            <v>BV0349</v>
          </cell>
          <cell r="E254">
            <v>2010000152</v>
          </cell>
          <cell r="G254" t="str">
            <v>CCCD: 020187001506 
Ngày cấp 8/4/2021,
Tại Cục cảnh sát quản lý hành chính về trật tự xã hội</v>
          </cell>
          <cell r="I254">
            <v>32010</v>
          </cell>
          <cell r="J254">
            <v>38</v>
          </cell>
          <cell r="K254" t="str">
            <v>082007603</v>
          </cell>
          <cell r="L254" t="str">
            <v>18/11/2003</v>
          </cell>
          <cell r="M254" t="str">
            <v>CA tỉnh Lạng Sơn</v>
          </cell>
          <cell r="O254" t="str">
            <v>Xã Hưng Vũ</v>
          </cell>
          <cell r="P254" t="str">
            <v>Huyện Bắc Sơn</v>
          </cell>
          <cell r="Q254" t="str">
            <v>Tỉnh Lạng Sơn</v>
          </cell>
          <cell r="S254" t="str">
            <v>Xã Hưng Vũ</v>
          </cell>
          <cell r="T254" t="str">
            <v>Huyện Bắc Sơn</v>
          </cell>
          <cell r="U254" t="str">
            <v>Tỉnh Lạng Sơn</v>
          </cell>
          <cell r="V254" t="str">
            <v>Xã Hưng Vũ, Huyện Bắc Sơn, Tỉnh Lạng Sơn</v>
          </cell>
          <cell r="W254" t="str">
            <v>15/1/2010</v>
          </cell>
          <cell r="AA254">
            <v>0</v>
          </cell>
          <cell r="AB254" t="str">
            <v>TĐ011</v>
          </cell>
          <cell r="AC254" t="str">
            <v>Da liễu</v>
          </cell>
          <cell r="AD254" t="str">
            <v>KP019</v>
          </cell>
          <cell r="AE254" t="str">
            <v>Viên chức</v>
          </cell>
          <cell r="AF254" t="str">
            <v>V.08.05.12</v>
          </cell>
          <cell r="AG254" t="str">
            <v>Điều dưỡng (hạng III)</v>
          </cell>
          <cell r="AH254">
            <v>3.66</v>
          </cell>
          <cell r="AI254">
            <v>5</v>
          </cell>
          <cell r="AJ254">
            <v>0</v>
          </cell>
          <cell r="AK254">
            <v>45383</v>
          </cell>
          <cell r="AL254" t="str">
            <v>Đại học</v>
          </cell>
          <cell r="AM254" t="str">
            <v>Điều dưỡng ĐH</v>
          </cell>
          <cell r="AO254" t="str">
            <v>CĐ Y tế LS</v>
          </cell>
          <cell r="AP254">
            <v>2008</v>
          </cell>
          <cell r="AQ254" t="str">
            <v>12/12</v>
          </cell>
          <cell r="AR254">
            <v>0</v>
          </cell>
          <cell r="AS254">
            <v>0</v>
          </cell>
          <cell r="AT254">
            <v>0</v>
          </cell>
          <cell r="AU254" t="str">
            <v>A2</v>
          </cell>
          <cell r="AV254">
            <v>0</v>
          </cell>
          <cell r="AW254" t="str">
            <v>Cơ bản</v>
          </cell>
          <cell r="AY254" t="str">
            <v>Tày</v>
          </cell>
          <cell r="AZ254">
            <v>43902</v>
          </cell>
          <cell r="BA254" t="e">
            <v>#REF!</v>
          </cell>
          <cell r="BB254" t="e">
            <v>#REF!</v>
          </cell>
          <cell r="BC254" t="str">
            <v>24/06/2013</v>
          </cell>
        </row>
        <row r="255">
          <cell r="A255" t="str">
            <v>BV0226</v>
          </cell>
          <cell r="B255">
            <v>249</v>
          </cell>
          <cell r="C255" t="str">
            <v>Mã Thị Linh</v>
          </cell>
          <cell r="D255" t="str">
            <v>BV0226</v>
          </cell>
          <cell r="E255">
            <v>2010002678</v>
          </cell>
          <cell r="G255" t="str">
            <v>CCCD: 020186001044 
Ngày cấp 2/4/2021, 
Tại Cục cảnh sát quản lý hành chính về trật tự xã hội</v>
          </cell>
          <cell r="I255">
            <v>31759</v>
          </cell>
          <cell r="J255">
            <v>39</v>
          </cell>
          <cell r="K255" t="str">
            <v>082010324</v>
          </cell>
          <cell r="L255" t="str">
            <v>15/12/2003</v>
          </cell>
          <cell r="M255" t="str">
            <v>CA tỉnh Lạng Sơn</v>
          </cell>
          <cell r="O255" t="str">
            <v>Xã Hòa Cư</v>
          </cell>
          <cell r="P255" t="str">
            <v>Huyện Cao Lộc</v>
          </cell>
          <cell r="Q255" t="str">
            <v>Tỉnh Lạng Sơn</v>
          </cell>
          <cell r="S255" t="str">
            <v>Xã Hòa Cư</v>
          </cell>
          <cell r="T255" t="str">
            <v>Huyện Cao Lộc</v>
          </cell>
          <cell r="U255" t="str">
            <v>Tỉnh Lạng Sơn</v>
          </cell>
          <cell r="V255" t="str">
            <v>Xã Hòa Cư, Huyện Cao Lộc, Tỉnh Lạng Sơn</v>
          </cell>
          <cell r="W255" t="str">
            <v>15/1/2010</v>
          </cell>
          <cell r="AA255">
            <v>0</v>
          </cell>
          <cell r="AB255" t="str">
            <v>TĐ012</v>
          </cell>
          <cell r="AC255" t="str">
            <v>Da liễu</v>
          </cell>
          <cell r="AD255" t="str">
            <v>KP019</v>
          </cell>
          <cell r="AE255" t="str">
            <v>Viên chức</v>
          </cell>
          <cell r="AF255" t="str">
            <v>V.08.05.13</v>
          </cell>
          <cell r="AG255" t="str">
            <v>Điều dưỡng (hạng IV)</v>
          </cell>
          <cell r="AH255">
            <v>3.34</v>
          </cell>
          <cell r="AI255">
            <v>5</v>
          </cell>
          <cell r="AJ255">
            <v>0</v>
          </cell>
          <cell r="AK255">
            <v>44927</v>
          </cell>
          <cell r="AL255" t="str">
            <v>Cao đẳng</v>
          </cell>
          <cell r="AM255" t="str">
            <v>Điều dưỡng CĐ</v>
          </cell>
          <cell r="AR255">
            <v>0</v>
          </cell>
          <cell r="AS255">
            <v>0</v>
          </cell>
          <cell r="AT255">
            <v>0</v>
          </cell>
          <cell r="AU255" t="str">
            <v>C</v>
          </cell>
          <cell r="AV255">
            <v>0</v>
          </cell>
          <cell r="AW255" t="str">
            <v>C</v>
          </cell>
          <cell r="AY255" t="str">
            <v>Nùng</v>
          </cell>
          <cell r="BA255" t="e">
            <v>#REF!</v>
          </cell>
          <cell r="BB255" t="e">
            <v>#REF!</v>
          </cell>
          <cell r="BC255" t="str">
            <v>24/06/2013</v>
          </cell>
        </row>
        <row r="256">
          <cell r="A256" t="str">
            <v>BV0351</v>
          </cell>
          <cell r="B256">
            <v>250</v>
          </cell>
          <cell r="C256" t="str">
            <v>Ngô Thu Lê</v>
          </cell>
          <cell r="D256" t="str">
            <v>BV0351</v>
          </cell>
          <cell r="E256">
            <v>2013002635</v>
          </cell>
          <cell r="G256" t="str">
            <v>020176005885 cấp ngày 09/5/2021 Cục cảnh sát quản lý hành chính về trật tự xã hội</v>
          </cell>
          <cell r="I256">
            <v>32890</v>
          </cell>
          <cell r="J256">
            <v>36</v>
          </cell>
          <cell r="K256" t="str">
            <v>082078111</v>
          </cell>
          <cell r="L256" t="str">
            <v>03/3/2006</v>
          </cell>
          <cell r="M256" t="str">
            <v>CA tỉnh Lạng Sơn</v>
          </cell>
          <cell r="N256" t="str">
            <v>Tỉnh Lạng Sơn</v>
          </cell>
          <cell r="O256" t="str">
            <v>Đình Bảng</v>
          </cell>
          <cell r="P256" t="str">
            <v>Huyện Từ Sơn</v>
          </cell>
          <cell r="Q256" t="str">
            <v>Tỉnh Bắc Ninh</v>
          </cell>
          <cell r="S256" t="str">
            <v>Phường Đông Kinh</v>
          </cell>
          <cell r="T256" t="str">
            <v>Thành phố Lạng Sơn</v>
          </cell>
          <cell r="U256" t="str">
            <v>Tỉnh Lạng Sơn</v>
          </cell>
          <cell r="V256" t="str">
            <v>Phường Đông Kinh, Thành phố Lạng Sơn, Tỉnh Lạng Sơn</v>
          </cell>
          <cell r="W256" t="str">
            <v>01/11/2014</v>
          </cell>
          <cell r="AA256">
            <v>0</v>
          </cell>
          <cell r="AB256" t="str">
            <v>TĐ003</v>
          </cell>
          <cell r="AC256" t="str">
            <v>YHCT</v>
          </cell>
          <cell r="AD256" t="str">
            <v>KP020</v>
          </cell>
          <cell r="AE256" t="str">
            <v>Viên chức</v>
          </cell>
          <cell r="AF256" t="str">
            <v>V.08.01.03</v>
          </cell>
          <cell r="AG256" t="str">
            <v>Bác sĩ (hạng III)</v>
          </cell>
          <cell r="AH256">
            <v>3.33</v>
          </cell>
          <cell r="AI256">
            <v>4</v>
          </cell>
          <cell r="AJ256">
            <v>0</v>
          </cell>
          <cell r="AK256">
            <v>45047</v>
          </cell>
          <cell r="AL256" t="str">
            <v>Đại học</v>
          </cell>
          <cell r="AM256" t="str">
            <v>BSCKI</v>
          </cell>
          <cell r="AN256" t="str">
            <v>YHCT</v>
          </cell>
          <cell r="AO256" t="str">
            <v>Học viện Y dược học cổ truyền VN</v>
          </cell>
          <cell r="AP256">
            <v>2013</v>
          </cell>
          <cell r="AQ256" t="str">
            <v>12/12</v>
          </cell>
          <cell r="AR256">
            <v>0</v>
          </cell>
          <cell r="AS256">
            <v>0</v>
          </cell>
          <cell r="AT256" t="str">
            <v>x</v>
          </cell>
          <cell r="AU256" t="str">
            <v>TOEIC</v>
          </cell>
          <cell r="AV256">
            <v>0</v>
          </cell>
          <cell r="AW256" t="str">
            <v>Cơ bản</v>
          </cell>
          <cell r="AY256" t="str">
            <v>Kinh</v>
          </cell>
          <cell r="BA256" t="e">
            <v>#REF!</v>
          </cell>
          <cell r="BB256" t="e">
            <v>#REF!</v>
          </cell>
          <cell r="BC256" t="str">
            <v>01/06/2016</v>
          </cell>
        </row>
        <row r="257">
          <cell r="A257" t="str">
            <v>BV0169</v>
          </cell>
          <cell r="B257">
            <v>251</v>
          </cell>
          <cell r="C257" t="str">
            <v>Hoàng Thị Bích Hà</v>
          </cell>
          <cell r="D257" t="str">
            <v>BV0169</v>
          </cell>
          <cell r="E257">
            <v>1505002497</v>
          </cell>
          <cell r="G257" t="str">
            <v>020180006217 cấp ngày 25/6/2021 Cục cảnh sát quản lý hành chính về trật tự xã hội</v>
          </cell>
          <cell r="I257">
            <v>29573</v>
          </cell>
          <cell r="J257">
            <v>45</v>
          </cell>
          <cell r="K257" t="str">
            <v>080983865</v>
          </cell>
          <cell r="L257" t="str">
            <v>23/3/1999</v>
          </cell>
          <cell r="M257" t="str">
            <v>CA tỉnh Lạng Sơn</v>
          </cell>
          <cell r="N257" t="str">
            <v>Tỉnh Lạng Sơn</v>
          </cell>
          <cell r="P257" t="str">
            <v>Huyện Văn Quan</v>
          </cell>
          <cell r="Q257" t="str">
            <v>Tỉnh Lạng Sơn</v>
          </cell>
          <cell r="S257" t="str">
            <v>Thị trấn Cao Lộc</v>
          </cell>
          <cell r="T257" t="str">
            <v>Huyện Cao Lộc</v>
          </cell>
          <cell r="U257" t="str">
            <v>Tỉnh Lạng Sơn</v>
          </cell>
          <cell r="V257" t="str">
            <v>Thị trấn Cao Lộc, Huyện Cao Lộc, Tỉnh Lạng Sơn</v>
          </cell>
          <cell r="W257" t="str">
            <v>16/2/2005</v>
          </cell>
          <cell r="AA257">
            <v>0</v>
          </cell>
          <cell r="AB257" t="str">
            <v>TĐ011</v>
          </cell>
          <cell r="AC257" t="str">
            <v>YHCT</v>
          </cell>
          <cell r="AD257" t="str">
            <v>KP020</v>
          </cell>
          <cell r="AE257" t="str">
            <v>Viên chức</v>
          </cell>
          <cell r="AF257" t="str">
            <v>V.08.05.12</v>
          </cell>
          <cell r="AG257" t="str">
            <v>Điều dưỡng (hạng III)</v>
          </cell>
          <cell r="AH257">
            <v>3.99</v>
          </cell>
          <cell r="AI257">
            <v>6</v>
          </cell>
          <cell r="AJ257">
            <v>0</v>
          </cell>
          <cell r="AK257">
            <v>45292</v>
          </cell>
          <cell r="AL257" t="str">
            <v>Đại học</v>
          </cell>
          <cell r="AM257" t="str">
            <v>Điều dưỡng ĐH</v>
          </cell>
          <cell r="AO257" t="str">
            <v>ĐH Y Dược - ĐH Thái Nguyên</v>
          </cell>
          <cell r="AP257">
            <v>2014</v>
          </cell>
          <cell r="AQ257" t="str">
            <v>12/12</v>
          </cell>
          <cell r="AR257">
            <v>0</v>
          </cell>
          <cell r="AS257">
            <v>0</v>
          </cell>
          <cell r="AT257" t="str">
            <v>x</v>
          </cell>
          <cell r="AU257">
            <v>0</v>
          </cell>
          <cell r="AV257" t="str">
            <v>x</v>
          </cell>
          <cell r="AW257" t="str">
            <v>x</v>
          </cell>
          <cell r="AY257" t="str">
            <v>Tày</v>
          </cell>
          <cell r="AZ257">
            <v>43504</v>
          </cell>
          <cell r="BA257" t="e">
            <v>#REF!</v>
          </cell>
          <cell r="BB257" t="e">
            <v>#REF!</v>
          </cell>
          <cell r="BC257" t="str">
            <v>24/06/2013</v>
          </cell>
        </row>
        <row r="258">
          <cell r="A258" t="str">
            <v>BV0357</v>
          </cell>
          <cell r="B258">
            <v>252</v>
          </cell>
          <cell r="C258" t="str">
            <v>Vi Văn Tiến</v>
          </cell>
          <cell r="D258" t="str">
            <v>BV0357</v>
          </cell>
          <cell r="E258">
            <v>1502000864</v>
          </cell>
          <cell r="G258" t="str">
            <v>020076002080 cấp ngày 29/4/2021 Cục cảnh sát quản lý hành chính về trật tự xã hội</v>
          </cell>
          <cell r="H258">
            <v>28060</v>
          </cell>
          <cell r="J258">
            <v>49</v>
          </cell>
          <cell r="K258" t="str">
            <v>080944134</v>
          </cell>
          <cell r="L258" t="str">
            <v>04/03/2003</v>
          </cell>
          <cell r="M258" t="str">
            <v>CA tỉnh Lạng Sơn</v>
          </cell>
          <cell r="P258" t="str">
            <v>Huyện Văn Quan</v>
          </cell>
          <cell r="Q258" t="str">
            <v>Tỉnh Lạng Sơn</v>
          </cell>
          <cell r="S258" t="str">
            <v>Phường Đông Kinh</v>
          </cell>
          <cell r="T258" t="str">
            <v>Thành phố Lạng Sơn</v>
          </cell>
          <cell r="U258" t="str">
            <v>Tỉnh Lạng Sơn</v>
          </cell>
          <cell r="V258" t="str">
            <v>Phường Đông Kinh, Thành phố Lạng Sơn, Tỉnh Lạng Sơn</v>
          </cell>
          <cell r="W258" t="str">
            <v>25/12/2008</v>
          </cell>
          <cell r="AA258">
            <v>0</v>
          </cell>
          <cell r="AB258" t="str">
            <v>TĐ012</v>
          </cell>
          <cell r="AC258" t="str">
            <v>YHCT</v>
          </cell>
          <cell r="AD258" t="str">
            <v>KP020</v>
          </cell>
          <cell r="AE258" t="str">
            <v>Viên chức</v>
          </cell>
          <cell r="AF258" t="str">
            <v>V.08.05.13</v>
          </cell>
          <cell r="AG258" t="str">
            <v>Điều dưỡng (hạng IV)</v>
          </cell>
          <cell r="AH258">
            <v>3.96</v>
          </cell>
          <cell r="AI258">
            <v>7</v>
          </cell>
          <cell r="AJ258">
            <v>0</v>
          </cell>
          <cell r="AK258">
            <v>45839</v>
          </cell>
          <cell r="AL258" t="str">
            <v>Cao đẳng</v>
          </cell>
          <cell r="AM258" t="str">
            <v>Điều dưỡng CĐ</v>
          </cell>
          <cell r="AO258" t="str">
            <v>Trung học Y tế Lạng Sơn</v>
          </cell>
          <cell r="AP258">
            <v>1998</v>
          </cell>
          <cell r="AQ258" t="str">
            <v>12/12</v>
          </cell>
          <cell r="AR258" t="str">
            <v>Chuyên viên</v>
          </cell>
          <cell r="AS258" t="str">
            <v>x</v>
          </cell>
          <cell r="AT258">
            <v>0</v>
          </cell>
          <cell r="AU258" t="str">
            <v>Bậc 4</v>
          </cell>
          <cell r="AV258">
            <v>0</v>
          </cell>
          <cell r="AW258" t="str">
            <v>Tin B</v>
          </cell>
          <cell r="AY258" t="str">
            <v>Nùng</v>
          </cell>
          <cell r="BA258" t="e">
            <v>#REF!</v>
          </cell>
          <cell r="BB258" t="e">
            <v>#REF!</v>
          </cell>
          <cell r="BC258" t="str">
            <v>28/06/2012</v>
          </cell>
        </row>
        <row r="259">
          <cell r="A259" t="str">
            <v>BV0358</v>
          </cell>
          <cell r="B259">
            <v>253</v>
          </cell>
          <cell r="C259" t="str">
            <v>Nông Thị Thu Hường</v>
          </cell>
          <cell r="D259" t="str">
            <v>BV0358</v>
          </cell>
          <cell r="E259">
            <v>2010000154</v>
          </cell>
          <cell r="G259" t="str">
            <v>020187012098 cấp ngày 12/8/2021 Cục cảnh sát quản lý hành chính về trật tự xã hội</v>
          </cell>
          <cell r="I259">
            <v>31802</v>
          </cell>
          <cell r="J259">
            <v>39</v>
          </cell>
          <cell r="K259" t="str">
            <v>082013217</v>
          </cell>
          <cell r="L259" t="str">
            <v>28/01/2013</v>
          </cell>
          <cell r="M259" t="str">
            <v>CA tỉnh Lạng Sơn</v>
          </cell>
          <cell r="N259" t="str">
            <v>Tỉnh Lạng Sơn</v>
          </cell>
          <cell r="O259" t="str">
            <v>Xã Quan Sơn</v>
          </cell>
          <cell r="P259" t="str">
            <v>Huyện Chi Lăng</v>
          </cell>
          <cell r="Q259" t="str">
            <v>Tỉnh Lạng Sơn</v>
          </cell>
          <cell r="S259" t="str">
            <v>Xã Quan Sơn</v>
          </cell>
          <cell r="T259" t="str">
            <v>Huyện Chi Lăng</v>
          </cell>
          <cell r="U259" t="str">
            <v>Tỉnh Lạng Sơn</v>
          </cell>
          <cell r="V259" t="str">
            <v>Xã Quan Sơn, Huyện Chi Lăng, Tỉnh Lạng Sơn</v>
          </cell>
          <cell r="W259" t="str">
            <v>15/1/2010</v>
          </cell>
          <cell r="AA259">
            <v>0</v>
          </cell>
          <cell r="AB259" t="str">
            <v>TĐ012</v>
          </cell>
          <cell r="AC259" t="str">
            <v>YHCT</v>
          </cell>
          <cell r="AD259" t="str">
            <v>KP020</v>
          </cell>
          <cell r="AE259" t="str">
            <v>Viên chức</v>
          </cell>
          <cell r="AF259" t="str">
            <v>V.08.05.13</v>
          </cell>
          <cell r="AG259" t="str">
            <v>Điều dưỡng (hạng IV)</v>
          </cell>
          <cell r="AH259">
            <v>3.34</v>
          </cell>
          <cell r="AI259">
            <v>5</v>
          </cell>
          <cell r="AJ259">
            <v>0</v>
          </cell>
          <cell r="AK259">
            <v>44927</v>
          </cell>
          <cell r="AL259" t="str">
            <v>Cao đẳng</v>
          </cell>
          <cell r="AM259" t="str">
            <v>Điều dưỡng CĐ</v>
          </cell>
          <cell r="AO259" t="str">
            <v>TH Y tế Lạng Sơn</v>
          </cell>
          <cell r="AP259">
            <v>2006</v>
          </cell>
          <cell r="AQ259" t="str">
            <v>12/12</v>
          </cell>
          <cell r="AR259">
            <v>0</v>
          </cell>
          <cell r="AS259">
            <v>0</v>
          </cell>
          <cell r="AT259">
            <v>0</v>
          </cell>
          <cell r="AU259">
            <v>0</v>
          </cell>
          <cell r="AV259" t="str">
            <v>Tày</v>
          </cell>
          <cell r="AW259" t="str">
            <v>Cơ bản</v>
          </cell>
          <cell r="AY259" t="str">
            <v>Tày</v>
          </cell>
          <cell r="BA259" t="e">
            <v>#REF!</v>
          </cell>
          <cell r="BB259" t="e">
            <v>#REF!</v>
          </cell>
          <cell r="BC259" t="str">
            <v>24/06/2013</v>
          </cell>
        </row>
        <row r="260">
          <cell r="A260" t="str">
            <v>BV0029</v>
          </cell>
          <cell r="B260">
            <v>254</v>
          </cell>
          <cell r="C260" t="str">
            <v>Triệu Thị Mai Hương</v>
          </cell>
          <cell r="D260" t="str">
            <v>BV0029</v>
          </cell>
          <cell r="E260">
            <v>2009000708</v>
          </cell>
          <cell r="G260" t="str">
            <v>020187001163 cấp ngày 02/4/2021 Cục cảnh sát quản lý hành chính về trật tự xã hội</v>
          </cell>
          <cell r="I260">
            <v>31924</v>
          </cell>
          <cell r="J260">
            <v>39</v>
          </cell>
          <cell r="K260" t="str">
            <v>082026878</v>
          </cell>
          <cell r="L260" t="str">
            <v>15/03/2005</v>
          </cell>
          <cell r="M260" t="str">
            <v>CA tỉnh Lạng Sơn</v>
          </cell>
          <cell r="O260" t="str">
            <v>Xã Thụy Hùng</v>
          </cell>
          <cell r="P260" t="str">
            <v>Huyện Cao Lộc</v>
          </cell>
          <cell r="Q260" t="str">
            <v>Tỉnh Lạng Sơn</v>
          </cell>
          <cell r="S260" t="str">
            <v>Thị trấn Cao Lộc</v>
          </cell>
          <cell r="T260" t="str">
            <v>Huyện Cao Lộc</v>
          </cell>
          <cell r="U260" t="str">
            <v>Tỉnh Lạng Sơn</v>
          </cell>
          <cell r="V260" t="str">
            <v>Thị trấn Cao Lộc, Huyện Cao Lộc, Tỉnh Lạng Sơn</v>
          </cell>
          <cell r="W260" t="str">
            <v>15/01/2010</v>
          </cell>
          <cell r="AA260">
            <v>0</v>
          </cell>
          <cell r="AB260" t="str">
            <v>TĐ011</v>
          </cell>
          <cell r="AC260" t="str">
            <v>YHCT</v>
          </cell>
          <cell r="AD260" t="str">
            <v>KP020</v>
          </cell>
          <cell r="AE260" t="str">
            <v>Viên chức</v>
          </cell>
          <cell r="AF260" t="str">
            <v>V.08.05.12</v>
          </cell>
          <cell r="AG260" t="str">
            <v>Điều dưỡng (hạng III)</v>
          </cell>
          <cell r="AH260">
            <v>3.66</v>
          </cell>
          <cell r="AI260">
            <v>5</v>
          </cell>
          <cell r="AJ260">
            <v>0</v>
          </cell>
          <cell r="AK260">
            <v>45383</v>
          </cell>
          <cell r="AL260" t="str">
            <v>Đại học</v>
          </cell>
          <cell r="AM260" t="str">
            <v>Điều dưỡng ĐH</v>
          </cell>
          <cell r="AO260" t="str">
            <v>Cao đẳng Y tế Lạng Sơn</v>
          </cell>
          <cell r="AP260">
            <v>2008</v>
          </cell>
          <cell r="AQ260" t="str">
            <v>12/12</v>
          </cell>
          <cell r="AR260">
            <v>0</v>
          </cell>
          <cell r="AS260">
            <v>0</v>
          </cell>
          <cell r="AT260">
            <v>0</v>
          </cell>
          <cell r="AU260" t="str">
            <v>x</v>
          </cell>
          <cell r="AV260" t="str">
            <v>x</v>
          </cell>
          <cell r="AW260" t="str">
            <v>x</v>
          </cell>
          <cell r="AY260" t="str">
            <v>Tày</v>
          </cell>
          <cell r="BA260" t="e">
            <v>#REF!</v>
          </cell>
          <cell r="BB260" t="e">
            <v>#REF!</v>
          </cell>
          <cell r="BC260" t="str">
            <v>13/102016</v>
          </cell>
        </row>
        <row r="261">
          <cell r="A261" t="str">
            <v>BV0227</v>
          </cell>
          <cell r="B261">
            <v>255</v>
          </cell>
          <cell r="C261" t="str">
            <v>Mông Thị Thu</v>
          </cell>
          <cell r="D261" t="str">
            <v>BV0227</v>
          </cell>
          <cell r="E261">
            <v>2008002400</v>
          </cell>
          <cell r="G261" t="str">
            <v>020184007760 cấp ngày 25/6/2021 Cục cảnh sát quản lý hành chính về trật tự xã hội</v>
          </cell>
          <cell r="I261">
            <v>30694</v>
          </cell>
          <cell r="J261">
            <v>42</v>
          </cell>
          <cell r="K261" t="str">
            <v>081001444</v>
          </cell>
          <cell r="L261" t="str">
            <v>20/02/2003</v>
          </cell>
          <cell r="M261" t="str">
            <v>CA tỉnh Lạng Sơn</v>
          </cell>
          <cell r="N261" t="str">
            <v>Tỉnh Lạng Sơn</v>
          </cell>
          <cell r="P261" t="str">
            <v>Huyện Văn Lãng</v>
          </cell>
          <cell r="Q261" t="str">
            <v>Tỉnh Lạng Sơn</v>
          </cell>
          <cell r="S261" t="str">
            <v>Xã Quảng Lạc</v>
          </cell>
          <cell r="T261" t="str">
            <v>Thành phố Lạng Sơn</v>
          </cell>
          <cell r="U261" t="str">
            <v>Tỉnh Lạng Sơn</v>
          </cell>
          <cell r="V261" t="str">
            <v>Xã Quảng Lạc, Thành phố Lạng Sơn, Tỉnh Lạng Sơn</v>
          </cell>
          <cell r="W261" t="str">
            <v>8/12/2008</v>
          </cell>
          <cell r="AA261">
            <v>0</v>
          </cell>
          <cell r="AB261" t="str">
            <v>TĐ012</v>
          </cell>
          <cell r="AC261" t="str">
            <v>YHCT</v>
          </cell>
          <cell r="AD261" t="str">
            <v>KP020</v>
          </cell>
          <cell r="AE261" t="str">
            <v>Viên chức</v>
          </cell>
          <cell r="AF261" t="str">
            <v>V.08.05.13</v>
          </cell>
          <cell r="AG261" t="str">
            <v>Điều dưỡng (hạng IV)</v>
          </cell>
          <cell r="AH261">
            <v>3.65</v>
          </cell>
          <cell r="AI261">
            <v>6</v>
          </cell>
          <cell r="AJ261">
            <v>0</v>
          </cell>
          <cell r="AK261">
            <v>45809</v>
          </cell>
          <cell r="AL261" t="str">
            <v>Cao đẳng</v>
          </cell>
          <cell r="AM261" t="str">
            <v>Điều dưỡng CĐ</v>
          </cell>
          <cell r="AO261" t="str">
            <v>TH Y tế Lạng Sơn</v>
          </cell>
          <cell r="AP261">
            <v>2006</v>
          </cell>
          <cell r="AQ261" t="str">
            <v>12/12</v>
          </cell>
          <cell r="AR261">
            <v>0</v>
          </cell>
          <cell r="AS261">
            <v>0</v>
          </cell>
          <cell r="AT261">
            <v>0</v>
          </cell>
          <cell r="AU261" t="str">
            <v>x</v>
          </cell>
          <cell r="AV261">
            <v>0</v>
          </cell>
          <cell r="AW261" t="str">
            <v>x</v>
          </cell>
          <cell r="AY261" t="str">
            <v>Nùng</v>
          </cell>
          <cell r="AZ261">
            <v>41898</v>
          </cell>
          <cell r="BA261" t="e">
            <v>#REF!</v>
          </cell>
          <cell r="BB261" t="e">
            <v>#REF!</v>
          </cell>
          <cell r="BC261" t="str">
            <v>24/06/2013</v>
          </cell>
        </row>
        <row r="262">
          <cell r="A262" t="str">
            <v>BV0354</v>
          </cell>
          <cell r="B262">
            <v>256</v>
          </cell>
          <cell r="C262" t="str">
            <v>Chu Hương Thảo</v>
          </cell>
          <cell r="D262" t="str">
            <v>BV0354</v>
          </cell>
          <cell r="E262">
            <v>1505002932</v>
          </cell>
          <cell r="G262" t="str">
            <v>020174000793 cấp ngày 31/3/2021 Cục cảnh sát quản lý hành chính về trật tự xã hội</v>
          </cell>
          <cell r="I262">
            <v>27217</v>
          </cell>
          <cell r="J262">
            <v>52</v>
          </cell>
          <cell r="K262" t="str">
            <v>080961673</v>
          </cell>
          <cell r="L262" t="str">
            <v>20/12/2010</v>
          </cell>
          <cell r="M262" t="str">
            <v>CA tỉnh Lạng Sơn</v>
          </cell>
          <cell r="N262" t="str">
            <v>Tỉnh Lạng Sơn</v>
          </cell>
          <cell r="O262" t="str">
            <v>Xã Hồng Phong</v>
          </cell>
          <cell r="P262" t="str">
            <v>Huyện Cao Lộc</v>
          </cell>
          <cell r="Q262" t="str">
            <v>Tỉnh Lạng Sơn</v>
          </cell>
          <cell r="S262" t="str">
            <v>Phường Chi Lăng</v>
          </cell>
          <cell r="T262" t="str">
            <v>Thành phố Lạng Sơn</v>
          </cell>
          <cell r="U262" t="str">
            <v>Tỉnh Lạng Sơn</v>
          </cell>
          <cell r="V262" t="str">
            <v>Phường Chi Lăng, Thành phố Lạng Sơn, Tỉnh Lạng Sơn</v>
          </cell>
          <cell r="W262" t="str">
            <v>1/2/2005</v>
          </cell>
          <cell r="AA262">
            <v>0</v>
          </cell>
          <cell r="AB262" t="str">
            <v>TĐ012</v>
          </cell>
          <cell r="AC262" t="str">
            <v>YHCT</v>
          </cell>
          <cell r="AD262" t="str">
            <v>KP020</v>
          </cell>
          <cell r="AE262" t="str">
            <v>Viên chức</v>
          </cell>
          <cell r="AF262" t="str">
            <v>V.08.03.07</v>
          </cell>
          <cell r="AG262" t="str">
            <v>Điều dưỡng (hạng IV)</v>
          </cell>
          <cell r="AH262">
            <v>3.96</v>
          </cell>
          <cell r="AI262">
            <v>7</v>
          </cell>
          <cell r="AJ262">
            <v>0</v>
          </cell>
          <cell r="AK262">
            <v>46023</v>
          </cell>
          <cell r="AL262" t="str">
            <v>Trung cấp</v>
          </cell>
          <cell r="AM262" t="str">
            <v>Điều dưỡng CĐ</v>
          </cell>
          <cell r="AN262" t="str">
            <v>YHCT</v>
          </cell>
          <cell r="AO262" t="str">
            <v>Y học dân tộc Tuệ Tĩnh</v>
          </cell>
          <cell r="AP262">
            <v>1994</v>
          </cell>
          <cell r="AQ262" t="str">
            <v>12/12</v>
          </cell>
          <cell r="AR262">
            <v>0</v>
          </cell>
          <cell r="AS262">
            <v>0</v>
          </cell>
          <cell r="AT262">
            <v>0</v>
          </cell>
          <cell r="AU262">
            <v>0</v>
          </cell>
          <cell r="AV262" t="str">
            <v>x</v>
          </cell>
          <cell r="AW262" t="str">
            <v>x</v>
          </cell>
          <cell r="AY262" t="str">
            <v>Tày</v>
          </cell>
          <cell r="BA262" t="e">
            <v>#REF!</v>
          </cell>
          <cell r="BB262" t="e">
            <v>#REF!</v>
          </cell>
          <cell r="BC262" t="str">
            <v>1/06/2016</v>
          </cell>
        </row>
        <row r="263">
          <cell r="A263" t="str">
            <v>BV0355</v>
          </cell>
          <cell r="B263">
            <v>257</v>
          </cell>
          <cell r="C263" t="str">
            <v>Trần Thị Huyền</v>
          </cell>
          <cell r="D263" t="str">
            <v>BV0355</v>
          </cell>
          <cell r="E263">
            <v>1505001937</v>
          </cell>
          <cell r="G263" t="str">
            <v>004177000164 cấp ngày 26/3/2021 Cục cảnh sát quản lý hành chính về trật tự xã hội</v>
          </cell>
          <cell r="I263">
            <v>28257</v>
          </cell>
          <cell r="J263">
            <v>49</v>
          </cell>
          <cell r="K263" t="str">
            <v>082130659</v>
          </cell>
          <cell r="L263" t="str">
            <v>11/12/2007</v>
          </cell>
          <cell r="M263" t="str">
            <v>CA tỉnh Lạng Sơn</v>
          </cell>
          <cell r="N263" t="str">
            <v>Tỉnh Cao Bằng</v>
          </cell>
          <cell r="O263" t="str">
            <v>Xã Trùng Khánh</v>
          </cell>
          <cell r="P263" t="str">
            <v>Huyện Trùng Khánh</v>
          </cell>
          <cell r="Q263" t="str">
            <v>TỈnh Cao Bằng</v>
          </cell>
          <cell r="S263" t="str">
            <v>Phường Vĩnh Trại</v>
          </cell>
          <cell r="T263" t="str">
            <v>Thành phố Lạng Sơn</v>
          </cell>
          <cell r="U263" t="str">
            <v>Tỉnh Lạng Sơn</v>
          </cell>
          <cell r="V263" t="str">
            <v>Phường Vĩnh Trại, Thành phố Lạng Sơn, Tỉnh Lạng Sơn</v>
          </cell>
          <cell r="W263" t="str">
            <v>1/12/2008</v>
          </cell>
          <cell r="AA263" t="str">
            <v>Điều dưỡng trưởng</v>
          </cell>
          <cell r="AB263" t="str">
            <v>TĐ012</v>
          </cell>
          <cell r="AC263" t="str">
            <v>YHCT</v>
          </cell>
          <cell r="AD263" t="str">
            <v>KP020</v>
          </cell>
          <cell r="AE263" t="str">
            <v>Viên chức</v>
          </cell>
          <cell r="AF263" t="str">
            <v>V.08.03.07</v>
          </cell>
          <cell r="AG263" t="str">
            <v>Điều dưỡng (hạng IV)</v>
          </cell>
          <cell r="AH263">
            <v>3.96</v>
          </cell>
          <cell r="AI263">
            <v>7</v>
          </cell>
          <cell r="AJ263">
            <v>0</v>
          </cell>
          <cell r="AK263">
            <v>46023</v>
          </cell>
          <cell r="AL263" t="str">
            <v>Trung cấp</v>
          </cell>
          <cell r="AM263" t="str">
            <v>Điều dưỡng CĐ</v>
          </cell>
          <cell r="AN263" t="str">
            <v>YHCT</v>
          </cell>
          <cell r="AO263" t="str">
            <v xml:space="preserve">TH Y học cổ truyền Tuệ Tĩnh </v>
          </cell>
          <cell r="AP263">
            <v>2002</v>
          </cell>
          <cell r="AQ263" t="str">
            <v>12/12</v>
          </cell>
          <cell r="AR263">
            <v>0</v>
          </cell>
          <cell r="AS263">
            <v>0</v>
          </cell>
          <cell r="AT263">
            <v>0</v>
          </cell>
          <cell r="AU263">
            <v>0</v>
          </cell>
          <cell r="AV263" t="str">
            <v>x</v>
          </cell>
          <cell r="AW263" t="str">
            <v>x</v>
          </cell>
          <cell r="AY263" t="str">
            <v>Tày</v>
          </cell>
          <cell r="BA263" t="e">
            <v>#REF!</v>
          </cell>
          <cell r="BB263" t="e">
            <v>#REF!</v>
          </cell>
          <cell r="BC263" t="str">
            <v>24/06/2013</v>
          </cell>
        </row>
        <row r="264">
          <cell r="A264" t="str">
            <v>BV0356</v>
          </cell>
          <cell r="B264">
            <v>258</v>
          </cell>
          <cell r="C264" t="str">
            <v>Lê Thị Phượng</v>
          </cell>
          <cell r="D264" t="str">
            <v>BV0356</v>
          </cell>
          <cell r="E264">
            <v>2012000295</v>
          </cell>
          <cell r="G264" t="str">
            <v>020188001066 cấp ngày 02/4/2021 Cục cảnh sát quản lý hành chính về trật tự xã hội</v>
          </cell>
          <cell r="I264">
            <v>32357</v>
          </cell>
          <cell r="J264">
            <v>37</v>
          </cell>
          <cell r="K264" t="str">
            <v>080255970</v>
          </cell>
          <cell r="L264" t="str">
            <v>03/8/2005</v>
          </cell>
          <cell r="M264" t="str">
            <v>CA tỉnh Lạng Sơn</v>
          </cell>
          <cell r="N264" t="str">
            <v>Tỉnh Lạng Sơn</v>
          </cell>
          <cell r="O264" t="str">
            <v>Phường Chi Lăng</v>
          </cell>
          <cell r="P264" t="str">
            <v>Thành phố Lạng Sơn</v>
          </cell>
          <cell r="Q264" t="str">
            <v>Tỉnh Lạng Sơn</v>
          </cell>
          <cell r="S264" t="str">
            <v>Phường Chi Lăng</v>
          </cell>
          <cell r="T264" t="str">
            <v>Thành phố Lạng Sơn</v>
          </cell>
          <cell r="U264" t="str">
            <v>Tỉnh Lạng Sơn</v>
          </cell>
          <cell r="V264" t="str">
            <v>Phường Chi Lăng, Thành phố Lạng Sơn, Tỉnh Lạng Sơn</v>
          </cell>
          <cell r="W264" t="str">
            <v>10/6/2013</v>
          </cell>
          <cell r="AA264">
            <v>0</v>
          </cell>
          <cell r="AB264" t="str">
            <v>TĐ012</v>
          </cell>
          <cell r="AC264" t="str">
            <v>YHCT</v>
          </cell>
          <cell r="AD264" t="str">
            <v>KP020</v>
          </cell>
          <cell r="AE264" t="str">
            <v>Viên chức</v>
          </cell>
          <cell r="AF264" t="str">
            <v>V.08.03.07</v>
          </cell>
          <cell r="AG264" t="str">
            <v>Điều dưỡng (hạng IV)</v>
          </cell>
          <cell r="AH264">
            <v>3.34</v>
          </cell>
          <cell r="AI264">
            <v>5</v>
          </cell>
          <cell r="AJ264">
            <v>0</v>
          </cell>
          <cell r="AK264">
            <v>46023</v>
          </cell>
          <cell r="AL264" t="str">
            <v>Trung cấp</v>
          </cell>
          <cell r="AM264" t="str">
            <v>Điều dưỡng CĐ</v>
          </cell>
          <cell r="AN264" t="str">
            <v>YHCT</v>
          </cell>
          <cell r="AO264" t="str">
            <v>CĐ Y tế Lạng Sơn</v>
          </cell>
          <cell r="AP264">
            <v>2010</v>
          </cell>
          <cell r="AQ264" t="str">
            <v>12/12</v>
          </cell>
          <cell r="AR264">
            <v>0</v>
          </cell>
          <cell r="AS264">
            <v>0</v>
          </cell>
          <cell r="AT264">
            <v>0</v>
          </cell>
          <cell r="AU264">
            <v>0</v>
          </cell>
          <cell r="AV264" t="str">
            <v>x</v>
          </cell>
          <cell r="AW264" t="str">
            <v>x</v>
          </cell>
          <cell r="AY264" t="str">
            <v>Kinh</v>
          </cell>
          <cell r="BA264" t="e">
            <v>#REF!</v>
          </cell>
          <cell r="BB264" t="e">
            <v>#REF!</v>
          </cell>
          <cell r="BC264" t="str">
            <v>01/06/2016</v>
          </cell>
        </row>
        <row r="265">
          <cell r="A265" t="str">
            <v>BV1122</v>
          </cell>
          <cell r="B265">
            <v>259</v>
          </cell>
          <cell r="C265" t="str">
            <v>Nguyễn Ngọc Thiện</v>
          </cell>
          <cell r="D265" t="str">
            <v>BV1122</v>
          </cell>
          <cell r="E265" t="str">
            <v>1506002998</v>
          </cell>
          <cell r="G265" t="str">
            <v>024081003063 cấp ngày 29/4/2021 Cục cảnh sát quản lý hành chính về trật tự xã hội</v>
          </cell>
          <cell r="H265">
            <v>29834</v>
          </cell>
          <cell r="W265" t="str">
            <v>30/12/2005</v>
          </cell>
          <cell r="X265" t="str">
            <v>6/4/2021</v>
          </cell>
          <cell r="AA265">
            <v>0</v>
          </cell>
          <cell r="AC265" t="str">
            <v>YHCT</v>
          </cell>
          <cell r="AD265" t="str">
            <v>KP020</v>
          </cell>
          <cell r="AE265" t="str">
            <v>Viên chức</v>
          </cell>
          <cell r="AF265" t="str">
            <v>V.08.03.07</v>
          </cell>
          <cell r="AG265" t="str">
            <v>Y sỹ ( hạng IV)</v>
          </cell>
          <cell r="AH265">
            <v>3.99</v>
          </cell>
          <cell r="AI265">
            <v>6</v>
          </cell>
          <cell r="AJ265">
            <v>0</v>
          </cell>
          <cell r="AK265">
            <v>45870</v>
          </cell>
          <cell r="AL265" t="str">
            <v>Đại học</v>
          </cell>
          <cell r="AM265" t="str">
            <v>Bác sĩ</v>
          </cell>
          <cell r="AN265" t="str">
            <v>YHCT</v>
          </cell>
          <cell r="AR265" t="e">
            <v>#N/A</v>
          </cell>
          <cell r="AS265" t="e">
            <v>#N/A</v>
          </cell>
          <cell r="AT265" t="e">
            <v>#N/A</v>
          </cell>
          <cell r="AU265" t="e">
            <v>#N/A</v>
          </cell>
          <cell r="AV265" t="e">
            <v>#N/A</v>
          </cell>
          <cell r="AW265" t="e">
            <v>#N/A</v>
          </cell>
          <cell r="AY265" t="str">
            <v>Tày</v>
          </cell>
          <cell r="AZ265">
            <v>40033</v>
          </cell>
        </row>
        <row r="266">
          <cell r="A266" t="str">
            <v>BV0761</v>
          </cell>
          <cell r="B266">
            <v>260</v>
          </cell>
          <cell r="C266" t="str">
            <v>Lục Thị Lan</v>
          </cell>
          <cell r="D266" t="str">
            <v>BV0761</v>
          </cell>
          <cell r="E266" t="str">
            <v>2020347473</v>
          </cell>
          <cell r="G266" t="str">
            <v>CCCD: 020192007786 ngày cấp 16/01/2022
Cục trưởng cục CSQLHC về TTXH</v>
          </cell>
          <cell r="I266">
            <v>33897</v>
          </cell>
          <cell r="J266">
            <v>33</v>
          </cell>
          <cell r="K266" t="str">
            <v>082163857</v>
          </cell>
          <cell r="L266" t="str">
            <v>26/7/2008</v>
          </cell>
          <cell r="M266" t="str">
            <v>CA tỉnh Lạng Sơn</v>
          </cell>
          <cell r="N266" t="str">
            <v>Hồng Phong,  Cao Lộc</v>
          </cell>
          <cell r="O266" t="str">
            <v>Hồng Phong</v>
          </cell>
          <cell r="P266" t="str">
            <v>Cao Lộc</v>
          </cell>
          <cell r="Q266" t="str">
            <v>Lạng Sơn</v>
          </cell>
          <cell r="R266" t="str">
            <v>Số nhà 25 Đức Tâm 2</v>
          </cell>
          <cell r="S266" t="str">
            <v>Thị Trấn Văn Quan</v>
          </cell>
          <cell r="T266" t="str">
            <v>Văn Quan</v>
          </cell>
          <cell r="U266" t="str">
            <v>Lạng Sơn</v>
          </cell>
          <cell r="V266" t="str">
            <v>Thị Trấn Văn Quan, Văn Quan, Lạng Sơn</v>
          </cell>
          <cell r="W266" t="str">
            <v>10/2/2017</v>
          </cell>
          <cell r="AA266">
            <v>0</v>
          </cell>
          <cell r="AB266" t="str">
            <v>TĐ005</v>
          </cell>
          <cell r="AC266" t="str">
            <v>VLTL-PHCN</v>
          </cell>
          <cell r="AD266" t="str">
            <v>KP021</v>
          </cell>
          <cell r="AE266" t="str">
            <v>Viên chức</v>
          </cell>
          <cell r="AF266" t="str">
            <v>V.08.01.03</v>
          </cell>
          <cell r="AG266" t="str">
            <v>Bác sĩ (hạng III)</v>
          </cell>
          <cell r="AH266">
            <v>3</v>
          </cell>
          <cell r="AI266">
            <v>3</v>
          </cell>
          <cell r="AJ266">
            <v>0</v>
          </cell>
          <cell r="AK266">
            <v>45246</v>
          </cell>
          <cell r="AL266" t="str">
            <v>Đại học</v>
          </cell>
          <cell r="AM266" t="str">
            <v>Bác sĩ</v>
          </cell>
          <cell r="AN266" t="str">
            <v>Đa khoa</v>
          </cell>
          <cell r="AO266" t="str">
            <v>ĐH Y Dược - ĐH Thái Nguyên</v>
          </cell>
          <cell r="AP266" t="str">
            <v>2016</v>
          </cell>
          <cell r="AQ266" t="str">
            <v>12/12</v>
          </cell>
          <cell r="AR266">
            <v>0</v>
          </cell>
          <cell r="AS266">
            <v>0</v>
          </cell>
          <cell r="AT266">
            <v>0</v>
          </cell>
          <cell r="AU266">
            <v>0</v>
          </cell>
          <cell r="AV266">
            <v>0</v>
          </cell>
          <cell r="AW266">
            <v>0</v>
          </cell>
          <cell r="AY266" t="str">
            <v>Nùng</v>
          </cell>
          <cell r="BA266" t="e">
            <v>#REF!</v>
          </cell>
          <cell r="BB266" t="e">
            <v>#REF!</v>
          </cell>
          <cell r="BC266" t="str">
            <v>24/06/2013</v>
          </cell>
        </row>
        <row r="267">
          <cell r="A267" t="str">
            <v>BV0838</v>
          </cell>
          <cell r="B267">
            <v>261</v>
          </cell>
          <cell r="C267" t="str">
            <v>Hứa Mạnh Tuấn</v>
          </cell>
          <cell r="D267" t="str">
            <v>BV0838</v>
          </cell>
          <cell r="E267" t="str">
            <v>2020070072</v>
          </cell>
          <cell r="G267" t="str">
            <v>CCCD: 020087006624 ngày cấp 20/08/2021
Cục trưởng cục CSQLHC về TTXH</v>
          </cell>
          <cell r="H267" t="str">
            <v>25/3/1987</v>
          </cell>
          <cell r="J267">
            <v>39</v>
          </cell>
          <cell r="K267" t="str">
            <v>082020611</v>
          </cell>
          <cell r="L267" t="str">
            <v>20/5/2015</v>
          </cell>
          <cell r="M267" t="str">
            <v>CA tỉnh Lạng Sơn</v>
          </cell>
          <cell r="N267" t="str">
            <v>Thạch Đạn, Cao Lộc</v>
          </cell>
          <cell r="O267" t="str">
            <v>Xã Thạch Đạn</v>
          </cell>
          <cell r="P267" t="str">
            <v xml:space="preserve"> Huyện Cao Lộc</v>
          </cell>
          <cell r="Q267" t="str">
            <v>Lạng Sơn</v>
          </cell>
          <cell r="R267" t="str">
            <v>Khối Cửa Nam</v>
          </cell>
          <cell r="S267" t="str">
            <v>Phường Chi Lăng</v>
          </cell>
          <cell r="T267" t="str">
            <v>Thành phố Lạng Sơn</v>
          </cell>
          <cell r="U267" t="str">
            <v>Tỉnh Lạng Sơn</v>
          </cell>
          <cell r="V267" t="str">
            <v>Khối Cửa Nam, Phường Chi Lăng, TP. Lạng Sơn</v>
          </cell>
          <cell r="W267" t="str">
            <v>20/3/2018</v>
          </cell>
          <cell r="Y267">
            <v>567</v>
          </cell>
          <cell r="Z267" t="str">
            <v>18/3/2018</v>
          </cell>
          <cell r="AA267">
            <v>0</v>
          </cell>
          <cell r="AB267" t="str">
            <v>TĐ005</v>
          </cell>
          <cell r="AC267" t="str">
            <v>VLTL-PHCN</v>
          </cell>
          <cell r="AD267" t="str">
            <v>KP021</v>
          </cell>
          <cell r="AE267" t="str">
            <v>Viên chức</v>
          </cell>
          <cell r="AF267" t="str">
            <v>V.08.01.03</v>
          </cell>
          <cell r="AG267" t="str">
            <v>Bác sĩ (hạng III)</v>
          </cell>
          <cell r="AH267">
            <v>3</v>
          </cell>
          <cell r="AI267">
            <v>3</v>
          </cell>
          <cell r="AJ267">
            <v>0</v>
          </cell>
          <cell r="AK267">
            <v>45474</v>
          </cell>
          <cell r="AL267" t="str">
            <v>Đại học</v>
          </cell>
          <cell r="AM267" t="str">
            <v>Bác sĩ</v>
          </cell>
          <cell r="AN267" t="str">
            <v>PHCN</v>
          </cell>
          <cell r="AO267" t="str">
            <v>Đại học Y Dược - ĐH Thái Nguyên</v>
          </cell>
          <cell r="AP267">
            <v>2016</v>
          </cell>
          <cell r="AQ267" t="str">
            <v>12/12</v>
          </cell>
          <cell r="AR267">
            <v>0</v>
          </cell>
          <cell r="AS267">
            <v>0</v>
          </cell>
          <cell r="AT267">
            <v>0</v>
          </cell>
          <cell r="AU267">
            <v>0</v>
          </cell>
          <cell r="AV267">
            <v>0</v>
          </cell>
          <cell r="AW267">
            <v>0</v>
          </cell>
          <cell r="AY267" t="str">
            <v>Nùng</v>
          </cell>
          <cell r="BC267" t="str">
            <v>24/06/2013</v>
          </cell>
        </row>
        <row r="268">
          <cell r="A268" t="str">
            <v>BV0361</v>
          </cell>
          <cell r="B268">
            <v>262</v>
          </cell>
          <cell r="C268" t="str">
            <v>Lê Chí Hướng</v>
          </cell>
          <cell r="D268" t="str">
            <v>BV0361</v>
          </cell>
          <cell r="E268">
            <v>2011004197</v>
          </cell>
          <cell r="G268" t="str">
            <v>CCCD: 020083000665 ngày cấp 28/03/2021
Cục trưởng cục CSQLHC về TTXH</v>
          </cell>
          <cell r="H268">
            <v>30465</v>
          </cell>
          <cell r="J268">
            <v>43</v>
          </cell>
          <cell r="K268" t="str">
            <v>081037975</v>
          </cell>
          <cell r="L268" t="str">
            <v>21/11/2007</v>
          </cell>
          <cell r="M268" t="str">
            <v>CA tỉnh Lạng Sơn</v>
          </cell>
          <cell r="N268" t="str">
            <v>Tỉnh Lạng Sơn</v>
          </cell>
          <cell r="O268" t="str">
            <v>Xã Văn An</v>
          </cell>
          <cell r="P268" t="str">
            <v>Huyện Văn Quan</v>
          </cell>
          <cell r="Q268" t="str">
            <v>Tỉnh Lạng Sơn</v>
          </cell>
          <cell r="S268" t="str">
            <v>Phường Hoàng Văn Thụ</v>
          </cell>
          <cell r="T268" t="str">
            <v>Thành phố Lạng Sơn</v>
          </cell>
          <cell r="U268" t="str">
            <v>Tỉnh Lạng Sơn</v>
          </cell>
          <cell r="V268" t="str">
            <v>Phường Hoàng Văn Thụ, Thành phố Lạng Sơn, Tỉnh Lạng Sơn</v>
          </cell>
          <cell r="W268" t="str">
            <v>10/6/2013</v>
          </cell>
          <cell r="AA268" t="str">
            <v>Phụ trách khoa</v>
          </cell>
          <cell r="AB268" t="str">
            <v>TĐ003</v>
          </cell>
          <cell r="AC268" t="str">
            <v>YHCT</v>
          </cell>
          <cell r="AD268" t="str">
            <v>KP020</v>
          </cell>
          <cell r="AE268" t="str">
            <v>Viên chức</v>
          </cell>
          <cell r="AF268" t="str">
            <v>V.08.01.03</v>
          </cell>
          <cell r="AG268" t="str">
            <v>Bác sĩ (hạng III)</v>
          </cell>
          <cell r="AH268">
            <v>3.66</v>
          </cell>
          <cell r="AI268">
            <v>5</v>
          </cell>
          <cell r="AJ268">
            <v>0</v>
          </cell>
          <cell r="AK268">
            <v>45996</v>
          </cell>
          <cell r="AL268" t="str">
            <v>Đại học</v>
          </cell>
          <cell r="AM268" t="str">
            <v>BSCKI</v>
          </cell>
          <cell r="AN268" t="str">
            <v>YHCT</v>
          </cell>
          <cell r="AO268" t="str">
            <v>Học viên Trung y Quảng Tây, Trung Quốc</v>
          </cell>
          <cell r="AP268">
            <v>2010</v>
          </cell>
          <cell r="AQ268" t="str">
            <v>12/12</v>
          </cell>
          <cell r="AR268">
            <v>0</v>
          </cell>
          <cell r="AS268">
            <v>0</v>
          </cell>
          <cell r="AT268">
            <v>0</v>
          </cell>
          <cell r="AU268">
            <v>0</v>
          </cell>
          <cell r="AV268">
            <v>0</v>
          </cell>
          <cell r="AW268">
            <v>0</v>
          </cell>
          <cell r="AY268" t="str">
            <v>Kinh</v>
          </cell>
          <cell r="BA268" t="e">
            <v>#REF!</v>
          </cell>
          <cell r="BB268" t="e">
            <v>#REF!</v>
          </cell>
          <cell r="BC268" t="str">
            <v>24/06/2013</v>
          </cell>
        </row>
        <row r="269">
          <cell r="A269" t="str">
            <v>BV0679</v>
          </cell>
          <cell r="B269">
            <v>263</v>
          </cell>
          <cell r="C269" t="str">
            <v>Nguyễn Tuấn An</v>
          </cell>
          <cell r="D269" t="str">
            <v>BV0679</v>
          </cell>
          <cell r="E269">
            <v>2015002166</v>
          </cell>
          <cell r="G269" t="str">
            <v>CCCD: 020090000558 ngày cấp 29/03/2021
Cục trưởng cục CSQLHC về TTXH</v>
          </cell>
          <cell r="H269" t="str">
            <v>02/9/1990</v>
          </cell>
          <cell r="J269">
            <v>35</v>
          </cell>
          <cell r="K269" t="str">
            <v>082077390</v>
          </cell>
          <cell r="L269" t="str">
            <v>02/4/2008</v>
          </cell>
          <cell r="M269" t="str">
            <v>CA tỉnh Lạng Sơn</v>
          </cell>
          <cell r="N269" t="str">
            <v>Tỉnh Lạng Sơn</v>
          </cell>
          <cell r="O269" t="str">
            <v>Xã Hoàng Đồng</v>
          </cell>
          <cell r="P269" t="str">
            <v>TP. Lạng Sơn</v>
          </cell>
          <cell r="Q269" t="str">
            <v>Tỉnh Lạng Sơn</v>
          </cell>
          <cell r="S269" t="str">
            <v>Xã Hoàng Đồng</v>
          </cell>
          <cell r="T269" t="str">
            <v>Thành phố Lạng Sơn</v>
          </cell>
          <cell r="U269" t="str">
            <v>Tỉnh Lạng Sơn</v>
          </cell>
          <cell r="V269" t="str">
            <v>Xã Hoàng Đồng, Thành phố Lạng Sơn, Tỉnh Lạng Sơn</v>
          </cell>
          <cell r="W269" t="str">
            <v>10/01/2016</v>
          </cell>
          <cell r="AA269" t="str">
            <v>Trưởng khoa</v>
          </cell>
          <cell r="AB269" t="str">
            <v>TĐ003</v>
          </cell>
          <cell r="AC269" t="str">
            <v>VLTL-PHCN</v>
          </cell>
          <cell r="AD269" t="str">
            <v>KP021</v>
          </cell>
          <cell r="AE269" t="str">
            <v>Viên chức</v>
          </cell>
          <cell r="AF269" t="str">
            <v>V.08.01.03</v>
          </cell>
          <cell r="AG269" t="str">
            <v>Bác sĩ (hạng III)</v>
          </cell>
          <cell r="AH269">
            <v>3.33</v>
          </cell>
          <cell r="AI269">
            <v>4</v>
          </cell>
          <cell r="AJ269">
            <v>0</v>
          </cell>
          <cell r="AK269">
            <v>45768</v>
          </cell>
          <cell r="AL269" t="str">
            <v>Đại học</v>
          </cell>
          <cell r="AM269" t="str">
            <v>BSCKI</v>
          </cell>
          <cell r="AN269" t="str">
            <v>PHCN</v>
          </cell>
          <cell r="AO269" t="str">
            <v>ĐH Y Dược - ĐH Thái Nguyên</v>
          </cell>
          <cell r="AP269">
            <v>2014</v>
          </cell>
          <cell r="AQ269" t="str">
            <v>12/12</v>
          </cell>
          <cell r="AR269" t="str">
            <v>Chuyên viên</v>
          </cell>
          <cell r="AS269">
            <v>0</v>
          </cell>
          <cell r="AT269" t="str">
            <v>Sơ cấp</v>
          </cell>
          <cell r="AU269">
            <v>0</v>
          </cell>
          <cell r="AV269">
            <v>0</v>
          </cell>
          <cell r="AW269">
            <v>0</v>
          </cell>
          <cell r="AY269" t="str">
            <v>Tày</v>
          </cell>
          <cell r="BA269" t="e">
            <v>#REF!</v>
          </cell>
          <cell r="BB269" t="e">
            <v>#REF!</v>
          </cell>
        </row>
        <row r="270">
          <cell r="A270" t="str">
            <v>BV0686</v>
          </cell>
          <cell r="B270">
            <v>264</v>
          </cell>
          <cell r="C270" t="str">
            <v>Nông Thị Thanh</v>
          </cell>
          <cell r="D270" t="str">
            <v>BV0686</v>
          </cell>
          <cell r="E270" t="str">
            <v>2016000978</v>
          </cell>
          <cell r="G270" t="str">
            <v>CCCD: 020190003095 ngày cấp 29/04/2021
Cục trưởng cục CSQLHC về TTXH</v>
          </cell>
          <cell r="I270" t="str">
            <v>21/12/1990</v>
          </cell>
          <cell r="J270">
            <v>35</v>
          </cell>
          <cell r="K270" t="str">
            <v>082062324</v>
          </cell>
          <cell r="L270" t="str">
            <v>24/02/2016</v>
          </cell>
          <cell r="M270" t="str">
            <v>CA tỉnh Lạng Sơn</v>
          </cell>
          <cell r="N270" t="str">
            <v>Tỉnh Lạng Sơn</v>
          </cell>
          <cell r="O270" t="str">
            <v>Xã Đại Đồng</v>
          </cell>
          <cell r="P270" t="str">
            <v>Huyện Tràng Định</v>
          </cell>
          <cell r="Q270" t="str">
            <v>Tỉnh Lạng Sơn</v>
          </cell>
          <cell r="S270" t="str">
            <v>Xã Đại Đồng</v>
          </cell>
          <cell r="T270" t="str">
            <v>Huyện Tràng Định</v>
          </cell>
          <cell r="U270" t="str">
            <v>Tỉnh Lạng Sơn</v>
          </cell>
          <cell r="V270" t="str">
            <v>Xã Đại Đồng, Huyện Tràng Định, Tỉnh Lạng Sơn</v>
          </cell>
          <cell r="W270" t="str">
            <v>10/01/2016</v>
          </cell>
          <cell r="AA270">
            <v>0</v>
          </cell>
          <cell r="AB270" t="str">
            <v>TĐ003</v>
          </cell>
          <cell r="AC270" t="str">
            <v>VLTL-PHCN</v>
          </cell>
          <cell r="AD270" t="str">
            <v>KP021</v>
          </cell>
          <cell r="AE270" t="str">
            <v>Viên chức</v>
          </cell>
          <cell r="AF270" t="str">
            <v>V.08.01.03</v>
          </cell>
          <cell r="AG270" t="str">
            <v>Bác sĩ (hạng III)</v>
          </cell>
          <cell r="AH270">
            <v>3.33</v>
          </cell>
          <cell r="AI270">
            <v>4</v>
          </cell>
          <cell r="AJ270">
            <v>0</v>
          </cell>
          <cell r="AK270">
            <v>45768</v>
          </cell>
          <cell r="AL270" t="str">
            <v>Đại học</v>
          </cell>
          <cell r="AM270" t="str">
            <v>BSCKI</v>
          </cell>
          <cell r="AN270" t="str">
            <v>PHCN</v>
          </cell>
          <cell r="AO270" t="str">
            <v>ĐH Y Dược - ĐH Thái Nguyên</v>
          </cell>
          <cell r="AP270">
            <v>2015</v>
          </cell>
          <cell r="AQ270" t="str">
            <v>12/12</v>
          </cell>
          <cell r="AR270">
            <v>0</v>
          </cell>
          <cell r="AS270" t="str">
            <v>x</v>
          </cell>
          <cell r="AT270" t="str">
            <v>TC</v>
          </cell>
          <cell r="AU270">
            <v>0</v>
          </cell>
          <cell r="AV270">
            <v>0</v>
          </cell>
          <cell r="AW270">
            <v>0</v>
          </cell>
          <cell r="AY270" t="str">
            <v>Tày</v>
          </cell>
          <cell r="BA270" t="e">
            <v>#REF!</v>
          </cell>
          <cell r="BB270" t="e">
            <v>#REF!</v>
          </cell>
          <cell r="BC270" t="str">
            <v>24/06/2013</v>
          </cell>
        </row>
        <row r="271">
          <cell r="A271" t="str">
            <v>BV0056</v>
          </cell>
          <cell r="B271">
            <v>265</v>
          </cell>
          <cell r="C271" t="str">
            <v>Hoàng Diệu Linh</v>
          </cell>
          <cell r="D271" t="str">
            <v>BV0056</v>
          </cell>
          <cell r="E271">
            <v>1503001036</v>
          </cell>
          <cell r="G271" t="str">
            <v>CCCD: 020178009074 ngày cấp 20/08/2021
Cục trưởng cục CSQLHC về TTXH</v>
          </cell>
          <cell r="I271">
            <v>28560</v>
          </cell>
          <cell r="J271">
            <v>48</v>
          </cell>
          <cell r="K271" t="str">
            <v>082001442</v>
          </cell>
          <cell r="L271" t="str">
            <v>01/12/2003</v>
          </cell>
          <cell r="M271" t="str">
            <v>CA tỉnh Lạng Sơn</v>
          </cell>
          <cell r="N271" t="str">
            <v>Tỉnh Lạng Sơn</v>
          </cell>
          <cell r="O271" t="str">
            <v>Xã Đại Đồng</v>
          </cell>
          <cell r="P271" t="str">
            <v>Huyện Hữu Lũng</v>
          </cell>
          <cell r="Q271" t="str">
            <v>Tỉnh Lạng Sơn</v>
          </cell>
          <cell r="S271" t="str">
            <v>Phường Vĩnh Trại</v>
          </cell>
          <cell r="T271" t="str">
            <v>Thành phố Lạng Sơn</v>
          </cell>
          <cell r="U271" t="str">
            <v>Tỉnh Lạng Sơn</v>
          </cell>
          <cell r="V271" t="str">
            <v>Phường Vĩnh Trại, Thành phố Lạng Sơn, Tỉnh Lạng Sơn</v>
          </cell>
          <cell r="W271" t="str">
            <v>16/2/2005</v>
          </cell>
          <cell r="AA271" t="str">
            <v>Điều dưỡng trưởng</v>
          </cell>
          <cell r="AB271" t="str">
            <v>TĐ011</v>
          </cell>
          <cell r="AC271" t="str">
            <v>VLTL-PHCN</v>
          </cell>
          <cell r="AD271" t="str">
            <v>KP021</v>
          </cell>
          <cell r="AE271" t="str">
            <v>Viên chức</v>
          </cell>
          <cell r="AF271" t="str">
            <v>V.08.05.12</v>
          </cell>
          <cell r="AG271" t="str">
            <v>Điều dưỡng (hạng III)</v>
          </cell>
          <cell r="AH271" t="str">
            <v>3.99</v>
          </cell>
          <cell r="AI271">
            <v>6</v>
          </cell>
          <cell r="AJ271">
            <v>0</v>
          </cell>
          <cell r="AK271">
            <v>44986</v>
          </cell>
          <cell r="AL271" t="str">
            <v>Đại học</v>
          </cell>
          <cell r="AM271" t="str">
            <v>Điều dưỡng ĐH</v>
          </cell>
          <cell r="AO271" t="str">
            <v>CĐ Y tế Lạng Sơn</v>
          </cell>
          <cell r="AP271">
            <v>2018</v>
          </cell>
          <cell r="AQ271" t="str">
            <v>12/12</v>
          </cell>
          <cell r="AR271">
            <v>0</v>
          </cell>
          <cell r="AS271" t="str">
            <v>x</v>
          </cell>
          <cell r="AT271" t="str">
            <v>Sơ cấp</v>
          </cell>
          <cell r="AU271">
            <v>0</v>
          </cell>
          <cell r="AV271">
            <v>0</v>
          </cell>
          <cell r="AW271" t="str">
            <v>Cơ bản</v>
          </cell>
          <cell r="AY271" t="str">
            <v>Tày</v>
          </cell>
          <cell r="BA271" t="e">
            <v>#REF!</v>
          </cell>
          <cell r="BB271" t="e">
            <v>#REF!</v>
          </cell>
          <cell r="BC271" t="str">
            <v>14/04/2016</v>
          </cell>
        </row>
        <row r="272">
          <cell r="A272" t="str">
            <v>BV0171</v>
          </cell>
          <cell r="B272">
            <v>266</v>
          </cell>
          <cell r="C272" t="str">
            <v>Chu Thị Vinh</v>
          </cell>
          <cell r="D272" t="str">
            <v>BV0171</v>
          </cell>
          <cell r="E272">
            <v>2010000180</v>
          </cell>
          <cell r="G272" t="str">
            <v>CCCD: 020183000877 ngày cấp 07/04/2021
Cục trưởng cục CSQLHC về TTXH</v>
          </cell>
          <cell r="I272">
            <v>30547</v>
          </cell>
          <cell r="J272">
            <v>42</v>
          </cell>
          <cell r="K272" t="str">
            <v>080998444</v>
          </cell>
          <cell r="L272" t="str">
            <v>13/02/2004</v>
          </cell>
          <cell r="M272" t="str">
            <v>CA tỉnh Lạng Sơn</v>
          </cell>
          <cell r="N272" t="str">
            <v>Tỉnh Lạng Sơn</v>
          </cell>
          <cell r="P272" t="str">
            <v>Huyện Cao Lộc</v>
          </cell>
          <cell r="Q272" t="str">
            <v>Tỉnh Lạng Sơn</v>
          </cell>
          <cell r="S272" t="str">
            <v>Xã Hải Yến</v>
          </cell>
          <cell r="T272" t="str">
            <v>Huyện Cao Lộc</v>
          </cell>
          <cell r="U272" t="str">
            <v>Tỉnh Lạng Sơn</v>
          </cell>
          <cell r="V272" t="str">
            <v>Xã Hải Yến, Huyện Cao Lộc, Tỉnh Lạng Sơn</v>
          </cell>
          <cell r="W272" t="str">
            <v>15/1/2010</v>
          </cell>
          <cell r="AA272">
            <v>0</v>
          </cell>
          <cell r="AB272" t="str">
            <v>TĐ012</v>
          </cell>
          <cell r="AC272" t="str">
            <v>VLTL-PHCN</v>
          </cell>
          <cell r="AD272" t="str">
            <v>KP021</v>
          </cell>
          <cell r="AE272" t="str">
            <v>Viên chức</v>
          </cell>
          <cell r="AF272" t="str">
            <v>V.08.05.13</v>
          </cell>
          <cell r="AG272" t="str">
            <v>Điều dưỡng (hạng IV)</v>
          </cell>
          <cell r="AH272">
            <v>3.65</v>
          </cell>
          <cell r="AI272">
            <v>6</v>
          </cell>
          <cell r="AJ272">
            <v>0</v>
          </cell>
          <cell r="AK272">
            <v>45839</v>
          </cell>
          <cell r="AL272" t="str">
            <v>Cao đẳng</v>
          </cell>
          <cell r="AM272" t="str">
            <v>Điều dưỡng CĐ</v>
          </cell>
          <cell r="AO272" t="str">
            <v>CĐY tế Lạng Sơn</v>
          </cell>
          <cell r="AP272">
            <v>2007</v>
          </cell>
          <cell r="AQ272" t="str">
            <v>12/12</v>
          </cell>
          <cell r="AR272">
            <v>0</v>
          </cell>
          <cell r="AS272">
            <v>0</v>
          </cell>
          <cell r="AT272">
            <v>0</v>
          </cell>
          <cell r="AU272" t="str">
            <v>Anh B</v>
          </cell>
          <cell r="AV272">
            <v>0</v>
          </cell>
          <cell r="AW272" t="str">
            <v>B</v>
          </cell>
          <cell r="AY272" t="str">
            <v>Nùng</v>
          </cell>
          <cell r="BA272" t="e">
            <v>#REF!</v>
          </cell>
          <cell r="BB272" t="e">
            <v>#REF!</v>
          </cell>
          <cell r="BC272" t="str">
            <v>24/06/2013</v>
          </cell>
        </row>
        <row r="273">
          <cell r="A273" t="str">
            <v>BV0221</v>
          </cell>
          <cell r="B273">
            <v>267</v>
          </cell>
          <cell r="C273" t="str">
            <v>Nông Quốc Công</v>
          </cell>
          <cell r="D273" t="str">
            <v>BV0221</v>
          </cell>
          <cell r="E273">
            <v>2009000929</v>
          </cell>
          <cell r="G273" t="str">
            <v>CMTND: 082242720 ngày cấp 29/09/2010
Công an Lạng sơn</v>
          </cell>
          <cell r="H273">
            <v>31668</v>
          </cell>
          <cell r="J273">
            <v>39</v>
          </cell>
          <cell r="K273" t="str">
            <v>082242720</v>
          </cell>
          <cell r="L273" t="str">
            <v>29/9/2010</v>
          </cell>
          <cell r="M273" t="str">
            <v>CA tỉnh Lạng Sơn</v>
          </cell>
          <cell r="N273" t="str">
            <v>Tỉnh Phú Thọ</v>
          </cell>
          <cell r="O273" t="str">
            <v>Quốc Khánh</v>
          </cell>
          <cell r="P273" t="str">
            <v>Huyện Tràng Định</v>
          </cell>
          <cell r="Q273" t="str">
            <v>Tỉnh Lạng Sơn</v>
          </cell>
          <cell r="S273" t="str">
            <v>Phường Tam Thanh</v>
          </cell>
          <cell r="T273" t="str">
            <v>Thành phố Lạng Sơn</v>
          </cell>
          <cell r="U273" t="str">
            <v>Tỉnh Lạng Sơn</v>
          </cell>
          <cell r="V273" t="str">
            <v>Phường Tam Thanh, Thành phố Lạng Sơn, Tỉnh Lạng Sơn</v>
          </cell>
          <cell r="W273" t="str">
            <v>1/12/2008</v>
          </cell>
          <cell r="AA273">
            <v>0</v>
          </cell>
          <cell r="AB273" t="str">
            <v>TĐ012</v>
          </cell>
          <cell r="AC273" t="str">
            <v>VLTL-PHCN</v>
          </cell>
          <cell r="AD273" t="str">
            <v>KP021</v>
          </cell>
          <cell r="AE273" t="str">
            <v>Viên chức</v>
          </cell>
          <cell r="AF273" t="str">
            <v>V.08.05.13</v>
          </cell>
          <cell r="AG273" t="str">
            <v>Điều dưỡng (hạng IV)</v>
          </cell>
          <cell r="AH273">
            <v>3.65</v>
          </cell>
          <cell r="AI273">
            <v>6</v>
          </cell>
          <cell r="AJ273">
            <v>0</v>
          </cell>
          <cell r="AK273">
            <v>45839</v>
          </cell>
          <cell r="AL273" t="str">
            <v>Cao đẳng</v>
          </cell>
          <cell r="AM273" t="str">
            <v>Điều dưỡng CĐ</v>
          </cell>
          <cell r="AO273" t="str">
            <v>CĐ Y tế Phú Thọ</v>
          </cell>
          <cell r="AP273">
            <v>2007</v>
          </cell>
          <cell r="AQ273" t="str">
            <v>12/12</v>
          </cell>
          <cell r="AR273">
            <v>0</v>
          </cell>
          <cell r="AS273">
            <v>0</v>
          </cell>
          <cell r="AT273">
            <v>0</v>
          </cell>
          <cell r="AU273" t="str">
            <v>Anh B</v>
          </cell>
          <cell r="AV273">
            <v>0</v>
          </cell>
          <cell r="AW273" t="str">
            <v>Cơ bản</v>
          </cell>
          <cell r="AY273" t="str">
            <v>Nùng</v>
          </cell>
          <cell r="BA273" t="e">
            <v>#REF!</v>
          </cell>
          <cell r="BB273" t="e">
            <v>#REF!</v>
          </cell>
          <cell r="BC273" t="str">
            <v>24/06/2013</v>
          </cell>
        </row>
        <row r="274">
          <cell r="A274" t="str">
            <v>BV0371</v>
          </cell>
          <cell r="B274">
            <v>268</v>
          </cell>
          <cell r="C274" t="str">
            <v>Tô Thị Nghị</v>
          </cell>
          <cell r="D274" t="str">
            <v>BV0371</v>
          </cell>
          <cell r="E274">
            <v>1506002922</v>
          </cell>
          <cell r="G274" t="str">
            <v>CCCD: 020181002307 ngày cấp 29/04/2021
Cục trưởng cục CSQLHC về TTXH</v>
          </cell>
          <cell r="I274">
            <v>29865</v>
          </cell>
          <cell r="J274">
            <v>44</v>
          </cell>
          <cell r="K274" t="str">
            <v>080994965</v>
          </cell>
          <cell r="L274" t="str">
            <v>17/02/2003</v>
          </cell>
          <cell r="M274" t="str">
            <v>CA tỉnh Lạng Sơn</v>
          </cell>
          <cell r="N274" t="str">
            <v>Tỉnh Lạng Sơn</v>
          </cell>
          <cell r="P274" t="str">
            <v>Huyện Đình Lập</v>
          </cell>
          <cell r="Q274" t="str">
            <v>Tỉnh Lạng Sơn</v>
          </cell>
          <cell r="S274" t="str">
            <v>Phường Chi Lăng</v>
          </cell>
          <cell r="T274" t="str">
            <v>Thành phố Lạng Sơn</v>
          </cell>
          <cell r="U274" t="str">
            <v>Tỉnh Lạng Sơn</v>
          </cell>
          <cell r="V274" t="str">
            <v>Phường Chi Lăng, Thành phố Lạng Sơn, Tỉnh Lạng Sơn</v>
          </cell>
          <cell r="W274" t="str">
            <v>6/11/2006</v>
          </cell>
          <cell r="AA274">
            <v>0</v>
          </cell>
          <cell r="AB274" t="str">
            <v>TĐ012</v>
          </cell>
          <cell r="AC274" t="str">
            <v>VLTL-PHCN</v>
          </cell>
          <cell r="AD274" t="str">
            <v>KP021</v>
          </cell>
          <cell r="AE274" t="str">
            <v>Viên chức</v>
          </cell>
          <cell r="AF274" t="str">
            <v>V.08.05.13</v>
          </cell>
          <cell r="AG274" t="str">
            <v>Điều dưỡng (hạng IV)</v>
          </cell>
          <cell r="AH274">
            <v>3.65</v>
          </cell>
          <cell r="AI274">
            <v>6</v>
          </cell>
          <cell r="AJ274">
            <v>0</v>
          </cell>
          <cell r="AK274">
            <v>45231</v>
          </cell>
          <cell r="AL274" t="str">
            <v>Cao đẳng</v>
          </cell>
          <cell r="AM274" t="str">
            <v>Điều dưỡng CĐ</v>
          </cell>
          <cell r="AO274" t="str">
            <v>TH y tế Lạng Sơn</v>
          </cell>
          <cell r="AP274">
            <v>2006</v>
          </cell>
          <cell r="AQ274" t="str">
            <v>12/12</v>
          </cell>
          <cell r="AR274">
            <v>0</v>
          </cell>
          <cell r="AS274">
            <v>0</v>
          </cell>
          <cell r="AT274">
            <v>0</v>
          </cell>
          <cell r="AU274">
            <v>0</v>
          </cell>
          <cell r="AV274">
            <v>0</v>
          </cell>
          <cell r="AW274" t="str">
            <v>Cơ bản</v>
          </cell>
          <cell r="AY274" t="str">
            <v>Tày</v>
          </cell>
          <cell r="BA274" t="e">
            <v>#REF!</v>
          </cell>
          <cell r="BB274" t="e">
            <v>#REF!</v>
          </cell>
          <cell r="BC274" t="str">
            <v>24/06/2013</v>
          </cell>
        </row>
        <row r="275">
          <cell r="A275" t="str">
            <v>BV0363</v>
          </cell>
          <cell r="B275">
            <v>269</v>
          </cell>
          <cell r="C275" t="str">
            <v>Chu Thị Trang Nhung</v>
          </cell>
          <cell r="D275" t="str">
            <v>BV0363</v>
          </cell>
          <cell r="E275">
            <v>1506002926</v>
          </cell>
          <cell r="G275" t="str">
            <v>CCCD: 020183006354 ngày cấp 09/05/2021 Cục trưởng cục CSQLHC về TTXH</v>
          </cell>
          <cell r="I275">
            <v>30662</v>
          </cell>
          <cell r="J275">
            <v>42</v>
          </cell>
          <cell r="K275" t="str">
            <v>080937306</v>
          </cell>
          <cell r="L275" t="str">
            <v>10/3/2000</v>
          </cell>
          <cell r="M275" t="str">
            <v>CA tỉnh Lạng Sơn</v>
          </cell>
          <cell r="N275" t="str">
            <v>Tỉnh Lạng Sơn</v>
          </cell>
          <cell r="P275" t="str">
            <v>Huyện Tràng Định</v>
          </cell>
          <cell r="Q275" t="str">
            <v>Tỉnh Lạng Sơn</v>
          </cell>
          <cell r="S275" t="str">
            <v>Phường Vĩnh Trại</v>
          </cell>
          <cell r="T275" t="str">
            <v>Thành phố Lạng Sơn</v>
          </cell>
          <cell r="U275" t="str">
            <v>Tỉnh Lạng Sơn</v>
          </cell>
          <cell r="V275" t="str">
            <v>Phường Vĩnh Trại, Thành phố Lạng Sơn, Tỉnh Lạng Sơn</v>
          </cell>
          <cell r="W275" t="str">
            <v>1/11/2006</v>
          </cell>
          <cell r="AA275">
            <v>0</v>
          </cell>
          <cell r="AB275" t="str">
            <v>TĐ014</v>
          </cell>
          <cell r="AC275" t="str">
            <v>VLTL-PHCN</v>
          </cell>
          <cell r="AD275" t="str">
            <v>KP021</v>
          </cell>
          <cell r="AE275" t="str">
            <v>Viên chức</v>
          </cell>
          <cell r="AF275" t="str">
            <v>V.08.07.19</v>
          </cell>
          <cell r="AG275" t="str">
            <v>Kỹ thuật y (hạng III)</v>
          </cell>
          <cell r="AH275">
            <v>3.99</v>
          </cell>
          <cell r="AI275">
            <v>6</v>
          </cell>
          <cell r="AJ275">
            <v>0</v>
          </cell>
          <cell r="AK275">
            <v>45778</v>
          </cell>
          <cell r="AL275" t="str">
            <v>Đại học</v>
          </cell>
          <cell r="AM275" t="str">
            <v>KTY ĐH</v>
          </cell>
          <cell r="AO275" t="str">
            <v>CĐ KT Y tế I</v>
          </cell>
          <cell r="AP275">
            <v>2007</v>
          </cell>
          <cell r="AQ275" t="str">
            <v>12/12</v>
          </cell>
          <cell r="AR275">
            <v>0</v>
          </cell>
          <cell r="AS275">
            <v>0</v>
          </cell>
          <cell r="AT275">
            <v>0</v>
          </cell>
          <cell r="AU275">
            <v>0</v>
          </cell>
          <cell r="AV275">
            <v>0</v>
          </cell>
          <cell r="AW275">
            <v>0</v>
          </cell>
          <cell r="AY275" t="str">
            <v>Tày</v>
          </cell>
          <cell r="AZ275">
            <v>42464</v>
          </cell>
          <cell r="BA275" t="e">
            <v>#REF!</v>
          </cell>
          <cell r="BB275" t="e">
            <v>#REF!</v>
          </cell>
          <cell r="BC275" t="str">
            <v>24/06/2013</v>
          </cell>
        </row>
        <row r="276">
          <cell r="A276" t="str">
            <v>BV0362</v>
          </cell>
          <cell r="B276">
            <v>270</v>
          </cell>
          <cell r="C276" t="str">
            <v>Nguyễn Thị Hà</v>
          </cell>
          <cell r="D276" t="str">
            <v>BV0362</v>
          </cell>
          <cell r="E276">
            <v>1596007601</v>
          </cell>
          <cell r="G276" t="str">
            <v>CCCD: 020169009801 ngày cấp 09/05/2021
Cục trưởng cục CSQLHC về TTXH</v>
          </cell>
          <cell r="I276">
            <v>25487</v>
          </cell>
          <cell r="J276">
            <v>56</v>
          </cell>
          <cell r="K276" t="str">
            <v>082291118</v>
          </cell>
          <cell r="L276" t="str">
            <v>18/7/2012</v>
          </cell>
          <cell r="M276" t="str">
            <v>CA tỉnh Lạng Sơn</v>
          </cell>
          <cell r="N276" t="str">
            <v>Tỉnh Lạng Sơn</v>
          </cell>
          <cell r="P276" t="str">
            <v>Huyện Văn Lãng</v>
          </cell>
          <cell r="Q276" t="str">
            <v>Tỉnh Lạng Sơn</v>
          </cell>
          <cell r="S276" t="str">
            <v>Phường Tam Thanh</v>
          </cell>
          <cell r="T276" t="str">
            <v>Thành phố Lạng Sơn</v>
          </cell>
          <cell r="U276" t="str">
            <v>Tỉnh Lạng Sơn</v>
          </cell>
          <cell r="V276" t="str">
            <v>Phường Tam Thanh, Thành phố Lạng Sơn, Tỉnh Lạng Sơn</v>
          </cell>
          <cell r="W276" t="str">
            <v>12/4/1994</v>
          </cell>
          <cell r="AA276">
            <v>0</v>
          </cell>
          <cell r="AB276" t="str">
            <v>TĐ016</v>
          </cell>
          <cell r="AC276" t="str">
            <v>VLTL-PHCN</v>
          </cell>
          <cell r="AD276" t="str">
            <v>KP021</v>
          </cell>
          <cell r="AE276" t="str">
            <v>Viên chức</v>
          </cell>
          <cell r="AF276" t="str">
            <v>V.08.07.19</v>
          </cell>
          <cell r="AG276" t="str">
            <v>Kỹ thuật y (hạng IV)</v>
          </cell>
          <cell r="AH276">
            <v>4.0599999999999996</v>
          </cell>
          <cell r="AI276">
            <v>12</v>
          </cell>
          <cell r="AJ276">
            <v>0.12</v>
          </cell>
          <cell r="AK276">
            <v>45962</v>
          </cell>
          <cell r="AL276" t="str">
            <v>Trung cấp</v>
          </cell>
          <cell r="AM276" t="str">
            <v>KTY TC</v>
          </cell>
          <cell r="AO276" t="str">
            <v>Trung học Kỹ thuật y tế TW 1</v>
          </cell>
          <cell r="AP276">
            <v>1992</v>
          </cell>
          <cell r="AQ276" t="str">
            <v>12/12</v>
          </cell>
          <cell r="AR276">
            <v>0</v>
          </cell>
          <cell r="AS276">
            <v>0</v>
          </cell>
          <cell r="AT276">
            <v>0</v>
          </cell>
          <cell r="AU276">
            <v>0</v>
          </cell>
          <cell r="AV276">
            <v>0</v>
          </cell>
          <cell r="AW276">
            <v>0</v>
          </cell>
          <cell r="AY276" t="str">
            <v>Tày</v>
          </cell>
          <cell r="AZ276">
            <v>41405</v>
          </cell>
          <cell r="BA276" t="e">
            <v>#REF!</v>
          </cell>
          <cell r="BB276" t="e">
            <v>#REF!</v>
          </cell>
          <cell r="BC276" t="str">
            <v>24/06/2013</v>
          </cell>
        </row>
        <row r="277">
          <cell r="A277" t="str">
            <v>BV0367</v>
          </cell>
          <cell r="B277">
            <v>271</v>
          </cell>
          <cell r="C277" t="str">
            <v>Nguyễn Hữu Tài</v>
          </cell>
          <cell r="D277" t="str">
            <v>BV0367</v>
          </cell>
          <cell r="E277">
            <v>2011000009</v>
          </cell>
          <cell r="G277" t="str">
            <v>CCCD: 020088000499 ngày cấp 29/03/2021
Cục trưởng cục CSQLHC về TTXH</v>
          </cell>
          <cell r="H277">
            <v>32268</v>
          </cell>
          <cell r="J277">
            <v>38</v>
          </cell>
          <cell r="K277" t="str">
            <v>082079150</v>
          </cell>
          <cell r="L277" t="str">
            <v>12/3/2011</v>
          </cell>
          <cell r="M277" t="str">
            <v>CA tỉnh Lạng Sơn</v>
          </cell>
          <cell r="N277" t="str">
            <v>Tỉnh Lạng Sơn</v>
          </cell>
          <cell r="O277" t="str">
            <v>Thụy Phúc</v>
          </cell>
          <cell r="P277" t="str">
            <v>Huyện Thái Thụy</v>
          </cell>
          <cell r="Q277" t="str">
            <v>Tỉnh Thái Bình</v>
          </cell>
          <cell r="R277" t="str">
            <v>Khu Tân Mỹ</v>
          </cell>
          <cell r="S277" t="str">
            <v>Thị trấn Hữu Lũng</v>
          </cell>
          <cell r="T277" t="str">
            <v>Huyện Hữu Lũng</v>
          </cell>
          <cell r="U277" t="str">
            <v>Tỉnh Lạng Sơn</v>
          </cell>
          <cell r="V277" t="str">
            <v>Thị trấn Hữu Lũng, Huyện Hữu Lũng, Tỉnh Lạng Sơn</v>
          </cell>
          <cell r="W277" t="str">
            <v>1/12/2010</v>
          </cell>
          <cell r="AA277">
            <v>0</v>
          </cell>
          <cell r="AB277" t="str">
            <v>TĐ015</v>
          </cell>
          <cell r="AC277" t="str">
            <v>VLTL-PHCN</v>
          </cell>
          <cell r="AD277" t="str">
            <v>KP021</v>
          </cell>
          <cell r="AE277" t="str">
            <v>Viên chức</v>
          </cell>
          <cell r="AF277" t="str">
            <v>V.08.07.19</v>
          </cell>
          <cell r="AG277" t="str">
            <v>Kỹ thuật y (hạng IV)</v>
          </cell>
          <cell r="AH277">
            <v>3.34</v>
          </cell>
          <cell r="AI277">
            <v>5</v>
          </cell>
          <cell r="AJ277">
            <v>0</v>
          </cell>
          <cell r="AK277">
            <v>45261</v>
          </cell>
          <cell r="AL277" t="str">
            <v>Cao đẳng</v>
          </cell>
          <cell r="AM277" t="str">
            <v>KTY CĐ</v>
          </cell>
          <cell r="AO277" t="str">
            <v>ĐH Kỹ thuật y tế Hải Dương</v>
          </cell>
          <cell r="AP277">
            <v>2009</v>
          </cell>
          <cell r="AQ277" t="str">
            <v>12/12</v>
          </cell>
          <cell r="AR277">
            <v>0</v>
          </cell>
          <cell r="AS277">
            <v>0</v>
          </cell>
          <cell r="AT277">
            <v>0</v>
          </cell>
          <cell r="AU277">
            <v>0</v>
          </cell>
          <cell r="AV277">
            <v>0</v>
          </cell>
          <cell r="AW277">
            <v>0</v>
          </cell>
          <cell r="AY277" t="str">
            <v>Kinh</v>
          </cell>
          <cell r="BA277" t="e">
            <v>#REF!</v>
          </cell>
          <cell r="BB277" t="e">
            <v>#REF!</v>
          </cell>
        </row>
        <row r="278">
          <cell r="A278" t="str">
            <v>BV0366</v>
          </cell>
          <cell r="B278">
            <v>272</v>
          </cell>
          <cell r="C278" t="str">
            <v>Hoàng Quốc Hưởng</v>
          </cell>
          <cell r="D278" t="str">
            <v>BV0366</v>
          </cell>
          <cell r="E278">
            <v>2010000155</v>
          </cell>
          <cell r="G278" t="str">
            <v>CCCD: 020082001010 ngày cấp 08/04/2021
Cục trưởng cục CSQLHC về TTXH</v>
          </cell>
          <cell r="H278">
            <v>30176</v>
          </cell>
          <cell r="J278">
            <v>43</v>
          </cell>
          <cell r="K278" t="str">
            <v>080991151</v>
          </cell>
          <cell r="L278" t="str">
            <v>26/6/2011</v>
          </cell>
          <cell r="M278" t="str">
            <v>CA tỉnh Lạng Sơn</v>
          </cell>
          <cell r="N278" t="str">
            <v>Tỉnh Lạng Sơn</v>
          </cell>
          <cell r="O278" t="str">
            <v>Xã Tú Xuyên</v>
          </cell>
          <cell r="P278" t="str">
            <v>Huyện Văn Quan</v>
          </cell>
          <cell r="Q278" t="str">
            <v>Tỉnh Lạng Sơn</v>
          </cell>
          <cell r="S278" t="str">
            <v>Xã Tú Xuyên</v>
          </cell>
          <cell r="T278" t="str">
            <v>Huyện Văn Quan</v>
          </cell>
          <cell r="U278" t="str">
            <v>Tỉnh Lạng Sơn</v>
          </cell>
          <cell r="V278" t="str">
            <v>Xã Tú Xuyên, Huyện Văn Quan, Tỉnh Lạng Sơn</v>
          </cell>
          <cell r="W278" t="str">
            <v>15/1/2010</v>
          </cell>
          <cell r="AA278">
            <v>0</v>
          </cell>
          <cell r="AB278" t="str">
            <v>TĐ005</v>
          </cell>
          <cell r="AC278" t="str">
            <v>Nội Tổng hợp</v>
          </cell>
          <cell r="AD278" t="str">
            <v>KP007</v>
          </cell>
          <cell r="AE278" t="str">
            <v>Viên chức</v>
          </cell>
          <cell r="AF278" t="str">
            <v>V.08.03.07</v>
          </cell>
          <cell r="AG278" t="str">
            <v>Bác sĩ (hạng III)</v>
          </cell>
          <cell r="AH278">
            <v>3.33</v>
          </cell>
          <cell r="AI278">
            <v>4</v>
          </cell>
          <cell r="AJ278">
            <v>0</v>
          </cell>
          <cell r="AK278">
            <v>45383</v>
          </cell>
          <cell r="AL278" t="str">
            <v>Trung cấp</v>
          </cell>
          <cell r="AM278" t="str">
            <v>Bác sĩ</v>
          </cell>
          <cell r="AN278" t="str">
            <v>Đa khoa</v>
          </cell>
          <cell r="AO278" t="str">
            <v>TC Công nghệ và y tế Pasreur</v>
          </cell>
          <cell r="AP278">
            <v>2012</v>
          </cell>
          <cell r="AQ278" t="str">
            <v>12/12</v>
          </cell>
          <cell r="AR278">
            <v>0</v>
          </cell>
          <cell r="AS278">
            <v>0</v>
          </cell>
          <cell r="AT278">
            <v>0</v>
          </cell>
          <cell r="AU278">
            <v>0</v>
          </cell>
          <cell r="AV278">
            <v>0</v>
          </cell>
          <cell r="AW278">
            <v>0</v>
          </cell>
          <cell r="AY278" t="str">
            <v>Nùng</v>
          </cell>
          <cell r="BA278" t="e">
            <v>#REF!</v>
          </cell>
          <cell r="BB278" t="e">
            <v>#REF!</v>
          </cell>
        </row>
        <row r="279">
          <cell r="A279" t="str">
            <v>BV0370</v>
          </cell>
          <cell r="B279">
            <v>273</v>
          </cell>
          <cell r="C279" t="str">
            <v>Hoàng Mạnh Linh</v>
          </cell>
          <cell r="D279" t="str">
            <v>BV0370</v>
          </cell>
          <cell r="E279">
            <v>2014002171</v>
          </cell>
          <cell r="G279" t="str">
            <v>CCCD: 020085009133 ngày cấp 09/05/2021
Cục trưởng cục CSQLHC về TTXH</v>
          </cell>
          <cell r="H279" t="str">
            <v>13/12/1985</v>
          </cell>
          <cell r="J279">
            <v>40</v>
          </cell>
          <cell r="K279" t="str">
            <v>081048564</v>
          </cell>
          <cell r="L279" t="str">
            <v>07/5/2014</v>
          </cell>
          <cell r="M279" t="str">
            <v>CA tỉnh Lạng Sơn</v>
          </cell>
          <cell r="N279" t="str">
            <v>Tỉnh Lạng Sơn</v>
          </cell>
          <cell r="O279" t="str">
            <v>Phường Tam Thanh</v>
          </cell>
          <cell r="P279" t="str">
            <v>Thành phố Lạng Sơn</v>
          </cell>
          <cell r="Q279" t="str">
            <v>Tỉnh Lạng Sơn</v>
          </cell>
          <cell r="R279" t="str">
            <v>143 Nhị Thanh</v>
          </cell>
          <cell r="S279" t="str">
            <v>Phường Tam Thanh</v>
          </cell>
          <cell r="T279" t="str">
            <v>Thành phố Lạng Sơn</v>
          </cell>
          <cell r="U279" t="str">
            <v>Tỉnh Lạng Sơn</v>
          </cell>
          <cell r="V279" t="str">
            <v>Phường Tam Thanh, Thành phố Lạng Sơn, Tỉnh Lạng Sơn</v>
          </cell>
          <cell r="W279" t="str">
            <v>06/01/2014</v>
          </cell>
          <cell r="AA279">
            <v>0</v>
          </cell>
          <cell r="AB279" t="str">
            <v>TĐ015</v>
          </cell>
          <cell r="AC279" t="str">
            <v>VLTL-PHCN</v>
          </cell>
          <cell r="AD279" t="str">
            <v>KP021</v>
          </cell>
          <cell r="AE279" t="str">
            <v>Viên chức</v>
          </cell>
          <cell r="AF279" t="str">
            <v>V.08.03.07</v>
          </cell>
          <cell r="AG279" t="str">
            <v>Kỹ thuật y (hạng IV)</v>
          </cell>
          <cell r="AH279">
            <v>3.03</v>
          </cell>
          <cell r="AI279">
            <v>4</v>
          </cell>
          <cell r="AJ279">
            <v>0</v>
          </cell>
          <cell r="AK279">
            <v>45597</v>
          </cell>
          <cell r="AL279" t="str">
            <v>Cao đẳng</v>
          </cell>
          <cell r="AM279" t="str">
            <v>KTY CĐ</v>
          </cell>
          <cell r="AN279" t="str">
            <v>Đa khoa</v>
          </cell>
          <cell r="AO279" t="str">
            <v>CĐ Y tế Lạng Sơn</v>
          </cell>
          <cell r="AP279">
            <v>2014</v>
          </cell>
          <cell r="AQ279" t="str">
            <v>12/12</v>
          </cell>
          <cell r="AR279">
            <v>0</v>
          </cell>
          <cell r="AS279">
            <v>0</v>
          </cell>
          <cell r="AT279">
            <v>0</v>
          </cell>
          <cell r="AU279">
            <v>0</v>
          </cell>
          <cell r="AV279">
            <v>0</v>
          </cell>
          <cell r="AW279">
            <v>0</v>
          </cell>
          <cell r="AY279" t="str">
            <v>Tày</v>
          </cell>
          <cell r="BA279" t="e">
            <v>#REF!</v>
          </cell>
          <cell r="BB279" t="e">
            <v>#REF!</v>
          </cell>
        </row>
        <row r="280">
          <cell r="A280" t="str">
            <v>BV0375</v>
          </cell>
          <cell r="B280">
            <v>274</v>
          </cell>
          <cell r="C280" t="str">
            <v>Lý Thị Anh</v>
          </cell>
          <cell r="D280" t="str">
            <v>BV0375</v>
          </cell>
          <cell r="E280">
            <v>1503001810</v>
          </cell>
          <cell r="G280" t="str">
            <v>20177001574, ngày cấp 25/4/2021, Cục cảnh sát quản lý hành chính về trật tự xã hội</v>
          </cell>
          <cell r="I280">
            <v>28424</v>
          </cell>
          <cell r="J280">
            <v>48</v>
          </cell>
          <cell r="K280" t="str">
            <v>082137628</v>
          </cell>
          <cell r="L280" t="str">
            <v>22/08/2007</v>
          </cell>
          <cell r="M280" t="str">
            <v>CA tỉnh Lạng Sơn</v>
          </cell>
          <cell r="P280" t="str">
            <v>Huyện Bắc Sơn</v>
          </cell>
          <cell r="Q280" t="str">
            <v>Tỉnh Lạng Sơn</v>
          </cell>
          <cell r="S280" t="str">
            <v>Phường Tam Thanh</v>
          </cell>
          <cell r="T280" t="str">
            <v>Thành phố Lạng Sơn</v>
          </cell>
          <cell r="U280" t="str">
            <v>Tỉnh Lạng Sơn</v>
          </cell>
          <cell r="V280" t="str">
            <v>Phường Tam Thanh, Thành phố Lạng Sơn, Tỉnh Lạng Sơn</v>
          </cell>
          <cell r="W280" t="str">
            <v>01/01/2003</v>
          </cell>
          <cell r="AA280" t="str">
            <v>Phụ trách khoa</v>
          </cell>
          <cell r="AB280" t="str">
            <v>TĐ003</v>
          </cell>
          <cell r="AC280" t="str">
            <v>Tai mũi họng</v>
          </cell>
          <cell r="AD280" t="str">
            <v>KP022</v>
          </cell>
          <cell r="AE280" t="str">
            <v>Viên chức</v>
          </cell>
          <cell r="AF280" t="str">
            <v>V.08.01.03</v>
          </cell>
          <cell r="AG280" t="str">
            <v>Bác sĩ (hạng III)</v>
          </cell>
          <cell r="AH280">
            <v>4.32</v>
          </cell>
          <cell r="AI280">
            <v>7</v>
          </cell>
          <cell r="AJ280">
            <v>0</v>
          </cell>
          <cell r="AK280">
            <v>45231</v>
          </cell>
          <cell r="AL280" t="str">
            <v>Đại học</v>
          </cell>
          <cell r="AM280" t="str">
            <v>BSCKI</v>
          </cell>
          <cell r="AN280" t="str">
            <v>TMH</v>
          </cell>
          <cell r="AO280" t="str">
            <v>ĐH Y Hà Nội</v>
          </cell>
          <cell r="AP280">
            <v>2012</v>
          </cell>
          <cell r="AQ280" t="str">
            <v>12/12</v>
          </cell>
          <cell r="AR280">
            <v>0</v>
          </cell>
          <cell r="AS280" t="str">
            <v>x</v>
          </cell>
          <cell r="AT280">
            <v>0</v>
          </cell>
          <cell r="AU280">
            <v>0</v>
          </cell>
          <cell r="AV280">
            <v>0</v>
          </cell>
          <cell r="AW280">
            <v>0</v>
          </cell>
          <cell r="AY280" t="str">
            <v>Tày</v>
          </cell>
          <cell r="AZ280">
            <v>41897</v>
          </cell>
          <cell r="BA280" t="e">
            <v>#REF!</v>
          </cell>
          <cell r="BB280" t="e">
            <v>#REF!</v>
          </cell>
          <cell r="BC280" t="str">
            <v>24/06/2013</v>
          </cell>
        </row>
        <row r="281">
          <cell r="A281" t="str">
            <v>BV0006</v>
          </cell>
          <cell r="B281">
            <v>275</v>
          </cell>
          <cell r="C281" t="str">
            <v>Nguyễn Mạnh Cường</v>
          </cell>
          <cell r="D281" t="str">
            <v>BV0006</v>
          </cell>
          <cell r="E281">
            <v>2012000304</v>
          </cell>
          <cell r="G281" t="str">
            <v>20087009992, ngày cấp 23/2/2021, Cục cảnh sát quản lý hành chính về trật tự xã hội</v>
          </cell>
          <cell r="H281">
            <v>32005</v>
          </cell>
          <cell r="J281">
            <v>38</v>
          </cell>
          <cell r="K281" t="str">
            <v>082018986</v>
          </cell>
          <cell r="L281" t="str">
            <v>07/10/2013</v>
          </cell>
          <cell r="M281" t="str">
            <v>CA tỉnh Lạng Sơn</v>
          </cell>
          <cell r="O281" t="str">
            <v>Phường Chi Lăng</v>
          </cell>
          <cell r="P281" t="str">
            <v>Thành phố Lạng Sơn</v>
          </cell>
          <cell r="Q281" t="str">
            <v>Tỉnh Lạng Sơn</v>
          </cell>
          <cell r="S281" t="str">
            <v>Phường Chi Lăng</v>
          </cell>
          <cell r="T281" t="str">
            <v>Thành phố Lạng Sơn</v>
          </cell>
          <cell r="U281" t="str">
            <v>Tỉnh Lạng Sơn</v>
          </cell>
          <cell r="V281" t="str">
            <v>Phường Chi Lăng, Thành phố Lạng Sơn, Tỉnh Lạng Sơn</v>
          </cell>
          <cell r="W281" t="str">
            <v>10/8/2012</v>
          </cell>
          <cell r="AA281" t="str">
            <v>Phó trưởng khoa</v>
          </cell>
          <cell r="AB281" t="str">
            <v>TĐ003</v>
          </cell>
          <cell r="AC281" t="str">
            <v>Tai mũi họng</v>
          </cell>
          <cell r="AD281" t="str">
            <v>KP022</v>
          </cell>
          <cell r="AE281" t="str">
            <v>Viên chức</v>
          </cell>
          <cell r="AF281" t="str">
            <v>V.08.01.03</v>
          </cell>
          <cell r="AG281" t="str">
            <v>Bác sĩ (hạng III)</v>
          </cell>
          <cell r="AH281">
            <v>3.33</v>
          </cell>
          <cell r="AI281">
            <v>4</v>
          </cell>
          <cell r="AJ281">
            <v>0</v>
          </cell>
          <cell r="AK281">
            <v>44995</v>
          </cell>
          <cell r="AL281" t="str">
            <v>Đại học</v>
          </cell>
          <cell r="AM281" t="str">
            <v>BSCKI</v>
          </cell>
          <cell r="AN281" t="str">
            <v>TMH</v>
          </cell>
          <cell r="AO281" t="str">
            <v>ĐH Y Dược Thái Nguyên</v>
          </cell>
          <cell r="AP281">
            <v>2011</v>
          </cell>
          <cell r="AQ281" t="str">
            <v>12/12</v>
          </cell>
          <cell r="AR281" t="str">
            <v>Chuyên viên</v>
          </cell>
          <cell r="AS281">
            <v>0</v>
          </cell>
          <cell r="AT281">
            <v>0</v>
          </cell>
          <cell r="AU281" t="str">
            <v>Pháp bậc 3</v>
          </cell>
          <cell r="AV281">
            <v>0</v>
          </cell>
          <cell r="AW281" t="str">
            <v>CC SĐH</v>
          </cell>
          <cell r="AY281" t="str">
            <v>Kinh</v>
          </cell>
          <cell r="AZ281">
            <v>44540</v>
          </cell>
          <cell r="BA281" t="e">
            <v>#REF!</v>
          </cell>
          <cell r="BB281" t="e">
            <v>#REF!</v>
          </cell>
          <cell r="BC281" t="str">
            <v>24/06/2013</v>
          </cell>
        </row>
        <row r="282">
          <cell r="A282" t="str">
            <v>BV0249</v>
          </cell>
          <cell r="B282">
            <v>276</v>
          </cell>
          <cell r="C282" t="str">
            <v>Trần Hồng Nhung</v>
          </cell>
          <cell r="D282" t="str">
            <v>BV0249</v>
          </cell>
          <cell r="E282">
            <v>2014002643</v>
          </cell>
          <cell r="G282" t="str">
            <v>20188002922, ngày cấp 29/4/2021, Cục cảnh sát quản lý hành chính về trật tự xã hội</v>
          </cell>
          <cell r="I282">
            <v>32302</v>
          </cell>
          <cell r="J282">
            <v>38</v>
          </cell>
          <cell r="K282" t="str">
            <v>082061948</v>
          </cell>
          <cell r="L282" t="str">
            <v>12/03/2012</v>
          </cell>
          <cell r="M282" t="str">
            <v>CA tỉnh Lạng Sơn</v>
          </cell>
          <cell r="P282" t="str">
            <v xml:space="preserve">Hoàn Kiếm </v>
          </cell>
          <cell r="Q282" t="str">
            <v>Hà Nội</v>
          </cell>
          <cell r="S282" t="str">
            <v>Phường Vĩnh Trại</v>
          </cell>
          <cell r="T282" t="str">
            <v>Thành phố Lạng Sơn</v>
          </cell>
          <cell r="U282" t="str">
            <v>Tỉnh Lạng Sơn</v>
          </cell>
          <cell r="V282" t="str">
            <v>Phường Vĩnh Trại, Thành phố Lạng Sơn, Tỉnh Lạng Sơn</v>
          </cell>
          <cell r="W282" t="str">
            <v>1/11/2014</v>
          </cell>
          <cell r="X282">
            <v>42358</v>
          </cell>
          <cell r="AA282">
            <v>0</v>
          </cell>
          <cell r="AB282" t="str">
            <v>TĐ005</v>
          </cell>
          <cell r="AC282" t="str">
            <v>Tai mũi họng</v>
          </cell>
          <cell r="AD282" t="str">
            <v>KP022</v>
          </cell>
          <cell r="AE282" t="str">
            <v>Viên chức</v>
          </cell>
          <cell r="AF282" t="str">
            <v>V.08.01.03</v>
          </cell>
          <cell r="AG282" t="str">
            <v>Bác sĩ (hạng III)</v>
          </cell>
          <cell r="AH282">
            <v>3.33</v>
          </cell>
          <cell r="AI282">
            <v>4</v>
          </cell>
          <cell r="AJ282">
            <v>0</v>
          </cell>
          <cell r="AK282">
            <v>45505</v>
          </cell>
          <cell r="AL282" t="str">
            <v>Đại học</v>
          </cell>
          <cell r="AM282" t="str">
            <v>Bác sĩ</v>
          </cell>
          <cell r="AN282" t="str">
            <v>TMH</v>
          </cell>
          <cell r="AO282" t="str">
            <v>ĐH Y Dược Thái Nguyên</v>
          </cell>
          <cell r="AP282">
            <v>2014</v>
          </cell>
          <cell r="AQ282" t="str">
            <v>12/12</v>
          </cell>
          <cell r="AR282">
            <v>0</v>
          </cell>
          <cell r="AS282">
            <v>0</v>
          </cell>
          <cell r="AT282">
            <v>0</v>
          </cell>
          <cell r="AU282">
            <v>0</v>
          </cell>
          <cell r="AV282">
            <v>0</v>
          </cell>
          <cell r="AW282">
            <v>0</v>
          </cell>
          <cell r="AY282" t="str">
            <v>Kinh</v>
          </cell>
          <cell r="BA282" t="e">
            <v>#REF!</v>
          </cell>
          <cell r="BB282" t="e">
            <v>#REF!</v>
          </cell>
          <cell r="BC282" t="str">
            <v>24/06/2013</v>
          </cell>
        </row>
        <row r="283">
          <cell r="A283" t="str">
            <v>BV0376</v>
          </cell>
          <cell r="B283">
            <v>277</v>
          </cell>
          <cell r="C283" t="str">
            <v>Hoàng Thu Hường</v>
          </cell>
          <cell r="D283" t="str">
            <v>BV0376</v>
          </cell>
          <cell r="E283">
            <v>1504000553</v>
          </cell>
          <cell r="G283" t="str">
            <v>20169001674, ngày cấp 20/4/2021, Cục cảnh sát quản lý hành chính về trật tự xã hội</v>
          </cell>
          <cell r="I283">
            <v>25389</v>
          </cell>
          <cell r="J283">
            <v>57</v>
          </cell>
          <cell r="K283" t="str">
            <v>081057099</v>
          </cell>
          <cell r="L283" t="str">
            <v>29/09/2006</v>
          </cell>
          <cell r="M283" t="str">
            <v>CA tỉnh Lạng Sơn</v>
          </cell>
          <cell r="P283" t="str">
            <v>Huyện Tràng Định</v>
          </cell>
          <cell r="Q283" t="str">
            <v>Tỉnh Lạng Sơn</v>
          </cell>
          <cell r="S283" t="str">
            <v>Phường Vĩnh Trại</v>
          </cell>
          <cell r="T283" t="str">
            <v>Thành phố Lạng Sơn</v>
          </cell>
          <cell r="U283" t="str">
            <v>Tỉnh Lạng Sơn</v>
          </cell>
          <cell r="V283" t="str">
            <v>Phường Vĩnh Trại, Thành phố Lạng Sơn, Tỉnh Lạng Sơn</v>
          </cell>
          <cell r="W283" t="str">
            <v>1/1/2003</v>
          </cell>
          <cell r="AA283" t="str">
            <v>Điều dưỡng trưởng</v>
          </cell>
          <cell r="AB283" t="str">
            <v>TĐ011</v>
          </cell>
          <cell r="AC283" t="str">
            <v>Tai mũi họng</v>
          </cell>
          <cell r="AD283" t="str">
            <v>KP022</v>
          </cell>
          <cell r="AE283" t="str">
            <v>Viên chức</v>
          </cell>
          <cell r="AF283" t="str">
            <v>V.08.05.12</v>
          </cell>
          <cell r="AG283" t="str">
            <v>Điều dưỡng (hạng III)</v>
          </cell>
          <cell r="AH283">
            <v>3.99</v>
          </cell>
          <cell r="AI283">
            <v>6</v>
          </cell>
          <cell r="AJ283">
            <v>0</v>
          </cell>
          <cell r="AK283">
            <v>45352</v>
          </cell>
          <cell r="AL283" t="str">
            <v>Đại học</v>
          </cell>
          <cell r="AM283" t="str">
            <v>Điều dưỡng ĐH</v>
          </cell>
          <cell r="AO283" t="str">
            <v>ĐH Y Dược Thái Nguyên</v>
          </cell>
          <cell r="AP283">
            <v>2010</v>
          </cell>
          <cell r="AQ283" t="str">
            <v>12/12</v>
          </cell>
          <cell r="AR283">
            <v>0</v>
          </cell>
          <cell r="AS283">
            <v>0</v>
          </cell>
          <cell r="AT283">
            <v>0</v>
          </cell>
          <cell r="AU283">
            <v>0</v>
          </cell>
          <cell r="AV283">
            <v>0</v>
          </cell>
          <cell r="AW283">
            <v>0</v>
          </cell>
          <cell r="AY283" t="str">
            <v>Tày</v>
          </cell>
          <cell r="AZ283">
            <v>40660</v>
          </cell>
          <cell r="BA283" t="e">
            <v>#REF!</v>
          </cell>
          <cell r="BB283" t="e">
            <v>#REF!</v>
          </cell>
          <cell r="BC283" t="str">
            <v>24/6/2013</v>
          </cell>
        </row>
        <row r="284">
          <cell r="A284" t="str">
            <v>BV0380</v>
          </cell>
          <cell r="B284">
            <v>278</v>
          </cell>
          <cell r="C284" t="str">
            <v>Nông Thị Tươi</v>
          </cell>
          <cell r="D284" t="str">
            <v>BV0380</v>
          </cell>
          <cell r="E284">
            <v>1506002946</v>
          </cell>
          <cell r="G284" t="str">
            <v>20181000736, ngày cấp 8/4/2021, Cục cảnh sát quản lý hành chính về trật tự xã hội</v>
          </cell>
          <cell r="I284">
            <v>29828</v>
          </cell>
          <cell r="J284">
            <v>44</v>
          </cell>
          <cell r="K284" t="str">
            <v>081052906</v>
          </cell>
          <cell r="L284" t="str">
            <v>09/06/2003</v>
          </cell>
          <cell r="M284" t="str">
            <v>CA tỉnh Lạng Sơn</v>
          </cell>
          <cell r="P284" t="str">
            <v>Huyện Cao Lộc</v>
          </cell>
          <cell r="Q284" t="str">
            <v>Tỉnh Lạng Sơn</v>
          </cell>
          <cell r="S284" t="str">
            <v>Thị trấn Cao Lộc</v>
          </cell>
          <cell r="T284" t="str">
            <v>Huyện Cao Lộc</v>
          </cell>
          <cell r="U284" t="str">
            <v>Tỉnh Lạng Sơn</v>
          </cell>
          <cell r="V284" t="str">
            <v>Thị trấn Cao Lộc, Huyện Cao Lộc, Tỉnh Lạng Sơn</v>
          </cell>
          <cell r="W284" t="str">
            <v>7/11/2006</v>
          </cell>
          <cell r="AA284">
            <v>0</v>
          </cell>
          <cell r="AB284" t="str">
            <v>TĐ011</v>
          </cell>
          <cell r="AC284" t="str">
            <v>Tai mũi họng</v>
          </cell>
          <cell r="AD284" t="str">
            <v>KP022</v>
          </cell>
          <cell r="AE284" t="str">
            <v>Viên chức</v>
          </cell>
          <cell r="AF284" t="str">
            <v>V.08.05.12</v>
          </cell>
          <cell r="AG284" t="str">
            <v>Điều dưỡng (hạng III)</v>
          </cell>
          <cell r="AH284">
            <v>3.66</v>
          </cell>
          <cell r="AI284">
            <v>5</v>
          </cell>
          <cell r="AJ284">
            <v>0</v>
          </cell>
          <cell r="AK284">
            <v>45383</v>
          </cell>
          <cell r="AL284" t="str">
            <v>Đại học</v>
          </cell>
          <cell r="AM284" t="str">
            <v>Điều dưỡng ĐH</v>
          </cell>
          <cell r="AO284" t="str">
            <v>TH Y Tế Lạng Sơn</v>
          </cell>
          <cell r="AP284">
            <v>2004</v>
          </cell>
          <cell r="AQ284" t="str">
            <v>12/12</v>
          </cell>
          <cell r="AR284">
            <v>0</v>
          </cell>
          <cell r="AS284">
            <v>0</v>
          </cell>
          <cell r="AT284">
            <v>0</v>
          </cell>
          <cell r="AU284" t="str">
            <v>Anh B</v>
          </cell>
          <cell r="AV284">
            <v>0</v>
          </cell>
          <cell r="AW284" t="str">
            <v>Tin B</v>
          </cell>
          <cell r="AY284" t="str">
            <v>Tày</v>
          </cell>
          <cell r="AZ284">
            <v>41362</v>
          </cell>
          <cell r="BA284" t="e">
            <v>#REF!</v>
          </cell>
          <cell r="BB284" t="e">
            <v>#REF!</v>
          </cell>
          <cell r="BC284" t="str">
            <v>24/06/2013</v>
          </cell>
        </row>
        <row r="285">
          <cell r="A285" t="str">
            <v>BV0021</v>
          </cell>
          <cell r="B285">
            <v>279</v>
          </cell>
          <cell r="C285" t="str">
            <v>Lý Thị Lệ</v>
          </cell>
          <cell r="D285" t="str">
            <v>BV0021</v>
          </cell>
          <cell r="E285">
            <v>2009000944</v>
          </cell>
          <cell r="G285" t="str">
            <v>20185002475, ngày cấp 20/4/2021, Cục cảnh sát quản lý hành chính về trật tự xã hội</v>
          </cell>
          <cell r="I285">
            <v>31374</v>
          </cell>
          <cell r="J285">
            <v>40</v>
          </cell>
          <cell r="K285" t="str">
            <v>082026192</v>
          </cell>
          <cell r="L285" t="str">
            <v>06/04/2004</v>
          </cell>
          <cell r="M285" t="str">
            <v>CA tỉnh Lạng Sơn</v>
          </cell>
          <cell r="O285" t="str">
            <v>Xã Hợp Thành</v>
          </cell>
          <cell r="P285" t="str">
            <v>Huyện Cao Lộc</v>
          </cell>
          <cell r="Q285" t="str">
            <v>Tỉnh Lạng Sơn</v>
          </cell>
          <cell r="S285" t="str">
            <v>Xã Hợp Thành</v>
          </cell>
          <cell r="T285" t="str">
            <v>Huyện Cao Lộc</v>
          </cell>
          <cell r="U285" t="str">
            <v>Tỉnh Lạng Sơn</v>
          </cell>
          <cell r="V285" t="str">
            <v>Xã Hợp Thành, Huyện Cao Lộc, Tỉnh Lạng Sơn</v>
          </cell>
          <cell r="W285" t="str">
            <v>8/12/2008</v>
          </cell>
          <cell r="AA285">
            <v>0</v>
          </cell>
          <cell r="AB285" t="str">
            <v>TĐ012</v>
          </cell>
          <cell r="AC285" t="str">
            <v>Tai mũi họng</v>
          </cell>
          <cell r="AD285" t="str">
            <v>KP022</v>
          </cell>
          <cell r="AE285" t="str">
            <v>Viên chức</v>
          </cell>
          <cell r="AF285" t="str">
            <v>V.08.05.13</v>
          </cell>
          <cell r="AG285" t="str">
            <v>Điều dưỡng (hạng IV)</v>
          </cell>
          <cell r="AH285">
            <v>3.34</v>
          </cell>
          <cell r="AI285">
            <v>5</v>
          </cell>
          <cell r="AJ285">
            <v>0</v>
          </cell>
          <cell r="AK285">
            <v>44927</v>
          </cell>
          <cell r="AL285" t="str">
            <v>Cao đẳng</v>
          </cell>
          <cell r="AM285" t="str">
            <v>Điều dưỡng CĐ</v>
          </cell>
          <cell r="AO285" t="str">
            <v>CĐ Y tế Lạng Sơn</v>
          </cell>
          <cell r="AP285">
            <v>2007</v>
          </cell>
          <cell r="AQ285" t="str">
            <v>12/12</v>
          </cell>
          <cell r="AR285">
            <v>0</v>
          </cell>
          <cell r="AS285">
            <v>0</v>
          </cell>
          <cell r="AT285">
            <v>0</v>
          </cell>
          <cell r="AU285">
            <v>0</v>
          </cell>
          <cell r="AV285">
            <v>0</v>
          </cell>
          <cell r="AW285" t="str">
            <v>Tin B</v>
          </cell>
          <cell r="AY285" t="str">
            <v>Tày</v>
          </cell>
          <cell r="BA285" t="e">
            <v>#REF!</v>
          </cell>
          <cell r="BB285" t="e">
            <v>#REF!</v>
          </cell>
          <cell r="BC285" t="str">
            <v>24/06/2013</v>
          </cell>
        </row>
        <row r="286">
          <cell r="A286" t="str">
            <v>BV0386</v>
          </cell>
          <cell r="B286">
            <v>280</v>
          </cell>
          <cell r="C286" t="str">
            <v>Ngô Thị Huyền</v>
          </cell>
          <cell r="D286" t="str">
            <v>BV0386</v>
          </cell>
          <cell r="E286">
            <v>2009000928</v>
          </cell>
          <cell r="G286" t="str">
            <v>20187002835 , ngày cấp 20/4/2021, Cục cảnh sát quản lý hành chính về trật tự xã hội</v>
          </cell>
          <cell r="I286">
            <v>31984</v>
          </cell>
          <cell r="J286">
            <v>38</v>
          </cell>
          <cell r="K286" t="str">
            <v>082020398</v>
          </cell>
          <cell r="L286" t="str">
            <v>25/02/2005</v>
          </cell>
          <cell r="M286" t="str">
            <v>CA tỉnh Lạng Sơn</v>
          </cell>
          <cell r="P286" t="str">
            <v>Huyện Tràng Định</v>
          </cell>
          <cell r="Q286" t="str">
            <v>Tỉnh Lạng Sơn</v>
          </cell>
          <cell r="S286" t="str">
            <v>Phường Vĩnh Trại</v>
          </cell>
          <cell r="T286" t="str">
            <v>Thành phố Lạng Sơn</v>
          </cell>
          <cell r="U286" t="str">
            <v>Tỉnh Lạng Sơn</v>
          </cell>
          <cell r="V286" t="str">
            <v>Phường Vĩnh Trại, Thành phố Lạng Sơn, Tỉnh Lạng Sơn</v>
          </cell>
          <cell r="W286" t="str">
            <v>1/12/2008</v>
          </cell>
          <cell r="AA286">
            <v>0</v>
          </cell>
          <cell r="AB286" t="str">
            <v>TĐ012</v>
          </cell>
          <cell r="AC286" t="str">
            <v>Tai mũi họng</v>
          </cell>
          <cell r="AD286" t="str">
            <v>KP022</v>
          </cell>
          <cell r="AE286" t="str">
            <v>Viên chức</v>
          </cell>
          <cell r="AF286" t="str">
            <v>V.08.05.13</v>
          </cell>
          <cell r="AG286" t="str">
            <v>Điều dưỡng (hạng IV)</v>
          </cell>
          <cell r="AH286">
            <v>3.34</v>
          </cell>
          <cell r="AI286">
            <v>5</v>
          </cell>
          <cell r="AJ286">
            <v>0</v>
          </cell>
          <cell r="AK286">
            <v>44927</v>
          </cell>
          <cell r="AL286" t="str">
            <v>Cao đẳng</v>
          </cell>
          <cell r="AM286" t="str">
            <v>Điều dưỡng CĐ</v>
          </cell>
          <cell r="AO286" t="str">
            <v>CĐ Y tế Lạng Sơn</v>
          </cell>
          <cell r="AP286">
            <v>2007</v>
          </cell>
          <cell r="AQ286" t="str">
            <v>12/12</v>
          </cell>
          <cell r="AR286">
            <v>0</v>
          </cell>
          <cell r="AS286">
            <v>0</v>
          </cell>
          <cell r="AT286">
            <v>0</v>
          </cell>
          <cell r="AU286" t="str">
            <v>Anh B</v>
          </cell>
          <cell r="AV286">
            <v>0</v>
          </cell>
          <cell r="AW286" t="str">
            <v>Tin B</v>
          </cell>
          <cell r="AY286" t="str">
            <v>Nùng</v>
          </cell>
          <cell r="BA286" t="e">
            <v>#REF!</v>
          </cell>
          <cell r="BB286" t="e">
            <v>#REF!</v>
          </cell>
          <cell r="BC286" t="str">
            <v>24/06/2013</v>
          </cell>
        </row>
        <row r="287">
          <cell r="A287" t="str">
            <v>BV0194</v>
          </cell>
          <cell r="B287">
            <v>281</v>
          </cell>
          <cell r="C287" t="str">
            <v>Hoàng Thị Nhài</v>
          </cell>
          <cell r="D287" t="str">
            <v>BV0194</v>
          </cell>
          <cell r="E287">
            <v>2009002888</v>
          </cell>
          <cell r="G287" t="str">
            <v>20186000814, ngày cấp 29/3/2021, Cục cảnh sát quản lý hành chính về trật tự xã hội</v>
          </cell>
          <cell r="I287">
            <v>31558</v>
          </cell>
          <cell r="J287">
            <v>40</v>
          </cell>
          <cell r="K287" t="str">
            <v>082007561</v>
          </cell>
          <cell r="L287" t="str">
            <v>20/12/2012</v>
          </cell>
          <cell r="M287" t="str">
            <v>CA tỉnh Lạng Sơn</v>
          </cell>
          <cell r="O287" t="str">
            <v>Xã Tân Lập</v>
          </cell>
          <cell r="P287" t="str">
            <v>Huyện Bắc Sơn</v>
          </cell>
          <cell r="Q287" t="str">
            <v>Tỉnh Lạng Sơn</v>
          </cell>
          <cell r="R287" t="str">
            <v>69 Đèo Giang</v>
          </cell>
          <cell r="S287" t="str">
            <v>Phường Chi Lăng</v>
          </cell>
          <cell r="T287" t="str">
            <v>Thành phố Lạng Sơn</v>
          </cell>
          <cell r="U287" t="str">
            <v>Tỉnh Lạng Sơn</v>
          </cell>
          <cell r="V287" t="str">
            <v>Phường Chi Lăng, Thành phố Lạng Sơn, Tỉnh Lạng Sơn</v>
          </cell>
          <cell r="W287" t="str">
            <v>1/12/2010</v>
          </cell>
          <cell r="AA287">
            <v>0</v>
          </cell>
          <cell r="AB287" t="str">
            <v>TĐ011</v>
          </cell>
          <cell r="AC287" t="str">
            <v>Tai mũi họng</v>
          </cell>
          <cell r="AD287" t="str">
            <v>KP022</v>
          </cell>
          <cell r="AE287" t="str">
            <v>Viên chức</v>
          </cell>
          <cell r="AF287" t="str">
            <v>V.08.05.12</v>
          </cell>
          <cell r="AG287" t="str">
            <v>Điều dưỡng (hạng III)</v>
          </cell>
          <cell r="AH287">
            <v>3.66</v>
          </cell>
          <cell r="AI287">
            <v>5</v>
          </cell>
          <cell r="AJ287">
            <v>0</v>
          </cell>
          <cell r="AK287">
            <v>45383</v>
          </cell>
          <cell r="AL287" t="str">
            <v>Đại học</v>
          </cell>
          <cell r="AM287" t="str">
            <v>Điều dưỡng ĐH</v>
          </cell>
          <cell r="AO287" t="str">
            <v>CĐ Y tế Lạng Sơn</v>
          </cell>
          <cell r="AP287">
            <v>2008</v>
          </cell>
          <cell r="AQ287" t="str">
            <v>12/12</v>
          </cell>
          <cell r="AR287">
            <v>0</v>
          </cell>
          <cell r="AS287">
            <v>0</v>
          </cell>
          <cell r="AT287">
            <v>0</v>
          </cell>
          <cell r="AU287" t="str">
            <v>TOEIC</v>
          </cell>
          <cell r="AV287">
            <v>0</v>
          </cell>
          <cell r="AW287" t="str">
            <v>Cơ bản</v>
          </cell>
          <cell r="AY287" t="str">
            <v>Tày</v>
          </cell>
          <cell r="AZ287">
            <v>43010</v>
          </cell>
          <cell r="BA287" t="e">
            <v>#REF!</v>
          </cell>
          <cell r="BB287" t="e">
            <v>#REF!</v>
          </cell>
          <cell r="BC287" t="str">
            <v>24/06/2013</v>
          </cell>
        </row>
        <row r="288">
          <cell r="A288" t="str">
            <v>BV0383</v>
          </cell>
          <cell r="B288">
            <v>282</v>
          </cell>
          <cell r="C288" t="str">
            <v>Vũ Thúy Ngân</v>
          </cell>
          <cell r="D288" t="str">
            <v>BV0383</v>
          </cell>
          <cell r="E288">
            <v>1505002941</v>
          </cell>
          <cell r="G288" t="str">
            <v>20169001840, ngày cấp 29/4/2021, Cục cảnh sát quản lý hành chính về trật tự xã hội</v>
          </cell>
          <cell r="I288">
            <v>25542</v>
          </cell>
          <cell r="J288">
            <v>56</v>
          </cell>
          <cell r="K288" t="str">
            <v>080898457</v>
          </cell>
          <cell r="L288" t="str">
            <v>28/10/2004</v>
          </cell>
          <cell r="M288" t="str">
            <v>CA tỉnh Lạng Sơn</v>
          </cell>
          <cell r="P288" t="str">
            <v>Huyện Tràng Định</v>
          </cell>
          <cell r="Q288" t="str">
            <v>Tỉnh Lạng Sơn</v>
          </cell>
          <cell r="S288" t="str">
            <v>Phường Hoàng Văn Thụ</v>
          </cell>
          <cell r="T288" t="str">
            <v>Thành phố Lạng Sơn</v>
          </cell>
          <cell r="U288" t="str">
            <v>Tỉnh Lạng Sơn</v>
          </cell>
          <cell r="V288" t="str">
            <v>Phường Hoàng Văn Thụ, Thành phố Lạng Sơn, Tỉnh Lạng Sơn</v>
          </cell>
          <cell r="W288" t="str">
            <v>1/7/2005</v>
          </cell>
          <cell r="AA288">
            <v>0</v>
          </cell>
          <cell r="AB288" t="str">
            <v>TĐ012</v>
          </cell>
          <cell r="AC288" t="str">
            <v>Tai mũi họng</v>
          </cell>
          <cell r="AD288" t="str">
            <v>KP022</v>
          </cell>
          <cell r="AE288" t="str">
            <v>Viên chức</v>
          </cell>
          <cell r="AF288" t="str">
            <v>V.08.05.13</v>
          </cell>
          <cell r="AG288" t="str">
            <v>Điều dưỡng (hạng IV)</v>
          </cell>
          <cell r="AH288">
            <v>3.34</v>
          </cell>
          <cell r="AI288">
            <v>5</v>
          </cell>
          <cell r="AJ288">
            <v>0</v>
          </cell>
          <cell r="AK288">
            <v>44896</v>
          </cell>
          <cell r="AL288" t="str">
            <v>Cao đẳng</v>
          </cell>
          <cell r="AM288" t="str">
            <v>Điều dưỡng CĐ</v>
          </cell>
          <cell r="AO288" t="str">
            <v>TH Y Tế Lạng Sơn</v>
          </cell>
          <cell r="AP288">
            <v>2004</v>
          </cell>
          <cell r="AQ288" t="str">
            <v>12/12</v>
          </cell>
          <cell r="AR288">
            <v>0</v>
          </cell>
          <cell r="AS288">
            <v>0</v>
          </cell>
          <cell r="AT288">
            <v>0</v>
          </cell>
          <cell r="AU288">
            <v>0</v>
          </cell>
          <cell r="AV288">
            <v>0</v>
          </cell>
          <cell r="AW288">
            <v>0</v>
          </cell>
          <cell r="AY288" t="str">
            <v>Kinh</v>
          </cell>
          <cell r="BA288" t="e">
            <v>#REF!</v>
          </cell>
          <cell r="BB288" t="e">
            <v>#REF!</v>
          </cell>
          <cell r="BC288" t="str">
            <v>24/06/2013</v>
          </cell>
        </row>
        <row r="289">
          <cell r="A289" t="str">
            <v>BV0381</v>
          </cell>
          <cell r="B289">
            <v>283</v>
          </cell>
          <cell r="C289" t="str">
            <v>Nông Minh Hiếu</v>
          </cell>
          <cell r="D289" t="str">
            <v>BV0381</v>
          </cell>
          <cell r="E289">
            <v>1506002947</v>
          </cell>
          <cell r="G289" t="str">
            <v>20182002688, ngày cấp 29/4/2021, Cục cảnh sát quản lý hành chính về trật tự xã hội</v>
          </cell>
          <cell r="I289">
            <v>30014</v>
          </cell>
          <cell r="J289">
            <v>44</v>
          </cell>
          <cell r="K289" t="str">
            <v>080937412</v>
          </cell>
          <cell r="L289" t="str">
            <v>10/03/2000</v>
          </cell>
          <cell r="M289" t="str">
            <v>CA tỉnh Lạng Sơn</v>
          </cell>
          <cell r="P289" t="str">
            <v>Huyện Tràng Định</v>
          </cell>
          <cell r="Q289" t="str">
            <v>Tỉnh Lạng Sơn</v>
          </cell>
          <cell r="S289" t="str">
            <v>Xã Hoàng Đồng</v>
          </cell>
          <cell r="T289" t="str">
            <v>Thành phố Lạng Sơn</v>
          </cell>
          <cell r="U289" t="str">
            <v>Tỉnh Lạng Sơn</v>
          </cell>
          <cell r="V289" t="str">
            <v>Xã Hoàng Đồng, Thành phố Lạng Sơn, Tỉnh Lạng Sơn</v>
          </cell>
          <cell r="W289" t="str">
            <v>7/11/2006</v>
          </cell>
          <cell r="AA289">
            <v>0</v>
          </cell>
          <cell r="AB289" t="str">
            <v>TĐ012</v>
          </cell>
          <cell r="AC289" t="str">
            <v>Tai mũi họng</v>
          </cell>
          <cell r="AD289" t="str">
            <v>KP022</v>
          </cell>
          <cell r="AE289" t="str">
            <v>Viên chức</v>
          </cell>
          <cell r="AF289" t="str">
            <v>V.08.05.13</v>
          </cell>
          <cell r="AG289" t="str">
            <v>Điều dưỡng (hạng IV)</v>
          </cell>
          <cell r="AH289">
            <v>3.65</v>
          </cell>
          <cell r="AI289">
            <v>6</v>
          </cell>
          <cell r="AJ289">
            <v>0</v>
          </cell>
          <cell r="AK289">
            <v>45231</v>
          </cell>
          <cell r="AL289" t="str">
            <v>Cao đẳng</v>
          </cell>
          <cell r="AM289" t="str">
            <v>Điều dưỡng CĐ</v>
          </cell>
          <cell r="AO289" t="str">
            <v>TH Y Tế Lạng Sơn</v>
          </cell>
          <cell r="AP289">
            <v>2005</v>
          </cell>
          <cell r="AQ289" t="str">
            <v>12/12</v>
          </cell>
          <cell r="AR289">
            <v>0</v>
          </cell>
          <cell r="AS289">
            <v>0</v>
          </cell>
          <cell r="AT289">
            <v>0</v>
          </cell>
          <cell r="AU289" t="str">
            <v>Anh A</v>
          </cell>
          <cell r="AV289" t="str">
            <v>Tày</v>
          </cell>
          <cell r="AW289" t="str">
            <v>Tin A</v>
          </cell>
          <cell r="AY289" t="str">
            <v>Tày</v>
          </cell>
          <cell r="AZ289">
            <v>41396</v>
          </cell>
          <cell r="BA289" t="e">
            <v>#REF!</v>
          </cell>
          <cell r="BB289" t="e">
            <v>#REF!</v>
          </cell>
          <cell r="BC289" t="str">
            <v>1/06/2016</v>
          </cell>
        </row>
        <row r="290">
          <cell r="A290" t="str">
            <v>BV0391</v>
          </cell>
          <cell r="B290">
            <v>284</v>
          </cell>
          <cell r="C290" t="str">
            <v>Bạch Ngọc Sỹ</v>
          </cell>
          <cell r="D290" t="str">
            <v>BV0391</v>
          </cell>
          <cell r="E290">
            <v>1596007559</v>
          </cell>
          <cell r="G290" t="str">
            <v xml:space="preserve">CCCD: 020070005953 
cấp ngày 25/6/2021 
Tại Cục cảnh sát quản lý hành chính về trật tự xã hội  </v>
          </cell>
          <cell r="H290">
            <v>25776</v>
          </cell>
          <cell r="I290" t="str">
            <v xml:space="preserve">   </v>
          </cell>
          <cell r="J290">
            <v>55</v>
          </cell>
          <cell r="K290" t="str">
            <v>080852085</v>
          </cell>
          <cell r="L290" t="str">
            <v>26/11/2012</v>
          </cell>
          <cell r="M290" t="str">
            <v>CA tỉnh Lạng Sơn</v>
          </cell>
          <cell r="P290" t="str">
            <v>Huyện Tiên Sơn</v>
          </cell>
          <cell r="Q290" t="str">
            <v>Tỉnh Bắc Ninh</v>
          </cell>
          <cell r="S290" t="str">
            <v>Phường Tam Thanh</v>
          </cell>
          <cell r="T290" t="str">
            <v>Thành phố Lạng Sơn</v>
          </cell>
          <cell r="U290" t="str">
            <v>Tỉnh Lạng Sơn</v>
          </cell>
          <cell r="V290" t="str">
            <v>Phường Tam Thanh, Thành phố Lạng Sơn, Tỉnh Lạng Sơn</v>
          </cell>
          <cell r="W290" t="str">
            <v>10/1/1996</v>
          </cell>
          <cell r="AA290" t="str">
            <v>Trưởng khoa</v>
          </cell>
          <cell r="AB290" t="str">
            <v>TĐ001</v>
          </cell>
          <cell r="AC290" t="str">
            <v>Mắt</v>
          </cell>
          <cell r="AD290" t="str">
            <v>KP023</v>
          </cell>
          <cell r="AE290" t="str">
            <v>Viên chức</v>
          </cell>
          <cell r="AF290" t="str">
            <v>V.08.01.02</v>
          </cell>
          <cell r="AG290" t="str">
            <v>Bác sĩ chính (hạng II)</v>
          </cell>
          <cell r="AH290">
            <v>6.1</v>
          </cell>
          <cell r="AI290">
            <v>6</v>
          </cell>
          <cell r="AJ290">
            <v>0</v>
          </cell>
          <cell r="AK290">
            <v>45839</v>
          </cell>
          <cell r="AL290" t="str">
            <v>Đại học</v>
          </cell>
          <cell r="AM290" t="str">
            <v>BSCKII</v>
          </cell>
          <cell r="AN290" t="str">
            <v>Nhãn khoa</v>
          </cell>
          <cell r="AO290" t="str">
            <v>ĐH Y Hà Nội</v>
          </cell>
          <cell r="AP290">
            <v>2017</v>
          </cell>
          <cell r="AQ290" t="str">
            <v>12/12</v>
          </cell>
          <cell r="AR290" t="str">
            <v>Chuyên viên</v>
          </cell>
          <cell r="AS290" t="str">
            <v>x</v>
          </cell>
          <cell r="AT290" t="str">
            <v>Sơ cấp</v>
          </cell>
          <cell r="AU290" t="str">
            <v>Anh B</v>
          </cell>
          <cell r="AV290" t="str">
            <v>x</v>
          </cell>
          <cell r="AW290" t="str">
            <v>Tin A</v>
          </cell>
          <cell r="AY290" t="str">
            <v>Kinh</v>
          </cell>
          <cell r="AZ290">
            <v>34854</v>
          </cell>
          <cell r="BA290" t="e">
            <v>#REF!</v>
          </cell>
          <cell r="BB290" t="e">
            <v>#REF!</v>
          </cell>
          <cell r="BC290" t="str">
            <v>24/06/2013</v>
          </cell>
        </row>
        <row r="291">
          <cell r="A291" t="str">
            <v>BV0393</v>
          </cell>
          <cell r="B291">
            <v>285</v>
          </cell>
          <cell r="C291" t="str">
            <v>Trần Quốc Hải</v>
          </cell>
          <cell r="D291" t="str">
            <v>BV0393</v>
          </cell>
          <cell r="E291">
            <v>1596004106</v>
          </cell>
          <cell r="G291" t="str">
            <v>CCCD: 020066001738 
cấp ngày 29/4/2021 
Tại Cục cảnh sát quản lý hành chính về trật tự xã hội</v>
          </cell>
          <cell r="H291">
            <v>24149</v>
          </cell>
          <cell r="J291">
            <v>60</v>
          </cell>
          <cell r="K291" t="str">
            <v>081064932</v>
          </cell>
          <cell r="L291" t="str">
            <v>09/09/2013</v>
          </cell>
          <cell r="M291" t="str">
            <v>CA tỉnh Lạng Sơn</v>
          </cell>
          <cell r="P291" t="str">
            <v>Huyện Tràng Định</v>
          </cell>
          <cell r="Q291" t="str">
            <v>Tỉnh Lạng Sơn</v>
          </cell>
          <cell r="S291" t="str">
            <v>Phường Đông Kinh</v>
          </cell>
          <cell r="T291" t="str">
            <v>Thành phố Lạng Sơn</v>
          </cell>
          <cell r="U291" t="str">
            <v>Tỉnh Lạng Sơn</v>
          </cell>
          <cell r="V291" t="str">
            <v>Phường Đông Kinh, Thành phố Lạng Sơn, Tỉnh Lạng Sơn</v>
          </cell>
          <cell r="W291" t="str">
            <v>2/1/1992</v>
          </cell>
          <cell r="AA291">
            <v>0</v>
          </cell>
          <cell r="AB291" t="str">
            <v>TĐ003</v>
          </cell>
          <cell r="AC291" t="str">
            <v>Mắt</v>
          </cell>
          <cell r="AD291" t="str">
            <v>KP023</v>
          </cell>
          <cell r="AE291" t="str">
            <v>Viên chức</v>
          </cell>
          <cell r="AF291" t="str">
            <v>V.08.01.02</v>
          </cell>
          <cell r="AG291" t="str">
            <v>Bác sĩ chính (hạng II)</v>
          </cell>
          <cell r="AH291">
            <v>6.1</v>
          </cell>
          <cell r="AI291">
            <v>6</v>
          </cell>
          <cell r="AJ291">
            <v>0</v>
          </cell>
          <cell r="AK291">
            <v>45992</v>
          </cell>
          <cell r="AL291" t="str">
            <v>Đại học</v>
          </cell>
          <cell r="AM291" t="str">
            <v>BSCKI</v>
          </cell>
          <cell r="AN291" t="str">
            <v>Nhãn khoa</v>
          </cell>
          <cell r="AQ291" t="str">
            <v>12/12</v>
          </cell>
          <cell r="AR291">
            <v>0</v>
          </cell>
          <cell r="AS291">
            <v>0</v>
          </cell>
          <cell r="AT291">
            <v>0</v>
          </cell>
          <cell r="AU291" t="str">
            <v>Anh B</v>
          </cell>
          <cell r="AV291" t="str">
            <v>Tày</v>
          </cell>
          <cell r="AW291" t="str">
            <v>B</v>
          </cell>
          <cell r="AX291" t="str">
            <v>Bồi dưỡng BS chính</v>
          </cell>
          <cell r="AY291" t="str">
            <v>Tày</v>
          </cell>
          <cell r="AZ291">
            <v>40660</v>
          </cell>
          <cell r="BA291" t="e">
            <v>#REF!</v>
          </cell>
          <cell r="BB291" t="e">
            <v>#REF!</v>
          </cell>
        </row>
        <row r="292">
          <cell r="A292" t="str">
            <v>BV0392</v>
          </cell>
          <cell r="B292">
            <v>286</v>
          </cell>
          <cell r="C292" t="str">
            <v>Hoàng Sơn</v>
          </cell>
          <cell r="D292" t="str">
            <v>BV0392</v>
          </cell>
          <cell r="E292">
            <v>1504000548</v>
          </cell>
          <cell r="G292" t="str">
            <v xml:space="preserve">CCCD: 020077008233 
cấp ngày 25/6/2021
Tại Cục cảnh sát quản lý hành chính về trật tự xã hội </v>
          </cell>
          <cell r="H292">
            <v>28390</v>
          </cell>
          <cell r="J292">
            <v>48</v>
          </cell>
          <cell r="K292" t="str">
            <v>080961396</v>
          </cell>
          <cell r="L292" t="str">
            <v>16/10/2013</v>
          </cell>
          <cell r="M292" t="str">
            <v>CA tỉnh Lạng Sơn</v>
          </cell>
          <cell r="O292" t="str">
            <v>Xã Mai Sao</v>
          </cell>
          <cell r="P292" t="str">
            <v>Huyện Chi Lăng</v>
          </cell>
          <cell r="Q292" t="str">
            <v>Tỉnh Lạng Sơn</v>
          </cell>
          <cell r="S292" t="str">
            <v>Phường Tam Thanh</v>
          </cell>
          <cell r="T292" t="str">
            <v>Thành phố Lạng Sơn</v>
          </cell>
          <cell r="U292" t="str">
            <v>Tỉnh Lạng Sơn</v>
          </cell>
          <cell r="V292" t="str">
            <v>Phường Tam Thanh, Thành phố Lạng Sơn, Tỉnh Lạng Sơn</v>
          </cell>
          <cell r="W292" t="str">
            <v>1/1/2003</v>
          </cell>
          <cell r="AA292" t="str">
            <v>Phó trưởng khoa</v>
          </cell>
          <cell r="AB292" t="str">
            <v>TĐ001</v>
          </cell>
          <cell r="AC292" t="str">
            <v>Mắt</v>
          </cell>
          <cell r="AD292" t="str">
            <v>KP023</v>
          </cell>
          <cell r="AE292" t="str">
            <v>Viên chức</v>
          </cell>
          <cell r="AF292" t="str">
            <v>V.08.01.02</v>
          </cell>
          <cell r="AG292" t="str">
            <v>Bác sĩ chính (hạng II)</v>
          </cell>
          <cell r="AH292">
            <v>5.08</v>
          </cell>
          <cell r="AI292">
            <v>3</v>
          </cell>
          <cell r="AJ292">
            <v>0</v>
          </cell>
          <cell r="AK292">
            <v>45292</v>
          </cell>
          <cell r="AL292" t="str">
            <v>Đại học</v>
          </cell>
          <cell r="AM292" t="str">
            <v>BSCKII</v>
          </cell>
          <cell r="AN292" t="str">
            <v>Nhãn khoa</v>
          </cell>
          <cell r="AO292" t="str">
            <v>ĐH Y Hà Nội</v>
          </cell>
          <cell r="AP292">
            <v>2011</v>
          </cell>
          <cell r="AQ292" t="str">
            <v>12/12</v>
          </cell>
          <cell r="AR292" t="str">
            <v>Chuyên viên</v>
          </cell>
          <cell r="AS292" t="str">
            <v>x</v>
          </cell>
          <cell r="AT292">
            <v>0</v>
          </cell>
          <cell r="AU292" t="str">
            <v>Tiếng anh C</v>
          </cell>
          <cell r="AV292" t="str">
            <v>x</v>
          </cell>
          <cell r="AW292" t="str">
            <v>Tin B</v>
          </cell>
          <cell r="AY292" t="str">
            <v>Tày</v>
          </cell>
          <cell r="AZ292">
            <v>38934</v>
          </cell>
          <cell r="BA292" t="e">
            <v>#REF!</v>
          </cell>
          <cell r="BB292" t="e">
            <v>#REF!</v>
          </cell>
          <cell r="BC292" t="str">
            <v>24/06/2013</v>
          </cell>
        </row>
        <row r="293">
          <cell r="A293" t="str">
            <v>BV0395</v>
          </cell>
          <cell r="B293">
            <v>287</v>
          </cell>
          <cell r="C293" t="str">
            <v>Lý Ngọc Thủy</v>
          </cell>
          <cell r="D293" t="str">
            <v>BV0395</v>
          </cell>
          <cell r="E293">
            <v>2012000300</v>
          </cell>
          <cell r="G293" t="str">
            <v>CCCD: 020187003173 
cấp ngày 20/4/2021
Tại Cục cảnh sát quản lý hành chính về trật tự xã hội</v>
          </cell>
          <cell r="I293">
            <v>31912</v>
          </cell>
          <cell r="J293">
            <v>39</v>
          </cell>
          <cell r="K293" t="str">
            <v>082010939</v>
          </cell>
          <cell r="L293" t="str">
            <v>30/7/2004</v>
          </cell>
          <cell r="M293" t="str">
            <v>CA tỉnh Lạng Sơn</v>
          </cell>
          <cell r="P293" t="str">
            <v>Thành phố Lạng Sơn</v>
          </cell>
          <cell r="Q293" t="str">
            <v>Tỉnh Lạng Sơn</v>
          </cell>
          <cell r="T293" t="str">
            <v>Thành phố Lạng Sơn</v>
          </cell>
          <cell r="U293" t="str">
            <v>Tỉnh Lạng Sơn</v>
          </cell>
          <cell r="V293" t="str">
            <v>, Thành phố Lạng Sơn, Tỉnh Lạng Sơn</v>
          </cell>
          <cell r="W293" t="str">
            <v>5/6/2013</v>
          </cell>
          <cell r="AA293">
            <v>0</v>
          </cell>
          <cell r="AB293" t="str">
            <v>TĐ003</v>
          </cell>
          <cell r="AC293" t="str">
            <v>Mắt</v>
          </cell>
          <cell r="AD293" t="str">
            <v>KP023</v>
          </cell>
          <cell r="AE293" t="str">
            <v>Viên chức</v>
          </cell>
          <cell r="AF293" t="str">
            <v>V.08.01.03</v>
          </cell>
          <cell r="AG293" t="str">
            <v>Bác sĩ (hạng III)</v>
          </cell>
          <cell r="AH293">
            <v>3.33</v>
          </cell>
          <cell r="AI293">
            <v>4</v>
          </cell>
          <cell r="AJ293">
            <v>0</v>
          </cell>
          <cell r="AK293">
            <v>44999</v>
          </cell>
          <cell r="AL293" t="str">
            <v>Đại học</v>
          </cell>
          <cell r="AM293" t="str">
            <v>BSCKI</v>
          </cell>
          <cell r="AN293" t="str">
            <v>Nhãn khoa</v>
          </cell>
          <cell r="AO293" t="str">
            <v>ĐH Y Dược Thái Nguyên</v>
          </cell>
          <cell r="AP293">
            <v>2012</v>
          </cell>
          <cell r="AQ293" t="str">
            <v>12/12</v>
          </cell>
          <cell r="AR293">
            <v>0</v>
          </cell>
          <cell r="AS293">
            <v>0</v>
          </cell>
          <cell r="AT293">
            <v>0</v>
          </cell>
          <cell r="AU293" t="str">
            <v>Anh B</v>
          </cell>
          <cell r="AV293">
            <v>0</v>
          </cell>
          <cell r="AW293" t="str">
            <v>Cơ bản</v>
          </cell>
          <cell r="AY293" t="str">
            <v>Nùng</v>
          </cell>
          <cell r="BA293" t="e">
            <v>#REF!</v>
          </cell>
          <cell r="BB293" t="e">
            <v>#REF!</v>
          </cell>
          <cell r="BC293" t="str">
            <v>20/12/2012</v>
          </cell>
        </row>
        <row r="294">
          <cell r="A294" t="str">
            <v>BV0398</v>
          </cell>
          <cell r="B294">
            <v>288</v>
          </cell>
          <cell r="C294" t="str">
            <v>Phạm Thị Ngần</v>
          </cell>
          <cell r="D294" t="str">
            <v>BV0398</v>
          </cell>
          <cell r="E294">
            <v>2013000008</v>
          </cell>
          <cell r="G294" t="str">
            <v xml:space="preserve">036190019794 cấp ngày 25/6/2021 tại CTCCSQLHCVTTXH  </v>
          </cell>
          <cell r="I294">
            <v>32977</v>
          </cell>
          <cell r="J294">
            <v>36</v>
          </cell>
          <cell r="K294" t="str">
            <v>142909242</v>
          </cell>
          <cell r="L294" t="str">
            <v>14/04/2005</v>
          </cell>
          <cell r="M294" t="str">
            <v>CA tỉnh Lạng Sơn</v>
          </cell>
          <cell r="P294" t="str">
            <v>Huyện Nam Trực</v>
          </cell>
          <cell r="Q294" t="str">
            <v>Tỉnh Nam Định</v>
          </cell>
          <cell r="S294" t="str">
            <v>Phường Đông Kinh</v>
          </cell>
          <cell r="T294" t="str">
            <v>Thành phố Lạng Sơn</v>
          </cell>
          <cell r="U294" t="str">
            <v>Tỉnh Lạng Sơn</v>
          </cell>
          <cell r="V294" t="str">
            <v>Phường Đông Kinh, Thành phố Lạng Sơn, Tỉnh Lạng Sơn</v>
          </cell>
          <cell r="W294" t="str">
            <v>10/6/2013</v>
          </cell>
          <cell r="AA294">
            <v>0</v>
          </cell>
          <cell r="AB294" t="str">
            <v>TĐ011</v>
          </cell>
          <cell r="AC294" t="str">
            <v>Mắt</v>
          </cell>
          <cell r="AD294" t="str">
            <v>KP023</v>
          </cell>
          <cell r="AE294" t="str">
            <v>Viên chức</v>
          </cell>
          <cell r="AF294" t="str">
            <v>V.08.05.12</v>
          </cell>
          <cell r="AG294" t="str">
            <v>Điều dưỡng (hạng III)</v>
          </cell>
          <cell r="AH294">
            <v>3.33</v>
          </cell>
          <cell r="AI294">
            <v>4</v>
          </cell>
          <cell r="AJ294">
            <v>0</v>
          </cell>
          <cell r="AK294">
            <v>45179</v>
          </cell>
          <cell r="AL294" t="str">
            <v>Đại học</v>
          </cell>
          <cell r="AM294" t="str">
            <v>Điều dưỡng ĐH</v>
          </cell>
          <cell r="AO294" t="str">
            <v>ĐH Điều dưỡng nam Định</v>
          </cell>
          <cell r="AP294">
            <v>2012</v>
          </cell>
          <cell r="AQ294" t="str">
            <v>12/12</v>
          </cell>
          <cell r="AR294">
            <v>0</v>
          </cell>
          <cell r="AS294">
            <v>0</v>
          </cell>
          <cell r="AT294">
            <v>0</v>
          </cell>
          <cell r="AU294" t="str">
            <v>Tiếng anh B</v>
          </cell>
          <cell r="AV294">
            <v>0</v>
          </cell>
          <cell r="AW294" t="str">
            <v>Tin B</v>
          </cell>
          <cell r="AY294" t="str">
            <v>Kinh</v>
          </cell>
          <cell r="BA294" t="e">
            <v>#REF!</v>
          </cell>
          <cell r="BB294" t="e">
            <v>#REF!</v>
          </cell>
          <cell r="BC294" t="str">
            <v>24/06/2013</v>
          </cell>
        </row>
        <row r="295">
          <cell r="A295" t="str">
            <v>BV0400</v>
          </cell>
          <cell r="B295">
            <v>289</v>
          </cell>
          <cell r="C295" t="str">
            <v>Hoàng Minh Hiếu</v>
          </cell>
          <cell r="D295" t="str">
            <v>BV0400</v>
          </cell>
          <cell r="E295">
            <v>1506002913</v>
          </cell>
          <cell r="G295" t="str">
            <v>020082001431 cấp ngày 16/4/2021 tại CTCCSQLHCVTTXH</v>
          </cell>
          <cell r="H295">
            <v>30274</v>
          </cell>
          <cell r="J295">
            <v>43</v>
          </cell>
          <cell r="K295" t="str">
            <v>081049805</v>
          </cell>
          <cell r="L295" t="str">
            <v>27/03/2002</v>
          </cell>
          <cell r="M295" t="str">
            <v>CA tỉnh Lạng Sơn</v>
          </cell>
          <cell r="P295" t="str">
            <v>Huyện Bắc Sơn</v>
          </cell>
          <cell r="Q295" t="str">
            <v>Tỉnh Lạng Sơn</v>
          </cell>
          <cell r="S295" t="str">
            <v>Xã Yên Trạch</v>
          </cell>
          <cell r="T295" t="str">
            <v>Huyện Cao Lộc</v>
          </cell>
          <cell r="U295" t="str">
            <v>Tỉnh Lạng Sơn</v>
          </cell>
          <cell r="V295" t="str">
            <v>Xã Yên Trạch, Huyện Cao Lộc, Tỉnh Lạng Sơn</v>
          </cell>
          <cell r="W295" t="str">
            <v>6/10/2006</v>
          </cell>
          <cell r="AA295">
            <v>0</v>
          </cell>
          <cell r="AB295" t="str">
            <v>TĐ011</v>
          </cell>
          <cell r="AC295" t="str">
            <v>Mắt</v>
          </cell>
          <cell r="AD295" t="str">
            <v>KP023</v>
          </cell>
          <cell r="AE295" t="str">
            <v>Viên chức</v>
          </cell>
          <cell r="AF295" t="str">
            <v>V.08.05.12</v>
          </cell>
          <cell r="AG295" t="str">
            <v>Điều dưỡng (hạng III)</v>
          </cell>
          <cell r="AH295">
            <v>3.66</v>
          </cell>
          <cell r="AI295">
            <v>5</v>
          </cell>
          <cell r="AJ295">
            <v>0</v>
          </cell>
          <cell r="AK295">
            <v>45047</v>
          </cell>
          <cell r="AL295" t="str">
            <v>Đại học</v>
          </cell>
          <cell r="AM295" t="str">
            <v>Điều dưỡng ĐH</v>
          </cell>
          <cell r="AO295" t="str">
            <v>ĐH Y Dược Thái Nguyên</v>
          </cell>
          <cell r="AP295">
            <v>2015</v>
          </cell>
          <cell r="AQ295" t="str">
            <v>12/12</v>
          </cell>
          <cell r="AR295">
            <v>0</v>
          </cell>
          <cell r="AS295">
            <v>0</v>
          </cell>
          <cell r="AT295" t="str">
            <v>Sơ cấp</v>
          </cell>
          <cell r="AU295">
            <v>0</v>
          </cell>
          <cell r="AV295" t="str">
            <v>x</v>
          </cell>
          <cell r="AW295" t="str">
            <v>Tin A</v>
          </cell>
          <cell r="AY295" t="str">
            <v>Tày</v>
          </cell>
          <cell r="AZ295">
            <v>40785</v>
          </cell>
          <cell r="BA295" t="e">
            <v>#REF!</v>
          </cell>
          <cell r="BB295" t="e">
            <v>#REF!</v>
          </cell>
          <cell r="BC295" t="str">
            <v>24/06/2013</v>
          </cell>
        </row>
        <row r="296">
          <cell r="A296" t="str">
            <v>BV0302</v>
          </cell>
          <cell r="B296">
            <v>290</v>
          </cell>
          <cell r="C296" t="str">
            <v>Nguyễn Thanh Thúy</v>
          </cell>
          <cell r="D296" t="str">
            <v>BV0302</v>
          </cell>
          <cell r="E296">
            <v>2011000023</v>
          </cell>
          <cell r="G296" t="str">
            <v>020189010948 cấp ngày 25/6/2021 tại CTCCSQLHCVTTXH</v>
          </cell>
          <cell r="I296">
            <v>32677</v>
          </cell>
          <cell r="J296">
            <v>37</v>
          </cell>
          <cell r="K296" t="str">
            <v>082091825</v>
          </cell>
          <cell r="L296" t="str">
            <v>20/10/2006</v>
          </cell>
          <cell r="M296" t="str">
            <v>CA tỉnh Lạng Sơn</v>
          </cell>
          <cell r="O296" t="str">
            <v>Khắc Niệm</v>
          </cell>
          <cell r="P296" t="str">
            <v>Huyện Tiên Du</v>
          </cell>
          <cell r="Q296" t="str">
            <v>Tỉnh Bắc Ninh</v>
          </cell>
          <cell r="R296" t="str">
            <v>15/1 khối 4</v>
          </cell>
          <cell r="S296" t="str">
            <v>Phường Hoàng Văn Thụ</v>
          </cell>
          <cell r="T296" t="str">
            <v>Thành phố Lạng Sơn</v>
          </cell>
          <cell r="U296" t="str">
            <v>Tỉnh Lạng Sơn</v>
          </cell>
          <cell r="V296" t="str">
            <v>Phường Hoàng Văn Thụ, Thành phố Lạng Sơn, Tỉnh Lạng Sơn</v>
          </cell>
          <cell r="W296" t="str">
            <v>1/12/2010</v>
          </cell>
          <cell r="AA296" t="str">
            <v>Điều dưỡng trưởng</v>
          </cell>
          <cell r="AB296" t="str">
            <v>TĐ011</v>
          </cell>
          <cell r="AC296" t="str">
            <v>Mắt</v>
          </cell>
          <cell r="AD296" t="str">
            <v>KP023</v>
          </cell>
          <cell r="AE296" t="str">
            <v>Viên chức</v>
          </cell>
          <cell r="AF296" t="str">
            <v>V.08.05.12</v>
          </cell>
          <cell r="AG296" t="str">
            <v>Điều dưỡng (hạng III)</v>
          </cell>
          <cell r="AH296">
            <v>3.66</v>
          </cell>
          <cell r="AI296">
            <v>5</v>
          </cell>
          <cell r="AJ296">
            <v>0</v>
          </cell>
          <cell r="AK296">
            <v>45383</v>
          </cell>
          <cell r="AL296" t="str">
            <v>Đại học</v>
          </cell>
          <cell r="AM296" t="str">
            <v>Điều dưỡng ĐH</v>
          </cell>
          <cell r="AR296">
            <v>0</v>
          </cell>
          <cell r="AS296" t="str">
            <v>x</v>
          </cell>
          <cell r="AT296" t="str">
            <v>Sơ cấp</v>
          </cell>
          <cell r="AU296" t="str">
            <v>Tiếng anh A2</v>
          </cell>
          <cell r="AV296" t="str">
            <v>x</v>
          </cell>
          <cell r="AW296" t="str">
            <v>CNTT cơ bản</v>
          </cell>
          <cell r="AY296" t="str">
            <v>Kinh</v>
          </cell>
          <cell r="AZ296">
            <v>41851</v>
          </cell>
          <cell r="BA296" t="e">
            <v>#REF!</v>
          </cell>
          <cell r="BB296" t="e">
            <v>#REF!</v>
          </cell>
          <cell r="BC296" t="str">
            <v>24/06/2013</v>
          </cell>
        </row>
        <row r="297">
          <cell r="A297" t="str">
            <v>BV0403</v>
          </cell>
          <cell r="B297">
            <v>291</v>
          </cell>
          <cell r="C297" t="str">
            <v>Hà Thị Thanh Lý</v>
          </cell>
          <cell r="D297" t="str">
            <v>BV0403</v>
          </cell>
          <cell r="E297">
            <v>2011001411</v>
          </cell>
          <cell r="G297" t="str">
            <v xml:space="preserve">020186009778 cấp ngày 25/6/2021 tại CTCCSQLHCVTTXH  </v>
          </cell>
          <cell r="I297">
            <v>31447</v>
          </cell>
          <cell r="J297">
            <v>40</v>
          </cell>
          <cell r="K297" t="str">
            <v>081014016</v>
          </cell>
          <cell r="L297" t="str">
            <v>19/01/2012</v>
          </cell>
          <cell r="M297" t="str">
            <v>CA tỉnh Lạng Sơn</v>
          </cell>
          <cell r="O297" t="str">
            <v>Xã Bình Trung</v>
          </cell>
          <cell r="P297" t="str">
            <v>Huyện Cao Lộc</v>
          </cell>
          <cell r="Q297" t="str">
            <v>Tỉnh Lạng Sơn</v>
          </cell>
          <cell r="S297" t="str">
            <v>Xã Bình Trung</v>
          </cell>
          <cell r="T297" t="str">
            <v>Huyện Cao Lộc</v>
          </cell>
          <cell r="U297" t="str">
            <v>Tỉnh Lạng Sơn</v>
          </cell>
          <cell r="V297" t="str">
            <v>Xã Bình Trung, Huyện Cao Lộc, Tỉnh Lạng Sơn</v>
          </cell>
          <cell r="W297" t="str">
            <v>14/1/2011</v>
          </cell>
          <cell r="AA297">
            <v>0</v>
          </cell>
          <cell r="AB297" t="str">
            <v>TĐ012</v>
          </cell>
          <cell r="AC297" t="str">
            <v>Mắt</v>
          </cell>
          <cell r="AD297" t="str">
            <v>KP023</v>
          </cell>
          <cell r="AE297" t="str">
            <v>Viên chức</v>
          </cell>
          <cell r="AF297" t="str">
            <v>V.08.05.13</v>
          </cell>
          <cell r="AG297" t="str">
            <v>Điều dưỡng (hạng IV)</v>
          </cell>
          <cell r="AH297">
            <v>3.34</v>
          </cell>
          <cell r="AI297">
            <v>5</v>
          </cell>
          <cell r="AJ297">
            <v>0</v>
          </cell>
          <cell r="AK297">
            <v>45413</v>
          </cell>
          <cell r="AL297" t="str">
            <v>Cao đẳng</v>
          </cell>
          <cell r="AM297" t="str">
            <v>Điều dưỡng CĐ</v>
          </cell>
          <cell r="AO297" t="str">
            <v>CĐ Y tế LS</v>
          </cell>
          <cell r="AP297">
            <v>2007</v>
          </cell>
          <cell r="AQ297" t="str">
            <v>12/12</v>
          </cell>
          <cell r="AR297">
            <v>0</v>
          </cell>
          <cell r="AS297">
            <v>0</v>
          </cell>
          <cell r="AT297">
            <v>0</v>
          </cell>
          <cell r="AU297">
            <v>0</v>
          </cell>
          <cell r="AV297">
            <v>0</v>
          </cell>
          <cell r="AW297" t="str">
            <v>Tin B</v>
          </cell>
          <cell r="AY297" t="str">
            <v>Tày</v>
          </cell>
          <cell r="BA297" t="e">
            <v>#REF!</v>
          </cell>
          <cell r="BB297" t="e">
            <v>#REF!</v>
          </cell>
          <cell r="BC297" t="str">
            <v>24/06/2013</v>
          </cell>
        </row>
        <row r="298">
          <cell r="A298" t="str">
            <v>BV0406</v>
          </cell>
          <cell r="B298">
            <v>292</v>
          </cell>
          <cell r="C298" t="str">
            <v>Nguyễn Khắc Trường</v>
          </cell>
          <cell r="D298" t="str">
            <v>BV0406</v>
          </cell>
          <cell r="E298">
            <v>1597020292</v>
          </cell>
          <cell r="G298" t="str">
            <v>20066001548
Cấp 20/4/2021. Cục trưởng cục cảnh sát quản lý HC về TTXH</v>
          </cell>
          <cell r="H298">
            <v>24237</v>
          </cell>
          <cell r="J298">
            <v>60</v>
          </cell>
          <cell r="K298" t="str">
            <v>080812875</v>
          </cell>
          <cell r="L298" t="str">
            <v>24/09/2012</v>
          </cell>
          <cell r="M298" t="str">
            <v>CA tỉnh Lạng Sơn</v>
          </cell>
          <cell r="P298" t="str">
            <v>Thành phố Lạng Sơn</v>
          </cell>
          <cell r="Q298" t="str">
            <v>Tỉnh Lạng Sơn</v>
          </cell>
          <cell r="S298" t="str">
            <v>Phường Tam Thanh</v>
          </cell>
          <cell r="T298" t="str">
            <v>Thành phố Lạng Sơn</v>
          </cell>
          <cell r="U298" t="str">
            <v>Tỉnh Lạng Sơn</v>
          </cell>
          <cell r="V298" t="str">
            <v>Phường Tam Thanh, Thành phố Lạng Sơn, Tỉnh Lạng Sơn</v>
          </cell>
          <cell r="W298" t="str">
            <v>28/4/1990</v>
          </cell>
          <cell r="AA298" t="str">
            <v>Phụ trách khoa</v>
          </cell>
          <cell r="AB298" t="str">
            <v>TĐ003</v>
          </cell>
          <cell r="AC298" t="str">
            <v>Răng Hàm Mặt</v>
          </cell>
          <cell r="AD298" t="str">
            <v>KP024</v>
          </cell>
          <cell r="AE298" t="str">
            <v>Viên chức</v>
          </cell>
          <cell r="AF298" t="str">
            <v>V.08.01.02</v>
          </cell>
          <cell r="AG298" t="str">
            <v>Bác sĩ chính (hạng II)</v>
          </cell>
          <cell r="AH298">
            <v>6.1</v>
          </cell>
          <cell r="AI298">
            <v>6</v>
          </cell>
          <cell r="AJ298">
            <v>0</v>
          </cell>
          <cell r="AK298">
            <v>45444</v>
          </cell>
          <cell r="AL298" t="str">
            <v>Đại học</v>
          </cell>
          <cell r="AM298" t="str">
            <v>BSCKI</v>
          </cell>
          <cell r="AN298" t="str">
            <v>RHM</v>
          </cell>
          <cell r="AO298" t="str">
            <v>ĐH Y Hà Nội</v>
          </cell>
          <cell r="AP298">
            <v>2007</v>
          </cell>
          <cell r="AQ298" t="str">
            <v>10/10</v>
          </cell>
          <cell r="AR298" t="str">
            <v>Chuyên viên</v>
          </cell>
          <cell r="AS298">
            <v>0</v>
          </cell>
          <cell r="AT298" t="str">
            <v>Sơ cấp</v>
          </cell>
          <cell r="AU298" t="str">
            <v>C</v>
          </cell>
          <cell r="AV298" t="str">
            <v>x</v>
          </cell>
          <cell r="AW298" t="str">
            <v>Tin học B</v>
          </cell>
          <cell r="AY298" t="str">
            <v>Tày</v>
          </cell>
          <cell r="AZ298">
            <v>37741</v>
          </cell>
          <cell r="BA298" t="e">
            <v>#REF!</v>
          </cell>
          <cell r="BB298" t="e">
            <v>#REF!</v>
          </cell>
          <cell r="BC298" t="str">
            <v>24/06/2013</v>
          </cell>
        </row>
        <row r="299">
          <cell r="A299" t="str">
            <v>BV1031</v>
          </cell>
          <cell r="B299">
            <v>293</v>
          </cell>
          <cell r="C299" t="str">
            <v>Nông Thị Bích Phương</v>
          </cell>
          <cell r="D299" t="str">
            <v>BV1031</v>
          </cell>
          <cell r="E299" t="str">
            <v>2015001539</v>
          </cell>
          <cell r="G299" t="str">
            <v>082077475
Cấp ngày 07/10/2019 tại CA tỉnh Lạng Sơn</v>
          </cell>
          <cell r="I299">
            <v>32552</v>
          </cell>
          <cell r="J299">
            <v>37</v>
          </cell>
          <cell r="K299" t="str">
            <v>082077475</v>
          </cell>
          <cell r="L299">
            <v>38819</v>
          </cell>
          <cell r="V299" t="str">
            <v>Tổ 10 khối 6 phường Vĩnh Trại, TP Lạng Sơn</v>
          </cell>
          <cell r="W299" t="str">
            <v>10/01/2016</v>
          </cell>
          <cell r="AA299">
            <v>0</v>
          </cell>
          <cell r="AB299" t="str">
            <v>TĐ003</v>
          </cell>
          <cell r="AC299" t="str">
            <v>Răng Hàm Mặt</v>
          </cell>
          <cell r="AD299" t="str">
            <v>KP024</v>
          </cell>
          <cell r="AE299" t="str">
            <v>Viên chức</v>
          </cell>
          <cell r="AF299" t="str">
            <v>V.08.01.03</v>
          </cell>
          <cell r="AG299" t="str">
            <v>Bác sĩ hạng III</v>
          </cell>
          <cell r="AH299">
            <v>3.33</v>
          </cell>
          <cell r="AI299">
            <v>4</v>
          </cell>
          <cell r="AJ299">
            <v>0</v>
          </cell>
          <cell r="AK299">
            <v>45730</v>
          </cell>
          <cell r="AL299" t="str">
            <v>Đại học</v>
          </cell>
          <cell r="AM299" t="str">
            <v>BSCKI</v>
          </cell>
          <cell r="AN299" t="str">
            <v>RHM</v>
          </cell>
          <cell r="AO299" t="str">
            <v>Y Hà Nội</v>
          </cell>
          <cell r="AP299">
            <v>2013</v>
          </cell>
          <cell r="AR299">
            <v>0</v>
          </cell>
          <cell r="AS299">
            <v>0</v>
          </cell>
          <cell r="AT299" t="str">
            <v>Sơ cấp</v>
          </cell>
          <cell r="AU299" t="str">
            <v>B</v>
          </cell>
          <cell r="AV299">
            <v>0</v>
          </cell>
          <cell r="AW299" t="str">
            <v>Tin học B</v>
          </cell>
          <cell r="AY299" t="str">
            <v>Tày</v>
          </cell>
          <cell r="BC299" t="str">
            <v>24/06/2013</v>
          </cell>
        </row>
        <row r="300">
          <cell r="A300" t="str">
            <v>BV0887</v>
          </cell>
          <cell r="B300">
            <v>294</v>
          </cell>
          <cell r="C300" t="str">
            <v>Hoàng Mai Loan</v>
          </cell>
          <cell r="D300" t="str">
            <v>BV0887</v>
          </cell>
          <cell r="E300" t="str">
            <v>2020533989</v>
          </cell>
          <cell r="G300" t="str">
            <v>CCCD: 020193002205
Ngày cấp: 29/4/2021, nơi cấp: Cục cảnh sát quản lý hành chính và trật tự xã hội</v>
          </cell>
          <cell r="I300" t="str">
            <v>14/09/1993</v>
          </cell>
          <cell r="J300">
            <v>32</v>
          </cell>
          <cell r="K300" t="str">
            <v>082171276</v>
          </cell>
          <cell r="L300" t="str">
            <v>12/06/2008</v>
          </cell>
          <cell r="M300" t="str">
            <v>CA tỉnh Lạng Sơn</v>
          </cell>
          <cell r="W300" t="str">
            <v>05/04/2019</v>
          </cell>
          <cell r="AA300">
            <v>0</v>
          </cell>
          <cell r="AB300" t="str">
            <v>TĐ005</v>
          </cell>
          <cell r="AC300" t="str">
            <v>GM-HS</v>
          </cell>
          <cell r="AD300" t="str">
            <v>KP025</v>
          </cell>
          <cell r="AE300" t="str">
            <v>Viên chức</v>
          </cell>
          <cell r="AF300" t="str">
            <v>V.08.01.03</v>
          </cell>
          <cell r="AG300" t="str">
            <v>Bác sĩ (hạng III)</v>
          </cell>
          <cell r="AH300">
            <v>3</v>
          </cell>
          <cell r="AI300">
            <v>3</v>
          </cell>
          <cell r="AJ300">
            <v>0</v>
          </cell>
          <cell r="AK300">
            <v>45839</v>
          </cell>
          <cell r="AL300" t="str">
            <v>Đại học</v>
          </cell>
          <cell r="AM300" t="str">
            <v>Bác sĩ</v>
          </cell>
          <cell r="AN300" t="str">
            <v>Y đa khoa</v>
          </cell>
          <cell r="AQ300" t="str">
            <v>12/12</v>
          </cell>
          <cell r="AR300">
            <v>0</v>
          </cell>
          <cell r="AS300">
            <v>0</v>
          </cell>
          <cell r="AT300" t="str">
            <v>Sơ cấp</v>
          </cell>
          <cell r="AU300" t="str">
            <v>B</v>
          </cell>
          <cell r="AV300" t="str">
            <v>x</v>
          </cell>
          <cell r="AW300" t="str">
            <v>Tin học IC3</v>
          </cell>
          <cell r="AY300" t="str">
            <v>Nùng</v>
          </cell>
          <cell r="AZ300">
            <v>43091</v>
          </cell>
          <cell r="BC300" t="str">
            <v>24/06/2013</v>
          </cell>
        </row>
        <row r="301">
          <cell r="A301" t="str">
            <v>BV0919</v>
          </cell>
          <cell r="B301">
            <v>295</v>
          </cell>
          <cell r="C301" t="str">
            <v>Hoàng Doãn Toán</v>
          </cell>
          <cell r="D301" t="str">
            <v>BV0919</v>
          </cell>
          <cell r="E301" t="str">
            <v>2013000002</v>
          </cell>
          <cell r="G301" t="str">
            <v>020087002779
29/4/2021. Cục trưởng cục cảnh sát quản lý HC về TTXH</v>
          </cell>
          <cell r="H301" t="str">
            <v>20/09/1987</v>
          </cell>
          <cell r="J301">
            <v>38</v>
          </cell>
          <cell r="K301" t="str">
            <v>081034829</v>
          </cell>
          <cell r="L301" t="str">
            <v>28/03/2003</v>
          </cell>
          <cell r="M301" t="str">
            <v>CA tỉnh Lạng Sơn</v>
          </cell>
          <cell r="N301" t="str">
            <v>Tân Lập, Bắc Sơn, Lạng Sơn</v>
          </cell>
          <cell r="O301" t="str">
            <v>Tân Lập</v>
          </cell>
          <cell r="P301" t="str">
            <v>Bắc Sơn</v>
          </cell>
          <cell r="Q301" t="str">
            <v>Lạng Sơn</v>
          </cell>
          <cell r="R301" t="str">
            <v>Pác Giáo</v>
          </cell>
          <cell r="S301" t="str">
            <v>Tân Lập</v>
          </cell>
          <cell r="T301" t="str">
            <v>Bắc Sơn</v>
          </cell>
          <cell r="U301" t="str">
            <v>Lạng Sơn</v>
          </cell>
          <cell r="W301" t="str">
            <v>05/06/2013</v>
          </cell>
          <cell r="AA301">
            <v>0</v>
          </cell>
          <cell r="AB301" t="str">
            <v>TĐ003</v>
          </cell>
          <cell r="AC301" t="str">
            <v>Răng Hàm Mặt</v>
          </cell>
          <cell r="AD301" t="str">
            <v>KP024</v>
          </cell>
          <cell r="AE301" t="str">
            <v>Viên chức</v>
          </cell>
          <cell r="AF301" t="str">
            <v>V.08.01.03</v>
          </cell>
          <cell r="AG301" t="str">
            <v>Bác sĩ (hạng III)</v>
          </cell>
          <cell r="AH301">
            <v>3.33</v>
          </cell>
          <cell r="AI301">
            <v>4</v>
          </cell>
          <cell r="AJ301">
            <v>0</v>
          </cell>
          <cell r="AK301">
            <v>44995</v>
          </cell>
          <cell r="AL301" t="str">
            <v>Đại học</v>
          </cell>
          <cell r="AM301" t="str">
            <v>BSCKI</v>
          </cell>
          <cell r="AN301" t="str">
            <v>RHM</v>
          </cell>
          <cell r="AO301" t="str">
            <v>Y Hà Nội</v>
          </cell>
          <cell r="AP301">
            <v>2012</v>
          </cell>
          <cell r="AQ301" t="str">
            <v>12/12</v>
          </cell>
          <cell r="AR301">
            <v>0</v>
          </cell>
          <cell r="AS301" t="str">
            <v>x</v>
          </cell>
          <cell r="AT301" t="str">
            <v>Sơ cấp</v>
          </cell>
          <cell r="AU301" t="str">
            <v>B</v>
          </cell>
          <cell r="AV301" t="str">
            <v>x</v>
          </cell>
          <cell r="AW301" t="str">
            <v>Cơ bản</v>
          </cell>
          <cell r="AY301" t="str">
            <v>Tày</v>
          </cell>
          <cell r="BA301" t="e">
            <v>#REF!</v>
          </cell>
          <cell r="BB301" t="e">
            <v>#REF!</v>
          </cell>
          <cell r="BC301" t="str">
            <v>24/06/2013</v>
          </cell>
        </row>
        <row r="302">
          <cell r="A302" t="str">
            <v>BV0217</v>
          </cell>
          <cell r="B302">
            <v>296</v>
          </cell>
          <cell r="C302" t="str">
            <v>Vi Thị Nhị</v>
          </cell>
          <cell r="D302" t="str">
            <v>BV0217</v>
          </cell>
          <cell r="E302">
            <v>2009000925</v>
          </cell>
          <cell r="G302" t="str">
            <v>020186002924, cấp ngày: 29/4/2021, nơi cấp: Cục trưởng cục cảnh sát quản lý HC về TTXH</v>
          </cell>
          <cell r="I302">
            <v>31761</v>
          </cell>
          <cell r="J302">
            <v>39</v>
          </cell>
          <cell r="K302" t="str">
            <v>081008211</v>
          </cell>
          <cell r="L302" t="str">
            <v>02/04/2003</v>
          </cell>
          <cell r="M302" t="str">
            <v>CA tỉnh Lạng Sơn</v>
          </cell>
          <cell r="P302" t="str">
            <v>Huyện Tràng Định</v>
          </cell>
          <cell r="Q302" t="str">
            <v>Tỉnh Lạng Sơn</v>
          </cell>
          <cell r="S302" t="str">
            <v>Xã Đại Đồng</v>
          </cell>
          <cell r="T302" t="str">
            <v>Huyện Tràng Định</v>
          </cell>
          <cell r="U302" t="str">
            <v>Tỉnh Lạng Sơn</v>
          </cell>
          <cell r="V302" t="str">
            <v>Xã Đại Đồng, Huyện Tràng Định, Tỉnh Lạng Sơn</v>
          </cell>
          <cell r="W302" t="str">
            <v>8/12/2008</v>
          </cell>
          <cell r="AA302" t="str">
            <v>Điều dưỡng trưởng</v>
          </cell>
          <cell r="AB302" t="str">
            <v>TĐ011</v>
          </cell>
          <cell r="AC302" t="str">
            <v>Răng Hàm Mặt</v>
          </cell>
          <cell r="AD302" t="str">
            <v>KP024</v>
          </cell>
          <cell r="AE302" t="str">
            <v>Viên chức</v>
          </cell>
          <cell r="AF302" t="str">
            <v>V.08.05.12</v>
          </cell>
          <cell r="AG302" t="str">
            <v>Điều dưỡng (hạng III)</v>
          </cell>
          <cell r="AH302">
            <v>3.66</v>
          </cell>
          <cell r="AI302">
            <v>5</v>
          </cell>
          <cell r="AJ302">
            <v>0</v>
          </cell>
          <cell r="AK302">
            <v>45444</v>
          </cell>
          <cell r="AL302" t="str">
            <v>Đại học</v>
          </cell>
          <cell r="AM302" t="str">
            <v>Điều dưỡng ĐH</v>
          </cell>
          <cell r="AR302">
            <v>0</v>
          </cell>
          <cell r="AS302">
            <v>0</v>
          </cell>
          <cell r="AT302" t="str">
            <v>Sơ cấp</v>
          </cell>
          <cell r="AU302" t="str">
            <v>B</v>
          </cell>
          <cell r="AV302" t="str">
            <v>x</v>
          </cell>
          <cell r="AW302" t="str">
            <v>Cơ bản</v>
          </cell>
          <cell r="AY302" t="str">
            <v>Nùng</v>
          </cell>
          <cell r="AZ302">
            <v>44508</v>
          </cell>
          <cell r="BA302" t="e">
            <v>#REF!</v>
          </cell>
          <cell r="BB302" t="e">
            <v>#REF!</v>
          </cell>
        </row>
        <row r="303">
          <cell r="A303" t="str">
            <v>BV0064</v>
          </cell>
          <cell r="B303">
            <v>297</v>
          </cell>
          <cell r="C303" t="str">
            <v>Dương Thị Cương</v>
          </cell>
          <cell r="D303" t="str">
            <v>BV0064</v>
          </cell>
          <cell r="E303">
            <v>2010000135</v>
          </cell>
          <cell r="G303" t="str">
            <v>082007137, ngày cấp 02/07/2018, nơi cấp: CA Lạng Sơn</v>
          </cell>
          <cell r="I303">
            <v>31855</v>
          </cell>
          <cell r="J303">
            <v>39</v>
          </cell>
          <cell r="K303" t="str">
            <v>082007137</v>
          </cell>
          <cell r="L303" t="str">
            <v>03/11/2003</v>
          </cell>
          <cell r="M303" t="str">
            <v>CA tỉnh Lạng Sơn</v>
          </cell>
          <cell r="O303" t="str">
            <v>Xã Vũ Lăng</v>
          </cell>
          <cell r="P303" t="str">
            <v>Huyện Bắc Sơn</v>
          </cell>
          <cell r="Q303" t="str">
            <v>Tỉnh Lạng Sơn</v>
          </cell>
          <cell r="S303" t="str">
            <v>Xã Vũ Lăng</v>
          </cell>
          <cell r="T303" t="str">
            <v>Huyện Bắc Sơn</v>
          </cell>
          <cell r="U303" t="str">
            <v>Tỉnh Lạng Sơn</v>
          </cell>
          <cell r="V303" t="str">
            <v>Xã Vũ Lăng, Huyện Bắc Sơn, Tỉnh Lạng Sơn</v>
          </cell>
          <cell r="W303" t="str">
            <v>15/1/2010</v>
          </cell>
          <cell r="AA303">
            <v>0</v>
          </cell>
          <cell r="AB303" t="str">
            <v>TĐ012</v>
          </cell>
          <cell r="AC303" t="str">
            <v>TDCN</v>
          </cell>
          <cell r="AD303" t="str">
            <v>KP033</v>
          </cell>
          <cell r="AE303" t="str">
            <v>Viên chức</v>
          </cell>
          <cell r="AF303" t="str">
            <v>V.08.05.13</v>
          </cell>
          <cell r="AG303" t="str">
            <v>Điều dưỡng (hạng IV)</v>
          </cell>
          <cell r="AH303">
            <v>3.34</v>
          </cell>
          <cell r="AI303">
            <v>5</v>
          </cell>
          <cell r="AJ303">
            <v>0</v>
          </cell>
          <cell r="AK303">
            <v>44927</v>
          </cell>
          <cell r="AL303" t="str">
            <v>Cao đẳng</v>
          </cell>
          <cell r="AM303" t="str">
            <v>Điều dưỡng CĐ</v>
          </cell>
          <cell r="AO303" t="str">
            <v>CĐ Y tế LS</v>
          </cell>
          <cell r="AP303">
            <v>2008</v>
          </cell>
          <cell r="AQ303" t="str">
            <v>12/12</v>
          </cell>
          <cell r="AR303">
            <v>0</v>
          </cell>
          <cell r="AS303">
            <v>0</v>
          </cell>
          <cell r="AT303">
            <v>0</v>
          </cell>
          <cell r="AU303">
            <v>0</v>
          </cell>
          <cell r="AV303">
            <v>0</v>
          </cell>
          <cell r="AW303">
            <v>0</v>
          </cell>
          <cell r="AY303" t="str">
            <v>Tày</v>
          </cell>
          <cell r="BA303" t="e">
            <v>#REF!</v>
          </cell>
          <cell r="BB303" t="e">
            <v>#REF!</v>
          </cell>
          <cell r="BC303" t="str">
            <v>09/05/2012</v>
          </cell>
        </row>
        <row r="304">
          <cell r="A304" t="str">
            <v>BV0232</v>
          </cell>
          <cell r="B304">
            <v>298</v>
          </cell>
          <cell r="C304" t="str">
            <v>Hoàng Thị Thùy Dung</v>
          </cell>
          <cell r="D304" t="str">
            <v>BV0232</v>
          </cell>
          <cell r="E304">
            <v>2011000018</v>
          </cell>
          <cell r="G304" t="str">
            <v>020189012646
25/6/2021. Cục trưởng cục cảnh sát quản lý HC về TTXH</v>
          </cell>
          <cell r="I304">
            <v>32861</v>
          </cell>
          <cell r="J304">
            <v>36</v>
          </cell>
          <cell r="K304" t="str">
            <v>082084408</v>
          </cell>
          <cell r="L304" t="str">
            <v>18/09/2006</v>
          </cell>
          <cell r="M304" t="str">
            <v>CA tỉnh Lạng Sơn</v>
          </cell>
          <cell r="O304" t="str">
            <v>Xã Tân Tri</v>
          </cell>
          <cell r="P304" t="str">
            <v>Huyện Bắc Sơn</v>
          </cell>
          <cell r="Q304" t="str">
            <v>Tỉnh Lạng Sơn</v>
          </cell>
          <cell r="S304" t="str">
            <v>Xã Tân Tri</v>
          </cell>
          <cell r="T304" t="str">
            <v>Huyện Bắc Sơn</v>
          </cell>
          <cell r="U304" t="str">
            <v>Tỉnh Lạng Sơn</v>
          </cell>
          <cell r="V304" t="str">
            <v>Xã Tân Tri, Huyện Bắc Sơn, Tỉnh Lạng Sơn</v>
          </cell>
          <cell r="W304" t="str">
            <v>1/12/2010</v>
          </cell>
          <cell r="AA304">
            <v>0</v>
          </cell>
          <cell r="AB304" t="str">
            <v>TĐ011</v>
          </cell>
          <cell r="AC304" t="str">
            <v>Răng Hàm Mặt</v>
          </cell>
          <cell r="AD304" t="str">
            <v>KP024</v>
          </cell>
          <cell r="AE304" t="str">
            <v>Viên chức</v>
          </cell>
          <cell r="AF304" t="str">
            <v>V.08.05.13</v>
          </cell>
          <cell r="AG304" t="str">
            <v>Điều dưỡng (hạng III)</v>
          </cell>
          <cell r="AH304">
            <v>3.66</v>
          </cell>
          <cell r="AI304">
            <v>5</v>
          </cell>
          <cell r="AJ304">
            <v>0</v>
          </cell>
          <cell r="AK304">
            <v>45778</v>
          </cell>
          <cell r="AL304" t="str">
            <v>Cao đẳng</v>
          </cell>
          <cell r="AM304" t="str">
            <v>Điều dưỡng ĐH</v>
          </cell>
          <cell r="AO304" t="str">
            <v>CĐ Y Thái  Nguyên</v>
          </cell>
          <cell r="AP304">
            <v>2010</v>
          </cell>
          <cell r="AQ304" t="str">
            <v>12/12</v>
          </cell>
          <cell r="AR304">
            <v>0</v>
          </cell>
          <cell r="AS304">
            <v>0</v>
          </cell>
          <cell r="AT304" t="str">
            <v>Sơ cấp</v>
          </cell>
          <cell r="AU304">
            <v>0</v>
          </cell>
          <cell r="AV304">
            <v>0</v>
          </cell>
          <cell r="AW304">
            <v>0</v>
          </cell>
          <cell r="AY304" t="str">
            <v>Tày</v>
          </cell>
          <cell r="BA304" t="e">
            <v>#REF!</v>
          </cell>
          <cell r="BB304" t="e">
            <v>#REF!</v>
          </cell>
          <cell r="BC304" t="str">
            <v>09/05/2012</v>
          </cell>
        </row>
        <row r="305">
          <cell r="A305" t="str">
            <v>BV0413</v>
          </cell>
          <cell r="B305">
            <v>299</v>
          </cell>
          <cell r="C305" t="str">
            <v>Lâm Diệu Hằng</v>
          </cell>
          <cell r="D305" t="str">
            <v>BV0413</v>
          </cell>
          <cell r="E305">
            <v>1505002492</v>
          </cell>
          <cell r="G305" t="str">
            <v>020176002268, ngày cấp 29/4/2021. Cục trưởng cục cảnh sát quản lý HC về TTXH</v>
          </cell>
          <cell r="I305">
            <v>27827</v>
          </cell>
          <cell r="J305">
            <v>50</v>
          </cell>
          <cell r="K305" t="str">
            <v>080961352</v>
          </cell>
          <cell r="L305" t="str">
            <v>26/04/2010</v>
          </cell>
          <cell r="M305" t="str">
            <v>CA tỉnh Lạng Sơn</v>
          </cell>
          <cell r="O305" t="str">
            <v>Phường Đông Kinh</v>
          </cell>
          <cell r="P305" t="str">
            <v>Thành phố Lạng Sơn</v>
          </cell>
          <cell r="Q305" t="str">
            <v>Tỉnh Lạng Sơn</v>
          </cell>
          <cell r="S305" t="str">
            <v>Phường Đông Kinh</v>
          </cell>
          <cell r="T305" t="str">
            <v>Thành phố Lạng Sơn</v>
          </cell>
          <cell r="U305" t="str">
            <v>Tỉnh Lạng Sơn</v>
          </cell>
          <cell r="V305" t="str">
            <v>Phường Đông Kinh, Thành phố Lạng Sơn, Tỉnh Lạng Sơn</v>
          </cell>
          <cell r="W305" t="str">
            <v>16/2/2005</v>
          </cell>
          <cell r="AA305">
            <v>0</v>
          </cell>
          <cell r="AB305" t="str">
            <v>TĐ012</v>
          </cell>
          <cell r="AC305" t="str">
            <v>Răng Hàm Mặt</v>
          </cell>
          <cell r="AD305" t="str">
            <v>KP024</v>
          </cell>
          <cell r="AE305" t="str">
            <v>Viên chức</v>
          </cell>
          <cell r="AF305" t="str">
            <v>V.08.05.13</v>
          </cell>
          <cell r="AG305" t="str">
            <v>Điều dưỡng (hạng IV)</v>
          </cell>
          <cell r="AH305">
            <v>3.96</v>
          </cell>
          <cell r="AI305">
            <v>7</v>
          </cell>
          <cell r="AJ305">
            <v>0</v>
          </cell>
          <cell r="AK305">
            <v>45536</v>
          </cell>
          <cell r="AL305" t="str">
            <v>Trung cấp</v>
          </cell>
          <cell r="AM305" t="str">
            <v>Điều dưỡng CĐ</v>
          </cell>
          <cell r="AQ305" t="str">
            <v>12/12</v>
          </cell>
          <cell r="AR305">
            <v>0</v>
          </cell>
          <cell r="AS305">
            <v>0</v>
          </cell>
          <cell r="AT305">
            <v>0</v>
          </cell>
          <cell r="AU305">
            <v>0</v>
          </cell>
          <cell r="AV305">
            <v>0</v>
          </cell>
          <cell r="AW305" t="str">
            <v>Tin học A</v>
          </cell>
          <cell r="AY305" t="str">
            <v>Nùng</v>
          </cell>
          <cell r="AZ305">
            <v>38018</v>
          </cell>
          <cell r="BA305" t="e">
            <v>#REF!</v>
          </cell>
          <cell r="BB305" t="e">
            <v>#REF!</v>
          </cell>
          <cell r="BC305" t="str">
            <v>20/12/2012</v>
          </cell>
        </row>
        <row r="306">
          <cell r="A306" t="str">
            <v>BV0415</v>
          </cell>
          <cell r="B306">
            <v>300</v>
          </cell>
          <cell r="C306" t="str">
            <v>Hoàng Thị Hoa</v>
          </cell>
          <cell r="D306" t="str">
            <v>BV0415</v>
          </cell>
          <cell r="E306">
            <v>2010000167</v>
          </cell>
          <cell r="I306">
            <v>32109</v>
          </cell>
          <cell r="J306">
            <v>38</v>
          </cell>
          <cell r="K306" t="str">
            <v>082020490</v>
          </cell>
          <cell r="L306" t="str">
            <v>07/03/2005</v>
          </cell>
          <cell r="M306" t="str">
            <v>CA tỉnh Lạng Sơn</v>
          </cell>
          <cell r="O306" t="str">
            <v>Xã Vân Mộng</v>
          </cell>
          <cell r="P306" t="str">
            <v>Huyện Văn Quan</v>
          </cell>
          <cell r="Q306" t="str">
            <v>Tỉnh Lạng Sơn</v>
          </cell>
          <cell r="S306" t="str">
            <v>Xã Mai Pha</v>
          </cell>
          <cell r="T306" t="str">
            <v>Thành phố Lạng Sơn</v>
          </cell>
          <cell r="U306" t="str">
            <v>Tỉnh Lạng Sơn</v>
          </cell>
          <cell r="V306" t="str">
            <v>Xã Mai Pha, Thành phố Lạng Sơn, Tỉnh Lạng Sơn</v>
          </cell>
          <cell r="W306" t="str">
            <v>15/1/2010</v>
          </cell>
          <cell r="AA306">
            <v>0</v>
          </cell>
          <cell r="AB306" t="str">
            <v>TĐ012</v>
          </cell>
          <cell r="AC306" t="str">
            <v>Răng Hàm Mặt</v>
          </cell>
          <cell r="AD306" t="str">
            <v>KP024</v>
          </cell>
          <cell r="AE306" t="str">
            <v>Viên chức</v>
          </cell>
          <cell r="AF306" t="str">
            <v>V.08.05.13</v>
          </cell>
          <cell r="AG306" t="str">
            <v>Điều dưỡng (hạng IV)</v>
          </cell>
          <cell r="AH306">
            <v>3.65</v>
          </cell>
          <cell r="AI306">
            <v>6</v>
          </cell>
          <cell r="AJ306">
            <v>0</v>
          </cell>
          <cell r="AK306">
            <v>45839</v>
          </cell>
          <cell r="AL306" t="str">
            <v>Cao đẳng</v>
          </cell>
          <cell r="AM306" t="str">
            <v>Điều dưỡng CĐ</v>
          </cell>
          <cell r="AO306" t="str">
            <v>CĐ Y tế LS</v>
          </cell>
          <cell r="AP306">
            <v>2007</v>
          </cell>
          <cell r="AQ306" t="str">
            <v>12/12</v>
          </cell>
          <cell r="AR306">
            <v>0</v>
          </cell>
          <cell r="AS306">
            <v>0</v>
          </cell>
          <cell r="AT306">
            <v>0</v>
          </cell>
          <cell r="AU306">
            <v>0</v>
          </cell>
          <cell r="AV306">
            <v>0</v>
          </cell>
          <cell r="AW306">
            <v>0</v>
          </cell>
          <cell r="AY306" t="str">
            <v>Tày</v>
          </cell>
          <cell r="AZ306">
            <v>43593</v>
          </cell>
          <cell r="BA306" t="str">
            <v>001017/LS-CCHN</v>
          </cell>
          <cell r="BB306" t="str">
            <v>Theo quy định tại Quyết định số 41/2005/QĐ-BNV ngày 22/4/2005 của Bộ trưởng Bộ Nội vụ về việc ban hành tiêu chuẩn nghiệp vụ các ngạch viên chức y tế điều dưỡng</v>
          </cell>
          <cell r="BC306" t="str">
            <v>09/05/2018</v>
          </cell>
        </row>
        <row r="307">
          <cell r="A307" t="str">
            <v>BV0419</v>
          </cell>
          <cell r="B307">
            <v>301</v>
          </cell>
          <cell r="C307" t="str">
            <v>Đoàn Thị Thúy Liễu</v>
          </cell>
          <cell r="D307" t="str">
            <v>BV0419</v>
          </cell>
          <cell r="E307">
            <v>2010000166</v>
          </cell>
          <cell r="G307" t="str">
            <v>CCCD: 020184005176, ngày cấp: 25/6/2021, nơi cấp: Cục Quản lý hành chính về trật tự xã hội</v>
          </cell>
          <cell r="I307">
            <v>31009</v>
          </cell>
          <cell r="J307">
            <v>41</v>
          </cell>
          <cell r="K307" t="str">
            <v>081000736</v>
          </cell>
          <cell r="L307" t="str">
            <v>02/07/2012</v>
          </cell>
          <cell r="M307" t="str">
            <v>CA tỉnh Lạng Sơn</v>
          </cell>
          <cell r="O307" t="str">
            <v>Xã Hùng Việt</v>
          </cell>
          <cell r="P307" t="str">
            <v>Huyện Tràng Định</v>
          </cell>
          <cell r="Q307" t="str">
            <v>Tỉnh Lạng Sơn</v>
          </cell>
          <cell r="S307" t="str">
            <v>Xã Hùng Việt</v>
          </cell>
          <cell r="T307" t="str">
            <v>Huyện Tràng Định</v>
          </cell>
          <cell r="U307" t="str">
            <v>Tỉnh Lạng Sơn</v>
          </cell>
          <cell r="V307" t="str">
            <v>Xã Hùng Việt, Huyện Tràng Định, Tỉnh Lạng Sơn</v>
          </cell>
          <cell r="W307" t="str">
            <v>15/1/2010</v>
          </cell>
          <cell r="AA307">
            <v>0</v>
          </cell>
          <cell r="AB307" t="str">
            <v>TĐ012</v>
          </cell>
          <cell r="AC307" t="str">
            <v>Răng Hàm Mặt</v>
          </cell>
          <cell r="AD307" t="str">
            <v>KP024</v>
          </cell>
          <cell r="AE307" t="str">
            <v>Viên chức</v>
          </cell>
          <cell r="AF307" t="str">
            <v>V.08.05.13</v>
          </cell>
          <cell r="AG307" t="str">
            <v>Điều dưỡng (hạng IV)</v>
          </cell>
          <cell r="AH307">
            <v>3.34</v>
          </cell>
          <cell r="AI307">
            <v>5</v>
          </cell>
          <cell r="AJ307">
            <v>0</v>
          </cell>
          <cell r="AK307">
            <v>44927</v>
          </cell>
          <cell r="AL307" t="str">
            <v>Cao đẳng</v>
          </cell>
          <cell r="AM307" t="str">
            <v>Điều dưỡng CĐ</v>
          </cell>
          <cell r="AO307" t="str">
            <v>ĐH Y tế Hải Dương</v>
          </cell>
          <cell r="AP307">
            <v>2007</v>
          </cell>
          <cell r="AQ307" t="str">
            <v>12/12</v>
          </cell>
          <cell r="AR307">
            <v>0</v>
          </cell>
          <cell r="AS307">
            <v>0</v>
          </cell>
          <cell r="AT307">
            <v>0</v>
          </cell>
          <cell r="AU307">
            <v>0</v>
          </cell>
          <cell r="AV307">
            <v>0</v>
          </cell>
          <cell r="AW307">
            <v>0</v>
          </cell>
          <cell r="AY307" t="str">
            <v>Tày</v>
          </cell>
          <cell r="BA307" t="e">
            <v>#REF!</v>
          </cell>
          <cell r="BB307" t="e">
            <v>#REF!</v>
          </cell>
          <cell r="BC307" t="str">
            <v>24/06/2013</v>
          </cell>
        </row>
        <row r="308">
          <cell r="A308" t="str">
            <v>BV0184</v>
          </cell>
          <cell r="B308">
            <v>302</v>
          </cell>
          <cell r="C308" t="str">
            <v>Hoàng Thị Hải Yến</v>
          </cell>
          <cell r="D308" t="str">
            <v>BV0184</v>
          </cell>
          <cell r="E308">
            <v>2012000199</v>
          </cell>
          <cell r="G308" t="str">
            <v>CCCD: 20190010789
Ngày cấp: 16/8/2021, nơi cấp: Cục cảnh sát quản lý hành chính và trật tự xã hội</v>
          </cell>
          <cell r="I308">
            <v>32874</v>
          </cell>
          <cell r="J308">
            <v>36</v>
          </cell>
          <cell r="K308" t="str">
            <v>082091482</v>
          </cell>
          <cell r="L308" t="str">
            <v>01/09/2006</v>
          </cell>
          <cell r="M308" t="str">
            <v>CA tỉnh Lạng Sơn</v>
          </cell>
          <cell r="O308" t="str">
            <v>Phường Đông Kinh</v>
          </cell>
          <cell r="P308" t="str">
            <v>Huyện Văn Quan</v>
          </cell>
          <cell r="Q308" t="str">
            <v>Tỉnh Lạng Sơn</v>
          </cell>
          <cell r="R308" t="str">
            <v>Khối 7</v>
          </cell>
          <cell r="S308" t="str">
            <v>Phường Đông Kinh</v>
          </cell>
          <cell r="T308" t="str">
            <v>Thành phố Lạng Sơn</v>
          </cell>
          <cell r="U308" t="str">
            <v>Tỉnh Lạng Sơn</v>
          </cell>
          <cell r="V308" t="str">
            <v>Phường Đông Kinh, Thành phố Lạng Sơn, Tỉnh Lạng Sơn</v>
          </cell>
          <cell r="W308" t="str">
            <v>10/6/2013</v>
          </cell>
          <cell r="AA308">
            <v>0</v>
          </cell>
          <cell r="AB308" t="str">
            <v>TĐ012</v>
          </cell>
          <cell r="AC308" t="str">
            <v>Lão - CXK</v>
          </cell>
          <cell r="AD308" t="str">
            <v>KP004</v>
          </cell>
          <cell r="AE308" t="str">
            <v>Viên chức</v>
          </cell>
          <cell r="AF308" t="str">
            <v>V.08.05.13</v>
          </cell>
          <cell r="AG308" t="str">
            <v>Điều dưỡng (hạng IV)</v>
          </cell>
          <cell r="AH308">
            <v>3.65</v>
          </cell>
          <cell r="AI308">
            <v>6</v>
          </cell>
          <cell r="AJ308">
            <v>0</v>
          </cell>
          <cell r="AK308">
            <v>45996</v>
          </cell>
          <cell r="AL308" t="str">
            <v>Cao đẳng</v>
          </cell>
          <cell r="AM308" t="str">
            <v>Điều dưỡng CĐ</v>
          </cell>
          <cell r="AO308" t="str">
            <v>CĐ Y tế Lạng Sơn</v>
          </cell>
          <cell r="AP308">
            <v>2010</v>
          </cell>
          <cell r="AQ308" t="str">
            <v>12/12</v>
          </cell>
          <cell r="AR308">
            <v>0</v>
          </cell>
          <cell r="AS308">
            <v>0</v>
          </cell>
          <cell r="AT308">
            <v>0</v>
          </cell>
          <cell r="AU308">
            <v>0</v>
          </cell>
          <cell r="AV308">
            <v>0</v>
          </cell>
          <cell r="AW308" t="str">
            <v>A</v>
          </cell>
          <cell r="AY308" t="str">
            <v>Nùng</v>
          </cell>
          <cell r="BA308" t="e">
            <v>#REF!</v>
          </cell>
          <cell r="BB308" t="e">
            <v>#REF!</v>
          </cell>
          <cell r="BC308" t="str">
            <v>24/08/2016</v>
          </cell>
        </row>
        <row r="309">
          <cell r="A309" t="str">
            <v>BV0423</v>
          </cell>
          <cell r="B309">
            <v>303</v>
          </cell>
          <cell r="C309" t="str">
            <v>Hoàng Văn Yêu</v>
          </cell>
          <cell r="D309" t="str">
            <v>BV0423</v>
          </cell>
          <cell r="E309">
            <v>1500002052</v>
          </cell>
          <cell r="G309" t="str">
            <v>CCCD: 020069006689
Ngày cấp: 25/6/2021, nơi cấp: Cục cảnh sát quản lý hành chính và trật tự xã hội</v>
          </cell>
          <cell r="H309">
            <v>25463</v>
          </cell>
          <cell r="J309">
            <v>56</v>
          </cell>
          <cell r="K309" t="str">
            <v>082153220</v>
          </cell>
          <cell r="L309" t="str">
            <v>12/12/2007</v>
          </cell>
          <cell r="M309" t="str">
            <v>CA tỉnh Lạng Sơn</v>
          </cell>
          <cell r="P309" t="str">
            <v>Huyện Chi Lăng</v>
          </cell>
          <cell r="Q309" t="str">
            <v>Tỉnh Lạng Sơn</v>
          </cell>
          <cell r="S309" t="str">
            <v>Phường Tam Thanh</v>
          </cell>
          <cell r="T309" t="str">
            <v>Thành phố Lạng Sơn</v>
          </cell>
          <cell r="U309" t="str">
            <v>Tỉnh Lạng Sơn</v>
          </cell>
          <cell r="V309" t="str">
            <v>Phường Tam Thanh, Thành phố Lạng Sơn, Tỉnh Lạng Sơn</v>
          </cell>
          <cell r="W309" t="str">
            <v>1/6/1997</v>
          </cell>
          <cell r="AA309" t="str">
            <v>Trưởng khoa</v>
          </cell>
          <cell r="AB309" t="str">
            <v>TĐ001</v>
          </cell>
          <cell r="AC309" t="str">
            <v>GM-HS</v>
          </cell>
          <cell r="AD309" t="str">
            <v>KP025</v>
          </cell>
          <cell r="AE309" t="str">
            <v>Viên chức</v>
          </cell>
          <cell r="AF309" t="str">
            <v>V.08.01.02</v>
          </cell>
          <cell r="AG309" t="str">
            <v>Bác sĩ chính (hạng II)</v>
          </cell>
          <cell r="AH309">
            <v>5.42</v>
          </cell>
          <cell r="AI309">
            <v>4</v>
          </cell>
          <cell r="AJ309">
            <v>0</v>
          </cell>
          <cell r="AK309">
            <v>45597</v>
          </cell>
          <cell r="AL309" t="str">
            <v>Đại học</v>
          </cell>
          <cell r="AM309" t="str">
            <v>BSCKII</v>
          </cell>
          <cell r="AN309" t="str">
            <v>GMHS</v>
          </cell>
          <cell r="AQ309" t="str">
            <v>12/12</v>
          </cell>
          <cell r="AR309" t="str">
            <v>Chuyên viên</v>
          </cell>
          <cell r="AS309" t="str">
            <v>x</v>
          </cell>
          <cell r="AT309" t="str">
            <v>Trung cấp</v>
          </cell>
          <cell r="AU309">
            <v>0</v>
          </cell>
          <cell r="AV309">
            <v>0</v>
          </cell>
          <cell r="AW309">
            <v>0</v>
          </cell>
          <cell r="AY309" t="str">
            <v>Nùng</v>
          </cell>
          <cell r="AZ309">
            <v>39428</v>
          </cell>
          <cell r="BA309" t="e">
            <v>#REF!</v>
          </cell>
          <cell r="BB309" t="e">
            <v>#REF!</v>
          </cell>
          <cell r="BC309" t="str">
            <v>24/06/2013</v>
          </cell>
        </row>
        <row r="310">
          <cell r="A310" t="str">
            <v>BV0425</v>
          </cell>
          <cell r="B310">
            <v>304</v>
          </cell>
          <cell r="C310" t="str">
            <v>Nguyễn Thị Hồng Duyên</v>
          </cell>
          <cell r="D310" t="str">
            <v>BV0425</v>
          </cell>
          <cell r="E310">
            <v>2012000100</v>
          </cell>
          <cell r="G310" t="str">
            <v>CCCD: 020186002105
Ngày cấp: 11/4/2021, nơi cấp: Cục cảnh sát quản lý hành chính và trật tự xã hội</v>
          </cell>
          <cell r="I310">
            <v>31688</v>
          </cell>
          <cell r="J310">
            <v>39</v>
          </cell>
          <cell r="K310" t="str">
            <v>080837711</v>
          </cell>
          <cell r="L310" t="str">
            <v>08/07/2003</v>
          </cell>
          <cell r="M310" t="str">
            <v>CA tỉnh Lạng Sơn</v>
          </cell>
          <cell r="O310" t="str">
            <v>Đoan Hùng</v>
          </cell>
          <cell r="P310" t="str">
            <v>Huyện Thanh Miện</v>
          </cell>
          <cell r="Q310" t="str">
            <v>Tỉnh Hải Dương</v>
          </cell>
          <cell r="S310" t="str">
            <v>Phường Tam Thanh</v>
          </cell>
          <cell r="T310" t="str">
            <v>Thành phố Lạng Sơn</v>
          </cell>
          <cell r="U310" t="str">
            <v>Tỉnh Lạng Sơn</v>
          </cell>
          <cell r="V310" t="str">
            <v>Phường Tam Thanh, Thành phố Lạng Sơn, Tỉnh Lạng Sơn</v>
          </cell>
          <cell r="W310" t="str">
            <v>10/6/2013</v>
          </cell>
          <cell r="AA310">
            <v>0</v>
          </cell>
          <cell r="AB310" t="str">
            <v>TĐ003</v>
          </cell>
          <cell r="AC310" t="str">
            <v>GM-HS</v>
          </cell>
          <cell r="AD310" t="str">
            <v>KP025</v>
          </cell>
          <cell r="AE310" t="str">
            <v>Viên chức</v>
          </cell>
          <cell r="AF310" t="str">
            <v>V.08.01.03</v>
          </cell>
          <cell r="AG310" t="str">
            <v>Bác sĩ (hạng III)</v>
          </cell>
          <cell r="AH310">
            <v>3.66</v>
          </cell>
          <cell r="AI310">
            <v>5</v>
          </cell>
          <cell r="AJ310">
            <v>0</v>
          </cell>
          <cell r="AK310">
            <v>45631</v>
          </cell>
          <cell r="AL310" t="str">
            <v>Đại học</v>
          </cell>
          <cell r="AM310" t="str">
            <v>BSCKI</v>
          </cell>
          <cell r="AN310" t="str">
            <v>GMHS</v>
          </cell>
          <cell r="AQ310" t="str">
            <v>12/12</v>
          </cell>
          <cell r="AR310">
            <v>0</v>
          </cell>
          <cell r="AS310">
            <v>0</v>
          </cell>
          <cell r="AT310">
            <v>0</v>
          </cell>
          <cell r="AU310" t="str">
            <v>Anh B</v>
          </cell>
          <cell r="AV310">
            <v>0</v>
          </cell>
          <cell r="AW310" t="str">
            <v>B</v>
          </cell>
          <cell r="AY310" t="str">
            <v>Kinh</v>
          </cell>
          <cell r="BA310" t="e">
            <v>#REF!</v>
          </cell>
          <cell r="BB310" t="e">
            <v>#REF!</v>
          </cell>
          <cell r="BC310" t="str">
            <v>24/06/2013</v>
          </cell>
        </row>
        <row r="311">
          <cell r="A311" t="str">
            <v>BV0424</v>
          </cell>
          <cell r="B311">
            <v>305</v>
          </cell>
          <cell r="C311" t="str">
            <v>Hoàng Thị Hiên</v>
          </cell>
          <cell r="D311" t="str">
            <v>BV0424</v>
          </cell>
          <cell r="E311">
            <v>1505001695</v>
          </cell>
          <cell r="G311" t="str">
            <v>CCCD: 020179001994
Ngày cấp: 16/4/2021, nơi cấp: Cục cảnh sát quản lý hành chính và trật tự xã hội</v>
          </cell>
          <cell r="I311">
            <v>29158</v>
          </cell>
          <cell r="J311">
            <v>46</v>
          </cell>
          <cell r="K311" t="str">
            <v>080926613</v>
          </cell>
          <cell r="L311" t="str">
            <v>21/01/2013</v>
          </cell>
          <cell r="M311" t="str">
            <v>CA tỉnh Lạng Sơn</v>
          </cell>
          <cell r="O311" t="str">
            <v>Xã Đại Đồng</v>
          </cell>
          <cell r="P311" t="str">
            <v>Huyện Tràng Định</v>
          </cell>
          <cell r="Q311" t="str">
            <v>Tỉnh Lạng Sơn</v>
          </cell>
          <cell r="S311" t="str">
            <v>Xã Đại Đồng</v>
          </cell>
          <cell r="T311" t="str">
            <v>Huyện Tràng Định</v>
          </cell>
          <cell r="U311" t="str">
            <v>Tỉnh Lạng Sơn</v>
          </cell>
          <cell r="V311" t="str">
            <v>Xã Đại Đồng, Huyện Tràng Định, Tỉnh Lạng Sơn</v>
          </cell>
          <cell r="W311" t="str">
            <v>1/10/2006</v>
          </cell>
          <cell r="AA311" t="str">
            <v>Phó trưởng khoa</v>
          </cell>
          <cell r="AB311" t="str">
            <v>TĐ004</v>
          </cell>
          <cell r="AC311" t="str">
            <v>GM-HS</v>
          </cell>
          <cell r="AD311" t="str">
            <v>KP025</v>
          </cell>
          <cell r="AE311" t="str">
            <v>Viên chức</v>
          </cell>
          <cell r="AF311" t="str">
            <v>V.08.01.02</v>
          </cell>
          <cell r="AG311" t="str">
            <v>Bác sĩ chính (hạng II)</v>
          </cell>
          <cell r="AH311">
            <v>5.08</v>
          </cell>
          <cell r="AI311">
            <v>3</v>
          </cell>
          <cell r="AJ311">
            <v>0</v>
          </cell>
          <cell r="AK311">
            <v>45108</v>
          </cell>
          <cell r="AL311" t="str">
            <v>Đại học</v>
          </cell>
          <cell r="AM311" t="str">
            <v>Thạc sỹ</v>
          </cell>
          <cell r="AN311" t="str">
            <v>GMHS</v>
          </cell>
          <cell r="AQ311" t="str">
            <v>12/12</v>
          </cell>
          <cell r="AR311" t="str">
            <v>Chuyên viên</v>
          </cell>
          <cell r="AS311" t="str">
            <v>x</v>
          </cell>
          <cell r="AT311" t="str">
            <v>Trung cấp</v>
          </cell>
          <cell r="AU311" t="str">
            <v>Anh C</v>
          </cell>
          <cell r="AV311" t="str">
            <v>Tày</v>
          </cell>
          <cell r="AW311" t="str">
            <v>Cơ bản</v>
          </cell>
          <cell r="AY311" t="str">
            <v>Tày</v>
          </cell>
          <cell r="AZ311">
            <v>41405</v>
          </cell>
          <cell r="BA311" t="e">
            <v>#REF!</v>
          </cell>
          <cell r="BB311" t="e">
            <v>#REF!</v>
          </cell>
          <cell r="BC311" t="str">
            <v>24/06/2013</v>
          </cell>
        </row>
        <row r="312">
          <cell r="A312" t="str">
            <v>BV0889</v>
          </cell>
          <cell r="B312">
            <v>306</v>
          </cell>
          <cell r="C312" t="str">
            <v>Tô Thị Kim Anh</v>
          </cell>
          <cell r="D312" t="str">
            <v>BV0889</v>
          </cell>
          <cell r="E312" t="str">
            <v>2020306031</v>
          </cell>
          <cell r="G312" t="str">
            <v>CCCD: 020194000530
Ngày cấp: 02/4/2021, nơi cấp: Cục cảnh sát quản lý hành chính và trật tự xã hội</v>
          </cell>
          <cell r="I312" t="str">
            <v>19/02/1994</v>
          </cell>
          <cell r="J312">
            <v>32</v>
          </cell>
          <cell r="K312" t="str">
            <v>082233187</v>
          </cell>
          <cell r="L312" t="str">
            <v>27/01/2010</v>
          </cell>
          <cell r="M312" t="str">
            <v>CA tỉnh Lạng Sơn</v>
          </cell>
          <cell r="W312" t="str">
            <v>05/04/2019</v>
          </cell>
          <cell r="AA312">
            <v>0</v>
          </cell>
          <cell r="AB312" t="str">
            <v>TĐ005</v>
          </cell>
          <cell r="AC312" t="str">
            <v>GM-HS</v>
          </cell>
          <cell r="AD312" t="str">
            <v>KP025</v>
          </cell>
          <cell r="AE312" t="str">
            <v>Viên chức</v>
          </cell>
          <cell r="AF312" t="str">
            <v>V.08.01.03</v>
          </cell>
          <cell r="AG312" t="str">
            <v>Bác sĩ (hạng III)</v>
          </cell>
          <cell r="AH312">
            <v>2.67</v>
          </cell>
          <cell r="AI312">
            <v>2</v>
          </cell>
          <cell r="AJ312">
            <v>0</v>
          </cell>
          <cell r="AK312">
            <v>44927</v>
          </cell>
          <cell r="AL312" t="str">
            <v>Đại học</v>
          </cell>
          <cell r="AM312" t="str">
            <v>Bác sĩ</v>
          </cell>
          <cell r="AN312" t="str">
            <v>Y đa khoa</v>
          </cell>
          <cell r="AQ312" t="str">
            <v>12/12</v>
          </cell>
          <cell r="AR312">
            <v>0</v>
          </cell>
          <cell r="AS312">
            <v>0</v>
          </cell>
          <cell r="AT312">
            <v>0</v>
          </cell>
          <cell r="AU312">
            <v>0</v>
          </cell>
          <cell r="AV312">
            <v>0</v>
          </cell>
          <cell r="AW312">
            <v>0</v>
          </cell>
          <cell r="AY312" t="str">
            <v>Tày</v>
          </cell>
        </row>
        <row r="313">
          <cell r="A313" t="str">
            <v>BV0426</v>
          </cell>
          <cell r="B313">
            <v>307</v>
          </cell>
          <cell r="C313" t="str">
            <v>Hoàng Thị Hoa</v>
          </cell>
          <cell r="D313" t="str">
            <v>BV0426</v>
          </cell>
          <cell r="E313" t="str">
            <v>2014002794</v>
          </cell>
          <cell r="G313" t="str">
            <v>CCCD: 020188007568
Ngày cấp: 25/6/2021, nơi cấp: Cục cảnh sát quản lý hành chính và trật tự xã hội</v>
          </cell>
          <cell r="I313">
            <v>32411</v>
          </cell>
          <cell r="J313">
            <v>37</v>
          </cell>
          <cell r="K313" t="str">
            <v>082055610</v>
          </cell>
          <cell r="L313" t="str">
            <v>27/06/2005</v>
          </cell>
          <cell r="M313" t="str">
            <v>CA tỉnh Lạng Sơn</v>
          </cell>
          <cell r="N313" t="str">
            <v>Quan Sơn, Chi Lăng, Lạng Sơn</v>
          </cell>
          <cell r="O313" t="str">
            <v>Xã Quan Sơn</v>
          </cell>
          <cell r="P313" t="str">
            <v>Huyện Chi Lăng</v>
          </cell>
          <cell r="Q313" t="str">
            <v>Tỉnh Lạng Sơn</v>
          </cell>
          <cell r="R313" t="str">
            <v>Khối 10</v>
          </cell>
          <cell r="S313" t="str">
            <v>Phường Tam Thanh</v>
          </cell>
          <cell r="T313" t="str">
            <v>Thành phố Lạng Sơn</v>
          </cell>
          <cell r="U313" t="str">
            <v>Tỉnh Lạng Sơn</v>
          </cell>
          <cell r="V313" t="str">
            <v>Phường Tam Thanh, Thành phố Lạng Sơn, Tỉnh Lạng Sơn</v>
          </cell>
          <cell r="W313" t="str">
            <v>01/11/2014</v>
          </cell>
          <cell r="AA313">
            <v>0</v>
          </cell>
          <cell r="AB313" t="str">
            <v>TĐ003</v>
          </cell>
          <cell r="AC313" t="str">
            <v>GM-HS</v>
          </cell>
          <cell r="AD313" t="str">
            <v>KP025</v>
          </cell>
          <cell r="AE313" t="str">
            <v>Viên chức</v>
          </cell>
          <cell r="AF313" t="str">
            <v>V.08.01.03</v>
          </cell>
          <cell r="AG313" t="str">
            <v>Bác sĩ (hạng III)</v>
          </cell>
          <cell r="AH313">
            <v>3.33</v>
          </cell>
          <cell r="AI313">
            <v>4</v>
          </cell>
          <cell r="AJ313">
            <v>0</v>
          </cell>
          <cell r="AK313">
            <v>45505</v>
          </cell>
          <cell r="AL313" t="str">
            <v>Đại học</v>
          </cell>
          <cell r="AM313" t="str">
            <v>BSCKI</v>
          </cell>
          <cell r="AN313" t="str">
            <v>GMHS</v>
          </cell>
          <cell r="AO313" t="str">
            <v>Y dược TN</v>
          </cell>
          <cell r="AP313">
            <v>2013</v>
          </cell>
          <cell r="AQ313" t="str">
            <v>12/12</v>
          </cell>
          <cell r="AR313">
            <v>0</v>
          </cell>
          <cell r="AS313" t="str">
            <v>x</v>
          </cell>
          <cell r="AT313" t="str">
            <v>Sơ cấp</v>
          </cell>
          <cell r="AU313">
            <v>0</v>
          </cell>
          <cell r="AV313">
            <v>0</v>
          </cell>
          <cell r="AW313" t="str">
            <v>Cơ bản</v>
          </cell>
          <cell r="AY313" t="str">
            <v>Nùng</v>
          </cell>
          <cell r="BA313" t="e">
            <v>#REF!</v>
          </cell>
          <cell r="BB313" t="e">
            <v>#REF!</v>
          </cell>
          <cell r="BC313" t="str">
            <v>24/06/2013</v>
          </cell>
        </row>
        <row r="314">
          <cell r="A314" t="str">
            <v>BV0220</v>
          </cell>
          <cell r="B314">
            <v>308</v>
          </cell>
          <cell r="C314" t="str">
            <v>Nông Bích Đào</v>
          </cell>
          <cell r="D314" t="str">
            <v>BV0220</v>
          </cell>
          <cell r="E314">
            <v>2008002399</v>
          </cell>
          <cell r="G314" t="str">
            <v>CCCD: 020186000938
Ngày cấp:08/4/2021, nơi cấp: Cục cảnh sát quản lý hành chính và trật tự xã hội</v>
          </cell>
          <cell r="I314">
            <v>31587</v>
          </cell>
          <cell r="J314">
            <v>40</v>
          </cell>
          <cell r="K314" t="str">
            <v>081001431</v>
          </cell>
          <cell r="L314" t="str">
            <v>20/02/2003</v>
          </cell>
          <cell r="M314" t="str">
            <v>CA tỉnh Lạng Sơn</v>
          </cell>
          <cell r="N314" t="str">
            <v>Tỉnh Lạng Sơn</v>
          </cell>
          <cell r="O314" t="str">
            <v>Xã Trùng Quán</v>
          </cell>
          <cell r="P314" t="str">
            <v>Huyện Văn Lãng</v>
          </cell>
          <cell r="Q314" t="str">
            <v>Tỉnh Lạng Sơn</v>
          </cell>
          <cell r="S314" t="str">
            <v>Phường Chi Lăng</v>
          </cell>
          <cell r="T314" t="str">
            <v>Thành phố Lạng Sơn</v>
          </cell>
          <cell r="U314" t="str">
            <v>Tỉnh Lạng Sơn</v>
          </cell>
          <cell r="V314" t="str">
            <v>Phường Chi Lăng, Thành phố Lạng Sơn, Tỉnh Lạng Sơn</v>
          </cell>
          <cell r="W314" t="str">
            <v>8/12/2008</v>
          </cell>
          <cell r="AA314">
            <v>0</v>
          </cell>
          <cell r="AB314" t="str">
            <v>TĐ011</v>
          </cell>
          <cell r="AC314" t="str">
            <v>GM-HS</v>
          </cell>
          <cell r="AD314" t="str">
            <v>KP025</v>
          </cell>
          <cell r="AE314" t="str">
            <v>Viên chức</v>
          </cell>
          <cell r="AF314" t="str">
            <v>V.08.05.12</v>
          </cell>
          <cell r="AG314" t="str">
            <v>Điều dưỡng (hạng III)</v>
          </cell>
          <cell r="AH314">
            <v>3.66</v>
          </cell>
          <cell r="AI314">
            <v>5</v>
          </cell>
          <cell r="AJ314">
            <v>0</v>
          </cell>
          <cell r="AK314">
            <v>45444</v>
          </cell>
          <cell r="AL314" t="str">
            <v>Đại học</v>
          </cell>
          <cell r="AM314" t="str">
            <v>Điều dưỡng ĐH</v>
          </cell>
          <cell r="AO314" t="str">
            <v>ĐH điều dưỡng Nam Định</v>
          </cell>
          <cell r="AP314">
            <v>2017</v>
          </cell>
          <cell r="AQ314" t="str">
            <v>12/12</v>
          </cell>
          <cell r="AR314">
            <v>0</v>
          </cell>
          <cell r="AS314">
            <v>0</v>
          </cell>
          <cell r="AT314" t="str">
            <v>Sơ cấp</v>
          </cell>
          <cell r="AU314" t="str">
            <v>Anh A2</v>
          </cell>
          <cell r="AV314" t="str">
            <v>Tày</v>
          </cell>
          <cell r="AW314" t="str">
            <v>B</v>
          </cell>
          <cell r="AY314" t="str">
            <v>Tày</v>
          </cell>
          <cell r="BA314" t="e">
            <v>#REF!</v>
          </cell>
          <cell r="BB314" t="e">
            <v>#REF!</v>
          </cell>
          <cell r="BC314" t="str">
            <v>09/05/2012</v>
          </cell>
        </row>
        <row r="315">
          <cell r="A315" t="str">
            <v>BV0427</v>
          </cell>
          <cell r="B315">
            <v>309</v>
          </cell>
          <cell r="C315" t="str">
            <v>Đinh Thị Thu Hà</v>
          </cell>
          <cell r="D315" t="str">
            <v>BV0427</v>
          </cell>
          <cell r="E315">
            <v>1597020267</v>
          </cell>
          <cell r="G315" t="str">
            <v>CCCD: 026169003538
Ngày cấp: 25/4/2021, nơi cấp: Cục cảnh sát quản lý hành chính và trật tự xã hội</v>
          </cell>
          <cell r="I315">
            <v>25327</v>
          </cell>
          <cell r="J315">
            <v>57</v>
          </cell>
          <cell r="K315" t="str">
            <v>080802325</v>
          </cell>
          <cell r="L315" t="str">
            <v>11/11/2005</v>
          </cell>
          <cell r="M315" t="str">
            <v>CA tỉnh Lạng Sơn</v>
          </cell>
          <cell r="N315" t="str">
            <v>Xã Phú Đa, Thanh Miện Hải  Dương</v>
          </cell>
          <cell r="O315" t="str">
            <v>Thanh Giang</v>
          </cell>
          <cell r="P315" t="str">
            <v>Huyện Thanh Miện</v>
          </cell>
          <cell r="Q315" t="str">
            <v>Tỉnh Hải Dương</v>
          </cell>
          <cell r="R315" t="str">
            <v>số 1 khối 5</v>
          </cell>
          <cell r="S315" t="str">
            <v>Phường Hoàng Văn Thụ</v>
          </cell>
          <cell r="T315" t="str">
            <v>Thành phố Lạng Sơn</v>
          </cell>
          <cell r="U315" t="str">
            <v>Tỉnh Lạng Sơn</v>
          </cell>
          <cell r="V315" t="str">
            <v>Phường Hoàng Văn Thụ, Thành phố Lạng Sơn, Tỉnh Lạng Sơn</v>
          </cell>
          <cell r="W315" t="str">
            <v>11/5/1990</v>
          </cell>
          <cell r="AA315" t="e">
            <v>#N/A</v>
          </cell>
          <cell r="AB315" t="e">
            <v>#N/A</v>
          </cell>
          <cell r="AC315" t="e">
            <v>#N/A</v>
          </cell>
          <cell r="AD315" t="e">
            <v>#N/A</v>
          </cell>
          <cell r="AE315" t="e">
            <v>#N/A</v>
          </cell>
          <cell r="AF315" t="str">
            <v>V.08.05.12</v>
          </cell>
          <cell r="AG315" t="e">
            <v>#N/A</v>
          </cell>
          <cell r="AH315">
            <v>4.9800000000000004</v>
          </cell>
          <cell r="AI315">
            <v>9</v>
          </cell>
          <cell r="AJ315">
            <v>0.05</v>
          </cell>
          <cell r="AK315">
            <v>45778</v>
          </cell>
          <cell r="AL315" t="str">
            <v>Đại học</v>
          </cell>
          <cell r="AM315" t="e">
            <v>#N/A</v>
          </cell>
          <cell r="AO315">
            <v>2008</v>
          </cell>
          <cell r="AQ315" t="str">
            <v>12/12</v>
          </cell>
          <cell r="AR315">
            <v>0</v>
          </cell>
          <cell r="AS315" t="str">
            <v>x</v>
          </cell>
          <cell r="AT315" t="str">
            <v>Sơ cấp</v>
          </cell>
          <cell r="AU315" t="str">
            <v>Anh A2</v>
          </cell>
          <cell r="AV315" t="str">
            <v>Tày</v>
          </cell>
          <cell r="AW315">
            <v>0</v>
          </cell>
          <cell r="AY315" t="str">
            <v>Kinh</v>
          </cell>
          <cell r="AZ315">
            <v>39169</v>
          </cell>
          <cell r="BA315" t="e">
            <v>#REF!</v>
          </cell>
          <cell r="BB315" t="e">
            <v>#REF!</v>
          </cell>
          <cell r="BC315" t="str">
            <v>25/07/2017</v>
          </cell>
        </row>
        <row r="316">
          <cell r="A316" t="str">
            <v>BV0738</v>
          </cell>
          <cell r="B316">
            <v>310</v>
          </cell>
          <cell r="C316" t="str">
            <v>Nguyễn Văn Huy</v>
          </cell>
          <cell r="D316" t="str">
            <v>BV0738</v>
          </cell>
          <cell r="E316">
            <v>2020037312</v>
          </cell>
          <cell r="F316">
            <v>2099904172</v>
          </cell>
          <cell r="G316" t="str">
            <v>CCCD: 020091004528
Ngày cấp: 25/6/2021, nơi cấp: Cục cảnh sát quản lý hành chính và trật tự xã hội</v>
          </cell>
          <cell r="H316" t="str">
            <v>26/10/1991</v>
          </cell>
          <cell r="J316">
            <v>34</v>
          </cell>
          <cell r="K316" t="str">
            <v>082113539</v>
          </cell>
          <cell r="L316" t="str">
            <v>20/6/2007</v>
          </cell>
          <cell r="M316" t="str">
            <v>CA tỉnh Lạng Sơn</v>
          </cell>
          <cell r="O316" t="str">
            <v>Trần Phú</v>
          </cell>
          <cell r="P316" t="str">
            <v>TP Hải Dương</v>
          </cell>
          <cell r="Q316" t="str">
            <v>Tỉnh Hải Dương</v>
          </cell>
          <cell r="R316" t="str">
            <v>Nặm Thoổng</v>
          </cell>
          <cell r="S316" t="str">
            <v>Hoàng Đồng</v>
          </cell>
          <cell r="T316" t="str">
            <v>Thành phố Lạng Sơn</v>
          </cell>
          <cell r="U316" t="str">
            <v>Tỉnh Lạng Sơn</v>
          </cell>
          <cell r="V316" t="str">
            <v>Hoàng Đồng, Thành phố Lạng Sơn, Tỉnh Lạng Sơn</v>
          </cell>
          <cell r="W316" t="str">
            <v>05/6/2013</v>
          </cell>
          <cell r="AA316">
            <v>0</v>
          </cell>
          <cell r="AB316" t="str">
            <v>TĐ012</v>
          </cell>
          <cell r="AC316" t="str">
            <v>GM-HS</v>
          </cell>
          <cell r="AD316" t="str">
            <v>KP025</v>
          </cell>
          <cell r="AE316" t="str">
            <v>Viên chức</v>
          </cell>
          <cell r="AF316" t="str">
            <v>V.08.05.13</v>
          </cell>
          <cell r="AG316" t="str">
            <v>Điều dưỡng (hạng IV)</v>
          </cell>
          <cell r="AH316">
            <v>3.03</v>
          </cell>
          <cell r="AI316">
            <v>4</v>
          </cell>
          <cell r="AJ316">
            <v>0</v>
          </cell>
          <cell r="AK316">
            <v>45636</v>
          </cell>
          <cell r="AL316" t="str">
            <v>Cao đẳng</v>
          </cell>
          <cell r="AM316" t="str">
            <v>Điều dưỡng CĐ</v>
          </cell>
          <cell r="AQ316" t="str">
            <v>12/12</v>
          </cell>
          <cell r="AR316">
            <v>0</v>
          </cell>
          <cell r="AS316">
            <v>0</v>
          </cell>
          <cell r="AT316">
            <v>0</v>
          </cell>
          <cell r="AU316">
            <v>0</v>
          </cell>
          <cell r="AV316">
            <v>0</v>
          </cell>
          <cell r="AW316" t="str">
            <v>Cơ bản</v>
          </cell>
          <cell r="AY316" t="str">
            <v>Kinh</v>
          </cell>
          <cell r="AZ316">
            <v>42952</v>
          </cell>
          <cell r="BA316" t="e">
            <v>#REF!</v>
          </cell>
          <cell r="BB316" t="e">
            <v>#REF!</v>
          </cell>
          <cell r="BC316" t="str">
            <v>24/06/2013</v>
          </cell>
        </row>
        <row r="317">
          <cell r="A317" t="str">
            <v>BV0428</v>
          </cell>
          <cell r="B317">
            <v>311</v>
          </cell>
          <cell r="C317" t="str">
            <v>Lành Văn Lượng</v>
          </cell>
          <cell r="D317" t="str">
            <v>BV0428</v>
          </cell>
          <cell r="E317">
            <v>1597020268</v>
          </cell>
          <cell r="G317" t="str">
            <v>CCCD: 020167000375
Ngày cấp: 08/4/2021, nơi cấp: Cục cảnh sát quản lý hành chính và trật tự xã hội</v>
          </cell>
          <cell r="H317">
            <v>24584</v>
          </cell>
          <cell r="J317">
            <v>59</v>
          </cell>
          <cell r="K317" t="str">
            <v>080812856</v>
          </cell>
          <cell r="L317" t="str">
            <v>05/12/2007</v>
          </cell>
          <cell r="M317" t="str">
            <v>CA tỉnh Lạng Sơn</v>
          </cell>
          <cell r="N317" t="str">
            <v>Chi Mạc, Hoàng Đồng, lạng Sơn</v>
          </cell>
          <cell r="O317" t="str">
            <v>Xã Hoàng Đồng</v>
          </cell>
          <cell r="P317" t="str">
            <v>Thành phố Lạng Sơn</v>
          </cell>
          <cell r="Q317" t="str">
            <v>Tỉnh Lạng Sơn</v>
          </cell>
          <cell r="R317" t="str">
            <v>Chi Mạc</v>
          </cell>
          <cell r="S317" t="str">
            <v>Xã Hoàng Đồng</v>
          </cell>
          <cell r="T317" t="str">
            <v>Thành phố Lạng Sơn</v>
          </cell>
          <cell r="U317" t="str">
            <v>Tỉnh Lạng Sơn</v>
          </cell>
          <cell r="V317" t="str">
            <v>Xã Hoàng Đồng, Thành phố Lạng Sơn, Tỉnh Lạng Sơn</v>
          </cell>
          <cell r="W317" t="str">
            <v>29/5/1990</v>
          </cell>
          <cell r="AA317">
            <v>0</v>
          </cell>
          <cell r="AB317" t="str">
            <v>TĐ012</v>
          </cell>
          <cell r="AC317" t="str">
            <v>GM-HS</v>
          </cell>
          <cell r="AD317" t="str">
            <v>KP025</v>
          </cell>
          <cell r="AE317" t="str">
            <v>Viên chức</v>
          </cell>
          <cell r="AF317" t="str">
            <v>V.08.05.13</v>
          </cell>
          <cell r="AG317" t="str">
            <v>Điều dưỡng (hạng IV)</v>
          </cell>
          <cell r="AH317">
            <v>4.8899999999999997</v>
          </cell>
          <cell r="AI317">
            <v>10</v>
          </cell>
          <cell r="AJ317">
            <v>0</v>
          </cell>
          <cell r="AK317">
            <v>45566</v>
          </cell>
          <cell r="AL317" t="str">
            <v>Cao đẳng</v>
          </cell>
          <cell r="AM317" t="str">
            <v>Điều dưỡng CĐ</v>
          </cell>
          <cell r="AO317" t="str">
            <v>ĐH KYYT Hải dương</v>
          </cell>
          <cell r="AP317">
            <v>2011</v>
          </cell>
          <cell r="AQ317" t="str">
            <v>12/12</v>
          </cell>
          <cell r="AR317">
            <v>0</v>
          </cell>
          <cell r="AS317">
            <v>0</v>
          </cell>
          <cell r="AT317" t="str">
            <v>Sơ cấp</v>
          </cell>
          <cell r="AU317" t="str">
            <v>Anh B</v>
          </cell>
          <cell r="AV317">
            <v>0</v>
          </cell>
          <cell r="AW317" t="str">
            <v>B</v>
          </cell>
          <cell r="AY317" t="str">
            <v>Tày</v>
          </cell>
          <cell r="AZ317">
            <v>40555</v>
          </cell>
          <cell r="BA317" t="e">
            <v>#REF!</v>
          </cell>
          <cell r="BB317" t="e">
            <v>#REF!</v>
          </cell>
          <cell r="BC317" t="str">
            <v>24/06/2013</v>
          </cell>
        </row>
        <row r="318">
          <cell r="A318" t="str">
            <v>BV0429</v>
          </cell>
          <cell r="B318">
            <v>312</v>
          </cell>
          <cell r="C318" t="str">
            <v>Hoàng Thị Mơ</v>
          </cell>
          <cell r="D318" t="str">
            <v>BV0429</v>
          </cell>
          <cell r="E318">
            <v>1596003356</v>
          </cell>
          <cell r="G318" t="str">
            <v>CCCD: 020170006496
Ngày cấp: 28/6/2021, nơi cấp: Cục cảnh sát quản lý hành chính và trật tự xã hội</v>
          </cell>
          <cell r="I318">
            <v>25749</v>
          </cell>
          <cell r="J318">
            <v>56</v>
          </cell>
          <cell r="K318" t="str">
            <v>080932063</v>
          </cell>
          <cell r="L318" t="str">
            <v>04/02/2010</v>
          </cell>
          <cell r="M318" t="str">
            <v>CA tỉnh Lạng Sơn</v>
          </cell>
          <cell r="O318" t="str">
            <v>Xã Bình La</v>
          </cell>
          <cell r="P318" t="str">
            <v>Huyện Bình Gia</v>
          </cell>
          <cell r="Q318" t="str">
            <v>Tỉnh Lạng Sơn</v>
          </cell>
          <cell r="S318" t="str">
            <v>Thị trấn Bình Gia</v>
          </cell>
          <cell r="T318" t="str">
            <v>Huyện Bình Gia</v>
          </cell>
          <cell r="U318" t="str">
            <v>Tỉnh Lạng Sơn</v>
          </cell>
          <cell r="V318" t="str">
            <v>Thị trấn Bình Gia, Huyện Bình Gia, Tỉnh Lạng Sơn</v>
          </cell>
          <cell r="W318" t="str">
            <v>1/9/1993</v>
          </cell>
          <cell r="AA318">
            <v>0</v>
          </cell>
          <cell r="AB318" t="str">
            <v>TĐ012</v>
          </cell>
          <cell r="AC318" t="str">
            <v>GM-HS</v>
          </cell>
          <cell r="AD318" t="str">
            <v>KP025</v>
          </cell>
          <cell r="AE318" t="str">
            <v>Viên chức</v>
          </cell>
          <cell r="AF318" t="str">
            <v>V.08.07.19</v>
          </cell>
          <cell r="AG318" t="str">
            <v>Kỹ thuật y (hạng IV)</v>
          </cell>
          <cell r="AH318">
            <v>4.8899999999999997</v>
          </cell>
          <cell r="AI318">
            <v>10</v>
          </cell>
          <cell r="AJ318">
            <v>0</v>
          </cell>
          <cell r="AK318">
            <v>45901</v>
          </cell>
          <cell r="AL318" t="str">
            <v>Cao đẳng</v>
          </cell>
          <cell r="AM318" t="str">
            <v>Điều dưỡng CĐ</v>
          </cell>
          <cell r="AQ318" t="str">
            <v>12/12</v>
          </cell>
          <cell r="AR318">
            <v>0</v>
          </cell>
          <cell r="AS318">
            <v>0</v>
          </cell>
          <cell r="AT318">
            <v>0</v>
          </cell>
          <cell r="AU318" t="str">
            <v>Anh A</v>
          </cell>
          <cell r="AV318">
            <v>0</v>
          </cell>
          <cell r="AW318" t="str">
            <v>B</v>
          </cell>
          <cell r="AY318" t="str">
            <v>Tày</v>
          </cell>
          <cell r="AZ318">
            <v>36508</v>
          </cell>
          <cell r="BA318" t="e">
            <v>#REF!</v>
          </cell>
          <cell r="BB318" t="e">
            <v>#REF!</v>
          </cell>
          <cell r="BC318" t="str">
            <v>24/06/2013</v>
          </cell>
        </row>
        <row r="319">
          <cell r="A319" t="str">
            <v>BV0066</v>
          </cell>
          <cell r="B319">
            <v>313</v>
          </cell>
          <cell r="C319" t="str">
            <v>Lương Thị Quyến</v>
          </cell>
          <cell r="D319" t="str">
            <v>BV0066</v>
          </cell>
          <cell r="E319">
            <v>2010000138</v>
          </cell>
          <cell r="G319" t="str">
            <v>CCCD: 020188008927
Ngày cấp: 26/8/2021, nơi cấp: Cục cảnh sát quản lý hành chính và trật tự xã hội</v>
          </cell>
          <cell r="I319">
            <v>32175</v>
          </cell>
          <cell r="J319">
            <v>38</v>
          </cell>
          <cell r="K319" t="str">
            <v>082007120</v>
          </cell>
          <cell r="L319" t="str">
            <v>03/11/2003</v>
          </cell>
          <cell r="M319" t="str">
            <v>CA tỉnh Lạng Sơn</v>
          </cell>
          <cell r="O319" t="str">
            <v>Xã Đồng Ý</v>
          </cell>
          <cell r="P319" t="str">
            <v>Huyện Bắc Sơn</v>
          </cell>
          <cell r="Q319" t="str">
            <v>Tỉnh Lạng Sơn</v>
          </cell>
          <cell r="S319" t="str">
            <v>Phường Tam Thanh</v>
          </cell>
          <cell r="T319" t="str">
            <v>Thành phố Lạng Sơn</v>
          </cell>
          <cell r="U319" t="str">
            <v>Tỉnh Lạng Sơn</v>
          </cell>
          <cell r="V319" t="str">
            <v>Phường Tam Thanh, Thành phố Lạng Sơn, Tỉnh Lạng Sơn</v>
          </cell>
          <cell r="W319" t="str">
            <v>15/1/2010</v>
          </cell>
          <cell r="AA319">
            <v>0</v>
          </cell>
          <cell r="AB319" t="str">
            <v>TĐ012</v>
          </cell>
          <cell r="AC319" t="str">
            <v>GM-HS</v>
          </cell>
          <cell r="AD319" t="str">
            <v>KP025</v>
          </cell>
          <cell r="AE319" t="str">
            <v>Viên chức</v>
          </cell>
          <cell r="AF319" t="str">
            <v>V.08.05.13</v>
          </cell>
          <cell r="AG319" t="str">
            <v>Điều dưỡng (hạng IV)</v>
          </cell>
          <cell r="AH319">
            <v>3.65</v>
          </cell>
          <cell r="AI319">
            <v>6</v>
          </cell>
          <cell r="AJ319">
            <v>0</v>
          </cell>
          <cell r="AK319">
            <v>45839</v>
          </cell>
          <cell r="AL319" t="str">
            <v>Cao đẳng</v>
          </cell>
          <cell r="AM319" t="str">
            <v>Điều dưỡng CĐ</v>
          </cell>
          <cell r="AQ319" t="str">
            <v>12/12</v>
          </cell>
          <cell r="AR319">
            <v>0</v>
          </cell>
          <cell r="AS319">
            <v>0</v>
          </cell>
          <cell r="AT319" t="str">
            <v>Sơ cấp</v>
          </cell>
          <cell r="AU319">
            <v>0</v>
          </cell>
          <cell r="AV319">
            <v>0</v>
          </cell>
          <cell r="AW319" t="str">
            <v>B</v>
          </cell>
          <cell r="AX319" t="str">
            <v>Quản lý điều dưỡng</v>
          </cell>
          <cell r="AY319" t="str">
            <v>Tày</v>
          </cell>
          <cell r="BA319" t="e">
            <v>#REF!</v>
          </cell>
          <cell r="BB319" t="e">
            <v>#REF!</v>
          </cell>
          <cell r="BC319" t="str">
            <v>24/06/2013</v>
          </cell>
        </row>
        <row r="320">
          <cell r="A320" t="str">
            <v>BV0067</v>
          </cell>
          <cell r="B320">
            <v>314</v>
          </cell>
          <cell r="C320" t="str">
            <v>Hoàng Xuân Cường</v>
          </cell>
          <cell r="D320" t="str">
            <v>BV0067</v>
          </cell>
          <cell r="E320">
            <v>2010000144</v>
          </cell>
          <cell r="G320">
            <v>20085007541</v>
          </cell>
          <cell r="H320">
            <v>31105</v>
          </cell>
          <cell r="J320">
            <v>41</v>
          </cell>
          <cell r="K320" t="str">
            <v>082030860</v>
          </cell>
          <cell r="L320" t="str">
            <v>07/07/2008</v>
          </cell>
          <cell r="M320" t="str">
            <v>CA tỉnh Lạng Sơn</v>
          </cell>
          <cell r="O320" t="str">
            <v>Phường Hoàng Văn Thụ</v>
          </cell>
          <cell r="P320" t="str">
            <v>Huyện Bình Gia</v>
          </cell>
          <cell r="Q320" t="str">
            <v>Tỉnh Lạng Sơn</v>
          </cell>
          <cell r="S320" t="str">
            <v>Phường Hoàng Văn Thụ</v>
          </cell>
          <cell r="T320" t="str">
            <v>Thành phố Lạng Sơn</v>
          </cell>
          <cell r="U320" t="str">
            <v>Tỉnh Lạng Sơn</v>
          </cell>
          <cell r="V320" t="str">
            <v>Phường Hoàng Văn Thụ, Thành phố Lạng Sơn, Tỉnh Lạng Sơn</v>
          </cell>
          <cell r="W320" t="str">
            <v>15/1/2010</v>
          </cell>
          <cell r="AA320">
            <v>0</v>
          </cell>
          <cell r="AB320" t="str">
            <v>TĐ012</v>
          </cell>
          <cell r="AC320" t="str">
            <v>GM-HS</v>
          </cell>
          <cell r="AD320" t="str">
            <v>KP025</v>
          </cell>
          <cell r="AE320" t="str">
            <v>Viên chức</v>
          </cell>
          <cell r="AF320" t="str">
            <v>V.08.05.13</v>
          </cell>
          <cell r="AG320" t="str">
            <v>Điều dưỡng (hạng IV)</v>
          </cell>
          <cell r="AH320">
            <v>3.34</v>
          </cell>
          <cell r="AI320">
            <v>5</v>
          </cell>
          <cell r="AJ320">
            <v>0</v>
          </cell>
          <cell r="AK320">
            <v>44927</v>
          </cell>
          <cell r="AL320" t="str">
            <v>Cao đẳng</v>
          </cell>
          <cell r="AM320" t="str">
            <v>Điều dưỡng CĐ</v>
          </cell>
          <cell r="AO320" t="str">
            <v>Cao đẳng Y tế Lạng Sơn</v>
          </cell>
          <cell r="AP320">
            <v>2007</v>
          </cell>
          <cell r="AQ320" t="str">
            <v>12/12</v>
          </cell>
          <cell r="AR320">
            <v>0</v>
          </cell>
          <cell r="AS320">
            <v>0</v>
          </cell>
          <cell r="AT320">
            <v>0</v>
          </cell>
          <cell r="AU320">
            <v>0</v>
          </cell>
          <cell r="AV320">
            <v>0</v>
          </cell>
          <cell r="AW320" t="str">
            <v>Cơ bản</v>
          </cell>
          <cell r="AY320" t="str">
            <v>Tày</v>
          </cell>
          <cell r="BA320" t="e">
            <v>#REF!</v>
          </cell>
          <cell r="BB320" t="e">
            <v>#REF!</v>
          </cell>
          <cell r="BC320" t="str">
            <v>24/06/2013</v>
          </cell>
        </row>
        <row r="321">
          <cell r="A321" t="str">
            <v>BV0196</v>
          </cell>
          <cell r="B321">
            <v>315</v>
          </cell>
          <cell r="C321" t="str">
            <v>Vi Thị Niệm</v>
          </cell>
          <cell r="D321" t="str">
            <v>BV0196</v>
          </cell>
          <cell r="E321">
            <v>2011000019</v>
          </cell>
          <cell r="G321" t="str">
            <v>CCCD: 020188005944
Ngày cấp: 25/6/2021, nơi cấp: Cục cảnh sát quản lý hành chính và trật tự xã hội</v>
          </cell>
          <cell r="I321">
            <v>32268</v>
          </cell>
          <cell r="J321">
            <v>38</v>
          </cell>
          <cell r="K321" t="str">
            <v>082069637</v>
          </cell>
          <cell r="L321" t="str">
            <v>20/12/2005</v>
          </cell>
          <cell r="M321" t="str">
            <v>CA tỉnh Lạng Sơn</v>
          </cell>
          <cell r="O321" t="str">
            <v>Xã Nhân Lý</v>
          </cell>
          <cell r="P321" t="str">
            <v>Huyện Chi Lăng</v>
          </cell>
          <cell r="Q321" t="str">
            <v>Tỉnh Lạng Sơn</v>
          </cell>
          <cell r="S321" t="str">
            <v>Xã Nhân Lý</v>
          </cell>
          <cell r="T321" t="str">
            <v>Huyện Chi Lăng</v>
          </cell>
          <cell r="U321" t="str">
            <v>Tỉnh Lạng Sơn</v>
          </cell>
          <cell r="V321" t="str">
            <v>Xã Nhân Lý, Huyện Chi Lăng, Tỉnh Lạng Sơn</v>
          </cell>
          <cell r="W321" t="str">
            <v>1/12/2010</v>
          </cell>
          <cell r="AA321">
            <v>0</v>
          </cell>
          <cell r="AB321" t="str">
            <v>TĐ012</v>
          </cell>
          <cell r="AC321" t="str">
            <v>GM-HS</v>
          </cell>
          <cell r="AD321" t="str">
            <v>KP025</v>
          </cell>
          <cell r="AE321" t="str">
            <v>Viên chức</v>
          </cell>
          <cell r="AF321" t="str">
            <v>V.08.05.13</v>
          </cell>
          <cell r="AG321" t="str">
            <v>Điều dưỡng (hạng IV)</v>
          </cell>
          <cell r="AH321">
            <v>3.34</v>
          </cell>
          <cell r="AI321">
            <v>5</v>
          </cell>
          <cell r="AJ321">
            <v>0</v>
          </cell>
          <cell r="AK321">
            <v>45444</v>
          </cell>
          <cell r="AL321" t="str">
            <v>Cao đẳng</v>
          </cell>
          <cell r="AM321" t="str">
            <v>Điều dưỡng CĐ</v>
          </cell>
          <cell r="AO321" t="str">
            <v>Cao đẳng Y tế Lạng Sơn</v>
          </cell>
          <cell r="AP321">
            <v>2009</v>
          </cell>
          <cell r="AQ321" t="str">
            <v>12/12</v>
          </cell>
          <cell r="AR321">
            <v>0</v>
          </cell>
          <cell r="AS321">
            <v>0</v>
          </cell>
          <cell r="AT321">
            <v>0</v>
          </cell>
          <cell r="AU321">
            <v>0</v>
          </cell>
          <cell r="AV321">
            <v>0</v>
          </cell>
          <cell r="AW321" t="str">
            <v>Cơ bản</v>
          </cell>
          <cell r="AY321" t="str">
            <v>Nùng</v>
          </cell>
          <cell r="BA321" t="e">
            <v>#REF!</v>
          </cell>
          <cell r="BB321" t="e">
            <v>#REF!</v>
          </cell>
          <cell r="BC321" t="str">
            <v>24/06/2013</v>
          </cell>
        </row>
        <row r="322">
          <cell r="A322" t="str">
            <v>BV0438</v>
          </cell>
          <cell r="B322">
            <v>316</v>
          </cell>
          <cell r="C322" t="str">
            <v>Lương Tuyết Nhung</v>
          </cell>
          <cell r="D322" t="str">
            <v>BV0438</v>
          </cell>
          <cell r="E322">
            <v>1506002939</v>
          </cell>
          <cell r="G322" t="str">
            <v>CCCD: 020180001484
Ngày cấp: 16/4/2021, nơi cấp: Cục cảnh sát quản lý hành chính và trật tự xã hội</v>
          </cell>
          <cell r="I322">
            <v>29316</v>
          </cell>
          <cell r="J322">
            <v>46</v>
          </cell>
          <cell r="K322" t="str">
            <v>080968187</v>
          </cell>
          <cell r="L322" t="str">
            <v>21/03/2000</v>
          </cell>
          <cell r="M322" t="str">
            <v>CA tỉnh Lạng Sơn</v>
          </cell>
          <cell r="P322" t="str">
            <v>Huyện Chi Lăng</v>
          </cell>
          <cell r="Q322" t="str">
            <v>Tỉnh Lạng Sơn</v>
          </cell>
          <cell r="S322" t="str">
            <v>Phường Chi Lăng</v>
          </cell>
          <cell r="T322" t="str">
            <v>Thành phố Lạng Sơn</v>
          </cell>
          <cell r="U322" t="str">
            <v>Tỉnh Lạng Sơn</v>
          </cell>
          <cell r="V322" t="str">
            <v>Phường Chi Lăng, Thành phố Lạng Sơn, Tỉnh Lạng Sơn</v>
          </cell>
          <cell r="W322" t="str">
            <v>6/11/2006</v>
          </cell>
          <cell r="AA322">
            <v>0</v>
          </cell>
          <cell r="AB322" t="str">
            <v>TĐ012</v>
          </cell>
          <cell r="AC322" t="str">
            <v>GM-HS</v>
          </cell>
          <cell r="AD322" t="str">
            <v>KP025</v>
          </cell>
          <cell r="AE322" t="str">
            <v>Viên chức</v>
          </cell>
          <cell r="AF322" t="str">
            <v>V.08.05.13</v>
          </cell>
          <cell r="AG322" t="str">
            <v>Điều dưỡng (hạng IV)</v>
          </cell>
          <cell r="AH322">
            <v>3.65</v>
          </cell>
          <cell r="AI322">
            <v>6</v>
          </cell>
          <cell r="AJ322">
            <v>0</v>
          </cell>
          <cell r="AK322">
            <v>45413</v>
          </cell>
          <cell r="AL322" t="str">
            <v>Cao đẳng</v>
          </cell>
          <cell r="AM322" t="str">
            <v>Điều dưỡng CĐ</v>
          </cell>
          <cell r="AR322">
            <v>0</v>
          </cell>
          <cell r="AS322">
            <v>0</v>
          </cell>
          <cell r="AT322">
            <v>0</v>
          </cell>
          <cell r="AU322">
            <v>0</v>
          </cell>
          <cell r="AV322">
            <v>0</v>
          </cell>
          <cell r="AW322" t="str">
            <v>Cơ bản</v>
          </cell>
          <cell r="AY322" t="str">
            <v>Nùng</v>
          </cell>
          <cell r="BA322" t="e">
            <v>#REF!</v>
          </cell>
          <cell r="BB322" t="e">
            <v>#REF!</v>
          </cell>
          <cell r="BC322" t="str">
            <v>24/06/2013</v>
          </cell>
        </row>
        <row r="323">
          <cell r="A323" t="str">
            <v>BV0436</v>
          </cell>
          <cell r="B323">
            <v>317</v>
          </cell>
          <cell r="C323" t="str">
            <v>Triệu Thị Minh</v>
          </cell>
          <cell r="D323" t="str">
            <v>BV0436</v>
          </cell>
          <cell r="E323">
            <v>1596007619</v>
          </cell>
          <cell r="G323" t="str">
            <v>CCCD: 020175002086
Ngày cấp: 29/4/2021, nơi cấp: Cục cảnh sát quản lý hành chính và trật tự xã hội</v>
          </cell>
          <cell r="I323">
            <v>27412</v>
          </cell>
          <cell r="J323">
            <v>51</v>
          </cell>
          <cell r="K323" t="str">
            <v>080993597</v>
          </cell>
          <cell r="L323" t="str">
            <v>19/03/2014</v>
          </cell>
          <cell r="M323" t="str">
            <v>CA tỉnh Lạng Sơn</v>
          </cell>
          <cell r="P323" t="str">
            <v>Huyện Văn Quan</v>
          </cell>
          <cell r="Q323" t="str">
            <v>Tỉnh Lạng Sơn</v>
          </cell>
          <cell r="S323" t="str">
            <v>Phường Đông Kinh</v>
          </cell>
          <cell r="T323" t="str">
            <v>Thành phố Lạng Sơn</v>
          </cell>
          <cell r="U323" t="str">
            <v>Tỉnh Lạng Sơn</v>
          </cell>
          <cell r="V323" t="str">
            <v>Phường Đông Kinh, Thành phố Lạng Sơn, Tỉnh Lạng Sơn</v>
          </cell>
          <cell r="W323" t="str">
            <v>1/11/1994</v>
          </cell>
          <cell r="AA323">
            <v>0</v>
          </cell>
          <cell r="AB323" t="str">
            <v>TĐ012</v>
          </cell>
          <cell r="AC323" t="str">
            <v>GM-HS</v>
          </cell>
          <cell r="AD323" t="str">
            <v>KP025</v>
          </cell>
          <cell r="AE323" t="str">
            <v>Viên chức</v>
          </cell>
          <cell r="AF323" t="str">
            <v>V.08.05.13</v>
          </cell>
          <cell r="AG323" t="str">
            <v>Điều dưỡng (hạng IV)</v>
          </cell>
          <cell r="AH323">
            <v>4.8899999999999997</v>
          </cell>
          <cell r="AI323">
            <v>10</v>
          </cell>
          <cell r="AJ323">
            <v>0</v>
          </cell>
          <cell r="AK323">
            <v>45962</v>
          </cell>
          <cell r="AL323" t="str">
            <v>Cao đẳng</v>
          </cell>
          <cell r="AM323" t="str">
            <v>Điều dưỡng CĐ</v>
          </cell>
          <cell r="AQ323" t="str">
            <v>12/12</v>
          </cell>
          <cell r="AR323">
            <v>0</v>
          </cell>
          <cell r="AS323">
            <v>0</v>
          </cell>
          <cell r="AT323">
            <v>0</v>
          </cell>
          <cell r="AU323">
            <v>0</v>
          </cell>
          <cell r="AV323">
            <v>0</v>
          </cell>
          <cell r="AW323" t="str">
            <v>Cơ bản</v>
          </cell>
          <cell r="AY323" t="str">
            <v>Nùng</v>
          </cell>
          <cell r="BA323" t="e">
            <v>#REF!</v>
          </cell>
          <cell r="BB323" t="e">
            <v>#REF!</v>
          </cell>
          <cell r="BC323" t="str">
            <v>01/06/2016</v>
          </cell>
        </row>
        <row r="324">
          <cell r="A324" t="str">
            <v>BV0437</v>
          </cell>
          <cell r="B324">
            <v>318</v>
          </cell>
          <cell r="C324" t="str">
            <v>Hoàng Thanh Lê</v>
          </cell>
          <cell r="D324" t="str">
            <v>BV0437</v>
          </cell>
          <cell r="E324">
            <v>1597020262</v>
          </cell>
          <cell r="G324" t="str">
            <v>CCCD: 020171001940
Ngày cấp: 29/4/2021, nơi cấp: Cục cảnh sát quản lý hành chính và trật tự xã hội</v>
          </cell>
          <cell r="I324">
            <v>26243</v>
          </cell>
          <cell r="J324">
            <v>54</v>
          </cell>
          <cell r="K324" t="str">
            <v>080812475</v>
          </cell>
          <cell r="L324" t="str">
            <v>28/11/2005</v>
          </cell>
          <cell r="M324" t="str">
            <v>CA tỉnh Lạng Sơn</v>
          </cell>
          <cell r="P324" t="str">
            <v>Huyện Tràng Định</v>
          </cell>
          <cell r="Q324" t="str">
            <v>Tỉnh Lạng Sơn</v>
          </cell>
          <cell r="S324" t="str">
            <v>Phường Tam Thanh</v>
          </cell>
          <cell r="T324" t="str">
            <v>Thành phố Lạng Sơn</v>
          </cell>
          <cell r="U324" t="str">
            <v>Tỉnh Lạng Sơn</v>
          </cell>
          <cell r="V324" t="str">
            <v>Phường Tam Thanh, Thành phố Lạng Sơn, Tỉnh Lạng Sơn</v>
          </cell>
          <cell r="W324" t="str">
            <v>1/11/1994</v>
          </cell>
          <cell r="AA324">
            <v>0</v>
          </cell>
          <cell r="AB324" t="str">
            <v>TĐ012</v>
          </cell>
          <cell r="AC324" t="str">
            <v>GM-HS</v>
          </cell>
          <cell r="AD324" t="str">
            <v>KP025</v>
          </cell>
          <cell r="AE324" t="str">
            <v>Viên chức</v>
          </cell>
          <cell r="AF324" t="str">
            <v>V.08.05.13</v>
          </cell>
          <cell r="AG324" t="str">
            <v>Điều dưỡng (hạng IV)</v>
          </cell>
          <cell r="AH324">
            <v>4.58</v>
          </cell>
          <cell r="AI324">
            <v>9</v>
          </cell>
          <cell r="AJ324">
            <v>0.1</v>
          </cell>
          <cell r="AK324">
            <v>45672</v>
          </cell>
          <cell r="AL324" t="str">
            <v>Trung cấp</v>
          </cell>
          <cell r="AM324" t="str">
            <v>Điều dưỡng CĐ</v>
          </cell>
          <cell r="AQ324" t="str">
            <v>12/12</v>
          </cell>
          <cell r="AR324">
            <v>0</v>
          </cell>
          <cell r="AS324">
            <v>0</v>
          </cell>
          <cell r="AT324">
            <v>0</v>
          </cell>
          <cell r="AU324">
            <v>0</v>
          </cell>
          <cell r="AV324">
            <v>0</v>
          </cell>
          <cell r="AW324" t="str">
            <v>Cơ bản</v>
          </cell>
          <cell r="AY324" t="str">
            <v>Tày</v>
          </cell>
          <cell r="BA324" t="e">
            <v>#REF!</v>
          </cell>
          <cell r="BB324" t="e">
            <v>#REF!</v>
          </cell>
        </row>
        <row r="325">
          <cell r="A325" t="str">
            <v>BV0439</v>
          </cell>
          <cell r="B325">
            <v>319</v>
          </cell>
          <cell r="C325" t="str">
            <v>Trần Thị Nguyệt</v>
          </cell>
          <cell r="D325" t="str">
            <v>BV0439</v>
          </cell>
          <cell r="E325">
            <v>1503002660</v>
          </cell>
          <cell r="G325" t="str">
            <v>CCCD: 020178002577
Ngày cấp: 24/4/2021,nơi cấp: Cục cảnh sát quản lý hành chính và trật tự xã hội</v>
          </cell>
          <cell r="I325">
            <v>28797</v>
          </cell>
          <cell r="J325">
            <v>47</v>
          </cell>
          <cell r="K325" t="str">
            <v>081000130</v>
          </cell>
          <cell r="L325" t="str">
            <v>24/08/2000</v>
          </cell>
          <cell r="M325" t="str">
            <v>CA tỉnh Lạng Sơn</v>
          </cell>
          <cell r="N325" t="str">
            <v>Kéo quang, Chi Lăng, Tràng Định, Lạng SƠn</v>
          </cell>
          <cell r="O325" t="str">
            <v>Nhân Phúc</v>
          </cell>
          <cell r="P325" t="str">
            <v>Huyện Lý Nhân</v>
          </cell>
          <cell r="Q325" t="str">
            <v>Tỉnh Hà Nam</v>
          </cell>
          <cell r="R325" t="str">
            <v>Kéo Quang</v>
          </cell>
          <cell r="S325" t="str">
            <v>Xã Chi Lăng</v>
          </cell>
          <cell r="T325" t="str">
            <v>Huyện Tràng Định</v>
          </cell>
          <cell r="U325" t="str">
            <v>Tỉnh Lạng Sơn</v>
          </cell>
          <cell r="V325" t="str">
            <v>Xã Chi Lăng, Huyện Tràng Định, Tỉnh Lạng Sơn</v>
          </cell>
          <cell r="W325" t="str">
            <v>7/11/2006</v>
          </cell>
          <cell r="AA325">
            <v>0</v>
          </cell>
          <cell r="AB325" t="str">
            <v>TĐ012</v>
          </cell>
          <cell r="AC325" t="str">
            <v>GM-HS</v>
          </cell>
          <cell r="AD325" t="str">
            <v>KP025</v>
          </cell>
          <cell r="AE325" t="str">
            <v>Viên chức</v>
          </cell>
          <cell r="AF325" t="str">
            <v>V.08.05.13</v>
          </cell>
          <cell r="AG325" t="str">
            <v>Điều dưỡng (hạng IV)</v>
          </cell>
          <cell r="AH325">
            <v>3.65</v>
          </cell>
          <cell r="AI325">
            <v>6</v>
          </cell>
          <cell r="AJ325">
            <v>0</v>
          </cell>
          <cell r="AK325">
            <v>45413</v>
          </cell>
          <cell r="AL325" t="str">
            <v>Cao đẳng</v>
          </cell>
          <cell r="AM325" t="str">
            <v>Điều dưỡng CĐ</v>
          </cell>
          <cell r="AO325" t="str">
            <v>CĐ Y tế Lạng Sơn</v>
          </cell>
          <cell r="AP325">
            <v>2000</v>
          </cell>
          <cell r="AQ325" t="str">
            <v>12/12</v>
          </cell>
          <cell r="AR325">
            <v>0</v>
          </cell>
          <cell r="AS325">
            <v>0</v>
          </cell>
          <cell r="AT325">
            <v>0</v>
          </cell>
          <cell r="AU325">
            <v>0</v>
          </cell>
          <cell r="AV325">
            <v>0</v>
          </cell>
          <cell r="AW325" t="str">
            <v>Cơ bản</v>
          </cell>
          <cell r="AY325" t="str">
            <v>Kinh</v>
          </cell>
          <cell r="BA325" t="e">
            <v>#REF!</v>
          </cell>
          <cell r="BB325" t="e">
            <v>#REF!</v>
          </cell>
          <cell r="BC325" t="str">
            <v>24/06/2013</v>
          </cell>
        </row>
        <row r="326">
          <cell r="A326" t="str">
            <v>BV0440</v>
          </cell>
          <cell r="B326">
            <v>320</v>
          </cell>
          <cell r="C326" t="str">
            <v>Hoàng Thị Điệp</v>
          </cell>
          <cell r="D326" t="str">
            <v>BV0440</v>
          </cell>
          <cell r="E326">
            <v>2009000941</v>
          </cell>
          <cell r="G326" t="str">
            <v>CCCD: 020186007852
Ngày cấp: 29/4/2021, nơi cấp: Cục cảnh sát quản lý hành chính và trật tự xã hội</v>
          </cell>
          <cell r="I326">
            <v>31723</v>
          </cell>
          <cell r="J326">
            <v>39</v>
          </cell>
          <cell r="K326" t="str">
            <v>081066866</v>
          </cell>
          <cell r="L326" t="str">
            <v>08/02/2012</v>
          </cell>
          <cell r="M326" t="str">
            <v>CA tỉnh Lạng Sơn</v>
          </cell>
          <cell r="P326" t="str">
            <v>Huyện Bắc Sơn</v>
          </cell>
          <cell r="Q326" t="str">
            <v>Tỉnh Lạng Sơn</v>
          </cell>
          <cell r="S326" t="str">
            <v>Phường Vĩnh Trại</v>
          </cell>
          <cell r="T326" t="str">
            <v>Thành phố Lạng Sơn</v>
          </cell>
          <cell r="U326" t="str">
            <v>Tỉnh Lạng Sơn</v>
          </cell>
          <cell r="V326" t="str">
            <v>Phường Vĩnh Trại, Thành phố Lạng Sơn, Tỉnh Lạng Sơn</v>
          </cell>
          <cell r="W326" t="str">
            <v>1/12/2008</v>
          </cell>
          <cell r="AA326">
            <v>0</v>
          </cell>
          <cell r="AB326" t="str">
            <v>TĐ012</v>
          </cell>
          <cell r="AC326" t="str">
            <v>GM-HS</v>
          </cell>
          <cell r="AD326" t="str">
            <v>KP025</v>
          </cell>
          <cell r="AE326" t="str">
            <v>Viên chức</v>
          </cell>
          <cell r="AF326" t="str">
            <v>V.08.05.13</v>
          </cell>
          <cell r="AG326" t="str">
            <v>Điều dưỡng (hạng IV)</v>
          </cell>
          <cell r="AH326">
            <v>3.65</v>
          </cell>
          <cell r="AI326">
            <v>6</v>
          </cell>
          <cell r="AJ326">
            <v>0</v>
          </cell>
          <cell r="AK326">
            <v>45839</v>
          </cell>
          <cell r="AL326" t="str">
            <v>Cao đẳng</v>
          </cell>
          <cell r="AM326" t="str">
            <v>Điều dưỡng CĐ</v>
          </cell>
          <cell r="AQ326" t="str">
            <v>12/12</v>
          </cell>
          <cell r="AR326">
            <v>0</v>
          </cell>
          <cell r="AS326">
            <v>0</v>
          </cell>
          <cell r="AT326">
            <v>0</v>
          </cell>
          <cell r="AU326">
            <v>0</v>
          </cell>
          <cell r="AV326">
            <v>0</v>
          </cell>
          <cell r="AW326">
            <v>0</v>
          </cell>
          <cell r="AY326" t="str">
            <v>Tày</v>
          </cell>
          <cell r="AZ326">
            <v>41460</v>
          </cell>
          <cell r="BA326" t="e">
            <v>#REF!</v>
          </cell>
          <cell r="BB326" t="e">
            <v>#REF!</v>
          </cell>
        </row>
        <row r="327">
          <cell r="A327" t="str">
            <v>BV0441</v>
          </cell>
          <cell r="B327">
            <v>321</v>
          </cell>
          <cell r="C327" t="str">
            <v>Vy Thị Thảo</v>
          </cell>
          <cell r="D327" t="str">
            <v>BV0441</v>
          </cell>
          <cell r="E327">
            <v>2010000176</v>
          </cell>
          <cell r="G327" t="str">
            <v>CCCD: 020186002100
Ngày cấp: 16/4/2021, nơi cấp: Cục cảnh sát quản lý hành chính và trật tự xã hội</v>
          </cell>
          <cell r="I327">
            <v>31543</v>
          </cell>
          <cell r="J327">
            <v>40</v>
          </cell>
          <cell r="K327" t="str">
            <v>081045034</v>
          </cell>
          <cell r="L327" t="str">
            <v>23/06/2005</v>
          </cell>
          <cell r="M327" t="str">
            <v>CA tỉnh Lạng Sơn</v>
          </cell>
          <cell r="O327" t="str">
            <v>Xã Hùng Sơn</v>
          </cell>
          <cell r="P327" t="str">
            <v>Huyện Tràng Định</v>
          </cell>
          <cell r="Q327" t="str">
            <v>Tỉnh Lạng Sơn</v>
          </cell>
          <cell r="R327" t="str">
            <v>Thôn Quán Hồ</v>
          </cell>
          <cell r="S327" t="str">
            <v>Xã Hoàng Đồng</v>
          </cell>
          <cell r="T327" t="str">
            <v>Thành phố Lạng Sơn</v>
          </cell>
          <cell r="U327" t="str">
            <v>Tỉnh Lạng Sơn</v>
          </cell>
          <cell r="V327" t="str">
            <v>Xã Hoàng Đồng, Thành phố Lạng Sơn, Tỉnh Lạng Sơn</v>
          </cell>
          <cell r="W327" t="str">
            <v>15/1/2010</v>
          </cell>
          <cell r="AA327">
            <v>0</v>
          </cell>
          <cell r="AB327" t="str">
            <v>TĐ011</v>
          </cell>
          <cell r="AC327" t="str">
            <v>GM-HS</v>
          </cell>
          <cell r="AD327" t="str">
            <v>KP025</v>
          </cell>
          <cell r="AE327" t="str">
            <v>Viên chức</v>
          </cell>
          <cell r="AF327" t="str">
            <v>V.08.05.12</v>
          </cell>
          <cell r="AG327" t="str">
            <v>Điều dưỡng (hạng III)</v>
          </cell>
          <cell r="AH327">
            <v>3.66</v>
          </cell>
          <cell r="AI327">
            <v>5</v>
          </cell>
          <cell r="AJ327">
            <v>0</v>
          </cell>
          <cell r="AK327">
            <v>45383</v>
          </cell>
          <cell r="AL327" t="str">
            <v>Đại học</v>
          </cell>
          <cell r="AM327" t="str">
            <v>Điều dưỡng ĐH</v>
          </cell>
          <cell r="AQ327" t="str">
            <v>12/12</v>
          </cell>
          <cell r="AR327">
            <v>0</v>
          </cell>
          <cell r="AS327">
            <v>0</v>
          </cell>
          <cell r="AT327">
            <v>0</v>
          </cell>
          <cell r="AU327" t="str">
            <v>TOEIC</v>
          </cell>
          <cell r="AV327" t="str">
            <v>tày</v>
          </cell>
          <cell r="AW327" t="str">
            <v>Cơ bản</v>
          </cell>
          <cell r="AY327" t="str">
            <v>Nùng</v>
          </cell>
          <cell r="AZ327">
            <v>41898</v>
          </cell>
          <cell r="BA327" t="e">
            <v>#REF!</v>
          </cell>
          <cell r="BB327" t="e">
            <v>#REF!</v>
          </cell>
          <cell r="BC327" t="str">
            <v>24/06/2013</v>
          </cell>
        </row>
        <row r="328">
          <cell r="A328" t="str">
            <v>BV0442</v>
          </cell>
          <cell r="B328">
            <v>322</v>
          </cell>
          <cell r="C328" t="str">
            <v>Nông Thị Bích Ngọc</v>
          </cell>
          <cell r="D328" t="str">
            <v>BV0442</v>
          </cell>
          <cell r="E328">
            <v>2010000178</v>
          </cell>
          <cell r="G328" t="str">
            <v>CCCD: 020186011850
Ngày cấp: 28/6/2021, nơi cấp: Cục cảnh sát quản lý hành chính và trật tự xã hội</v>
          </cell>
          <cell r="I328">
            <v>31733</v>
          </cell>
          <cell r="J328">
            <v>39</v>
          </cell>
          <cell r="K328" t="str">
            <v>082035678</v>
          </cell>
          <cell r="L328" t="str">
            <v>09/11/2004</v>
          </cell>
          <cell r="M328" t="str">
            <v>CA tỉnh Lạng Sơn</v>
          </cell>
          <cell r="O328" t="str">
            <v>Xã Quang Lang</v>
          </cell>
          <cell r="P328" t="str">
            <v>Huyện Chi Lăng</v>
          </cell>
          <cell r="Q328" t="str">
            <v>Tỉnh Lạng Sơn</v>
          </cell>
          <cell r="R328" t="str">
            <v>Thôn Phai Ruốc</v>
          </cell>
          <cell r="S328" t="str">
            <v>Xã Mai Pha</v>
          </cell>
          <cell r="T328" t="str">
            <v>Thành phố Lạng Sơn</v>
          </cell>
          <cell r="U328" t="str">
            <v>Tỉnh Lạng Sơn</v>
          </cell>
          <cell r="V328" t="str">
            <v>Xã Mai Pha, Thành phố Lạng Sơn, Tỉnh Lạng Sơn</v>
          </cell>
          <cell r="W328" t="str">
            <v>15/1/2010</v>
          </cell>
          <cell r="AA328">
            <v>0</v>
          </cell>
          <cell r="AB328" t="str">
            <v>TĐ012</v>
          </cell>
          <cell r="AC328" t="str">
            <v>GM-HS</v>
          </cell>
          <cell r="AD328" t="str">
            <v>KP025</v>
          </cell>
          <cell r="AE328" t="str">
            <v>Viên chức</v>
          </cell>
          <cell r="AF328" t="str">
            <v>V.08.05.13</v>
          </cell>
          <cell r="AG328" t="str">
            <v>Điều dưỡng (hạng IV)</v>
          </cell>
          <cell r="AH328">
            <v>3.34</v>
          </cell>
          <cell r="AI328">
            <v>5</v>
          </cell>
          <cell r="AJ328">
            <v>0</v>
          </cell>
          <cell r="AK328">
            <v>44927</v>
          </cell>
          <cell r="AL328" t="str">
            <v>Cao đẳng</v>
          </cell>
          <cell r="AM328" t="str">
            <v>Điều dưỡng CĐ</v>
          </cell>
          <cell r="AQ328" t="str">
            <v>12/12</v>
          </cell>
          <cell r="AR328">
            <v>0</v>
          </cell>
          <cell r="AS328">
            <v>0</v>
          </cell>
          <cell r="AT328">
            <v>0</v>
          </cell>
          <cell r="AU328">
            <v>0</v>
          </cell>
          <cell r="AV328">
            <v>0</v>
          </cell>
          <cell r="AW328" t="str">
            <v>Cơ bản</v>
          </cell>
          <cell r="AY328" t="str">
            <v>Nùng</v>
          </cell>
          <cell r="BA328" t="e">
            <v>#REF!</v>
          </cell>
          <cell r="BB328" t="e">
            <v>#REF!</v>
          </cell>
          <cell r="BC328" t="str">
            <v>07/09/2015</v>
          </cell>
        </row>
        <row r="329">
          <cell r="A329" t="str">
            <v>BV0443</v>
          </cell>
          <cell r="B329">
            <v>323</v>
          </cell>
          <cell r="C329" t="str">
            <v>Vy Huyền Trang</v>
          </cell>
          <cell r="D329" t="str">
            <v>BV0443</v>
          </cell>
          <cell r="E329">
            <v>2010000177</v>
          </cell>
          <cell r="G329" t="str">
            <v>CCCD: 020187002812
Ngày cấp: 20/4/2021, nơi cấp: Cục cảnh sát quản lý hành chính và trật tự xã hội</v>
          </cell>
          <cell r="I329">
            <v>32047</v>
          </cell>
          <cell r="J329">
            <v>38</v>
          </cell>
          <cell r="K329" t="str">
            <v>081045538</v>
          </cell>
          <cell r="L329" t="str">
            <v>15/08/2003</v>
          </cell>
          <cell r="M329" t="str">
            <v>CA tỉnh Lạng Sơn</v>
          </cell>
          <cell r="O329" t="str">
            <v>Xã Hòa Bình</v>
          </cell>
          <cell r="P329" t="str">
            <v>Huyện Chi Lăng</v>
          </cell>
          <cell r="Q329" t="str">
            <v>Tỉnh Lạng Sơn</v>
          </cell>
          <cell r="R329" t="str">
            <v>Số 45 đường Mĩ Sơn</v>
          </cell>
          <cell r="S329" t="str">
            <v>Phường Vĩnh Trại</v>
          </cell>
          <cell r="T329" t="str">
            <v>Thành phố Lạng Sơn</v>
          </cell>
          <cell r="U329" t="str">
            <v>Tỉnh Lạng Sơn</v>
          </cell>
          <cell r="V329" t="str">
            <v>Phường Vĩnh Trại, Thành phố Lạng Sơn, Tỉnh Lạng Sơn</v>
          </cell>
          <cell r="W329" t="str">
            <v>15/1/2010</v>
          </cell>
          <cell r="AA329">
            <v>0</v>
          </cell>
          <cell r="AB329" t="str">
            <v>TĐ012</v>
          </cell>
          <cell r="AC329" t="str">
            <v>GM-HS</v>
          </cell>
          <cell r="AD329" t="str">
            <v>KP025</v>
          </cell>
          <cell r="AE329" t="str">
            <v>Viên chức</v>
          </cell>
          <cell r="AF329" t="str">
            <v>V.08.05.13</v>
          </cell>
          <cell r="AG329" t="str">
            <v>Điều dưỡng (hạng IV)</v>
          </cell>
          <cell r="AH329">
            <v>3.34</v>
          </cell>
          <cell r="AI329">
            <v>5</v>
          </cell>
          <cell r="AJ329">
            <v>0</v>
          </cell>
          <cell r="AK329">
            <v>44927</v>
          </cell>
          <cell r="AL329" t="str">
            <v>Cao đẳng</v>
          </cell>
          <cell r="AM329" t="str">
            <v>Điều dưỡng CĐ</v>
          </cell>
          <cell r="AO329" t="str">
            <v>CĐ Y tế Lạng Sơn</v>
          </cell>
          <cell r="AP329">
            <v>2008</v>
          </cell>
          <cell r="AQ329" t="str">
            <v>12/12</v>
          </cell>
          <cell r="AR329">
            <v>0</v>
          </cell>
          <cell r="AS329">
            <v>0</v>
          </cell>
          <cell r="AT329">
            <v>0</v>
          </cell>
          <cell r="AU329" t="str">
            <v>B</v>
          </cell>
          <cell r="AV329">
            <v>0</v>
          </cell>
          <cell r="AW329" t="str">
            <v>A</v>
          </cell>
          <cell r="AY329" t="str">
            <v>Tày</v>
          </cell>
          <cell r="BA329" t="e">
            <v>#REF!</v>
          </cell>
          <cell r="BB329" t="e">
            <v>#REF!</v>
          </cell>
        </row>
        <row r="330">
          <cell r="A330" t="str">
            <v>BV0444</v>
          </cell>
          <cell r="B330">
            <v>324</v>
          </cell>
          <cell r="C330" t="str">
            <v>Vi Thị Hoài Vân</v>
          </cell>
          <cell r="D330" t="str">
            <v>BV0444</v>
          </cell>
          <cell r="E330">
            <v>2010001253</v>
          </cell>
          <cell r="G330" t="str">
            <v>CCCD: 020187011075
Ngày cấp: 25/6/2021, nơi cấp: Cục cảnh sát quản lý hành chính và trật tự xã hội</v>
          </cell>
          <cell r="I330">
            <v>31881</v>
          </cell>
          <cell r="J330">
            <v>39</v>
          </cell>
          <cell r="K330" t="str">
            <v>082042371</v>
          </cell>
          <cell r="L330" t="str">
            <v>04/06/2009</v>
          </cell>
          <cell r="M330" t="str">
            <v>CA tỉnh Lạng Sơn</v>
          </cell>
          <cell r="O330" t="str">
            <v>Xã Quang Lang</v>
          </cell>
          <cell r="P330" t="str">
            <v>Huyện Chi Lăng</v>
          </cell>
          <cell r="Q330" t="str">
            <v>Tỉnh Lạng Sơn</v>
          </cell>
          <cell r="S330" t="str">
            <v>Phường Tam Thanh</v>
          </cell>
          <cell r="T330" t="str">
            <v>Thành phố Lạng Sơn</v>
          </cell>
          <cell r="U330" t="str">
            <v>Tỉnh Lạng Sơn</v>
          </cell>
          <cell r="V330" t="str">
            <v>Phường Tam Thanh, Thành phố Lạng Sơn, Tỉnh Lạng Sơn</v>
          </cell>
          <cell r="W330" t="str">
            <v>1/12/2010</v>
          </cell>
          <cell r="AA330">
            <v>0</v>
          </cell>
          <cell r="AB330" t="str">
            <v>TĐ012</v>
          </cell>
          <cell r="AC330" t="str">
            <v>GM-HS</v>
          </cell>
          <cell r="AD330" t="str">
            <v>KP025</v>
          </cell>
          <cell r="AE330" t="str">
            <v>Viên chức</v>
          </cell>
          <cell r="AF330" t="str">
            <v>V.08.05.13</v>
          </cell>
          <cell r="AG330" t="str">
            <v>Điều dưỡng (hạng IV)</v>
          </cell>
          <cell r="AH330">
            <v>3.34</v>
          </cell>
          <cell r="AI330">
            <v>5</v>
          </cell>
          <cell r="AJ330">
            <v>0</v>
          </cell>
          <cell r="AK330">
            <v>45261</v>
          </cell>
          <cell r="AL330" t="str">
            <v>Cao đẳng</v>
          </cell>
          <cell r="AM330" t="str">
            <v>Điều dưỡng CĐ</v>
          </cell>
          <cell r="AQ330" t="str">
            <v>12/12</v>
          </cell>
          <cell r="AR330">
            <v>0</v>
          </cell>
          <cell r="AS330">
            <v>0</v>
          </cell>
          <cell r="AT330">
            <v>0</v>
          </cell>
          <cell r="AU330" t="str">
            <v>B</v>
          </cell>
          <cell r="AV330">
            <v>0</v>
          </cell>
          <cell r="AW330" t="str">
            <v>A</v>
          </cell>
          <cell r="AY330" t="str">
            <v>Tày</v>
          </cell>
          <cell r="BA330" t="e">
            <v>#REF!</v>
          </cell>
          <cell r="BB330" t="e">
            <v>#REF!</v>
          </cell>
          <cell r="BC330" t="str">
            <v>01/6/2016</v>
          </cell>
        </row>
        <row r="331">
          <cell r="A331" t="str">
            <v>BV0445</v>
          </cell>
          <cell r="B331">
            <v>325</v>
          </cell>
          <cell r="C331" t="str">
            <v>Nông Thị Len</v>
          </cell>
          <cell r="D331" t="str">
            <v>BV0445</v>
          </cell>
          <cell r="E331">
            <v>2013002145</v>
          </cell>
          <cell r="G331" t="str">
            <v>CCCD: 020419004184
Ngày cấp: 20/4/2021, nơi cấp: Cục cảnh sát quản lý hành chính và trật tự xã hội</v>
          </cell>
          <cell r="I331">
            <v>32917</v>
          </cell>
          <cell r="J331">
            <v>36</v>
          </cell>
          <cell r="K331" t="str">
            <v>121957890</v>
          </cell>
          <cell r="L331" t="str">
            <v>14/08/2007</v>
          </cell>
          <cell r="M331" t="str">
            <v>CA tỉnh Lạng Sơn</v>
          </cell>
          <cell r="O331" t="str">
            <v>Xã Cấm Sơn</v>
          </cell>
          <cell r="P331" t="str">
            <v>Huyện Lục Ngạn</v>
          </cell>
          <cell r="Q331" t="str">
            <v>Tỉnh Bắc Giang</v>
          </cell>
          <cell r="S331" t="str">
            <v>Phường Tam Thanh</v>
          </cell>
          <cell r="T331" t="str">
            <v>Thành phố Lạng Sơn</v>
          </cell>
          <cell r="U331" t="str">
            <v>Tỉnh Lạng Sơn</v>
          </cell>
          <cell r="V331" t="str">
            <v>Phường Tam Thanh, Thành phố Lạng Sơn, Tỉnh Lạng Sơn</v>
          </cell>
          <cell r="W331" t="str">
            <v>10/6/2013</v>
          </cell>
          <cell r="AA331">
            <v>0</v>
          </cell>
          <cell r="AB331" t="str">
            <v>TĐ012</v>
          </cell>
          <cell r="AC331" t="str">
            <v>GM-HS</v>
          </cell>
          <cell r="AD331" t="str">
            <v>KP025</v>
          </cell>
          <cell r="AE331" t="str">
            <v>Viên chức</v>
          </cell>
          <cell r="AF331" t="str">
            <v>V.08.05.13</v>
          </cell>
          <cell r="AG331" t="str">
            <v>Điều dưỡng (hạng IV)</v>
          </cell>
          <cell r="AH331">
            <v>3.03</v>
          </cell>
          <cell r="AI331">
            <v>4</v>
          </cell>
          <cell r="AJ331">
            <v>0</v>
          </cell>
          <cell r="AK331">
            <v>45636</v>
          </cell>
          <cell r="AL331" t="str">
            <v>Cao đẳng</v>
          </cell>
          <cell r="AM331" t="str">
            <v>Điều dưỡng CĐ</v>
          </cell>
          <cell r="AQ331" t="str">
            <v>12/12</v>
          </cell>
          <cell r="AR331">
            <v>0</v>
          </cell>
          <cell r="AS331">
            <v>0</v>
          </cell>
          <cell r="AT331">
            <v>0</v>
          </cell>
          <cell r="AU331" t="str">
            <v>Anh B</v>
          </cell>
          <cell r="AV331">
            <v>0</v>
          </cell>
          <cell r="AW331" t="str">
            <v>Cơ bản</v>
          </cell>
          <cell r="AY331" t="str">
            <v>tày</v>
          </cell>
          <cell r="BA331" t="e">
            <v>#REF!</v>
          </cell>
          <cell r="BB331" t="e">
            <v>#REF!</v>
          </cell>
          <cell r="BC331" t="str">
            <v>24/06/2013</v>
          </cell>
        </row>
        <row r="332">
          <cell r="A332" t="str">
            <v>BV0434</v>
          </cell>
          <cell r="B332">
            <v>326</v>
          </cell>
          <cell r="C332" t="str">
            <v>Lăng Thị Thương</v>
          </cell>
          <cell r="D332" t="str">
            <v>BV0434</v>
          </cell>
          <cell r="E332">
            <v>2010000156</v>
          </cell>
          <cell r="G332" t="str">
            <v>CCCD: 020184002851
Ngày cấp: 29/4/2021, nơi cấp: Cục cảnh sát quản lý hành chính và trật tự xã hội</v>
          </cell>
          <cell r="I332">
            <v>30960</v>
          </cell>
          <cell r="J332">
            <v>41</v>
          </cell>
          <cell r="K332" t="str">
            <v>081017882</v>
          </cell>
          <cell r="L332" t="str">
            <v>18/02/2003</v>
          </cell>
          <cell r="M332" t="str">
            <v>CA tỉnh Lạng Sơn</v>
          </cell>
          <cell r="N332" t="str">
            <v>Chu Túc, Văn Quan</v>
          </cell>
          <cell r="O332" t="str">
            <v>Xã Chu Túc</v>
          </cell>
          <cell r="P332" t="str">
            <v>Huyện Văn Quan</v>
          </cell>
          <cell r="Q332" t="str">
            <v>Tỉnh Lạng Sơn</v>
          </cell>
          <cell r="R332" t="str">
            <v>Nà Trù</v>
          </cell>
          <cell r="S332" t="str">
            <v>Xã Chu Túc</v>
          </cell>
          <cell r="T332" t="str">
            <v>Huyện Văn Quan</v>
          </cell>
          <cell r="U332" t="str">
            <v>Tỉnh Lạng Sơn</v>
          </cell>
          <cell r="V332" t="str">
            <v>Xã Chu Túc, Huyện Văn Quan, Tỉnh Lạng Sơn</v>
          </cell>
          <cell r="W332" t="str">
            <v>15/1/2010</v>
          </cell>
          <cell r="AA332">
            <v>0</v>
          </cell>
          <cell r="AB332" t="str">
            <v>TĐ012</v>
          </cell>
          <cell r="AC332" t="str">
            <v>GM-HS</v>
          </cell>
          <cell r="AD332" t="str">
            <v>KP025</v>
          </cell>
          <cell r="AE332" t="str">
            <v>Viên chức</v>
          </cell>
          <cell r="AF332" t="str">
            <v>V.08.05.13</v>
          </cell>
          <cell r="AG332" t="str">
            <v>Điều dưỡng (hạng IV)</v>
          </cell>
          <cell r="AH332">
            <v>3.34</v>
          </cell>
          <cell r="AI332">
            <v>5</v>
          </cell>
          <cell r="AJ332">
            <v>0</v>
          </cell>
          <cell r="AK332">
            <v>44927</v>
          </cell>
          <cell r="AL332" t="str">
            <v>Cao đẳng</v>
          </cell>
          <cell r="AM332" t="str">
            <v>Điều dưỡng CĐ</v>
          </cell>
          <cell r="AO332" t="str">
            <v>CĐ Y tế Lạng Sơn</v>
          </cell>
          <cell r="AP332">
            <v>2006</v>
          </cell>
          <cell r="AQ332" t="str">
            <v>12/12</v>
          </cell>
          <cell r="AR332">
            <v>0</v>
          </cell>
          <cell r="AS332">
            <v>0</v>
          </cell>
          <cell r="AT332">
            <v>0</v>
          </cell>
          <cell r="AU332">
            <v>0</v>
          </cell>
          <cell r="AV332">
            <v>0</v>
          </cell>
          <cell r="AW332" t="str">
            <v>B</v>
          </cell>
          <cell r="AY332" t="str">
            <v>Nùng</v>
          </cell>
          <cell r="BA332" t="e">
            <v>#REF!</v>
          </cell>
          <cell r="BB332" t="e">
            <v>#REF!</v>
          </cell>
          <cell r="BC332" t="str">
            <v>24/06/2013</v>
          </cell>
        </row>
        <row r="333">
          <cell r="A333" t="str">
            <v>BV0430</v>
          </cell>
          <cell r="B333">
            <v>327</v>
          </cell>
          <cell r="C333" t="str">
            <v>Ma Thị Hòe</v>
          </cell>
          <cell r="D333" t="str">
            <v>BV0430</v>
          </cell>
          <cell r="E333">
            <v>1504000562</v>
          </cell>
          <cell r="G333" t="str">
            <v>CCCD: 020174001873
Ngày cấp:20/4/2021, nơi cấp: Cục cảnh sát quản lý hành chính và trật tự xã hội</v>
          </cell>
          <cell r="I333">
            <v>27364</v>
          </cell>
          <cell r="J333">
            <v>51</v>
          </cell>
          <cell r="K333" t="str">
            <v>080939291</v>
          </cell>
          <cell r="L333" t="str">
            <v>18/01/2013</v>
          </cell>
          <cell r="M333" t="str">
            <v>CA tỉnh Lạng Sơn</v>
          </cell>
          <cell r="P333" t="str">
            <v>Huyện Tràng Định</v>
          </cell>
          <cell r="Q333" t="str">
            <v>Tỉnh Lạng Sơn</v>
          </cell>
          <cell r="S333" t="str">
            <v>Phường Tam Thanh</v>
          </cell>
          <cell r="T333" t="str">
            <v>Thành phố Lạng Sơn</v>
          </cell>
          <cell r="U333" t="str">
            <v>Tỉnh Lạng Sơn</v>
          </cell>
          <cell r="V333" t="str">
            <v>Phường Tam Thanh, Thành phố Lạng Sơn, Tỉnh Lạng Sơn</v>
          </cell>
          <cell r="W333" t="str">
            <v>2003</v>
          </cell>
          <cell r="AA333">
            <v>0</v>
          </cell>
          <cell r="AB333" t="str">
            <v>TĐ011</v>
          </cell>
          <cell r="AC333" t="str">
            <v>GM-HS</v>
          </cell>
          <cell r="AD333" t="str">
            <v>KP025</v>
          </cell>
          <cell r="AE333" t="str">
            <v>Viên chức</v>
          </cell>
          <cell r="AF333" t="str">
            <v>V.08.07.19</v>
          </cell>
          <cell r="AG333" t="str">
            <v>Điều dưỡng (hạng III)</v>
          </cell>
          <cell r="AH333">
            <v>3.99</v>
          </cell>
          <cell r="AI333">
            <v>6</v>
          </cell>
          <cell r="AJ333">
            <v>0</v>
          </cell>
          <cell r="AK333">
            <v>45352</v>
          </cell>
          <cell r="AL333" t="str">
            <v>Cao đẳng</v>
          </cell>
          <cell r="AM333" t="str">
            <v>Điều dưỡng ĐH</v>
          </cell>
          <cell r="AQ333" t="str">
            <v>12/12</v>
          </cell>
          <cell r="AR333">
            <v>0</v>
          </cell>
          <cell r="AS333">
            <v>0</v>
          </cell>
          <cell r="AT333">
            <v>0</v>
          </cell>
          <cell r="AU333">
            <v>0</v>
          </cell>
          <cell r="AV333">
            <v>0</v>
          </cell>
          <cell r="AW333" t="str">
            <v>Cơ bản</v>
          </cell>
          <cell r="AY333" t="str">
            <v>Tày</v>
          </cell>
          <cell r="AZ333">
            <v>36200</v>
          </cell>
          <cell r="BA333" t="e">
            <v>#REF!</v>
          </cell>
          <cell r="BB333" t="e">
            <v>#REF!</v>
          </cell>
          <cell r="BC333" t="str">
            <v>24/06/2013</v>
          </cell>
        </row>
        <row r="334">
          <cell r="A334" t="str">
            <v>BV0432</v>
          </cell>
          <cell r="B334">
            <v>328</v>
          </cell>
          <cell r="C334" t="str">
            <v>Lương Lệ Mỹ</v>
          </cell>
          <cell r="D334" t="str">
            <v>BV0432</v>
          </cell>
          <cell r="E334">
            <v>1505002509</v>
          </cell>
          <cell r="G334" t="str">
            <v>CCCD: 020179000458
Ngày cấp: 36/3/2021, nơi cấp: Cục cảnh sát quản lý hành chính và trật tự xã hội</v>
          </cell>
          <cell r="I334">
            <v>29189</v>
          </cell>
          <cell r="J334">
            <v>46</v>
          </cell>
          <cell r="K334" t="str">
            <v>080952407</v>
          </cell>
          <cell r="L334" t="str">
            <v>11/12/2003</v>
          </cell>
          <cell r="M334" t="str">
            <v>CA tỉnh Lạng Sơn</v>
          </cell>
          <cell r="P334" t="str">
            <v>Huyện Văn Quan</v>
          </cell>
          <cell r="Q334" t="str">
            <v>Tỉnh Lạng Sơn</v>
          </cell>
          <cell r="S334" t="str">
            <v>Xã Bình Phúc</v>
          </cell>
          <cell r="T334" t="str">
            <v>Huyện Văn Quan</v>
          </cell>
          <cell r="U334" t="str">
            <v>Tỉnh Lạng Sơn</v>
          </cell>
          <cell r="V334" t="str">
            <v>Xã Bình Phúc, Huyện Văn Quan, Tỉnh Lạng Sơn</v>
          </cell>
          <cell r="W334" t="str">
            <v>16/2/2005</v>
          </cell>
          <cell r="AA334">
            <v>0</v>
          </cell>
          <cell r="AB334" t="str">
            <v>TĐ012</v>
          </cell>
          <cell r="AC334" t="str">
            <v>GM-HS</v>
          </cell>
          <cell r="AD334" t="str">
            <v>KP025</v>
          </cell>
          <cell r="AE334" t="str">
            <v>Viên chức</v>
          </cell>
          <cell r="AF334" t="str">
            <v>V.08.07.19</v>
          </cell>
          <cell r="AG334" t="str">
            <v>Kỹ thuật y (hạng IV)</v>
          </cell>
          <cell r="AH334">
            <v>3.96</v>
          </cell>
          <cell r="AI334">
            <v>7</v>
          </cell>
          <cell r="AJ334">
            <v>0</v>
          </cell>
          <cell r="AK334">
            <v>45672</v>
          </cell>
          <cell r="AL334" t="str">
            <v>Trung cấp</v>
          </cell>
          <cell r="AM334" t="str">
            <v>Điều dưỡng CĐ</v>
          </cell>
          <cell r="AQ334" t="str">
            <v>12/12</v>
          </cell>
          <cell r="AR334">
            <v>0</v>
          </cell>
          <cell r="AS334">
            <v>0</v>
          </cell>
          <cell r="AT334">
            <v>0</v>
          </cell>
          <cell r="AU334">
            <v>0</v>
          </cell>
          <cell r="AV334">
            <v>0</v>
          </cell>
          <cell r="AW334">
            <v>0</v>
          </cell>
          <cell r="AY334" t="str">
            <v>Tày</v>
          </cell>
          <cell r="AZ334">
            <v>40175</v>
          </cell>
          <cell r="BA334" t="e">
            <v>#REF!</v>
          </cell>
          <cell r="BB334" t="e">
            <v>#REF!</v>
          </cell>
          <cell r="BC334" t="str">
            <v>24/06/2013</v>
          </cell>
        </row>
        <row r="335">
          <cell r="A335" t="str">
            <v>BV0433</v>
          </cell>
          <cell r="B335">
            <v>329</v>
          </cell>
          <cell r="C335" t="str">
            <v>Nông Ngọc Tân</v>
          </cell>
          <cell r="D335" t="str">
            <v>BV0433</v>
          </cell>
          <cell r="E335">
            <v>2009001497</v>
          </cell>
          <cell r="G335" t="str">
            <v>CCCD: 020083004670
Ngày cấp: 24/6/2021, nơi cấp: Cục cảnh sát quản lý hành chính và trật tự xã hội</v>
          </cell>
          <cell r="H335">
            <v>30571</v>
          </cell>
          <cell r="J335">
            <v>42</v>
          </cell>
          <cell r="K335" t="str">
            <v>081036864</v>
          </cell>
          <cell r="L335" t="str">
            <v>26/08/2013</v>
          </cell>
          <cell r="M335" t="str">
            <v>CA tỉnh Lạng Sơn</v>
          </cell>
          <cell r="P335" t="str">
            <v>Thành phố Lạng Sơn</v>
          </cell>
          <cell r="Q335" t="str">
            <v>Tỉnh Lạng Sơn</v>
          </cell>
          <cell r="S335" t="str">
            <v>Phường Chi Lăng</v>
          </cell>
          <cell r="T335" t="str">
            <v>Thành phố Lạng Sơn</v>
          </cell>
          <cell r="U335" t="str">
            <v>Tỉnh Lạng Sơn</v>
          </cell>
          <cell r="V335" t="str">
            <v>Phường Chi Lăng, Thành phố Lạng Sơn, Tỉnh Lạng Sơn</v>
          </cell>
          <cell r="W335" t="str">
            <v>1/12/2010</v>
          </cell>
          <cell r="AA335">
            <v>0</v>
          </cell>
          <cell r="AB335" t="str">
            <v>TĐ012</v>
          </cell>
          <cell r="AC335" t="str">
            <v>GM-HS</v>
          </cell>
          <cell r="AD335" t="str">
            <v>KP025</v>
          </cell>
          <cell r="AE335" t="str">
            <v>Viên chức</v>
          </cell>
          <cell r="AF335" t="str">
            <v>V.08.07.19</v>
          </cell>
          <cell r="AG335" t="str">
            <v>Kỹ thuật y (hạng IV)</v>
          </cell>
          <cell r="AH335">
            <v>3.34</v>
          </cell>
          <cell r="AI335">
            <v>5</v>
          </cell>
          <cell r="AJ335">
            <v>0</v>
          </cell>
          <cell r="AK335">
            <v>45444</v>
          </cell>
          <cell r="AL335" t="str">
            <v>Cao đẳng</v>
          </cell>
          <cell r="AM335" t="str">
            <v>Điều dưỡng CĐ</v>
          </cell>
          <cell r="AQ335" t="str">
            <v>12/12</v>
          </cell>
          <cell r="AR335">
            <v>0</v>
          </cell>
          <cell r="AS335">
            <v>0</v>
          </cell>
          <cell r="AT335">
            <v>0</v>
          </cell>
          <cell r="AU335">
            <v>0</v>
          </cell>
          <cell r="AV335">
            <v>0</v>
          </cell>
          <cell r="AW335" t="str">
            <v>Cơ bản</v>
          </cell>
          <cell r="AY335" t="str">
            <v>Nùng</v>
          </cell>
          <cell r="AZ335">
            <v>42209</v>
          </cell>
          <cell r="BA335" t="e">
            <v>#REF!</v>
          </cell>
          <cell r="BB335" t="e">
            <v>#REF!</v>
          </cell>
          <cell r="BC335" t="str">
            <v>24/06/2013</v>
          </cell>
        </row>
        <row r="336">
          <cell r="A336" t="str">
            <v>BV0762</v>
          </cell>
          <cell r="B336">
            <v>330</v>
          </cell>
          <cell r="C336" t="str">
            <v>Hoàng Thị Thuận</v>
          </cell>
          <cell r="D336" t="str">
            <v>BV0762</v>
          </cell>
          <cell r="E336" t="str">
            <v>2016000723</v>
          </cell>
          <cell r="G336" t="str">
            <v xml:space="preserve">CMT: 082235744
Ngày cấp: 09/11/2016, nơi cấp: Công an tỉnh Lạng Sơn </v>
          </cell>
          <cell r="I336" t="str">
            <v>23/10/1994</v>
          </cell>
          <cell r="J336">
            <v>31</v>
          </cell>
          <cell r="K336" t="str">
            <v>082235744</v>
          </cell>
          <cell r="L336" t="str">
            <v>01/10/2016</v>
          </cell>
          <cell r="M336" t="str">
            <v>CA tỉnh Lạng Sơn</v>
          </cell>
          <cell r="O336" t="str">
            <v>Na Dương</v>
          </cell>
          <cell r="P336" t="str">
            <v>Lộc Bình</v>
          </cell>
          <cell r="Q336" t="str">
            <v>Lạng Sơn</v>
          </cell>
          <cell r="S336" t="str">
            <v>Đông Kinh</v>
          </cell>
          <cell r="T336" t="str">
            <v>Lạng Sơn</v>
          </cell>
          <cell r="U336" t="str">
            <v>Lạng Sơn</v>
          </cell>
          <cell r="V336" t="str">
            <v>Đông Kinh, Lạng Sơn, Lạng Sơn</v>
          </cell>
          <cell r="W336" t="str">
            <v>01/2016</v>
          </cell>
          <cell r="X336" t="str">
            <v>`</v>
          </cell>
          <cell r="AA336">
            <v>0</v>
          </cell>
          <cell r="AB336" t="str">
            <v>TĐ012</v>
          </cell>
          <cell r="AC336" t="str">
            <v>GM-HS</v>
          </cell>
          <cell r="AD336" t="str">
            <v>KP025</v>
          </cell>
          <cell r="AE336" t="str">
            <v>Viên chức</v>
          </cell>
          <cell r="AF336" t="str">
            <v>V.08.06.16</v>
          </cell>
          <cell r="AG336" t="str">
            <v>Điều dưỡng (hạng IV)</v>
          </cell>
          <cell r="AH336" t="str">
            <v>2.72</v>
          </cell>
          <cell r="AI336">
            <v>3</v>
          </cell>
          <cell r="AJ336">
            <v>0</v>
          </cell>
          <cell r="AK336">
            <v>45484</v>
          </cell>
          <cell r="AL336" t="str">
            <v>Trung cấp</v>
          </cell>
          <cell r="AM336" t="str">
            <v>Điều dưỡng CĐ</v>
          </cell>
          <cell r="AQ336" t="str">
            <v>12/12</v>
          </cell>
          <cell r="AR336">
            <v>0</v>
          </cell>
          <cell r="AS336">
            <v>0</v>
          </cell>
          <cell r="AT336">
            <v>0</v>
          </cell>
          <cell r="AU336">
            <v>0</v>
          </cell>
          <cell r="AV336">
            <v>0</v>
          </cell>
          <cell r="AW336" t="str">
            <v>Cơ bản</v>
          </cell>
          <cell r="AY336" t="str">
            <v>Tày</v>
          </cell>
          <cell r="BA336" t="e">
            <v>#REF!</v>
          </cell>
          <cell r="BB336" t="e">
            <v>#REF!</v>
          </cell>
        </row>
        <row r="337">
          <cell r="A337" t="str">
            <v>BV0450</v>
          </cell>
          <cell r="B337">
            <v>331</v>
          </cell>
          <cell r="C337" t="str">
            <v>Vi Thị Dung</v>
          </cell>
          <cell r="D337" t="str">
            <v>BV0450</v>
          </cell>
          <cell r="E337">
            <v>1505002930</v>
          </cell>
          <cell r="G337" t="str">
            <v>CCCD: 020181002057
Ngày cấp: 20/4/2021
Tại Cục cảnh sát quản lý hành chính về trật tự xã hội</v>
          </cell>
          <cell r="I337">
            <v>29892</v>
          </cell>
          <cell r="J337">
            <v>44</v>
          </cell>
          <cell r="K337" t="str">
            <v>080986976</v>
          </cell>
          <cell r="L337" t="str">
            <v>14/03/2000</v>
          </cell>
          <cell r="M337" t="str">
            <v>CA tỉnh Lạng Sơn</v>
          </cell>
          <cell r="O337" t="str">
            <v>Xã Quaảng Lạc</v>
          </cell>
          <cell r="P337" t="str">
            <v>Thành phố Lạng Sơn</v>
          </cell>
          <cell r="Q337" t="str">
            <v>Tỉnh Lạng Sơn</v>
          </cell>
          <cell r="S337" t="str">
            <v>Phường Tam Thanh</v>
          </cell>
          <cell r="T337" t="str">
            <v>Thành phố Lạng Sơn</v>
          </cell>
          <cell r="U337" t="str">
            <v>Tỉnh Lạng Sơn</v>
          </cell>
          <cell r="V337" t="str">
            <v>Phường Tam Thanh, Thành phố Lạng Sơn, Tỉnh Lạng Sơn</v>
          </cell>
          <cell r="W337" t="str">
            <v>1/3/2005</v>
          </cell>
          <cell r="AA337" t="str">
            <v>Điều dưỡng trưởng</v>
          </cell>
          <cell r="AB337" t="str">
            <v>TĐ011</v>
          </cell>
          <cell r="AC337" t="str">
            <v>Dinh Dưỡng</v>
          </cell>
          <cell r="AD337" t="str">
            <v>KP026</v>
          </cell>
          <cell r="AE337" t="str">
            <v>Viên chức</v>
          </cell>
          <cell r="AF337" t="str">
            <v>V.08.05.12</v>
          </cell>
          <cell r="AG337" t="str">
            <v>Điều dưỡng (hạng III)</v>
          </cell>
          <cell r="AH337">
            <v>3.99</v>
          </cell>
          <cell r="AI337">
            <v>6</v>
          </cell>
          <cell r="AJ337">
            <v>0</v>
          </cell>
          <cell r="AK337">
            <v>45108</v>
          </cell>
          <cell r="AL337" t="str">
            <v>Đại học</v>
          </cell>
          <cell r="AM337" t="str">
            <v>Điều dưỡng ĐH</v>
          </cell>
          <cell r="AR337">
            <v>0</v>
          </cell>
          <cell r="AS337">
            <v>0</v>
          </cell>
          <cell r="AT337" t="str">
            <v>Sơ cấp</v>
          </cell>
          <cell r="AU337">
            <v>0</v>
          </cell>
          <cell r="AV337" t="str">
            <v>Tiếng tày</v>
          </cell>
          <cell r="AW337" t="str">
            <v>Cơ bản</v>
          </cell>
          <cell r="AY337" t="str">
            <v>Nùng</v>
          </cell>
          <cell r="BA337" t="e">
            <v>#REF!</v>
          </cell>
          <cell r="BB337" t="e">
            <v>#REF!</v>
          </cell>
          <cell r="BC337" t="str">
            <v>24/06/2013</v>
          </cell>
        </row>
        <row r="338">
          <cell r="A338" t="str">
            <v>BV0459</v>
          </cell>
          <cell r="B338">
            <v>332</v>
          </cell>
          <cell r="C338" t="str">
            <v>Lý Thanh Tâm</v>
          </cell>
          <cell r="D338" t="str">
            <v>BV0459</v>
          </cell>
          <cell r="E338" t="str">
            <v>7909422376</v>
          </cell>
          <cell r="G338" t="str">
            <v>CCCD: 020185009764
Ngày 25/6/2021, nơi cấp: Cục cảnh sát quản lý hành chính và trật tự xã hội</v>
          </cell>
          <cell r="I338">
            <v>31209</v>
          </cell>
          <cell r="J338">
            <v>41</v>
          </cell>
          <cell r="K338" t="str">
            <v>081028853</v>
          </cell>
          <cell r="L338" t="str">
            <v>13/06/2001</v>
          </cell>
          <cell r="M338" t="str">
            <v>CA tỉnh Lạng Sơn</v>
          </cell>
          <cell r="O338" t="str">
            <v>Thị trấn Bình Gia</v>
          </cell>
          <cell r="P338" t="str">
            <v>Huyện Bình Gia</v>
          </cell>
          <cell r="Q338" t="str">
            <v>Tỉnh Lạng Sơn</v>
          </cell>
          <cell r="S338" t="str">
            <v>Thị trấn Văn Quan</v>
          </cell>
          <cell r="T338" t="str">
            <v>Huyện Văn Quan</v>
          </cell>
          <cell r="U338" t="str">
            <v>Tỉnh Lạng Sơn</v>
          </cell>
          <cell r="V338" t="str">
            <v>Thị trấn Văn Quan, Huyện Văn Quan, Tỉnh Lạng Sơn</v>
          </cell>
          <cell r="W338" t="str">
            <v>10/6/2013</v>
          </cell>
          <cell r="AA338" t="str">
            <v>Trưởng khoa</v>
          </cell>
          <cell r="AB338" t="str">
            <v>TĐ007</v>
          </cell>
          <cell r="AC338" t="str">
            <v>Dược</v>
          </cell>
          <cell r="AD338" t="str">
            <v>KP028</v>
          </cell>
          <cell r="AE338" t="str">
            <v>Viên chức</v>
          </cell>
          <cell r="AF338" t="str">
            <v>V.08.08.22</v>
          </cell>
          <cell r="AG338" t="str">
            <v>Dược sĩ chính (hạng II)</v>
          </cell>
          <cell r="AH338">
            <v>4.4000000000000004</v>
          </cell>
          <cell r="AI338">
            <v>1</v>
          </cell>
          <cell r="AJ338">
            <v>0</v>
          </cell>
          <cell r="AK338">
            <v>45809</v>
          </cell>
          <cell r="AL338" t="str">
            <v>Đại học</v>
          </cell>
          <cell r="AM338" t="str">
            <v>DSCKI</v>
          </cell>
          <cell r="AN338" t="str">
            <v>Dược lâm sàng</v>
          </cell>
          <cell r="AR338" t="str">
            <v>Chuyên viên</v>
          </cell>
          <cell r="AS338" t="str">
            <v>x</v>
          </cell>
          <cell r="AT338" t="str">
            <v>Sơ cấp</v>
          </cell>
          <cell r="AU338">
            <v>0</v>
          </cell>
          <cell r="AV338">
            <v>0</v>
          </cell>
          <cell r="AW338">
            <v>0</v>
          </cell>
          <cell r="AY338" t="str">
            <v>Nùng</v>
          </cell>
          <cell r="AZ338">
            <v>42895</v>
          </cell>
          <cell r="BC338" t="str">
            <v>24/06/2013</v>
          </cell>
        </row>
        <row r="339">
          <cell r="A339" t="str">
            <v>BV0765</v>
          </cell>
          <cell r="B339">
            <v>333</v>
          </cell>
          <cell r="C339" t="str">
            <v>Bùi Thị Sao Mi</v>
          </cell>
          <cell r="D339" t="str">
            <v>BV0765</v>
          </cell>
          <cell r="E339" t="str">
            <v>0420450158</v>
          </cell>
          <cell r="G339" t="str">
            <v>CMT: 085017320
Ngày cấp: 15/10/2009, nơi cấp: Công an tỉnh Cao Bằng</v>
          </cell>
          <cell r="I339">
            <v>33860</v>
          </cell>
          <cell r="J339">
            <v>33</v>
          </cell>
          <cell r="K339" t="str">
            <v>085017320</v>
          </cell>
          <cell r="L339" t="str">
            <v>15/10/2009</v>
          </cell>
          <cell r="M339" t="str">
            <v>CA Cao Bằng</v>
          </cell>
          <cell r="N339" t="str">
            <v>Hoàng Trung, Hòa An, Cao Bằng</v>
          </cell>
          <cell r="O339" t="str">
            <v>Hoàng Trung</v>
          </cell>
          <cell r="P339" t="str">
            <v>Hòa An</v>
          </cell>
          <cell r="Q339" t="str">
            <v>Cao Bằng</v>
          </cell>
          <cell r="R339" t="str">
            <v>Đường Mỹ Sơn</v>
          </cell>
          <cell r="S339" t="str">
            <v>Phường Vĩnh Trại</v>
          </cell>
          <cell r="T339" t="str">
            <v>Thành phố Lạng Sơn</v>
          </cell>
          <cell r="U339" t="str">
            <v>Tỉnh Lạng Sơn</v>
          </cell>
          <cell r="V339" t="str">
            <v>Phường Vĩnh Trại, Thành phố Lạng Sơn, Tỉnh Lạng Sơn</v>
          </cell>
          <cell r="W339" t="str">
            <v>10/2/2017</v>
          </cell>
          <cell r="AA339">
            <v>0</v>
          </cell>
          <cell r="AB339" t="str">
            <v>TĐ007</v>
          </cell>
          <cell r="AC339" t="str">
            <v>Dược</v>
          </cell>
          <cell r="AD339" t="str">
            <v>KP028</v>
          </cell>
          <cell r="AE339" t="str">
            <v>Viên chức</v>
          </cell>
          <cell r="AF339" t="str">
            <v>V.08.08.22</v>
          </cell>
          <cell r="AG339" t="str">
            <v>Dược sĩ (hạng III)</v>
          </cell>
          <cell r="AH339">
            <v>3.33</v>
          </cell>
          <cell r="AI339">
            <v>4</v>
          </cell>
          <cell r="AJ339">
            <v>0</v>
          </cell>
          <cell r="AK339">
            <v>45885</v>
          </cell>
          <cell r="AL339" t="str">
            <v>Đại học</v>
          </cell>
          <cell r="AM339" t="str">
            <v>DSCKI</v>
          </cell>
          <cell r="AN339" t="str">
            <v>Dược lâm sàng</v>
          </cell>
          <cell r="AR339">
            <v>0</v>
          </cell>
          <cell r="AS339">
            <v>0</v>
          </cell>
          <cell r="AT339" t="str">
            <v>Sơ cấp</v>
          </cell>
          <cell r="AU339">
            <v>0</v>
          </cell>
          <cell r="AV339">
            <v>0</v>
          </cell>
          <cell r="AW339">
            <v>0</v>
          </cell>
          <cell r="AY339" t="str">
            <v>Tày</v>
          </cell>
          <cell r="BC339" t="str">
            <v>24/06/2013</v>
          </cell>
        </row>
        <row r="340">
          <cell r="A340" t="str">
            <v>BV0462</v>
          </cell>
          <cell r="B340">
            <v>334</v>
          </cell>
          <cell r="C340" t="str">
            <v>Linh Lan Hương</v>
          </cell>
          <cell r="D340" t="str">
            <v>BV0462</v>
          </cell>
          <cell r="E340">
            <v>1506002925</v>
          </cell>
          <cell r="G340" t="str">
            <v>CCCD: 020185003340
Ngày cấp: 01/05/2022, nơi cấp: Cục cảnh sát quản lý hành chính và trật tự xã hội</v>
          </cell>
          <cell r="I340">
            <v>31117</v>
          </cell>
          <cell r="J340">
            <v>41</v>
          </cell>
          <cell r="K340" t="str">
            <v>081003860</v>
          </cell>
          <cell r="L340" t="str">
            <v>17/10/2002</v>
          </cell>
          <cell r="M340" t="str">
            <v>CA tỉnh Lạng Sơn</v>
          </cell>
          <cell r="P340" t="str">
            <v>Huyện Văn Quan</v>
          </cell>
          <cell r="Q340" t="str">
            <v>Tỉnh Lạng Sơn</v>
          </cell>
          <cell r="S340" t="str">
            <v>Phường Đông Kinh</v>
          </cell>
          <cell r="T340" t="str">
            <v>Thành phố Lạng Sơn</v>
          </cell>
          <cell r="U340" t="str">
            <v>Tỉnh Lạng Sơn</v>
          </cell>
          <cell r="V340" t="str">
            <v>Phường Đông Kinh, Thành phố Lạng Sơn, Tỉnh Lạng Sơn</v>
          </cell>
          <cell r="W340" t="str">
            <v>30/10/2006</v>
          </cell>
          <cell r="AA340" t="str">
            <v>Phó trưởng khoa</v>
          </cell>
          <cell r="AB340" t="str">
            <v>TĐ007</v>
          </cell>
          <cell r="AC340" t="str">
            <v>Dược</v>
          </cell>
          <cell r="AD340" t="str">
            <v>KP028</v>
          </cell>
          <cell r="AE340" t="str">
            <v>Viên chức</v>
          </cell>
          <cell r="AF340" t="str">
            <v>V.08.08.22</v>
          </cell>
          <cell r="AG340" t="str">
            <v>Dược sĩ (hạng III)</v>
          </cell>
          <cell r="AH340">
            <v>3.99</v>
          </cell>
          <cell r="AI340">
            <v>6</v>
          </cell>
          <cell r="AJ340">
            <v>0</v>
          </cell>
          <cell r="AK340">
            <v>45778</v>
          </cell>
          <cell r="AL340" t="str">
            <v>Đại học</v>
          </cell>
          <cell r="AM340" t="str">
            <v>DSCKI</v>
          </cell>
          <cell r="AN340" t="str">
            <v>Dược lâm sàng</v>
          </cell>
          <cell r="AR340">
            <v>0</v>
          </cell>
          <cell r="AS340" t="str">
            <v>x</v>
          </cell>
          <cell r="AT340" t="str">
            <v>Sơ cấp</v>
          </cell>
          <cell r="AU340">
            <v>0</v>
          </cell>
          <cell r="AV340">
            <v>0</v>
          </cell>
          <cell r="AW340">
            <v>0</v>
          </cell>
          <cell r="AY340" t="str">
            <v>Nùng</v>
          </cell>
          <cell r="AZ340">
            <v>41298</v>
          </cell>
        </row>
        <row r="341">
          <cell r="A341" t="str">
            <v>BV0465</v>
          </cell>
          <cell r="B341">
            <v>335</v>
          </cell>
          <cell r="C341" t="str">
            <v>Hứa Thị Thu Hà</v>
          </cell>
          <cell r="D341" t="str">
            <v>BV0465</v>
          </cell>
          <cell r="E341">
            <v>2008002396</v>
          </cell>
          <cell r="G341" t="str">
            <v>CCCD: 020187002312
Ngày cấp: 24/4/2021,nơi cấp: Cục cảnh sát quản lý hành chính và trật tự xã hội</v>
          </cell>
          <cell r="I341">
            <v>32011</v>
          </cell>
          <cell r="J341">
            <v>38</v>
          </cell>
          <cell r="K341" t="str">
            <v>082019666</v>
          </cell>
          <cell r="L341" t="str">
            <v>06/10/2004</v>
          </cell>
          <cell r="M341" t="str">
            <v>CA tỉnh Lạng Sơn</v>
          </cell>
          <cell r="P341" t="str">
            <v>Huyện Hữu Lũng</v>
          </cell>
          <cell r="Q341" t="str">
            <v>Tỉnh Lạng Sơn</v>
          </cell>
          <cell r="S341" t="str">
            <v>Phường Tam Thanh</v>
          </cell>
          <cell r="T341" t="str">
            <v>Thành phố Lạng Sơn</v>
          </cell>
          <cell r="U341" t="str">
            <v>Tỉnh Lạng Sơn</v>
          </cell>
          <cell r="V341" t="str">
            <v>Phường Tam Thanh, Thành phố Lạng Sơn, Tỉnh Lạng Sơn</v>
          </cell>
          <cell r="W341" t="str">
            <v>1/5/2008</v>
          </cell>
          <cell r="AA341">
            <v>0</v>
          </cell>
          <cell r="AB341" t="str">
            <v>TĐ008</v>
          </cell>
          <cell r="AC341" t="str">
            <v>VT-TTBYT</v>
          </cell>
          <cell r="AD341" t="str">
            <v>KP038</v>
          </cell>
          <cell r="AE341" t="str">
            <v>Viên chức</v>
          </cell>
          <cell r="AF341" t="str">
            <v>V.08.08.23</v>
          </cell>
          <cell r="AG341" t="str">
            <v>Dược sĩ (hạng III)</v>
          </cell>
          <cell r="AH341">
            <v>3.66</v>
          </cell>
          <cell r="AI341">
            <v>5</v>
          </cell>
          <cell r="AJ341">
            <v>0</v>
          </cell>
          <cell r="AK341">
            <v>45383</v>
          </cell>
          <cell r="AL341" t="str">
            <v>Đại học</v>
          </cell>
          <cell r="AM341" t="str">
            <v>Dược sỹ ĐH</v>
          </cell>
          <cell r="AR341">
            <v>0</v>
          </cell>
          <cell r="AS341">
            <v>0</v>
          </cell>
          <cell r="AT341" t="str">
            <v>Sơ cấp</v>
          </cell>
          <cell r="AU341">
            <v>0</v>
          </cell>
          <cell r="AV341">
            <v>0</v>
          </cell>
          <cell r="AW341">
            <v>0</v>
          </cell>
          <cell r="AY341" t="str">
            <v>Nùng</v>
          </cell>
          <cell r="BC341" t="str">
            <v>24/06/2013</v>
          </cell>
        </row>
        <row r="342">
          <cell r="A342" t="str">
            <v>BV0466</v>
          </cell>
          <cell r="B342">
            <v>336</v>
          </cell>
          <cell r="C342" t="str">
            <v>Nguyễn Thị Thùy Dương</v>
          </cell>
          <cell r="D342" t="str">
            <v>BV0466</v>
          </cell>
          <cell r="E342">
            <v>2008002401</v>
          </cell>
          <cell r="G342" t="str">
            <v xml:space="preserve">CMT: '080889139
Ngày cấp: 8/5/2018, nơi cấp: Công an tỉnh Lạng Sơn </v>
          </cell>
          <cell r="I342">
            <v>31611</v>
          </cell>
          <cell r="J342">
            <v>39</v>
          </cell>
          <cell r="K342" t="str">
            <v>080889139</v>
          </cell>
          <cell r="L342" t="str">
            <v>06/05/2003</v>
          </cell>
          <cell r="M342" t="str">
            <v>CA tỉnh Lạng Sơn</v>
          </cell>
          <cell r="P342" t="str">
            <v>Huyện Bình Gia</v>
          </cell>
          <cell r="Q342" t="str">
            <v>Tỉnh Lạng Sơn</v>
          </cell>
          <cell r="S342" t="str">
            <v>Phường Tam Thanh</v>
          </cell>
          <cell r="T342" t="str">
            <v>Thành phố Lạng Sơn</v>
          </cell>
          <cell r="U342" t="str">
            <v>Tỉnh Lạng Sơn</v>
          </cell>
          <cell r="V342" t="str">
            <v>Phường Tam Thanh, Thành phố Lạng Sơn, Tỉnh Lạng Sơn</v>
          </cell>
          <cell r="W342" t="str">
            <v>1/5/2008</v>
          </cell>
          <cell r="AA342">
            <v>0</v>
          </cell>
          <cell r="AB342" t="str">
            <v>TĐ008</v>
          </cell>
          <cell r="AC342" t="str">
            <v>Dược</v>
          </cell>
          <cell r="AD342" t="str">
            <v>KP028</v>
          </cell>
          <cell r="AE342" t="str">
            <v>Viên chức</v>
          </cell>
          <cell r="AF342" t="str">
            <v>V.08.08.22</v>
          </cell>
          <cell r="AG342" t="str">
            <v>Dược sĩ (hạng III)</v>
          </cell>
          <cell r="AH342">
            <v>3.33</v>
          </cell>
          <cell r="AI342">
            <v>4</v>
          </cell>
          <cell r="AJ342">
            <v>0</v>
          </cell>
          <cell r="AK342">
            <v>45078</v>
          </cell>
          <cell r="AL342" t="str">
            <v>Đại học</v>
          </cell>
          <cell r="AM342" t="str">
            <v>Dược sỹ ĐH</v>
          </cell>
          <cell r="AR342">
            <v>0</v>
          </cell>
          <cell r="AS342">
            <v>0</v>
          </cell>
          <cell r="AT342" t="str">
            <v>Sơ cấp</v>
          </cell>
          <cell r="AU342">
            <v>0</v>
          </cell>
          <cell r="AV342">
            <v>0</v>
          </cell>
          <cell r="AW342">
            <v>0</v>
          </cell>
          <cell r="AY342" t="str">
            <v>Tày</v>
          </cell>
          <cell r="BC342" t="str">
            <v>24/06/2013</v>
          </cell>
        </row>
        <row r="343">
          <cell r="A343" t="str">
            <v>BV0468</v>
          </cell>
          <cell r="B343">
            <v>337</v>
          </cell>
          <cell r="C343" t="str">
            <v>Hà Thị Thu Hương</v>
          </cell>
          <cell r="D343" t="str">
            <v>BV0468</v>
          </cell>
          <cell r="E343">
            <v>1504002804</v>
          </cell>
          <cell r="G343" t="str">
            <v>CMT: 080969376
ngày cấp 19/10/2011, nơi cấp: Công an tỉnh Lạng Sơn</v>
          </cell>
          <cell r="I343">
            <v>29899</v>
          </cell>
          <cell r="J343">
            <v>44</v>
          </cell>
          <cell r="K343" t="str">
            <v>080969376</v>
          </cell>
          <cell r="L343" t="str">
            <v>19/11/2010</v>
          </cell>
          <cell r="M343" t="str">
            <v>CA tỉnh Lạng Sơn</v>
          </cell>
          <cell r="P343" t="str">
            <v>Huyện Bình Gia</v>
          </cell>
          <cell r="Q343" t="str">
            <v>Tỉnh Lạng Sơn</v>
          </cell>
          <cell r="S343" t="str">
            <v>Phường Hoàng Văn Thụ</v>
          </cell>
          <cell r="T343" t="str">
            <v>Huyện Bình Gia</v>
          </cell>
          <cell r="U343" t="str">
            <v>Tỉnh Lạng Sơn</v>
          </cell>
          <cell r="V343" t="str">
            <v>Phường Hoàng Văn Thụ, Huyện Bình Gia, Tỉnh Lạng Sơn</v>
          </cell>
          <cell r="W343" t="str">
            <v>17/11/2003</v>
          </cell>
          <cell r="AA343">
            <v>0</v>
          </cell>
          <cell r="AB343" t="str">
            <v>TĐ009</v>
          </cell>
          <cell r="AC343" t="str">
            <v>Dược</v>
          </cell>
          <cell r="AD343" t="str">
            <v>KP028</v>
          </cell>
          <cell r="AE343" t="str">
            <v>Viên chức</v>
          </cell>
          <cell r="AF343" t="str">
            <v>V.08.08.23</v>
          </cell>
          <cell r="AG343" t="str">
            <v>Dược (hạng IV)</v>
          </cell>
          <cell r="AH343">
            <v>3.96</v>
          </cell>
          <cell r="AI343">
            <v>7</v>
          </cell>
          <cell r="AJ343">
            <v>0</v>
          </cell>
          <cell r="AK343">
            <v>45170</v>
          </cell>
          <cell r="AL343" t="str">
            <v>Cao đẳng</v>
          </cell>
          <cell r="AM343" t="str">
            <v>Dược sỹ CĐ</v>
          </cell>
          <cell r="AR343">
            <v>0</v>
          </cell>
          <cell r="AS343">
            <v>0</v>
          </cell>
          <cell r="AT343" t="str">
            <v>Sơ cấp</v>
          </cell>
          <cell r="AU343">
            <v>0</v>
          </cell>
          <cell r="AV343">
            <v>0</v>
          </cell>
          <cell r="AW343">
            <v>0</v>
          </cell>
          <cell r="AY343" t="str">
            <v>Tày</v>
          </cell>
          <cell r="BC343" t="str">
            <v>24/06/2013</v>
          </cell>
        </row>
        <row r="344">
          <cell r="A344" t="str">
            <v>BV0471</v>
          </cell>
          <cell r="B344">
            <v>338</v>
          </cell>
          <cell r="C344" t="str">
            <v>Thạch Quỳnh Hoa</v>
          </cell>
          <cell r="D344" t="str">
            <v>BV0471</v>
          </cell>
          <cell r="E344">
            <v>2010000183</v>
          </cell>
          <cell r="G344" t="str">
            <v>CCCD: 020188002616
Ngày cấp: 25/4/2021, nơi cấp: Cục cảnh sát quản lý hành chính và trật tự xã hội</v>
          </cell>
          <cell r="I344">
            <v>32322</v>
          </cell>
          <cell r="J344">
            <v>38</v>
          </cell>
          <cell r="K344" t="str">
            <v>082061944</v>
          </cell>
          <cell r="L344" t="str">
            <v>20/04/2006</v>
          </cell>
          <cell r="M344" t="str">
            <v>CA tỉnh Lạng Sơn</v>
          </cell>
          <cell r="O344" t="str">
            <v>Ninh Hiệp</v>
          </cell>
          <cell r="P344" t="str">
            <v>Huyện Gia Lâm</v>
          </cell>
          <cell r="Q344" t="str">
            <v>Thành phố Hà Nội</v>
          </cell>
          <cell r="S344" t="str">
            <v>Phường Tam Thanh</v>
          </cell>
          <cell r="T344" t="str">
            <v>Thành phố Lạng Sơn</v>
          </cell>
          <cell r="U344" t="str">
            <v>Tỉnh Lạng Sơn</v>
          </cell>
          <cell r="V344" t="str">
            <v>Phường Tam Thanh, Thành phố Lạng Sơn, Tỉnh Lạng Sơn</v>
          </cell>
          <cell r="W344" t="str">
            <v>15/1/2010</v>
          </cell>
          <cell r="AA344">
            <v>0</v>
          </cell>
          <cell r="AB344" t="str">
            <v>TĐ009</v>
          </cell>
          <cell r="AC344" t="str">
            <v>Dược</v>
          </cell>
          <cell r="AD344" t="str">
            <v>KP028</v>
          </cell>
          <cell r="AE344" t="str">
            <v>Viên chức</v>
          </cell>
          <cell r="AF344" t="str">
            <v>V.08.08.23</v>
          </cell>
          <cell r="AG344" t="str">
            <v>Dược (hạng IV)</v>
          </cell>
          <cell r="AH344">
            <v>3.65</v>
          </cell>
          <cell r="AI344">
            <v>6</v>
          </cell>
          <cell r="AJ344">
            <v>0</v>
          </cell>
          <cell r="AK344">
            <v>45839</v>
          </cell>
          <cell r="AL344" t="str">
            <v>Cao đẳng</v>
          </cell>
          <cell r="AM344" t="str">
            <v>Dược sỹ CĐ</v>
          </cell>
          <cell r="AR344">
            <v>0</v>
          </cell>
          <cell r="AS344">
            <v>0</v>
          </cell>
          <cell r="AT344">
            <v>0</v>
          </cell>
          <cell r="AU344">
            <v>0</v>
          </cell>
          <cell r="AV344">
            <v>0</v>
          </cell>
          <cell r="AW344">
            <v>0</v>
          </cell>
          <cell r="AY344" t="str">
            <v>Tày</v>
          </cell>
          <cell r="AZ344">
            <v>42425</v>
          </cell>
          <cell r="BC344" t="str">
            <v>24/06/2013</v>
          </cell>
        </row>
        <row r="345">
          <cell r="A345" t="str">
            <v>BV0476</v>
          </cell>
          <cell r="B345">
            <v>339</v>
          </cell>
          <cell r="C345" t="str">
            <v>Đào Thị Quang</v>
          </cell>
          <cell r="D345" t="str">
            <v>BV0476</v>
          </cell>
          <cell r="E345">
            <v>2011004195</v>
          </cell>
          <cell r="G345" t="str">
            <v>CMT: 082029493
Ngày cấp: 22/0/2009, nơi cấp: Công an tỉnh Lạng Sơn</v>
          </cell>
          <cell r="I345">
            <v>32452</v>
          </cell>
          <cell r="J345">
            <v>37</v>
          </cell>
          <cell r="K345" t="str">
            <v>082029493</v>
          </cell>
          <cell r="L345" t="str">
            <v>22/09/2009</v>
          </cell>
          <cell r="M345" t="str">
            <v>CA tỉnh Lạng Sơn</v>
          </cell>
          <cell r="O345" t="str">
            <v>Xã An Thanh</v>
          </cell>
          <cell r="P345" t="str">
            <v>Huyện Quỳnh Phụ</v>
          </cell>
          <cell r="Q345" t="str">
            <v>Tỉnh Thái Bình</v>
          </cell>
          <cell r="S345" t="str">
            <v>Phường Tam Thanh</v>
          </cell>
          <cell r="T345" t="str">
            <v>Thành phố Lạng Sơn</v>
          </cell>
          <cell r="U345" t="str">
            <v>Tỉnh Lạng Sơn</v>
          </cell>
          <cell r="V345" t="str">
            <v>Phường Tam Thanh, Thành phố Lạng Sơn, Tỉnh Lạng Sơn</v>
          </cell>
          <cell r="W345" t="str">
            <v>10/6/2013</v>
          </cell>
          <cell r="AA345">
            <v>0</v>
          </cell>
          <cell r="AB345" t="str">
            <v>TĐ009</v>
          </cell>
          <cell r="AC345" t="str">
            <v>Dược</v>
          </cell>
          <cell r="AD345" t="str">
            <v>KP028</v>
          </cell>
          <cell r="AE345" t="str">
            <v>Viên chức</v>
          </cell>
          <cell r="AF345" t="str">
            <v>V.08.08.23</v>
          </cell>
          <cell r="AG345" t="str">
            <v>Dược (hạng IV)</v>
          </cell>
          <cell r="AH345">
            <v>3.03</v>
          </cell>
          <cell r="AI345">
            <v>4</v>
          </cell>
          <cell r="AJ345">
            <v>0</v>
          </cell>
          <cell r="AK345">
            <v>44896</v>
          </cell>
          <cell r="AL345" t="str">
            <v>Cao đẳng</v>
          </cell>
          <cell r="AM345" t="str">
            <v>Dược sỹ CĐ</v>
          </cell>
          <cell r="AR345">
            <v>0</v>
          </cell>
          <cell r="AS345">
            <v>0</v>
          </cell>
          <cell r="AT345">
            <v>0</v>
          </cell>
          <cell r="AU345">
            <v>0</v>
          </cell>
          <cell r="AV345">
            <v>0</v>
          </cell>
          <cell r="AW345">
            <v>0</v>
          </cell>
          <cell r="AY345" t="str">
            <v>Kinh</v>
          </cell>
          <cell r="BC345" t="str">
            <v>24/06/2013</v>
          </cell>
        </row>
        <row r="346">
          <cell r="A346" t="str">
            <v>BV0469</v>
          </cell>
          <cell r="B346">
            <v>340</v>
          </cell>
          <cell r="C346" t="str">
            <v>Vũ Minh Phượng</v>
          </cell>
          <cell r="D346" t="str">
            <v>BV0469</v>
          </cell>
          <cell r="E346">
            <v>2008002394</v>
          </cell>
          <cell r="G346" t="str">
            <v>CCCD: 020186008034
Ngày cấp: 6/12/2021, nơi cấp: Cục cảnh sát quản lý hành chính và trật tự xã hội</v>
          </cell>
          <cell r="I346">
            <v>31693</v>
          </cell>
          <cell r="J346">
            <v>39</v>
          </cell>
          <cell r="K346" t="str">
            <v>082010776</v>
          </cell>
          <cell r="L346" t="str">
            <v>05/03/2008</v>
          </cell>
          <cell r="M346" t="str">
            <v>CA tỉnh Lạng Sơn</v>
          </cell>
          <cell r="P346" t="str">
            <v>Huyện Vụ Bản</v>
          </cell>
          <cell r="Q346" t="str">
            <v>Tỉnh Nam Định</v>
          </cell>
          <cell r="S346" t="str">
            <v>Xã Hợp Thành</v>
          </cell>
          <cell r="T346" t="str">
            <v>Huyện Cao Lộc</v>
          </cell>
          <cell r="U346" t="str">
            <v>Tỉnh Lạng Sơn</v>
          </cell>
          <cell r="V346" t="str">
            <v>Xã Hợp Thành, Huyện Cao Lộc, Tỉnh Lạng Sơn</v>
          </cell>
          <cell r="W346" t="str">
            <v>2/5/2008</v>
          </cell>
          <cell r="AA346">
            <v>0</v>
          </cell>
          <cell r="AB346" t="str">
            <v>TĐ009</v>
          </cell>
          <cell r="AC346" t="str">
            <v>Dược</v>
          </cell>
          <cell r="AD346" t="str">
            <v>KP028</v>
          </cell>
          <cell r="AE346" t="str">
            <v>Viên chức</v>
          </cell>
          <cell r="AF346" t="str">
            <v>V.08.08.23</v>
          </cell>
          <cell r="AG346" t="str">
            <v>Dược (hạng IV)</v>
          </cell>
          <cell r="AH346">
            <v>3.34</v>
          </cell>
          <cell r="AI346">
            <v>5</v>
          </cell>
          <cell r="AJ346">
            <v>0</v>
          </cell>
          <cell r="AK346">
            <v>44927</v>
          </cell>
          <cell r="AL346" t="str">
            <v>Cao đẳng</v>
          </cell>
          <cell r="AM346" t="str">
            <v>Dược sỹ CĐ</v>
          </cell>
          <cell r="AR346">
            <v>0</v>
          </cell>
          <cell r="AS346">
            <v>0</v>
          </cell>
          <cell r="AT346" t="str">
            <v>Sơ cấp</v>
          </cell>
          <cell r="AU346">
            <v>0</v>
          </cell>
          <cell r="AV346">
            <v>0</v>
          </cell>
          <cell r="AW346">
            <v>0</v>
          </cell>
          <cell r="AY346" t="str">
            <v>Kinh</v>
          </cell>
          <cell r="AZ346">
            <v>43320</v>
          </cell>
          <cell r="BC346" t="str">
            <v>24/06/2013</v>
          </cell>
        </row>
        <row r="347">
          <cell r="A347" t="str">
            <v>BV0474</v>
          </cell>
          <cell r="B347">
            <v>341</v>
          </cell>
          <cell r="C347" t="str">
            <v>Nghiêm Lan Hương</v>
          </cell>
          <cell r="D347" t="str">
            <v>BV0474</v>
          </cell>
          <cell r="E347">
            <v>2011000010</v>
          </cell>
          <cell r="G347" t="str">
            <v>CCCD: 020189002644
Ngày cấp: 20/04/2021,nơi cấp: Cục cảnh sát quản lý hành chính và trật tự xã hội</v>
          </cell>
          <cell r="I347">
            <v>32685</v>
          </cell>
          <cell r="J347">
            <v>37</v>
          </cell>
          <cell r="K347" t="str">
            <v>082105647</v>
          </cell>
          <cell r="L347" t="str">
            <v>28/05/2010</v>
          </cell>
          <cell r="M347" t="str">
            <v>CA tỉnh Lạng Sơn</v>
          </cell>
          <cell r="O347" t="str">
            <v>Hàm Sơn</v>
          </cell>
          <cell r="P347" t="str">
            <v>Huyện Yên Phong</v>
          </cell>
          <cell r="Q347" t="str">
            <v>Tỉnh Bắc Ninh</v>
          </cell>
          <cell r="R347" t="str">
            <v>145 Trần Đăng Ninh</v>
          </cell>
          <cell r="S347" t="str">
            <v>Phường Tam Thanh</v>
          </cell>
          <cell r="T347" t="str">
            <v>Thành phố Lạng Sơn</v>
          </cell>
          <cell r="U347" t="str">
            <v>Tỉnh Lạng Sơn</v>
          </cell>
          <cell r="V347" t="str">
            <v>Phường Tam Thanh, Thành phố Lạng Sơn, Tỉnh Lạng Sơn</v>
          </cell>
          <cell r="W347" t="str">
            <v>1/12/2010</v>
          </cell>
          <cell r="AA347">
            <v>0</v>
          </cell>
          <cell r="AB347" t="str">
            <v>TĐ009</v>
          </cell>
          <cell r="AC347" t="str">
            <v>VT-TTBYT</v>
          </cell>
          <cell r="AD347" t="str">
            <v>KP038</v>
          </cell>
          <cell r="AE347" t="str">
            <v>Viên chức</v>
          </cell>
          <cell r="AF347" t="str">
            <v>V.08.08.23</v>
          </cell>
          <cell r="AG347" t="str">
            <v>Dược (hạng IV)</v>
          </cell>
          <cell r="AH347">
            <v>3.34</v>
          </cell>
          <cell r="AI347">
            <v>5</v>
          </cell>
          <cell r="AJ347">
            <v>0</v>
          </cell>
          <cell r="AK347">
            <v>45444</v>
          </cell>
          <cell r="AL347" t="str">
            <v>Cao đẳng</v>
          </cell>
          <cell r="AM347" t="str">
            <v>Dược sỹ CĐ</v>
          </cell>
          <cell r="AO347" t="str">
            <v>CĐ Y tế Lạng Sơn</v>
          </cell>
          <cell r="AP347">
            <v>2009</v>
          </cell>
          <cell r="AQ347" t="str">
            <v>12/12</v>
          </cell>
          <cell r="AR347">
            <v>0</v>
          </cell>
          <cell r="AS347">
            <v>0</v>
          </cell>
          <cell r="AT347">
            <v>0</v>
          </cell>
          <cell r="AU347">
            <v>0</v>
          </cell>
          <cell r="AV347">
            <v>0</v>
          </cell>
          <cell r="AW347">
            <v>0</v>
          </cell>
          <cell r="AY347" t="str">
            <v>Nùng</v>
          </cell>
          <cell r="BC347" t="str">
            <v>24/06/2013</v>
          </cell>
        </row>
        <row r="348">
          <cell r="A348" t="str">
            <v>BV0475</v>
          </cell>
          <cell r="B348">
            <v>342</v>
          </cell>
          <cell r="C348" t="str">
            <v>Lương Bích Thùy</v>
          </cell>
          <cell r="D348" t="str">
            <v>BV0475</v>
          </cell>
          <cell r="E348">
            <v>2010000919</v>
          </cell>
          <cell r="G348" t="str">
            <v>CMT: 082061912
Ngày cấp: 19/3/2010, nơi cấp: Công an tỉnh Lạng Sơn</v>
          </cell>
          <cell r="I348">
            <v>32237</v>
          </cell>
          <cell r="J348">
            <v>38</v>
          </cell>
          <cell r="K348" t="str">
            <v>082061912</v>
          </cell>
          <cell r="L348" t="str">
            <v>19/03/2010</v>
          </cell>
          <cell r="M348" t="str">
            <v>CA tỉnh Lạng Sơn</v>
          </cell>
          <cell r="O348" t="str">
            <v>Phường Tam Thanh</v>
          </cell>
          <cell r="P348" t="str">
            <v>Thành phố Lạng Sơn</v>
          </cell>
          <cell r="Q348" t="str">
            <v>Tỉnh Lạng Sơn</v>
          </cell>
          <cell r="S348" t="str">
            <v>Phường Tam Thanh</v>
          </cell>
          <cell r="T348" t="str">
            <v>Thành phố Lạng Sơn</v>
          </cell>
          <cell r="U348" t="str">
            <v>Tỉnh Lạng Sơn</v>
          </cell>
          <cell r="V348" t="str">
            <v>Phường Tam Thanh, Thành phố Lạng Sơn, Tỉnh Lạng Sơn</v>
          </cell>
          <cell r="W348" t="str">
            <v>14/1/2011</v>
          </cell>
          <cell r="AA348">
            <v>0</v>
          </cell>
          <cell r="AB348" t="str">
            <v>TĐ009</v>
          </cell>
          <cell r="AC348" t="str">
            <v>Dược</v>
          </cell>
          <cell r="AD348" t="str">
            <v>KP028</v>
          </cell>
          <cell r="AE348" t="str">
            <v>Viên chức</v>
          </cell>
          <cell r="AF348" t="str">
            <v>V.08.08.23</v>
          </cell>
          <cell r="AG348" t="str">
            <v>Dược (hạng IV)</v>
          </cell>
          <cell r="AH348">
            <v>3.65</v>
          </cell>
          <cell r="AI348">
            <v>6</v>
          </cell>
          <cell r="AJ348">
            <v>0</v>
          </cell>
          <cell r="AK348">
            <v>45839</v>
          </cell>
          <cell r="AL348" t="str">
            <v>Cao đẳng</v>
          </cell>
          <cell r="AM348" t="str">
            <v>Dược sỹ CĐ</v>
          </cell>
          <cell r="AR348">
            <v>0</v>
          </cell>
          <cell r="AS348">
            <v>0</v>
          </cell>
          <cell r="AT348">
            <v>0</v>
          </cell>
          <cell r="AU348">
            <v>0</v>
          </cell>
          <cell r="AV348">
            <v>0</v>
          </cell>
          <cell r="AW348">
            <v>0</v>
          </cell>
          <cell r="AY348" t="str">
            <v>Tày</v>
          </cell>
          <cell r="AZ348">
            <v>41796</v>
          </cell>
          <cell r="BC348" t="str">
            <v>24/06/2013</v>
          </cell>
        </row>
        <row r="349">
          <cell r="A349" t="str">
            <v>BV0479</v>
          </cell>
          <cell r="B349">
            <v>343</v>
          </cell>
          <cell r="C349" t="str">
            <v>Đỗ Diệu Thúy</v>
          </cell>
          <cell r="D349" t="str">
            <v>BV0479</v>
          </cell>
          <cell r="E349">
            <v>2010000194</v>
          </cell>
          <cell r="G349" t="str">
            <v>CCCD: 020188001358
Ngày cấp: 31/03/2021, nơi cấp: Cục cảnh sát quản lý hành chính và trật tự xã hội</v>
          </cell>
          <cell r="I349">
            <v>32421</v>
          </cell>
          <cell r="J349">
            <v>37</v>
          </cell>
          <cell r="K349" t="str">
            <v>082078032</v>
          </cell>
          <cell r="L349" t="str">
            <v>20/02/2006</v>
          </cell>
          <cell r="M349" t="str">
            <v>CA tỉnh Lạng Sơn</v>
          </cell>
          <cell r="P349" t="str">
            <v>Huyện Ứng Hòa</v>
          </cell>
          <cell r="Q349" t="str">
            <v>Tỉnh Hà Tây</v>
          </cell>
          <cell r="S349" t="str">
            <v>Phường Tam Thanh</v>
          </cell>
          <cell r="T349" t="str">
            <v>Thành phố Lạng Sơn</v>
          </cell>
          <cell r="U349" t="str">
            <v>Tỉnh Lạng Sơn</v>
          </cell>
          <cell r="V349" t="str">
            <v>Phường Tam Thanh, Thành phố Lạng Sơn, Tỉnh Lạng Sơn</v>
          </cell>
          <cell r="W349" t="str">
            <v>01/11/2014</v>
          </cell>
          <cell r="AA349">
            <v>0</v>
          </cell>
          <cell r="AB349" t="str">
            <v>TĐ009</v>
          </cell>
          <cell r="AC349" t="str">
            <v>VT-TTBYT</v>
          </cell>
          <cell r="AD349" t="str">
            <v>KP038</v>
          </cell>
          <cell r="AE349" t="str">
            <v>Viên chức</v>
          </cell>
          <cell r="AF349" t="str">
            <v>V.08.08.23</v>
          </cell>
          <cell r="AG349" t="str">
            <v>Dược (hạng IV)</v>
          </cell>
          <cell r="AH349">
            <v>3.34</v>
          </cell>
          <cell r="AI349">
            <v>5</v>
          </cell>
          <cell r="AJ349">
            <v>0</v>
          </cell>
          <cell r="AK349">
            <v>45352</v>
          </cell>
          <cell r="AL349" t="str">
            <v>Cao đẳng</v>
          </cell>
          <cell r="AM349" t="str">
            <v>Dược sỹ CĐ</v>
          </cell>
          <cell r="AR349">
            <v>0</v>
          </cell>
          <cell r="AS349">
            <v>0</v>
          </cell>
          <cell r="AT349">
            <v>0</v>
          </cell>
          <cell r="AU349">
            <v>0</v>
          </cell>
          <cell r="AV349">
            <v>0</v>
          </cell>
          <cell r="AW349">
            <v>0</v>
          </cell>
          <cell r="AY349" t="str">
            <v>Kinh</v>
          </cell>
          <cell r="BC349" t="str">
            <v>24/06/2013</v>
          </cell>
        </row>
        <row r="350">
          <cell r="A350" t="str">
            <v>BV0825</v>
          </cell>
          <cell r="B350">
            <v>344</v>
          </cell>
          <cell r="C350" t="str">
            <v>Chu Hoàng Dưỡng</v>
          </cell>
          <cell r="D350" t="str">
            <v>BV0825</v>
          </cell>
          <cell r="E350" t="str">
            <v>2010000087</v>
          </cell>
          <cell r="G350" t="str">
            <v>CCCD: 020086002707
Ngày cấp: 29/4/2021, nơi cấp: Cục cảnh sát quản lý hành chính và trật tự xã hội</v>
          </cell>
          <cell r="H350" t="str">
            <v>19/12/1986</v>
          </cell>
          <cell r="J350">
            <v>39</v>
          </cell>
          <cell r="K350" t="str">
            <v>081005867</v>
          </cell>
          <cell r="L350" t="str">
            <v>05/12/2006</v>
          </cell>
          <cell r="M350" t="str">
            <v>CA tỉnh Lạng Sơn</v>
          </cell>
          <cell r="N350" t="str">
            <v>Hồng Phong, Cao Lộc</v>
          </cell>
          <cell r="O350" t="str">
            <v>Hồng Phong</v>
          </cell>
          <cell r="P350" t="str">
            <v>Cao Lộc</v>
          </cell>
          <cell r="Q350" t="str">
            <v>Lạng Sơn</v>
          </cell>
          <cell r="R350" t="str">
            <v>Pá Phiêng</v>
          </cell>
          <cell r="S350" t="str">
            <v>Hồng Phong</v>
          </cell>
          <cell r="T350" t="str">
            <v>Cao Lộc</v>
          </cell>
          <cell r="U350" t="str">
            <v>Lạng Sơn</v>
          </cell>
          <cell r="V350" t="str">
            <v>Hồng Phong, Cao Lộc, Lạng Sơn</v>
          </cell>
          <cell r="W350" t="str">
            <v>15/01/2010</v>
          </cell>
          <cell r="X350" t="str">
            <v>Trung tâm phòng chống bệnh xã hội</v>
          </cell>
          <cell r="Z350" t="str">
            <v>08/01/2010</v>
          </cell>
          <cell r="AA350">
            <v>0</v>
          </cell>
          <cell r="AB350" t="str">
            <v>TĐ009</v>
          </cell>
          <cell r="AC350" t="str">
            <v>KSNK</v>
          </cell>
          <cell r="AD350" t="str">
            <v>KP036</v>
          </cell>
          <cell r="AE350" t="str">
            <v>Viên chức</v>
          </cell>
          <cell r="AF350" t="str">
            <v>V.08.08.23</v>
          </cell>
          <cell r="AG350" t="str">
            <v>Dược (hạng IV)</v>
          </cell>
          <cell r="AH350">
            <v>3.34</v>
          </cell>
          <cell r="AI350">
            <v>5</v>
          </cell>
          <cell r="AJ350">
            <v>0</v>
          </cell>
          <cell r="AK350">
            <v>44927</v>
          </cell>
          <cell r="AL350" t="str">
            <v>Cao đẳng</v>
          </cell>
          <cell r="AM350" t="str">
            <v>Dược sỹ CĐ</v>
          </cell>
          <cell r="AR350">
            <v>0</v>
          </cell>
          <cell r="AS350">
            <v>0</v>
          </cell>
          <cell r="AT350">
            <v>0</v>
          </cell>
          <cell r="AU350">
            <v>0</v>
          </cell>
          <cell r="AV350">
            <v>0</v>
          </cell>
          <cell r="AW350">
            <v>0</v>
          </cell>
          <cell r="AY350" t="str">
            <v>Tày</v>
          </cell>
          <cell r="BC350" t="str">
            <v>24/06/2013</v>
          </cell>
        </row>
        <row r="351">
          <cell r="A351" t="str">
            <v>BV1118</v>
          </cell>
          <cell r="B351">
            <v>345</v>
          </cell>
          <cell r="C351" t="str">
            <v>Hoàng Thị Hiền</v>
          </cell>
          <cell r="D351" t="str">
            <v>BV1118</v>
          </cell>
          <cell r="E351" t="str">
            <v>2011001985</v>
          </cell>
          <cell r="G351" t="str">
            <v>CCCD: 020189001756
Ngày cấp: 16/4/2021,nơi cấp: Cục cảnh sát quản lý hành chính và trật tự xã hội</v>
          </cell>
          <cell r="I351">
            <v>32574</v>
          </cell>
          <cell r="J351">
            <v>37</v>
          </cell>
          <cell r="K351" t="str">
            <v>082086830</v>
          </cell>
          <cell r="L351">
            <v>38944</v>
          </cell>
          <cell r="S351" t="str">
            <v>Yên Trạch</v>
          </cell>
          <cell r="T351" t="str">
            <v>Cao Lộc</v>
          </cell>
          <cell r="U351" t="str">
            <v>Lạng Sơn</v>
          </cell>
          <cell r="W351" t="str">
            <v>11/4/2011</v>
          </cell>
          <cell r="X351" t="str">
            <v>05/3/2021</v>
          </cell>
          <cell r="AA351">
            <v>0</v>
          </cell>
          <cell r="AC351" t="str">
            <v>Dược</v>
          </cell>
          <cell r="AD351" t="str">
            <v>KP028</v>
          </cell>
          <cell r="AE351" t="str">
            <v>Viên chức</v>
          </cell>
          <cell r="AF351" t="str">
            <v>V.08.08.23</v>
          </cell>
          <cell r="AG351" t="str">
            <v>Dược (hạng (IV)</v>
          </cell>
          <cell r="AH351">
            <v>3.34</v>
          </cell>
          <cell r="AI351">
            <v>5</v>
          </cell>
          <cell r="AJ351">
            <v>0</v>
          </cell>
          <cell r="AK351">
            <v>45566</v>
          </cell>
          <cell r="AL351" t="str">
            <v>Cao đẳng</v>
          </cell>
          <cell r="AM351" t="str">
            <v>Dược sỹ CĐ</v>
          </cell>
          <cell r="AR351" t="e">
            <v>#N/A</v>
          </cell>
          <cell r="AS351" t="e">
            <v>#N/A</v>
          </cell>
          <cell r="AT351" t="e">
            <v>#N/A</v>
          </cell>
          <cell r="AU351" t="e">
            <v>#N/A</v>
          </cell>
          <cell r="AV351" t="e">
            <v>#N/A</v>
          </cell>
          <cell r="AW351" t="e">
            <v>#N/A</v>
          </cell>
          <cell r="AY351" t="str">
            <v>Tày</v>
          </cell>
          <cell r="AZ351">
            <v>43826</v>
          </cell>
        </row>
        <row r="352">
          <cell r="A352" t="str">
            <v>BV0485</v>
          </cell>
          <cell r="B352">
            <v>346</v>
          </cell>
          <cell r="C352" t="str">
            <v>Nông Thị Nòm</v>
          </cell>
          <cell r="D352" t="str">
            <v>BV0485</v>
          </cell>
          <cell r="E352">
            <v>2014002793</v>
          </cell>
          <cell r="G352" t="str">
            <v>020188011260 cấp ngày 09/01/2022, nơi cấp: Cục cảnh sát quản lý hành chính và trật tự xã hội</v>
          </cell>
          <cell r="I352">
            <v>32407</v>
          </cell>
          <cell r="J352">
            <v>37</v>
          </cell>
          <cell r="K352" t="str">
            <v>082042835</v>
          </cell>
          <cell r="L352" t="str">
            <v>19/04/2005</v>
          </cell>
          <cell r="M352" t="str">
            <v>CA tỉnh Lạng Sơn</v>
          </cell>
          <cell r="O352" t="str">
            <v>Xã Lâm Sơn</v>
          </cell>
          <cell r="P352" t="str">
            <v>Huyện Chi Lăng</v>
          </cell>
          <cell r="Q352" t="str">
            <v>Tỉnh Lạng Sơn</v>
          </cell>
          <cell r="S352" t="str">
            <v>Xã Nhân Lý</v>
          </cell>
          <cell r="T352" t="str">
            <v>Huyện Chi Lăng</v>
          </cell>
          <cell r="U352" t="str">
            <v>Tỉnh Lạng Sơn</v>
          </cell>
          <cell r="V352" t="str">
            <v>Xã Nhân Lý, Huyện Chi Lăng, Tỉnh Lạng Sơn</v>
          </cell>
          <cell r="W352" t="str">
            <v>01/11/2014</v>
          </cell>
          <cell r="AA352" t="str">
            <v>Phó trưởng khoa</v>
          </cell>
          <cell r="AB352" t="str">
            <v>TĐ003</v>
          </cell>
          <cell r="AC352" t="str">
            <v>HH-TM</v>
          </cell>
          <cell r="AD352" t="str">
            <v>KP029</v>
          </cell>
          <cell r="AE352" t="str">
            <v>Viên chức</v>
          </cell>
          <cell r="AF352" t="str">
            <v>V.08.01.03</v>
          </cell>
          <cell r="AG352" t="str">
            <v>Bác sĩ chính (hạng II)</v>
          </cell>
          <cell r="AH352">
            <v>4.4000000000000004</v>
          </cell>
          <cell r="AI352">
            <v>1</v>
          </cell>
          <cell r="AJ352">
            <v>0</v>
          </cell>
          <cell r="AK352">
            <v>45809</v>
          </cell>
          <cell r="AL352" t="str">
            <v>Đại học</v>
          </cell>
          <cell r="AM352" t="str">
            <v>BSCKI</v>
          </cell>
          <cell r="AN352" t="str">
            <v>Huyết học - TM</v>
          </cell>
          <cell r="AR352" t="str">
            <v>Chuyên viên</v>
          </cell>
          <cell r="AS352">
            <v>0</v>
          </cell>
          <cell r="AT352" t="str">
            <v>Sơ cấp</v>
          </cell>
          <cell r="AU352" t="str">
            <v>Anh B</v>
          </cell>
          <cell r="AV352" t="str">
            <v>Tày</v>
          </cell>
          <cell r="AW352" t="str">
            <v>Cơ bản</v>
          </cell>
          <cell r="AY352" t="str">
            <v>Nùng</v>
          </cell>
          <cell r="AZ352">
            <v>43326</v>
          </cell>
          <cell r="BA352" t="e">
            <v>#REF!</v>
          </cell>
          <cell r="BB352" t="e">
            <v>#REF!</v>
          </cell>
        </row>
        <row r="353">
          <cell r="A353" t="str">
            <v>BV0484</v>
          </cell>
          <cell r="B353">
            <v>347</v>
          </cell>
          <cell r="C353" t="str">
            <v>Lâm Thị Kiểm</v>
          </cell>
          <cell r="D353" t="str">
            <v>BV0484</v>
          </cell>
          <cell r="E353">
            <v>1596003066</v>
          </cell>
          <cell r="G353" t="str">
            <v>020174001803 cấp ngày 20/04/2021, nơi cấp: Cục cảnh sát quản lý hành chính và trật tự xã hội</v>
          </cell>
          <cell r="I353">
            <v>27315</v>
          </cell>
          <cell r="J353">
            <v>51</v>
          </cell>
          <cell r="K353" t="str">
            <v>080829343</v>
          </cell>
          <cell r="L353" t="str">
            <v>05/06/2003</v>
          </cell>
          <cell r="M353" t="str">
            <v>CA tỉnh Lạng Sơn</v>
          </cell>
          <cell r="P353" t="str">
            <v>Huyện Lộc Bình</v>
          </cell>
          <cell r="Q353" t="str">
            <v>Tỉnh Lạng Sơn</v>
          </cell>
          <cell r="S353" t="str">
            <v>Thị trấn Lộc Bình</v>
          </cell>
          <cell r="T353" t="str">
            <v>Huyện Lộc Bình</v>
          </cell>
          <cell r="U353" t="str">
            <v>Tỉnh Lạng Sơn</v>
          </cell>
          <cell r="V353" t="str">
            <v>Thị trấn Lộc Bình, Huyện Lộc Bình, Tỉnh Lạng Sơn</v>
          </cell>
          <cell r="W353" t="str">
            <v>1/1/1995</v>
          </cell>
          <cell r="AA353" t="str">
            <v>Phó trưởng khoa</v>
          </cell>
          <cell r="AB353" t="str">
            <v>TĐ005</v>
          </cell>
          <cell r="AC353" t="str">
            <v>HH-TM</v>
          </cell>
          <cell r="AD353" t="str">
            <v>KP029</v>
          </cell>
          <cell r="AE353" t="str">
            <v>Viên chức</v>
          </cell>
          <cell r="AF353" t="str">
            <v>V.08.01.03</v>
          </cell>
          <cell r="AG353" t="str">
            <v>Bác sĩ (hạng III)</v>
          </cell>
          <cell r="AH353">
            <v>4.9800000000000004</v>
          </cell>
          <cell r="AI353">
            <v>9</v>
          </cell>
          <cell r="AJ353">
            <v>0</v>
          </cell>
          <cell r="AK353">
            <v>45505</v>
          </cell>
          <cell r="AL353" t="str">
            <v>Đại học</v>
          </cell>
          <cell r="AM353" t="str">
            <v>Bác sĩ</v>
          </cell>
          <cell r="AN353" t="str">
            <v>Huyết học - TM</v>
          </cell>
          <cell r="AR353">
            <v>0</v>
          </cell>
          <cell r="AS353" t="str">
            <v>x</v>
          </cell>
          <cell r="AT353" t="str">
            <v>Sơ cấp</v>
          </cell>
          <cell r="AU353" t="str">
            <v>Anh B</v>
          </cell>
          <cell r="AV353">
            <v>0</v>
          </cell>
          <cell r="AW353" t="str">
            <v>Tin B</v>
          </cell>
          <cell r="AY353" t="str">
            <v>Tày</v>
          </cell>
          <cell r="AZ353">
            <v>36461</v>
          </cell>
          <cell r="BA353" t="e">
            <v>#REF!</v>
          </cell>
          <cell r="BB353" t="e">
            <v>#REF!</v>
          </cell>
        </row>
        <row r="354">
          <cell r="A354" t="str">
            <v>BV0486</v>
          </cell>
          <cell r="B354">
            <v>348</v>
          </cell>
          <cell r="C354" t="str">
            <v>Hoàng Thị Bích Liên</v>
          </cell>
          <cell r="D354" t="str">
            <v>BV0486</v>
          </cell>
          <cell r="E354">
            <v>1505002939</v>
          </cell>
          <cell r="G354" t="str">
            <v>020182003084  cấp ngày 23/04/2021 , nơi cấp: Cục cảnh sát quản lý hành chính và trật tự xã hội</v>
          </cell>
          <cell r="I354">
            <v>30242</v>
          </cell>
          <cell r="J354">
            <v>43</v>
          </cell>
          <cell r="K354" t="str">
            <v>080999296</v>
          </cell>
          <cell r="L354" t="str">
            <v>23/06/2000</v>
          </cell>
          <cell r="M354" t="str">
            <v>CA tỉnh Lạng Sơn</v>
          </cell>
          <cell r="P354" t="str">
            <v>Huyện Lộc Bình</v>
          </cell>
          <cell r="Q354" t="str">
            <v>Tỉnh Lạng Sơn</v>
          </cell>
          <cell r="S354" t="str">
            <v>Phường Chi Lăng</v>
          </cell>
          <cell r="T354" t="str">
            <v>Huyện Cao Lộc</v>
          </cell>
          <cell r="U354" t="str">
            <v>Tỉnh Lạng Sơn</v>
          </cell>
          <cell r="V354" t="str">
            <v>Phường Chi Lăng, Huyện Cao Lộc, Tỉnh Lạng Sơn</v>
          </cell>
          <cell r="W354" t="str">
            <v>16/2/2005</v>
          </cell>
          <cell r="AA354" t="str">
            <v>Kỹ thuật y trưởng</v>
          </cell>
          <cell r="AB354" t="str">
            <v>TĐ014</v>
          </cell>
          <cell r="AC354" t="str">
            <v>HH-TM</v>
          </cell>
          <cell r="AD354" t="str">
            <v>KP029</v>
          </cell>
          <cell r="AE354" t="str">
            <v>Viên chức</v>
          </cell>
          <cell r="AF354" t="str">
            <v>V.08.07.19</v>
          </cell>
          <cell r="AG354" t="str">
            <v>Kỹ thuật y (hạng III)</v>
          </cell>
          <cell r="AH354">
            <v>3.99</v>
          </cell>
          <cell r="AI354">
            <v>6</v>
          </cell>
          <cell r="AJ354">
            <v>0</v>
          </cell>
          <cell r="AK354">
            <v>44986</v>
          </cell>
          <cell r="AL354" t="str">
            <v>Đại học</v>
          </cell>
          <cell r="AM354" t="str">
            <v>KTY ĐH</v>
          </cell>
          <cell r="AR354">
            <v>0</v>
          </cell>
          <cell r="AS354">
            <v>0</v>
          </cell>
          <cell r="AT354" t="str">
            <v>Sơ cấp</v>
          </cell>
          <cell r="AU354" t="str">
            <v>Anh C</v>
          </cell>
          <cell r="AV354" t="str">
            <v>Tày</v>
          </cell>
          <cell r="AW354" t="str">
            <v>Tin B</v>
          </cell>
          <cell r="AY354" t="str">
            <v>Nùng</v>
          </cell>
          <cell r="AZ354">
            <v>41911</v>
          </cell>
          <cell r="BA354" t="e">
            <v>#REF!</v>
          </cell>
          <cell r="BB354" t="e">
            <v>#REF!</v>
          </cell>
        </row>
        <row r="355">
          <cell r="A355" t="str">
            <v>BV0487</v>
          </cell>
          <cell r="B355">
            <v>349</v>
          </cell>
          <cell r="C355" t="str">
            <v>Hoàng Thị Thúy</v>
          </cell>
          <cell r="D355" t="str">
            <v>BV0487</v>
          </cell>
          <cell r="E355">
            <v>2010000128</v>
          </cell>
          <cell r="G355" t="str">
            <v>020186011507 cấp ngày 25/06/2021, nơi cấp: Cục cảnh sát quản lý hành chính và trật tự xã hội</v>
          </cell>
          <cell r="I355">
            <v>31633</v>
          </cell>
          <cell r="J355">
            <v>39</v>
          </cell>
          <cell r="K355" t="str">
            <v>081008362</v>
          </cell>
          <cell r="L355" t="str">
            <v>04/07/2014</v>
          </cell>
          <cell r="M355" t="str">
            <v>CA tỉnh Lạng Sơn</v>
          </cell>
          <cell r="O355" t="str">
            <v>Xã Chi Lăng</v>
          </cell>
          <cell r="P355" t="str">
            <v>Huyện Tràng Định</v>
          </cell>
          <cell r="Q355" t="str">
            <v>Tỉnh Lạng Sơn</v>
          </cell>
          <cell r="R355" t="str">
            <v>Đường Nguyễn Du</v>
          </cell>
          <cell r="S355" t="str">
            <v>Phường Đông Kinh</v>
          </cell>
          <cell r="T355" t="str">
            <v>Thành phố Lạng Sơn</v>
          </cell>
          <cell r="U355" t="str">
            <v>Tỉnh Lạng Sơn</v>
          </cell>
          <cell r="V355" t="str">
            <v>Phường Đông Kinh, Thành phố Lạng Sơn, Tỉnh Lạng Sơn</v>
          </cell>
          <cell r="W355" t="str">
            <v>15/1/2010</v>
          </cell>
          <cell r="AA355">
            <v>0</v>
          </cell>
          <cell r="AB355" t="str">
            <v>TĐ014</v>
          </cell>
          <cell r="AC355" t="str">
            <v>HH-TM</v>
          </cell>
          <cell r="AD355" t="str">
            <v>KP029</v>
          </cell>
          <cell r="AE355" t="str">
            <v>Viên chức</v>
          </cell>
          <cell r="AF355" t="str">
            <v>V.08.07.19</v>
          </cell>
          <cell r="AG355" t="str">
            <v>Kỹ thuật y (hạng III)</v>
          </cell>
          <cell r="AH355">
            <v>3.66</v>
          </cell>
          <cell r="AI355">
            <v>5</v>
          </cell>
          <cell r="AJ355">
            <v>0</v>
          </cell>
          <cell r="AK355">
            <v>45383</v>
          </cell>
          <cell r="AL355" t="str">
            <v>Đại học</v>
          </cell>
          <cell r="AM355" t="str">
            <v>KTY ĐH</v>
          </cell>
          <cell r="AR355">
            <v>0</v>
          </cell>
          <cell r="AS355">
            <v>0</v>
          </cell>
          <cell r="AT355" t="str">
            <v>Sơ cấp</v>
          </cell>
          <cell r="AU355" t="str">
            <v>Anh B</v>
          </cell>
          <cell r="AV355" t="str">
            <v>Tày</v>
          </cell>
          <cell r="AW355" t="str">
            <v>Cơ bản</v>
          </cell>
          <cell r="AY355" t="str">
            <v>Nùng</v>
          </cell>
          <cell r="BA355" t="e">
            <v>#REF!</v>
          </cell>
          <cell r="BB355" t="e">
            <v>#REF!</v>
          </cell>
        </row>
        <row r="356">
          <cell r="A356" t="str">
            <v>BV0492</v>
          </cell>
          <cell r="B356">
            <v>350</v>
          </cell>
          <cell r="C356" t="str">
            <v>Bế Thị Thu Trang</v>
          </cell>
          <cell r="D356" t="str">
            <v>BV0492</v>
          </cell>
          <cell r="E356">
            <v>2010000169</v>
          </cell>
          <cell r="G356" t="str">
            <v>020188010653 cấp ngày 25/08/2021, nơi cấp: Cục cảnh sát quản lý hành chính và trật tự xã hội</v>
          </cell>
          <cell r="I356">
            <v>32405</v>
          </cell>
          <cell r="J356">
            <v>37</v>
          </cell>
          <cell r="K356" t="str">
            <v>082019028</v>
          </cell>
          <cell r="L356" t="str">
            <v>06/07/2014</v>
          </cell>
          <cell r="M356" t="str">
            <v>CA tỉnh Lạng Sơn</v>
          </cell>
          <cell r="O356" t="str">
            <v>Xã Sàn Viên</v>
          </cell>
          <cell r="P356" t="str">
            <v>Huyện Lộc Bình</v>
          </cell>
          <cell r="Q356" t="str">
            <v>Tỉnh Lạng Sơn</v>
          </cell>
          <cell r="R356" t="str">
            <v>146 - Lê Hồng Phong</v>
          </cell>
          <cell r="S356" t="str">
            <v>Phường Tam Thanh</v>
          </cell>
          <cell r="T356" t="str">
            <v>Thành phố Lạng Sơn</v>
          </cell>
          <cell r="U356" t="str">
            <v>Tỉnh Lạng Sơn</v>
          </cell>
          <cell r="V356" t="str">
            <v>Phường Tam Thanh, Thành phố Lạng Sơn, Tỉnh Lạng Sơn</v>
          </cell>
          <cell r="W356" t="str">
            <v>15/1/2010</v>
          </cell>
          <cell r="AA356">
            <v>0</v>
          </cell>
          <cell r="AB356" t="str">
            <v>TĐ014</v>
          </cell>
          <cell r="AC356" t="str">
            <v>HH-TM</v>
          </cell>
          <cell r="AD356" t="str">
            <v>KP029</v>
          </cell>
          <cell r="AE356" t="str">
            <v>Viên chức</v>
          </cell>
          <cell r="AF356" t="str">
            <v>V.08.07.19</v>
          </cell>
          <cell r="AG356" t="str">
            <v>Kỹ thuật y (hạng III)</v>
          </cell>
          <cell r="AH356">
            <v>3.66</v>
          </cell>
          <cell r="AI356">
            <v>5</v>
          </cell>
          <cell r="AJ356">
            <v>0</v>
          </cell>
          <cell r="AK356">
            <v>45383</v>
          </cell>
          <cell r="AL356" t="str">
            <v>Đại học</v>
          </cell>
          <cell r="AM356" t="str">
            <v>KTY ĐH</v>
          </cell>
          <cell r="AR356">
            <v>0</v>
          </cell>
          <cell r="AS356">
            <v>0</v>
          </cell>
          <cell r="AT356">
            <v>0</v>
          </cell>
          <cell r="AU356" t="str">
            <v>Anh B</v>
          </cell>
          <cell r="AV356" t="str">
            <v>Tày</v>
          </cell>
          <cell r="AW356" t="str">
            <v>Cơ bản</v>
          </cell>
          <cell r="AY356" t="str">
            <v>Tày</v>
          </cell>
          <cell r="AZ356">
            <v>43138</v>
          </cell>
          <cell r="BA356" t="e">
            <v>#REF!</v>
          </cell>
          <cell r="BB356" t="e">
            <v>#REF!</v>
          </cell>
          <cell r="BC356" t="str">
            <v>24/06/2013</v>
          </cell>
        </row>
        <row r="357">
          <cell r="A357" t="str">
            <v>BV0493</v>
          </cell>
          <cell r="B357">
            <v>351</v>
          </cell>
          <cell r="C357" t="str">
            <v>Trần Thị Thanh Tuyền</v>
          </cell>
          <cell r="D357" t="str">
            <v>BV0493</v>
          </cell>
          <cell r="E357">
            <v>2011000028</v>
          </cell>
          <cell r="G357" t="str">
            <v>020188007278 cấp ngày 05/07/2021, nơi cấp: Cục cảnh sát quản lý hành chính và trật tự xã hội</v>
          </cell>
          <cell r="I357">
            <v>32458</v>
          </cell>
          <cell r="J357">
            <v>37</v>
          </cell>
          <cell r="K357" t="str">
            <v>082037212</v>
          </cell>
          <cell r="L357" t="str">
            <v>04/11/2004</v>
          </cell>
          <cell r="M357" t="str">
            <v>CA tỉnh Lạng Sơn</v>
          </cell>
          <cell r="O357" t="str">
            <v>Xã Hữu Liên</v>
          </cell>
          <cell r="P357" t="str">
            <v>Huyện Hữu Lũng</v>
          </cell>
          <cell r="Q357" t="str">
            <v>Tỉnh Lạng Sơn</v>
          </cell>
          <cell r="S357" t="str">
            <v>Xẫ Hữu Liên</v>
          </cell>
          <cell r="T357" t="str">
            <v>Huyện Hữu Lũng</v>
          </cell>
          <cell r="U357" t="str">
            <v>Tỉnh Lạng Sơn</v>
          </cell>
          <cell r="V357" t="str">
            <v>Xẫ Hữu Liên, Huyện Hữu Lũng, Tỉnh Lạng Sơn</v>
          </cell>
          <cell r="W357" t="str">
            <v>1/12/2010</v>
          </cell>
          <cell r="AA357">
            <v>0</v>
          </cell>
          <cell r="AB357" t="str">
            <v>TĐ014</v>
          </cell>
          <cell r="AC357" t="str">
            <v>HH-TM</v>
          </cell>
          <cell r="AD357" t="str">
            <v>KP029</v>
          </cell>
          <cell r="AE357" t="str">
            <v>Viên chức</v>
          </cell>
          <cell r="AF357" t="str">
            <v>V.08.07.19</v>
          </cell>
          <cell r="AG357" t="str">
            <v>Kỹ thuật y (hạng III)</v>
          </cell>
          <cell r="AH357">
            <v>3.66</v>
          </cell>
          <cell r="AI357">
            <v>5</v>
          </cell>
          <cell r="AJ357">
            <v>0</v>
          </cell>
          <cell r="AK357">
            <v>45383</v>
          </cell>
          <cell r="AL357" t="str">
            <v>Đại học</v>
          </cell>
          <cell r="AM357" t="str">
            <v>KTY ĐH</v>
          </cell>
          <cell r="AR357">
            <v>0</v>
          </cell>
          <cell r="AS357">
            <v>0</v>
          </cell>
          <cell r="AT357">
            <v>0</v>
          </cell>
          <cell r="AU357" t="str">
            <v>Anh A2</v>
          </cell>
          <cell r="AV357" t="str">
            <v>Tày</v>
          </cell>
          <cell r="AW357" t="str">
            <v>Cơ bản</v>
          </cell>
          <cell r="AY357" t="str">
            <v>Nùng</v>
          </cell>
          <cell r="BA357" t="e">
            <v>#REF!</v>
          </cell>
          <cell r="BB357" t="e">
            <v>#REF!</v>
          </cell>
          <cell r="BC357" t="str">
            <v>24/06/2013</v>
          </cell>
        </row>
        <row r="358">
          <cell r="A358" t="str">
            <v>BV0806</v>
          </cell>
          <cell r="B358">
            <v>352</v>
          </cell>
          <cell r="C358" t="str">
            <v>Nông Thị Dung</v>
          </cell>
          <cell r="D358" t="str">
            <v>BV0806</v>
          </cell>
          <cell r="E358">
            <v>2016002888</v>
          </cell>
          <cell r="F358">
            <v>2099882217</v>
          </cell>
          <cell r="G358" t="str">
            <v>020193001575 cấp ngày 25/04/2021, nơi cấp: Cục cảnh sát quản lý hành chính và trật tự xã hội</v>
          </cell>
          <cell r="I358" t="str">
            <v>07/08/1993</v>
          </cell>
          <cell r="J358">
            <v>32</v>
          </cell>
          <cell r="K358" t="str">
            <v>082225784</v>
          </cell>
          <cell r="L358" t="str">
            <v>06/09/2010</v>
          </cell>
          <cell r="M358" t="str">
            <v>CA tỉnh Lạng Sơn</v>
          </cell>
          <cell r="O358" t="str">
            <v>Kiên Mộc</v>
          </cell>
          <cell r="P358" t="str">
            <v>Đình Lập</v>
          </cell>
          <cell r="Q358" t="str">
            <v>Lạng Sơn</v>
          </cell>
          <cell r="R358" t="str">
            <v>Bản Hang</v>
          </cell>
          <cell r="S358" t="str">
            <v>Kiên Mộc</v>
          </cell>
          <cell r="T358" t="str">
            <v>Đình Lập</v>
          </cell>
          <cell r="U358" t="str">
            <v>Lạng Sơn</v>
          </cell>
          <cell r="V358" t="str">
            <v>Kiên Mộc, Đình Lập, Lạng Sơn</v>
          </cell>
          <cell r="W358" t="str">
            <v>10/1/2016</v>
          </cell>
          <cell r="AA358">
            <v>0</v>
          </cell>
          <cell r="AB358" t="str">
            <v>TĐ015</v>
          </cell>
          <cell r="AC358" t="str">
            <v>HH-TM</v>
          </cell>
          <cell r="AD358" t="str">
            <v>KP029</v>
          </cell>
          <cell r="AE358" t="str">
            <v>Viên chức</v>
          </cell>
          <cell r="AF358" t="str">
            <v>V.08.07.19</v>
          </cell>
          <cell r="AG358" t="str">
            <v>Kỹ thuật y (hạng IV)</v>
          </cell>
          <cell r="AH358">
            <v>2.72</v>
          </cell>
          <cell r="AI358">
            <v>3</v>
          </cell>
          <cell r="AJ358">
            <v>0</v>
          </cell>
          <cell r="AK358">
            <v>44927</v>
          </cell>
          <cell r="AL358" t="str">
            <v>Cao đẳng</v>
          </cell>
          <cell r="AM358" t="str">
            <v>KTY CĐ</v>
          </cell>
          <cell r="AR358">
            <v>0</v>
          </cell>
          <cell r="AS358">
            <v>0</v>
          </cell>
          <cell r="AT358">
            <v>0</v>
          </cell>
          <cell r="AU358" t="str">
            <v>Anh B</v>
          </cell>
          <cell r="AV358">
            <v>0</v>
          </cell>
          <cell r="AW358" t="str">
            <v>Tin B</v>
          </cell>
          <cell r="AY358" t="str">
            <v>Tày</v>
          </cell>
          <cell r="BA358" t="e">
            <v>#REF!</v>
          </cell>
          <cell r="BB358" t="e">
            <v>#REF!</v>
          </cell>
          <cell r="BC358" t="str">
            <v>24/06/2013</v>
          </cell>
        </row>
        <row r="359">
          <cell r="A359" t="str">
            <v>BV0488</v>
          </cell>
          <cell r="B359">
            <v>353</v>
          </cell>
          <cell r="C359" t="str">
            <v>Doãn Hồng Oanh</v>
          </cell>
          <cell r="D359" t="str">
            <v>BV0488</v>
          </cell>
          <cell r="E359">
            <v>1505002502</v>
          </cell>
          <cell r="G359" t="str">
            <v>038181038230 cấp ngày 26/01/2022, nơi cấp: Cục cảnh sát quản lý hành chính và trật tự xã hội</v>
          </cell>
          <cell r="I359">
            <v>29791</v>
          </cell>
          <cell r="J359">
            <v>44</v>
          </cell>
          <cell r="K359" t="str">
            <v>080982340</v>
          </cell>
          <cell r="L359" t="str">
            <v>29/01/2014</v>
          </cell>
          <cell r="M359" t="str">
            <v>CA tỉnh Lạng Sơn</v>
          </cell>
          <cell r="P359" t="str">
            <v>Huyện Đông Sơn</v>
          </cell>
          <cell r="Q359" t="str">
            <v>Tỉnh Thanh Hóa</v>
          </cell>
          <cell r="S359" t="str">
            <v>Phường Hoàng Văn Thụ</v>
          </cell>
          <cell r="T359" t="str">
            <v>Thành phố Lạng Sơn</v>
          </cell>
          <cell r="U359" t="str">
            <v>Tỉnh Lạng Sơn</v>
          </cell>
          <cell r="V359" t="str">
            <v>Phường Hoàng Văn Thụ, Thành phố Lạng Sơn, Tỉnh Lạng Sơn</v>
          </cell>
          <cell r="W359" t="str">
            <v>16/2/2005</v>
          </cell>
          <cell r="AA359">
            <v>0</v>
          </cell>
          <cell r="AB359" t="str">
            <v>TĐ014</v>
          </cell>
          <cell r="AC359" t="str">
            <v>HH-TM</v>
          </cell>
          <cell r="AD359" t="str">
            <v>KP029</v>
          </cell>
          <cell r="AE359" t="str">
            <v>Viên chức</v>
          </cell>
          <cell r="AF359" t="str">
            <v>V.08.07.19</v>
          </cell>
          <cell r="AG359" t="str">
            <v>Kỹ thuật y (hạng III)</v>
          </cell>
          <cell r="AH359">
            <v>3.99</v>
          </cell>
          <cell r="AI359">
            <v>6</v>
          </cell>
          <cell r="AJ359">
            <v>0</v>
          </cell>
          <cell r="AK359">
            <v>45536</v>
          </cell>
          <cell r="AL359" t="str">
            <v>Đại học</v>
          </cell>
          <cell r="AM359" t="str">
            <v>KTY ĐH</v>
          </cell>
          <cell r="AR359">
            <v>0</v>
          </cell>
          <cell r="AS359">
            <v>0</v>
          </cell>
          <cell r="AT359">
            <v>0</v>
          </cell>
          <cell r="AU359" t="str">
            <v>Anh A2</v>
          </cell>
          <cell r="AV359">
            <v>0</v>
          </cell>
          <cell r="AW359" t="str">
            <v>Cơ bản</v>
          </cell>
          <cell r="AY359" t="str">
            <v>Kinh</v>
          </cell>
          <cell r="BA359" t="e">
            <v>#REF!</v>
          </cell>
          <cell r="BB359" t="e">
            <v>#REF!</v>
          </cell>
        </row>
        <row r="360">
          <cell r="A360" t="str">
            <v>BV0491</v>
          </cell>
          <cell r="B360">
            <v>354</v>
          </cell>
          <cell r="C360" t="str">
            <v>Triệu Thị Đào</v>
          </cell>
          <cell r="D360" t="str">
            <v>BV0491</v>
          </cell>
          <cell r="E360">
            <v>2009000946</v>
          </cell>
          <cell r="G360" t="str">
            <v>020083010672 cấp ngày 20/08/2021, nơi cấp: Cục cảnh sát quản lý hành chính và trật tự xã hội</v>
          </cell>
          <cell r="I360">
            <v>30424</v>
          </cell>
          <cell r="J360">
            <v>43</v>
          </cell>
          <cell r="K360" t="str">
            <v>080136721</v>
          </cell>
          <cell r="L360" t="str">
            <v>11/01/2002</v>
          </cell>
          <cell r="M360" t="str">
            <v>CA tỉnh Lạng Sơn</v>
          </cell>
          <cell r="P360" t="str">
            <v>Huyện Bình Gia</v>
          </cell>
          <cell r="Q360" t="str">
            <v>Tỉnh Lạng Sơn</v>
          </cell>
          <cell r="S360" t="str">
            <v>Xã Thiện Hoà</v>
          </cell>
          <cell r="T360" t="str">
            <v>Huyện Bình Gia</v>
          </cell>
          <cell r="U360" t="str">
            <v>Tỉnh Lạng Sơn</v>
          </cell>
          <cell r="V360" t="str">
            <v>Xã Thiện Hoà, Huyện Bình Gia, Tỉnh Lạng Sơn</v>
          </cell>
          <cell r="W360" t="str">
            <v>8/12/2008</v>
          </cell>
          <cell r="AA360">
            <v>0</v>
          </cell>
          <cell r="AB360" t="str">
            <v>TĐ015</v>
          </cell>
          <cell r="AC360" t="str">
            <v>HH-TM</v>
          </cell>
          <cell r="AD360" t="str">
            <v>KP029</v>
          </cell>
          <cell r="AE360" t="str">
            <v>Viên chức</v>
          </cell>
          <cell r="AF360" t="str">
            <v>V.08.07.19</v>
          </cell>
          <cell r="AG360" t="str">
            <v>Kỹ thuật y (hạng IV)</v>
          </cell>
          <cell r="AH360">
            <v>3.65</v>
          </cell>
          <cell r="AI360">
            <v>6</v>
          </cell>
          <cell r="AJ360">
            <v>0</v>
          </cell>
          <cell r="AK360">
            <v>45627</v>
          </cell>
          <cell r="AL360" t="str">
            <v>Trung cấp</v>
          </cell>
          <cell r="AM360" t="str">
            <v>KTY CĐ</v>
          </cell>
          <cell r="AR360">
            <v>0</v>
          </cell>
          <cell r="AS360">
            <v>0</v>
          </cell>
          <cell r="AT360">
            <v>0</v>
          </cell>
          <cell r="AU360">
            <v>0</v>
          </cell>
          <cell r="AV360">
            <v>0</v>
          </cell>
          <cell r="AW360">
            <v>0</v>
          </cell>
          <cell r="AY360" t="str">
            <v>Nùng</v>
          </cell>
          <cell r="AZ360">
            <v>42165</v>
          </cell>
          <cell r="BA360" t="e">
            <v>#REF!</v>
          </cell>
          <cell r="BB360" t="e">
            <v>#REF!</v>
          </cell>
        </row>
        <row r="361">
          <cell r="A361" t="str">
            <v>BV0494</v>
          </cell>
          <cell r="B361">
            <v>355</v>
          </cell>
          <cell r="C361" t="str">
            <v>Hoàng Huy Thưởng</v>
          </cell>
          <cell r="D361" t="str">
            <v>BV0494</v>
          </cell>
          <cell r="E361">
            <v>2011000029</v>
          </cell>
          <cell r="G361" t="str">
            <v>020086010366 cấp ngày 09/05/2021, nơi cấp: Cục cảnh sát quản lý hành chính và trật tự xã hội</v>
          </cell>
          <cell r="H361">
            <v>31459</v>
          </cell>
          <cell r="J361">
            <v>40</v>
          </cell>
          <cell r="K361" t="str">
            <v>081033991</v>
          </cell>
          <cell r="L361" t="str">
            <v>13/07/2010</v>
          </cell>
          <cell r="M361" t="str">
            <v>CA tỉnh Lạng Sơn</v>
          </cell>
          <cell r="O361" t="str">
            <v>Xã Vân Mộng</v>
          </cell>
          <cell r="P361" t="str">
            <v>Huyện Văn Quan</v>
          </cell>
          <cell r="Q361" t="str">
            <v>Tỉnh Lạng Sơn</v>
          </cell>
          <cell r="R361" t="str">
            <v>Nà Pua</v>
          </cell>
          <cell r="S361" t="str">
            <v>Xã Vân Mộng</v>
          </cell>
          <cell r="T361" t="str">
            <v>Huyện Văn Quan</v>
          </cell>
          <cell r="U361" t="str">
            <v>Tỉnh Lạng Sơn</v>
          </cell>
          <cell r="V361" t="str">
            <v>Xã Vân Mộng, Huyện Văn Quan, Tỉnh Lạng Sơn</v>
          </cell>
          <cell r="W361" t="str">
            <v>1/12/2010</v>
          </cell>
          <cell r="AA361">
            <v>0</v>
          </cell>
          <cell r="AB361" t="str">
            <v>TĐ015</v>
          </cell>
          <cell r="AC361" t="str">
            <v>HH-TM</v>
          </cell>
          <cell r="AD361" t="str">
            <v>KP029</v>
          </cell>
          <cell r="AE361" t="str">
            <v>Viên chức</v>
          </cell>
          <cell r="AF361" t="str">
            <v>V.08.07.19</v>
          </cell>
          <cell r="AG361" t="str">
            <v>Kỹ thuật y (hạng IV)</v>
          </cell>
          <cell r="AH361">
            <v>3.34</v>
          </cell>
          <cell r="AI361">
            <v>5</v>
          </cell>
          <cell r="AJ361">
            <v>0</v>
          </cell>
          <cell r="AK361">
            <v>45627</v>
          </cell>
          <cell r="AL361" t="str">
            <v>Trung cấp</v>
          </cell>
          <cell r="AM361" t="str">
            <v>KTY CĐ</v>
          </cell>
          <cell r="AR361">
            <v>0</v>
          </cell>
          <cell r="AS361">
            <v>0</v>
          </cell>
          <cell r="AT361">
            <v>0</v>
          </cell>
          <cell r="AU361">
            <v>0</v>
          </cell>
          <cell r="AV361">
            <v>0</v>
          </cell>
          <cell r="AW361">
            <v>0</v>
          </cell>
          <cell r="AY361" t="str">
            <v>Tày</v>
          </cell>
          <cell r="BA361" t="e">
            <v>#REF!</v>
          </cell>
          <cell r="BB361" t="e">
            <v>#REF!</v>
          </cell>
        </row>
        <row r="362">
          <cell r="A362" t="str">
            <v>BV0828</v>
          </cell>
          <cell r="B362">
            <v>356</v>
          </cell>
          <cell r="C362" t="str">
            <v>Triệu Thị Lên</v>
          </cell>
          <cell r="D362" t="str">
            <v>BV0828</v>
          </cell>
          <cell r="E362" t="str">
            <v>2012000240</v>
          </cell>
          <cell r="G362" t="str">
            <v>006187003732 cấp ngày 25/06/2021, nơi cấp: Cục cảnh sát quản lý hành chính và trật tự xã hội</v>
          </cell>
          <cell r="I362" t="str">
            <v>03/01/1987</v>
          </cell>
          <cell r="J362">
            <v>39</v>
          </cell>
          <cell r="K362" t="str">
            <v>082323059</v>
          </cell>
          <cell r="L362" t="str">
            <v>14/05/2014</v>
          </cell>
          <cell r="M362" t="str">
            <v>CA tỉnh Lạng Sơn</v>
          </cell>
          <cell r="N362" t="str">
            <v>Bằng Phúc, Chợ Đồn</v>
          </cell>
          <cell r="O362" t="str">
            <v>Bằng Phúc</v>
          </cell>
          <cell r="P362" t="str">
            <v>Chợ Đồn</v>
          </cell>
          <cell r="Q362" t="str">
            <v>Lạng Sơn</v>
          </cell>
          <cell r="R362" t="str">
            <v>4A/8, khối 7, đường Phai Vệ</v>
          </cell>
          <cell r="S362" t="str">
            <v>Phường Đông Kinh</v>
          </cell>
          <cell r="T362" t="str">
            <v>TP. Lạng Sơn</v>
          </cell>
          <cell r="U362" t="str">
            <v>Lạng Sơn</v>
          </cell>
          <cell r="V362" t="str">
            <v>Phường Đông Kinh, TP. Lạng Sơn, Lạng Sơn</v>
          </cell>
          <cell r="W362" t="str">
            <v>10/6/2013</v>
          </cell>
          <cell r="X362" t="str">
            <v>Trung tâm phòng chống Sốt rét - KST- CT</v>
          </cell>
          <cell r="Y362" t="str">
            <v>1317/QĐ-SYT</v>
          </cell>
          <cell r="Z362" t="str">
            <v>05/6/2013</v>
          </cell>
          <cell r="AA362">
            <v>0</v>
          </cell>
          <cell r="AB362" t="str">
            <v>TĐ015</v>
          </cell>
          <cell r="AC362" t="str">
            <v>HH-TM</v>
          </cell>
          <cell r="AD362" t="str">
            <v>KP029</v>
          </cell>
          <cell r="AE362" t="str">
            <v>Viên chức</v>
          </cell>
          <cell r="AF362" t="str">
            <v>V.08.07.19</v>
          </cell>
          <cell r="AG362" t="str">
            <v>Kỹ thuật y (hạng IV)</v>
          </cell>
          <cell r="AH362">
            <v>3.03</v>
          </cell>
          <cell r="AI362">
            <v>4</v>
          </cell>
          <cell r="AJ362">
            <v>0</v>
          </cell>
          <cell r="AK362">
            <v>45270</v>
          </cell>
          <cell r="AL362" t="str">
            <v>Trung cấp</v>
          </cell>
          <cell r="AM362" t="str">
            <v>KTY CĐ</v>
          </cell>
          <cell r="AR362">
            <v>0</v>
          </cell>
          <cell r="AS362">
            <v>0</v>
          </cell>
          <cell r="AT362">
            <v>0</v>
          </cell>
          <cell r="AU362" t="str">
            <v>Tin B</v>
          </cell>
          <cell r="AV362">
            <v>0</v>
          </cell>
          <cell r="AW362" t="str">
            <v>Tin B</v>
          </cell>
          <cell r="AY362" t="str">
            <v>Tày</v>
          </cell>
          <cell r="AZ362">
            <v>42892</v>
          </cell>
          <cell r="BA362" t="e">
            <v>#REF!</v>
          </cell>
          <cell r="BB362" t="e">
            <v>#REF!</v>
          </cell>
        </row>
        <row r="363">
          <cell r="A363" t="str">
            <v>BV0496</v>
          </cell>
          <cell r="B363">
            <v>357</v>
          </cell>
          <cell r="C363" t="str">
            <v>Vũ Thị Vy</v>
          </cell>
          <cell r="D363" t="str">
            <v>BV0496</v>
          </cell>
          <cell r="E363">
            <v>1504000565</v>
          </cell>
          <cell r="G363" t="str">
            <v>CCCD: 019178002341
Ngày cấp: 29/4/2021</v>
          </cell>
          <cell r="I363">
            <v>28757</v>
          </cell>
          <cell r="J363">
            <v>47</v>
          </cell>
          <cell r="K363" t="str">
            <v>082178153</v>
          </cell>
          <cell r="L363" t="str">
            <v>28/07/2008</v>
          </cell>
          <cell r="M363" t="str">
            <v>CA tỉnh Lạng Sơn</v>
          </cell>
          <cell r="P363" t="str">
            <v>Huyện Mỹ Văn</v>
          </cell>
          <cell r="Q363" t="str">
            <v>Tỉnh Hưng Yên</v>
          </cell>
          <cell r="S363" t="str">
            <v>Xã Mai Pha</v>
          </cell>
          <cell r="T363" t="str">
            <v>Thành phố Lạng Sơn</v>
          </cell>
          <cell r="U363" t="str">
            <v>Tỉnh Lạng Sơn</v>
          </cell>
          <cell r="V363" t="str">
            <v>Xã Mai Pha, Thành phố Lạng Sơn, Tỉnh Lạng Sơn</v>
          </cell>
          <cell r="W363" t="str">
            <v>17/2/2003</v>
          </cell>
          <cell r="AA363" t="str">
            <v>Trưởng khoa</v>
          </cell>
          <cell r="AB363" t="str">
            <v>TĐ001</v>
          </cell>
          <cell r="AC363" t="str">
            <v>HS-VS</v>
          </cell>
          <cell r="AD363" t="str">
            <v>KP030</v>
          </cell>
          <cell r="AE363" t="str">
            <v>Viên chức</v>
          </cell>
          <cell r="AF363" t="str">
            <v>V.08.01.02</v>
          </cell>
          <cell r="AG363" t="str">
            <v>Bác sĩ chính (hạng II)</v>
          </cell>
          <cell r="AH363">
            <v>5.08</v>
          </cell>
          <cell r="AI363">
            <v>3</v>
          </cell>
          <cell r="AJ363">
            <v>0</v>
          </cell>
          <cell r="AK363">
            <v>45108</v>
          </cell>
          <cell r="AL363" t="str">
            <v>Đại học</v>
          </cell>
          <cell r="AM363" t="str">
            <v>BSCKII</v>
          </cell>
          <cell r="AN363" t="str">
            <v>Vi sinh y học</v>
          </cell>
          <cell r="AR363" t="str">
            <v>Chuyên viên</v>
          </cell>
          <cell r="AS363" t="str">
            <v>x</v>
          </cell>
          <cell r="AT363" t="str">
            <v>Trung cấp</v>
          </cell>
          <cell r="AU363" t="str">
            <v>Anh C</v>
          </cell>
          <cell r="AV363" t="str">
            <v>Có</v>
          </cell>
          <cell r="AW363" t="str">
            <v>Tin học văn phòng B</v>
          </cell>
          <cell r="AY363" t="str">
            <v>Kinh</v>
          </cell>
          <cell r="AZ363">
            <v>37422</v>
          </cell>
          <cell r="BA363" t="e">
            <v>#REF!</v>
          </cell>
          <cell r="BB363" t="e">
            <v>#REF!</v>
          </cell>
        </row>
        <row r="364">
          <cell r="A364" t="str">
            <v>BV0701</v>
          </cell>
          <cell r="B364">
            <v>358</v>
          </cell>
          <cell r="C364" t="str">
            <v>Hoàng Diệu Linh</v>
          </cell>
          <cell r="D364" t="str">
            <v>BV0701</v>
          </cell>
          <cell r="E364">
            <v>2013002637</v>
          </cell>
          <cell r="G364" t="str">
            <v>CCCD: 020188009059
Ngày cấp: 27/6/2021,nơi cấp: Cục cảnh sát quản lý hành chính và trật tự xã hội</v>
          </cell>
          <cell r="I364" t="str">
            <v>24/6/1988</v>
          </cell>
          <cell r="J364">
            <v>38</v>
          </cell>
          <cell r="K364" t="str">
            <v>082062591</v>
          </cell>
          <cell r="L364" t="str">
            <v>19/12/2005</v>
          </cell>
          <cell r="M364" t="str">
            <v>CA tỉnh Lạng Sơn</v>
          </cell>
          <cell r="O364" t="str">
            <v>TT Thất Khê</v>
          </cell>
          <cell r="P364" t="str">
            <v>Tràng Định</v>
          </cell>
          <cell r="Q364" t="str">
            <v>Lạng Sơn</v>
          </cell>
          <cell r="S364" t="str">
            <v>TT Thất Khê</v>
          </cell>
          <cell r="T364" t="str">
            <v>Tràng Định</v>
          </cell>
          <cell r="U364" t="str">
            <v>Tỉnh Lạng Sơn</v>
          </cell>
          <cell r="V364" t="str">
            <v>TT Thất Khê, Tràng Định, Tỉnh Lạng Sơn</v>
          </cell>
          <cell r="W364" t="str">
            <v>01/11/2014</v>
          </cell>
          <cell r="AA364" t="str">
            <v>Phó trưởng khoa</v>
          </cell>
          <cell r="AB364" t="str">
            <v>TĐ003</v>
          </cell>
          <cell r="AC364" t="str">
            <v>HS-VS</v>
          </cell>
          <cell r="AD364" t="str">
            <v>KP030</v>
          </cell>
          <cell r="AE364" t="str">
            <v>Viên chức</v>
          </cell>
          <cell r="AF364" t="str">
            <v>V.08.01.03</v>
          </cell>
          <cell r="AG364" t="str">
            <v>Bác sĩ chính (hạng II)</v>
          </cell>
          <cell r="AH364">
            <v>4.4000000000000004</v>
          </cell>
          <cell r="AI364">
            <v>1</v>
          </cell>
          <cell r="AJ364">
            <v>0</v>
          </cell>
          <cell r="AK364">
            <v>45809</v>
          </cell>
          <cell r="AL364" t="str">
            <v>Đại học</v>
          </cell>
          <cell r="AM364" t="str">
            <v>BSCKI</v>
          </cell>
          <cell r="AN364" t="str">
            <v>Hóa sinh y học</v>
          </cell>
          <cell r="AR364">
            <v>0</v>
          </cell>
          <cell r="AS364" t="str">
            <v>Có</v>
          </cell>
          <cell r="AT364" t="str">
            <v>Sơ cấp</v>
          </cell>
          <cell r="AU364" t="str">
            <v>Anh B</v>
          </cell>
          <cell r="AV364">
            <v>0</v>
          </cell>
          <cell r="AW364" t="str">
            <v>Tin học văn phòng B</v>
          </cell>
          <cell r="AY364" t="str">
            <v>Tày</v>
          </cell>
          <cell r="BA364" t="e">
            <v>#REF!</v>
          </cell>
          <cell r="BB364" t="e">
            <v>#REF!</v>
          </cell>
        </row>
        <row r="365">
          <cell r="A365" t="str">
            <v>BV0503</v>
          </cell>
          <cell r="B365">
            <v>359</v>
          </cell>
          <cell r="C365" t="str">
            <v>Vũ Bích Thủy</v>
          </cell>
          <cell r="D365" t="str">
            <v>BV0503</v>
          </cell>
          <cell r="E365">
            <v>2008000249</v>
          </cell>
          <cell r="G365" t="str">
            <v>CCCD: 020184002853
Ngày cấp: 29/4/2021, nơi cấp: Cục cảnh sát quản lý hành chính và trật tự xã hội</v>
          </cell>
          <cell r="I365">
            <v>30768</v>
          </cell>
          <cell r="J365">
            <v>42</v>
          </cell>
          <cell r="K365" t="str">
            <v>081039252</v>
          </cell>
          <cell r="L365" t="str">
            <v>13/12/2005</v>
          </cell>
          <cell r="M365" t="str">
            <v>CA tỉnh Lạng Sơn</v>
          </cell>
          <cell r="P365" t="str">
            <v xml:space="preserve">Huyện Duyên Hà </v>
          </cell>
          <cell r="Q365" t="str">
            <v>Tỉnh Thái Bình</v>
          </cell>
          <cell r="S365" t="str">
            <v>Phường Hoàng Văn Thụ</v>
          </cell>
          <cell r="T365" t="str">
            <v>Thành phố Lạng Sơn</v>
          </cell>
          <cell r="U365" t="str">
            <v>Tỉnh Lạng Sơn</v>
          </cell>
          <cell r="V365" t="str">
            <v>Phường Hoàng Văn Thụ, Thành phố Lạng Sơn, Tỉnh Lạng Sơn</v>
          </cell>
          <cell r="W365" t="str">
            <v>10/6/2013</v>
          </cell>
          <cell r="AA365" t="str">
            <v>Phụ trách điều dưỡng</v>
          </cell>
          <cell r="AB365" t="str">
            <v>TĐ014</v>
          </cell>
          <cell r="AC365" t="str">
            <v>HS-VS</v>
          </cell>
          <cell r="AD365" t="str">
            <v>KP030</v>
          </cell>
          <cell r="AE365" t="str">
            <v>Viên chức</v>
          </cell>
          <cell r="AF365" t="str">
            <v>V.08.07.19</v>
          </cell>
          <cell r="AG365" t="str">
            <v>Kỹ thuật y (hạng III)</v>
          </cell>
          <cell r="AH365">
            <v>3.33</v>
          </cell>
          <cell r="AI365">
            <v>4</v>
          </cell>
          <cell r="AJ365">
            <v>0</v>
          </cell>
          <cell r="AK365">
            <v>45292</v>
          </cell>
          <cell r="AL365" t="str">
            <v>Đại học</v>
          </cell>
          <cell r="AM365" t="str">
            <v>KTY ĐH</v>
          </cell>
          <cell r="AR365">
            <v>0</v>
          </cell>
          <cell r="AS365">
            <v>0</v>
          </cell>
          <cell r="AT365">
            <v>0</v>
          </cell>
          <cell r="AU365">
            <v>0</v>
          </cell>
          <cell r="AV365" t="str">
            <v>Có</v>
          </cell>
          <cell r="AW365" t="str">
            <v>Cơ bản</v>
          </cell>
          <cell r="AY365" t="str">
            <v>Kinh</v>
          </cell>
          <cell r="BA365" t="e">
            <v>#REF!</v>
          </cell>
          <cell r="BB365" t="e">
            <v>#REF!</v>
          </cell>
        </row>
        <row r="366">
          <cell r="A366" t="str">
            <v>BV0498</v>
          </cell>
          <cell r="B366">
            <v>360</v>
          </cell>
          <cell r="C366" t="str">
            <v>Nông Thị Hằng</v>
          </cell>
          <cell r="D366" t="str">
            <v>BV0498</v>
          </cell>
          <cell r="E366">
            <v>1596003572</v>
          </cell>
          <cell r="G366" t="str">
            <v>CCCD: 020172001990
Ngày cấp: 29/4/2021, nơi cấp: Cục cảnh sát quản lý hành chính và trật tự xã hội</v>
          </cell>
          <cell r="I366">
            <v>26541</v>
          </cell>
          <cell r="J366">
            <v>53</v>
          </cell>
          <cell r="K366" t="str">
            <v>081002580</v>
          </cell>
          <cell r="L366" t="str">
            <v>03/03/2003</v>
          </cell>
          <cell r="M366" t="str">
            <v>CA tỉnh Lạng Sơn</v>
          </cell>
          <cell r="P366" t="str">
            <v>Huyện Đình Lập</v>
          </cell>
          <cell r="Q366" t="str">
            <v>Tỉnh Lạng Sơn</v>
          </cell>
          <cell r="R366" t="str">
            <v>Khu 4</v>
          </cell>
          <cell r="S366" t="str">
            <v>Thị trấn Đình Lập</v>
          </cell>
          <cell r="T366" t="str">
            <v>Huyện Đình Lập</v>
          </cell>
          <cell r="U366" t="str">
            <v>Tỉnh Lạng Sơn</v>
          </cell>
          <cell r="V366" t="str">
            <v>Thị trấn Đình Lập, Huyện Đình Lập, Tỉnh Lạng Sơn</v>
          </cell>
          <cell r="W366" t="str">
            <v>1/6/1996</v>
          </cell>
          <cell r="AA366">
            <v>0</v>
          </cell>
          <cell r="AB366" t="str">
            <v>TĐ015</v>
          </cell>
          <cell r="AC366" t="str">
            <v>HS-VS</v>
          </cell>
          <cell r="AD366" t="str">
            <v>KP030</v>
          </cell>
          <cell r="AE366" t="str">
            <v>Viên chức</v>
          </cell>
          <cell r="AF366" t="str">
            <v>V.08.07.19</v>
          </cell>
          <cell r="AG366" t="str">
            <v>Kỹ thuật y (hạng IV)</v>
          </cell>
          <cell r="AH366">
            <v>4.8899999999999997</v>
          </cell>
          <cell r="AI366">
            <v>10</v>
          </cell>
          <cell r="AJ366">
            <v>0</v>
          </cell>
          <cell r="AK366">
            <v>45839</v>
          </cell>
          <cell r="AL366" t="str">
            <v>Cao đẳng</v>
          </cell>
          <cell r="AM366" t="str">
            <v>KTY CĐ</v>
          </cell>
          <cell r="AR366">
            <v>0</v>
          </cell>
          <cell r="AS366">
            <v>0</v>
          </cell>
          <cell r="AT366">
            <v>0</v>
          </cell>
          <cell r="AU366" t="str">
            <v>Anh B</v>
          </cell>
          <cell r="AV366">
            <v>0</v>
          </cell>
          <cell r="AW366" t="str">
            <v>Tin học B</v>
          </cell>
          <cell r="AY366" t="str">
            <v>Tày</v>
          </cell>
          <cell r="AZ366">
            <v>36515</v>
          </cell>
          <cell r="BA366" t="e">
            <v>#REF!</v>
          </cell>
          <cell r="BB366" t="e">
            <v>#REF!</v>
          </cell>
        </row>
        <row r="367">
          <cell r="A367" t="str">
            <v>BV0501</v>
          </cell>
          <cell r="B367">
            <v>361</v>
          </cell>
          <cell r="C367" t="str">
            <v>Đặng Thị Thảo</v>
          </cell>
          <cell r="D367" t="str">
            <v>BV0501</v>
          </cell>
          <cell r="E367">
            <v>2014002800</v>
          </cell>
          <cell r="G367" t="str">
            <v>CCCD: 020192000910
Ngày cấp: 31/3/2021, nơi cấp: Cục cảnh sát quản lý hành chính và trật tự xã hội</v>
          </cell>
          <cell r="I367">
            <v>33638</v>
          </cell>
          <cell r="J367">
            <v>34</v>
          </cell>
          <cell r="K367" t="str">
            <v>082160450</v>
          </cell>
          <cell r="L367" t="str">
            <v>04/06/2008</v>
          </cell>
          <cell r="M367" t="str">
            <v>CA tỉnh Lạng Sơn</v>
          </cell>
          <cell r="O367" t="str">
            <v>Phường Đông Kinh</v>
          </cell>
          <cell r="P367" t="str">
            <v>Thành phố Lạng Sơn</v>
          </cell>
          <cell r="Q367" t="str">
            <v>Tỉnh Lạng Sơn</v>
          </cell>
          <cell r="S367" t="str">
            <v>Phường Đông Kinh</v>
          </cell>
          <cell r="T367" t="str">
            <v>Thành phố Lạng Sơn</v>
          </cell>
          <cell r="U367" t="str">
            <v>Tỉnh Lạng Sơn</v>
          </cell>
          <cell r="V367" t="str">
            <v>Phường Đông Kinh, Thành phố Lạng Sơn, Tỉnh Lạng Sơn</v>
          </cell>
          <cell r="W367" t="str">
            <v>01/11/2014</v>
          </cell>
          <cell r="AA367">
            <v>0</v>
          </cell>
          <cell r="AB367" t="str">
            <v>TĐ015</v>
          </cell>
          <cell r="AC367" t="str">
            <v>HS-VS</v>
          </cell>
          <cell r="AD367" t="str">
            <v>KP030</v>
          </cell>
          <cell r="AE367" t="str">
            <v>Viên chức</v>
          </cell>
          <cell r="AF367" t="str">
            <v>V.08.07.19</v>
          </cell>
          <cell r="AG367" t="str">
            <v>Kỹ thuật y (hạng IV)</v>
          </cell>
          <cell r="AH367">
            <v>3.03</v>
          </cell>
          <cell r="AI367">
            <v>4</v>
          </cell>
          <cell r="AJ367">
            <v>0</v>
          </cell>
          <cell r="AK367">
            <v>45231</v>
          </cell>
          <cell r="AL367" t="str">
            <v>Cao đẳng</v>
          </cell>
          <cell r="AM367" t="str">
            <v>KTY CĐ</v>
          </cell>
          <cell r="AR367">
            <v>0</v>
          </cell>
          <cell r="AS367">
            <v>0</v>
          </cell>
          <cell r="AT367">
            <v>0</v>
          </cell>
          <cell r="AU367" t="str">
            <v>Anh B</v>
          </cell>
          <cell r="AV367">
            <v>0</v>
          </cell>
          <cell r="AW367" t="str">
            <v>Tin học văn phòng B</v>
          </cell>
          <cell r="AY367" t="str">
            <v>Tày</v>
          </cell>
          <cell r="BA367" t="e">
            <v>#REF!</v>
          </cell>
          <cell r="BB367" t="e">
            <v>#REF!</v>
          </cell>
        </row>
        <row r="368">
          <cell r="A368" t="str">
            <v>BV0502</v>
          </cell>
          <cell r="B368">
            <v>362</v>
          </cell>
          <cell r="C368" t="str">
            <v>Đỗ Thanh Thủy</v>
          </cell>
          <cell r="D368" t="str">
            <v>BV0502</v>
          </cell>
          <cell r="E368">
            <v>2011001410</v>
          </cell>
          <cell r="G368" t="str">
            <v>CCCD: 024187021077
Ngày cấp: 01/9/2021, nơi cấp: Cục cảnh sát quản lý hành chính và trật tự xã hội</v>
          </cell>
          <cell r="I368">
            <v>32137</v>
          </cell>
          <cell r="J368">
            <v>38</v>
          </cell>
          <cell r="K368" t="str">
            <v>121683695</v>
          </cell>
          <cell r="L368" t="str">
            <v>19/06/2010</v>
          </cell>
          <cell r="M368" t="str">
            <v>CA tỉnh Lạng Sơn</v>
          </cell>
          <cell r="Q368" t="str">
            <v>Tỉnh Bắc Giang</v>
          </cell>
          <cell r="S368" t="str">
            <v>Phường Tam Thanh</v>
          </cell>
          <cell r="T368" t="str">
            <v>Thành phố Lạng Sơn</v>
          </cell>
          <cell r="U368" t="str">
            <v>Tỉnh Lạng Sơn</v>
          </cell>
          <cell r="V368" t="str">
            <v>Phường Tam Thanh, Thành phố Lạng Sơn, Tỉnh Lạng Sơn</v>
          </cell>
          <cell r="W368" t="str">
            <v>10/6/2013</v>
          </cell>
          <cell r="AA368">
            <v>0</v>
          </cell>
          <cell r="AB368" t="str">
            <v>TĐ015</v>
          </cell>
          <cell r="AC368" t="str">
            <v>HS-VS</v>
          </cell>
          <cell r="AD368" t="str">
            <v>KP030</v>
          </cell>
          <cell r="AE368" t="str">
            <v>Viên chức</v>
          </cell>
          <cell r="AF368" t="str">
            <v>V.08.07.19</v>
          </cell>
          <cell r="AG368" t="str">
            <v>Kỹ thuật y (hạng IV)</v>
          </cell>
          <cell r="AH368">
            <v>3.34</v>
          </cell>
          <cell r="AI368">
            <v>5</v>
          </cell>
          <cell r="AJ368">
            <v>0</v>
          </cell>
          <cell r="AK368">
            <v>45672</v>
          </cell>
          <cell r="AL368" t="str">
            <v>Trung cấp</v>
          </cell>
          <cell r="AM368" t="str">
            <v>KTY CĐ</v>
          </cell>
          <cell r="AR368">
            <v>0</v>
          </cell>
          <cell r="AS368">
            <v>0</v>
          </cell>
          <cell r="AT368">
            <v>0</v>
          </cell>
          <cell r="AU368" t="str">
            <v>Anh B</v>
          </cell>
          <cell r="AV368">
            <v>0</v>
          </cell>
          <cell r="AW368" t="str">
            <v>Tin học văn phòng B</v>
          </cell>
          <cell r="AY368" t="str">
            <v>Kinh</v>
          </cell>
          <cell r="BA368" t="e">
            <v>#REF!</v>
          </cell>
          <cell r="BB368" t="e">
            <v>#REF!</v>
          </cell>
        </row>
        <row r="369">
          <cell r="A369" t="str">
            <v>BV0505</v>
          </cell>
          <cell r="B369">
            <v>363</v>
          </cell>
          <cell r="C369" t="str">
            <v>Thi Thị Thuận</v>
          </cell>
          <cell r="D369" t="str">
            <v>BV0505</v>
          </cell>
          <cell r="E369">
            <v>1597020309</v>
          </cell>
          <cell r="G369" t="str">
            <v>CCCD: 020169001841
Ngày cấp: 29/4/2021, nơi cấp: Cục cảnh sát quản lý hành chính và trật tự xã hội</v>
          </cell>
          <cell r="I369">
            <v>25486</v>
          </cell>
          <cell r="J369">
            <v>56</v>
          </cell>
          <cell r="K369" t="str">
            <v>080812894</v>
          </cell>
          <cell r="L369" t="str">
            <v>25/05/2012</v>
          </cell>
          <cell r="M369" t="str">
            <v>CA tỉnh Lạng Sơn</v>
          </cell>
          <cell r="P369" t="str">
            <v>Huyện Cao Lộc</v>
          </cell>
          <cell r="Q369" t="str">
            <v>Tỉnh Lạng Sơn</v>
          </cell>
          <cell r="S369" t="str">
            <v>Phường Tam Thanh</v>
          </cell>
          <cell r="T369" t="str">
            <v>Thành phố Lạng Sơn</v>
          </cell>
          <cell r="U369" t="str">
            <v>Tỉnh Lạng Sơn</v>
          </cell>
          <cell r="V369" t="str">
            <v>Phường Tam Thanh, Thành phố Lạng Sơn, Tỉnh Lạng Sơn</v>
          </cell>
          <cell r="W369" t="str">
            <v>7/5/1990</v>
          </cell>
          <cell r="AA369">
            <v>0</v>
          </cell>
          <cell r="AB369" t="str">
            <v>TĐ016</v>
          </cell>
          <cell r="AC369" t="str">
            <v>HS-VS</v>
          </cell>
          <cell r="AD369" t="str">
            <v>KP030</v>
          </cell>
          <cell r="AE369" t="str">
            <v>Viên chức</v>
          </cell>
          <cell r="AF369" t="str">
            <v>V.08.07.19</v>
          </cell>
          <cell r="AG369" t="str">
            <v>Kỹ thuật y (hạng IV)</v>
          </cell>
          <cell r="AH369">
            <v>4.0599999999999996</v>
          </cell>
          <cell r="AI369">
            <v>12</v>
          </cell>
          <cell r="AJ369">
            <v>0.16</v>
          </cell>
          <cell r="AK369">
            <v>45778</v>
          </cell>
          <cell r="AL369" t="str">
            <v>Trung cấp</v>
          </cell>
          <cell r="AM369" t="str">
            <v>KTY TC</v>
          </cell>
          <cell r="AR369">
            <v>0</v>
          </cell>
          <cell r="AS369">
            <v>0</v>
          </cell>
          <cell r="AT369">
            <v>0</v>
          </cell>
          <cell r="AU369" t="str">
            <v>Anh B</v>
          </cell>
          <cell r="AV369">
            <v>0</v>
          </cell>
          <cell r="AW369" t="str">
            <v>Tin học A</v>
          </cell>
          <cell r="AY369" t="str">
            <v>Tày</v>
          </cell>
          <cell r="AZ369">
            <v>38971</v>
          </cell>
          <cell r="BA369" t="e">
            <v>#REF!</v>
          </cell>
          <cell r="BB369" t="e">
            <v>#REF!</v>
          </cell>
        </row>
        <row r="370">
          <cell r="A370" t="str">
            <v>BV0507</v>
          </cell>
          <cell r="B370">
            <v>364</v>
          </cell>
          <cell r="C370" t="str">
            <v>Hoàng Thị Hường</v>
          </cell>
          <cell r="D370" t="str">
            <v>BV0507</v>
          </cell>
          <cell r="E370" t="str">
            <v>2010000168</v>
          </cell>
          <cell r="G370" t="str">
            <v>CCCD: 020184007464
Ngày cấp: 25/6/2021,nơi cấp: Cục cảnh sát quản lý hành chính và trật tự xã hội</v>
          </cell>
          <cell r="I370">
            <v>30992</v>
          </cell>
          <cell r="J370">
            <v>41</v>
          </cell>
          <cell r="K370" t="str">
            <v>081048121</v>
          </cell>
          <cell r="L370" t="str">
            <v>02/03/2001</v>
          </cell>
          <cell r="M370" t="str">
            <v>CA tỉnh Lạng Sơn</v>
          </cell>
          <cell r="O370" t="str">
            <v>Xã Hưng Vũ</v>
          </cell>
          <cell r="P370" t="str">
            <v>Huyện Bắc Sơn</v>
          </cell>
          <cell r="Q370" t="str">
            <v>Tỉnh Lạng Sơn</v>
          </cell>
          <cell r="R370" t="str">
            <v>Minh Đán</v>
          </cell>
          <cell r="S370" t="str">
            <v>Xã Hưng Vũ</v>
          </cell>
          <cell r="T370" t="str">
            <v>Huyện Bắc Sơn</v>
          </cell>
          <cell r="U370" t="str">
            <v>Tỉnh Lạng Sơn</v>
          </cell>
          <cell r="V370" t="str">
            <v>Xã Hưng Vũ, Huyện Bắc Sơn, Tỉnh Lạng Sơn</v>
          </cell>
          <cell r="W370" t="str">
            <v>15/1/2010</v>
          </cell>
          <cell r="AA370">
            <v>0</v>
          </cell>
          <cell r="AB370" t="str">
            <v>TĐ014</v>
          </cell>
          <cell r="AC370" t="str">
            <v>HS-VS</v>
          </cell>
          <cell r="AD370" t="str">
            <v>KP030</v>
          </cell>
          <cell r="AE370" t="str">
            <v>Viên chức</v>
          </cell>
          <cell r="AF370" t="str">
            <v>V.08.07.19</v>
          </cell>
          <cell r="AG370" t="str">
            <v>Kỹ thuật y (hạng III)</v>
          </cell>
          <cell r="AH370">
            <v>3.66</v>
          </cell>
          <cell r="AI370">
            <v>5</v>
          </cell>
          <cell r="AJ370">
            <v>0</v>
          </cell>
          <cell r="AK370">
            <v>45383</v>
          </cell>
          <cell r="AL370" t="str">
            <v>Đại học</v>
          </cell>
          <cell r="AM370" t="str">
            <v>KTY ĐH</v>
          </cell>
          <cell r="AR370">
            <v>0</v>
          </cell>
          <cell r="AS370">
            <v>0</v>
          </cell>
          <cell r="AT370">
            <v>0</v>
          </cell>
          <cell r="AU370" t="str">
            <v>Anh A2</v>
          </cell>
          <cell r="AV370">
            <v>0</v>
          </cell>
          <cell r="AW370" t="str">
            <v>Cơ bản</v>
          </cell>
          <cell r="AY370" t="str">
            <v>Tày</v>
          </cell>
          <cell r="BA370" t="e">
            <v>#REF!</v>
          </cell>
          <cell r="BB370" t="e">
            <v>#REF!</v>
          </cell>
        </row>
        <row r="371">
          <cell r="A371" t="str">
            <v>BV0509</v>
          </cell>
          <cell r="B371">
            <v>365</v>
          </cell>
          <cell r="C371" t="str">
            <v>Hoàng Thị Mai Thành</v>
          </cell>
          <cell r="D371" t="str">
            <v>BV0509</v>
          </cell>
          <cell r="E371">
            <v>2008002403</v>
          </cell>
          <cell r="G371" t="str">
            <v>CCCD: 020184000826
Ngày cấp: 04/7/2021, nơi cấp: Cục cảnh sát quản lý hành chính và trật tự xã hội</v>
          </cell>
          <cell r="I371">
            <v>30905</v>
          </cell>
          <cell r="J371">
            <v>41</v>
          </cell>
          <cell r="K371" t="str">
            <v>081037312</v>
          </cell>
          <cell r="L371" t="str">
            <v>01/08/2001</v>
          </cell>
          <cell r="M371" t="str">
            <v>CA tỉnh Lạng Sơn</v>
          </cell>
          <cell r="P371" t="str">
            <v>Huyện Tràng Định</v>
          </cell>
          <cell r="Q371" t="str">
            <v>Tỉnh Lạng Sơn</v>
          </cell>
          <cell r="S371" t="str">
            <v>Phường Hoàng Văn Thụ</v>
          </cell>
          <cell r="T371" t="str">
            <v>Thành phố Lạng Sơn</v>
          </cell>
          <cell r="U371" t="str">
            <v>Tỉnh Lạng Sơn</v>
          </cell>
          <cell r="V371" t="str">
            <v>Phường Hoàng Văn Thụ, Thành phố Lạng Sơn, Tỉnh Lạng Sơn</v>
          </cell>
          <cell r="W371" t="str">
            <v>1/12/2008</v>
          </cell>
          <cell r="AA371">
            <v>0</v>
          </cell>
          <cell r="AB371" t="str">
            <v>TĐ014</v>
          </cell>
          <cell r="AC371" t="str">
            <v>HS-VS</v>
          </cell>
          <cell r="AD371" t="str">
            <v>KP030</v>
          </cell>
          <cell r="AE371" t="str">
            <v>Viên chức</v>
          </cell>
          <cell r="AF371" t="str">
            <v>V.08.07.19</v>
          </cell>
          <cell r="AG371" t="str">
            <v>Kỹ thuật y (hạng III)</v>
          </cell>
          <cell r="AH371">
            <v>3.66</v>
          </cell>
          <cell r="AI371">
            <v>5</v>
          </cell>
          <cell r="AJ371">
            <v>0</v>
          </cell>
          <cell r="AK371">
            <v>45383</v>
          </cell>
          <cell r="AL371" t="str">
            <v>Đại học</v>
          </cell>
          <cell r="AM371" t="str">
            <v>KTY ĐH</v>
          </cell>
          <cell r="AR371">
            <v>0</v>
          </cell>
          <cell r="AS371">
            <v>0</v>
          </cell>
          <cell r="AT371">
            <v>0</v>
          </cell>
          <cell r="AU371" t="str">
            <v>Anh A2</v>
          </cell>
          <cell r="AV371">
            <v>0</v>
          </cell>
          <cell r="AW371" t="str">
            <v>Cơ bản</v>
          </cell>
          <cell r="AY371" t="str">
            <v>Tày</v>
          </cell>
          <cell r="AZ371">
            <v>40843</v>
          </cell>
          <cell r="BA371" t="e">
            <v>#REF!</v>
          </cell>
          <cell r="BB371" t="e">
            <v>#REF!</v>
          </cell>
        </row>
        <row r="372">
          <cell r="A372" t="str">
            <v>BV0827</v>
          </cell>
          <cell r="B372">
            <v>366</v>
          </cell>
          <cell r="C372" t="str">
            <v>Hoàng Văn Lượng</v>
          </cell>
          <cell r="D372" t="str">
            <v>BV0827</v>
          </cell>
          <cell r="E372" t="str">
            <v>2014002635</v>
          </cell>
          <cell r="G372" t="str">
            <v>CCCD: 020092007266
Ngày cấp: 18/11/2021, nơi cấp: Cục cảnh sát quản lý hành chính và trật tự xã hội</v>
          </cell>
          <cell r="H372" t="str">
            <v>28/5/1992</v>
          </cell>
          <cell r="J372">
            <v>34</v>
          </cell>
          <cell r="K372" t="str">
            <v>082180790</v>
          </cell>
          <cell r="L372" t="str">
            <v>07/05/2012</v>
          </cell>
          <cell r="M372" t="str">
            <v>CA tỉnh Lạng Sơn</v>
          </cell>
          <cell r="N372" t="str">
            <v>huyện Bình Gia</v>
          </cell>
          <cell r="O372" t="str">
            <v>Tân Văn</v>
          </cell>
          <cell r="P372" t="str">
            <v>Bình Gia</v>
          </cell>
          <cell r="Q372" t="str">
            <v>Lạng Sơn</v>
          </cell>
          <cell r="R372" t="str">
            <v>Ngọc Trí</v>
          </cell>
          <cell r="S372" t="str">
            <v>Tô Hiệu</v>
          </cell>
          <cell r="T372" t="str">
            <v>Bình Gia</v>
          </cell>
          <cell r="U372" t="str">
            <v>Lạng Sơn</v>
          </cell>
          <cell r="V372" t="str">
            <v>Tô Hiệu, Bình Gia, Lạng Sơn</v>
          </cell>
          <cell r="W372" t="str">
            <v>01/11/2014</v>
          </cell>
          <cell r="X372" t="str">
            <v>Trung tâm phòng chống HIV/AIDS</v>
          </cell>
          <cell r="Y372" t="str">
            <v>2744/QĐ-SYT</v>
          </cell>
          <cell r="Z372" t="str">
            <v>16/10/2014</v>
          </cell>
          <cell r="AA372">
            <v>0</v>
          </cell>
          <cell r="AB372" t="str">
            <v>TĐ015</v>
          </cell>
          <cell r="AC372" t="str">
            <v>HS-VS</v>
          </cell>
          <cell r="AD372" t="str">
            <v>KP030</v>
          </cell>
          <cell r="AE372" t="str">
            <v>Viên chức</v>
          </cell>
          <cell r="AF372" t="str">
            <v>V.08.07.19</v>
          </cell>
          <cell r="AG372" t="str">
            <v>Kỹ thuật y (hạng IV)</v>
          </cell>
          <cell r="AH372">
            <v>3.03</v>
          </cell>
          <cell r="AI372">
            <v>4</v>
          </cell>
          <cell r="AJ372">
            <v>0</v>
          </cell>
          <cell r="AK372">
            <v>45597</v>
          </cell>
          <cell r="AL372" t="str">
            <v>Trung cấp</v>
          </cell>
          <cell r="AM372" t="str">
            <v>KTY CĐ</v>
          </cell>
          <cell r="AR372">
            <v>0</v>
          </cell>
          <cell r="AS372">
            <v>0</v>
          </cell>
          <cell r="AT372">
            <v>0</v>
          </cell>
          <cell r="AU372" t="str">
            <v>Anh B</v>
          </cell>
          <cell r="AV372" t="str">
            <v>Có</v>
          </cell>
          <cell r="AW372" t="str">
            <v>Tin học văn phòng B</v>
          </cell>
          <cell r="AY372" t="str">
            <v>Nùng</v>
          </cell>
          <cell r="BA372" t="e">
            <v>#REF!</v>
          </cell>
          <cell r="BB372" t="e">
            <v>#REF!</v>
          </cell>
        </row>
        <row r="373">
          <cell r="A373" t="str">
            <v>BV0538</v>
          </cell>
          <cell r="B373">
            <v>367</v>
          </cell>
          <cell r="C373" t="str">
            <v>Nguyễn Thu Trang</v>
          </cell>
          <cell r="D373" t="str">
            <v>BV0538</v>
          </cell>
          <cell r="E373">
            <v>2011001568</v>
          </cell>
          <cell r="G373" t="str">
            <v>020187000669, ngày cấp 25/3/2021, cục cảnh sát QLHCVTTXH</v>
          </cell>
          <cell r="I373">
            <v>32061</v>
          </cell>
          <cell r="J373">
            <v>38</v>
          </cell>
          <cell r="K373" t="str">
            <v>082001689</v>
          </cell>
          <cell r="L373" t="str">
            <v>30/12/2003</v>
          </cell>
          <cell r="M373" t="str">
            <v>CA tỉnh Lạng Sơn</v>
          </cell>
          <cell r="Q373" t="str">
            <v>Tỉnh Lạng Sơn</v>
          </cell>
          <cell r="S373" t="str">
            <v>Phường Tam Thanh</v>
          </cell>
          <cell r="T373" t="str">
            <v>Thành phố Lạng Sơn</v>
          </cell>
          <cell r="U373" t="str">
            <v>Tỉnh Lạng Sơn</v>
          </cell>
          <cell r="V373" t="str">
            <v>Phường Tam Thanh, Thành phố Lạng Sơn, Tỉnh Lạng Sơn</v>
          </cell>
          <cell r="W373" t="str">
            <v>10/6/2013</v>
          </cell>
          <cell r="AA373" t="str">
            <v>Phó trưởng khoa</v>
          </cell>
          <cell r="AB373" t="str">
            <v>TĐ003</v>
          </cell>
          <cell r="AC373" t="str">
            <v>TDCN</v>
          </cell>
          <cell r="AD373" t="str">
            <v>KP033</v>
          </cell>
          <cell r="AE373" t="str">
            <v>Viên chức</v>
          </cell>
          <cell r="AF373" t="str">
            <v>V.08.01.03</v>
          </cell>
          <cell r="AG373" t="str">
            <v>Bác sĩ chính (hạng II)</v>
          </cell>
          <cell r="AH373">
            <v>4.4000000000000004</v>
          </cell>
          <cell r="AI373">
            <v>1</v>
          </cell>
          <cell r="AJ373">
            <v>0</v>
          </cell>
          <cell r="AK373">
            <v>45809</v>
          </cell>
          <cell r="AL373" t="str">
            <v>Đại học</v>
          </cell>
          <cell r="AM373" t="str">
            <v>BSCKI</v>
          </cell>
          <cell r="AN373" t="str">
            <v>Nội khoa</v>
          </cell>
          <cell r="AR373">
            <v>0</v>
          </cell>
          <cell r="AS373" t="str">
            <v>x</v>
          </cell>
          <cell r="AT373">
            <v>0</v>
          </cell>
          <cell r="AU373" t="str">
            <v>Anh B</v>
          </cell>
          <cell r="AV373">
            <v>0</v>
          </cell>
          <cell r="AW373" t="str">
            <v>CC sau ĐH</v>
          </cell>
          <cell r="AY373" t="str">
            <v>Kinh</v>
          </cell>
          <cell r="BA373" t="e">
            <v>#REF!</v>
          </cell>
          <cell r="BB373" t="e">
            <v>#REF!</v>
          </cell>
        </row>
        <row r="374">
          <cell r="A374" t="str">
            <v>BV0537</v>
          </cell>
          <cell r="B374">
            <v>368</v>
          </cell>
          <cell r="C374" t="str">
            <v>Đoàn Văn Sang</v>
          </cell>
          <cell r="D374" t="str">
            <v>BV0537</v>
          </cell>
          <cell r="E374">
            <v>1504000545</v>
          </cell>
          <cell r="G374" t="str">
            <v>036079030081, ngày cấp 25/06/2021 , cục cảnh sát QLHCVTTXH</v>
          </cell>
          <cell r="H374">
            <v>28985</v>
          </cell>
          <cell r="J374">
            <v>47</v>
          </cell>
          <cell r="K374" t="str">
            <v>082298530</v>
          </cell>
          <cell r="L374" t="str">
            <v>15/04/2013</v>
          </cell>
          <cell r="M374" t="str">
            <v>CA tỉnh Lạng Sơn</v>
          </cell>
          <cell r="P374" t="str">
            <v>Huyện Nam Trực</v>
          </cell>
          <cell r="Q374" t="str">
            <v>Tỉnh Nam Định</v>
          </cell>
          <cell r="S374" t="str">
            <v>Phường Tam Thanh</v>
          </cell>
          <cell r="T374" t="str">
            <v>Thành phố Lạng Sơn</v>
          </cell>
          <cell r="U374" t="str">
            <v>Tỉnh Lạng Sơn</v>
          </cell>
          <cell r="V374" t="str">
            <v>Phường Tam Thanh, Thành phố Lạng Sơn, Tỉnh Lạng Sơn</v>
          </cell>
          <cell r="W374" t="str">
            <v>1/1/2003</v>
          </cell>
          <cell r="AA374" t="str">
            <v>Trưởng khoa</v>
          </cell>
          <cell r="AB374" t="str">
            <v>TĐ004</v>
          </cell>
          <cell r="AC374" t="str">
            <v>TDCN</v>
          </cell>
          <cell r="AD374" t="str">
            <v>KP033</v>
          </cell>
          <cell r="AE374" t="str">
            <v>Viên chức</v>
          </cell>
          <cell r="AF374" t="str">
            <v>V.08.01.02</v>
          </cell>
          <cell r="AG374" t="str">
            <v>Bác sĩ chính (hạng II)</v>
          </cell>
          <cell r="AH374">
            <v>4.74</v>
          </cell>
          <cell r="AI374">
            <v>2</v>
          </cell>
          <cell r="AJ374">
            <v>0</v>
          </cell>
          <cell r="AK374">
            <v>45992</v>
          </cell>
          <cell r="AL374" t="str">
            <v>Đại học</v>
          </cell>
          <cell r="AM374" t="str">
            <v>Thạc sỹ</v>
          </cell>
          <cell r="AN374" t="str">
            <v>Nội khoa</v>
          </cell>
          <cell r="AR374">
            <v>0</v>
          </cell>
          <cell r="AS374" t="str">
            <v>x</v>
          </cell>
          <cell r="AT374" t="str">
            <v>Sơ cấp</v>
          </cell>
          <cell r="AU374" t="str">
            <v>Anh B1</v>
          </cell>
          <cell r="AV374">
            <v>0</v>
          </cell>
          <cell r="AW374" t="str">
            <v>B</v>
          </cell>
          <cell r="AY374" t="str">
            <v>Kinh</v>
          </cell>
          <cell r="AZ374">
            <v>38714</v>
          </cell>
          <cell r="BA374" t="e">
            <v>#REF!</v>
          </cell>
          <cell r="BB374" t="e">
            <v>#REF!</v>
          </cell>
        </row>
        <row r="375">
          <cell r="A375" t="str">
            <v>BV0836</v>
          </cell>
          <cell r="B375">
            <v>369</v>
          </cell>
          <cell r="C375" t="str">
            <v>Nguyễn Ngọc Linh</v>
          </cell>
          <cell r="D375" t="str">
            <v>BV0836</v>
          </cell>
          <cell r="E375">
            <v>2016002276</v>
          </cell>
          <cell r="G375" t="str">
            <v>020089009421, ngày cấp 13/1/2022, cục cảnh sát QLHCVTTXH</v>
          </cell>
          <cell r="H375" t="str">
            <v>04/11/1989</v>
          </cell>
          <cell r="J375">
            <v>36</v>
          </cell>
          <cell r="K375" t="str">
            <v>082078630</v>
          </cell>
          <cell r="L375" t="str">
            <v>01/03/2017</v>
          </cell>
          <cell r="M375" t="str">
            <v>CA tỉnh Lạng Sơn</v>
          </cell>
          <cell r="N375" t="str">
            <v>Phường Đông Kinh</v>
          </cell>
          <cell r="O375" t="str">
            <v>Chính Lý</v>
          </cell>
          <cell r="P375" t="str">
            <v>Lý Nhân</v>
          </cell>
          <cell r="Q375" t="str">
            <v>Hà Nam</v>
          </cell>
          <cell r="R375" t="str">
            <v>Thôn Trung Cấp</v>
          </cell>
          <cell r="S375" t="str">
            <v>Xã Mai Pha</v>
          </cell>
          <cell r="T375" t="str">
            <v>Thành phố Lạng Sơn</v>
          </cell>
          <cell r="U375" t="str">
            <v>Tỉnh Lạng Sơn</v>
          </cell>
          <cell r="V375" t="str">
            <v>Thôn Trung Cấp, xã Mai Pha, TP. Lạng Sơn</v>
          </cell>
          <cell r="W375" t="str">
            <v>20/3/2018</v>
          </cell>
          <cell r="Y375">
            <v>568</v>
          </cell>
          <cell r="Z375" t="str">
            <v>18/3/2018</v>
          </cell>
          <cell r="AA375">
            <v>0</v>
          </cell>
          <cell r="AB375" t="str">
            <v>TĐ005</v>
          </cell>
          <cell r="AC375" t="str">
            <v>TDCN</v>
          </cell>
          <cell r="AD375" t="str">
            <v>KP033</v>
          </cell>
          <cell r="AE375" t="str">
            <v>Viên chức</v>
          </cell>
          <cell r="AF375" t="str">
            <v>V.08.01.03</v>
          </cell>
          <cell r="AG375" t="str">
            <v>Bác sĩ (hạng III)</v>
          </cell>
          <cell r="AH375">
            <v>3</v>
          </cell>
          <cell r="AI375">
            <v>3</v>
          </cell>
          <cell r="AJ375">
            <v>0</v>
          </cell>
          <cell r="AK375">
            <v>45474</v>
          </cell>
          <cell r="AL375" t="str">
            <v>Đại học</v>
          </cell>
          <cell r="AM375" t="str">
            <v>Bác sĩ</v>
          </cell>
          <cell r="AN375" t="str">
            <v>Đa khoa</v>
          </cell>
          <cell r="AO375" t="str">
            <v>Đại học Y Dược Thái Nguyên</v>
          </cell>
          <cell r="AP375">
            <v>2015</v>
          </cell>
          <cell r="AQ375" t="str">
            <v>12/12</v>
          </cell>
          <cell r="AR375">
            <v>0</v>
          </cell>
          <cell r="AS375">
            <v>0</v>
          </cell>
          <cell r="AT375">
            <v>0</v>
          </cell>
          <cell r="AU375" t="str">
            <v>Anh B</v>
          </cell>
          <cell r="AV375">
            <v>0</v>
          </cell>
          <cell r="AW375" t="str">
            <v>B</v>
          </cell>
          <cell r="AY375" t="str">
            <v>Tày</v>
          </cell>
        </row>
        <row r="376">
          <cell r="A376" t="str">
            <v>BV0540</v>
          </cell>
          <cell r="B376">
            <v>370</v>
          </cell>
          <cell r="C376" t="str">
            <v>Hoàng Thị Hiển</v>
          </cell>
          <cell r="D376" t="str">
            <v>BV0540</v>
          </cell>
          <cell r="E376">
            <v>1596007615</v>
          </cell>
          <cell r="G376" t="str">
            <v>020173006195, ngày cấp 25/06/2021, cục cảnh sát QLHCVTTXH</v>
          </cell>
          <cell r="I376">
            <v>26969</v>
          </cell>
          <cell r="J376">
            <v>52</v>
          </cell>
          <cell r="K376" t="str">
            <v>081045563</v>
          </cell>
          <cell r="L376" t="str">
            <v>20/08/2003</v>
          </cell>
          <cell r="M376" t="str">
            <v>CA tỉnh Lạng Sơn</v>
          </cell>
          <cell r="P376" t="str">
            <v>Huyện Bình Gia</v>
          </cell>
          <cell r="Q376" t="str">
            <v>Tỉnh Lạng Sơn</v>
          </cell>
          <cell r="S376" t="str">
            <v>Phường Chi Lăng</v>
          </cell>
          <cell r="T376" t="str">
            <v>Thành phố Lạng Sơn</v>
          </cell>
          <cell r="U376" t="str">
            <v>Tỉnh Lạng Sơn</v>
          </cell>
          <cell r="V376" t="str">
            <v>Phường Chi Lăng, Thành phố Lạng Sơn, Tỉnh Lạng Sơn</v>
          </cell>
          <cell r="W376" t="str">
            <v>19/10/1994</v>
          </cell>
          <cell r="AA376">
            <v>0</v>
          </cell>
          <cell r="AB376" t="str">
            <v>TĐ011</v>
          </cell>
          <cell r="AC376" t="str">
            <v>TDCN</v>
          </cell>
          <cell r="AD376" t="str">
            <v>KP033</v>
          </cell>
          <cell r="AE376" t="str">
            <v>Viên chức</v>
          </cell>
          <cell r="AF376" t="str">
            <v>V.08.05.12</v>
          </cell>
          <cell r="AG376" t="str">
            <v>Điều dưỡng (hạng III)</v>
          </cell>
          <cell r="AH376">
            <v>4.9800000000000004</v>
          </cell>
          <cell r="AI376">
            <v>9</v>
          </cell>
          <cell r="AJ376">
            <v>0</v>
          </cell>
          <cell r="AK376">
            <v>45261</v>
          </cell>
          <cell r="AL376" t="str">
            <v>Đại học</v>
          </cell>
          <cell r="AM376" t="str">
            <v>Điều dưỡng ĐH</v>
          </cell>
          <cell r="AR376">
            <v>0</v>
          </cell>
          <cell r="AS376">
            <v>0</v>
          </cell>
          <cell r="AT376" t="str">
            <v>Sơ cấp</v>
          </cell>
          <cell r="AU376" t="str">
            <v>Anh B</v>
          </cell>
          <cell r="AV376">
            <v>0</v>
          </cell>
          <cell r="AW376" t="str">
            <v>B</v>
          </cell>
          <cell r="AY376" t="str">
            <v>Tày</v>
          </cell>
          <cell r="AZ376">
            <v>38108</v>
          </cell>
          <cell r="BA376" t="e">
            <v>#REF!</v>
          </cell>
          <cell r="BB376" t="e">
            <v>#REF!</v>
          </cell>
          <cell r="BC376" t="str">
            <v>13/02/2015</v>
          </cell>
        </row>
        <row r="377">
          <cell r="A377" t="str">
            <v>BV0024</v>
          </cell>
          <cell r="B377">
            <v>371</v>
          </cell>
          <cell r="C377" t="str">
            <v>Mã Thị Thủy</v>
          </cell>
          <cell r="D377" t="str">
            <v>BV0024</v>
          </cell>
          <cell r="E377">
            <v>2010000133</v>
          </cell>
          <cell r="G377" t="str">
            <v>020188006197, ngày cấp 09/5/2021, cục cảnh sát QLHCVTTXH</v>
          </cell>
          <cell r="I377">
            <v>32194</v>
          </cell>
          <cell r="J377">
            <v>38</v>
          </cell>
          <cell r="K377" t="str">
            <v>082079160</v>
          </cell>
          <cell r="L377" t="str">
            <v>16/03/2006</v>
          </cell>
          <cell r="M377" t="str">
            <v>CA tỉnh Lạng Sơn</v>
          </cell>
          <cell r="O377" t="str">
            <v>Xã Còn Quan</v>
          </cell>
          <cell r="P377" t="str">
            <v>Huyện Đình Lập</v>
          </cell>
          <cell r="Q377" t="str">
            <v>Tỉnh Lạng Sơn</v>
          </cell>
          <cell r="S377" t="str">
            <v>Phường Tam Thanh</v>
          </cell>
          <cell r="T377" t="str">
            <v>Thành phố Lạng Sơn</v>
          </cell>
          <cell r="U377" t="str">
            <v>Tỉnh Lạng Sơn</v>
          </cell>
          <cell r="V377" t="str">
            <v>Phường Tam Thanh, Thành phố Lạng Sơn, Tỉnh Lạng Sơn</v>
          </cell>
          <cell r="W377" t="str">
            <v>15/1/2010</v>
          </cell>
          <cell r="AA377" t="str">
            <v>Điều dưỡng trưởng</v>
          </cell>
          <cell r="AB377" t="str">
            <v>TĐ011</v>
          </cell>
          <cell r="AC377" t="str">
            <v>TDCN</v>
          </cell>
          <cell r="AD377" t="str">
            <v>KP033</v>
          </cell>
          <cell r="AE377" t="str">
            <v>Viên chức</v>
          </cell>
          <cell r="AF377" t="str">
            <v>V.08.05.12</v>
          </cell>
          <cell r="AG377" t="str">
            <v>Điều dưỡng (hạng III)</v>
          </cell>
          <cell r="AH377">
            <v>3.33</v>
          </cell>
          <cell r="AI377">
            <v>4</v>
          </cell>
          <cell r="AJ377">
            <v>0</v>
          </cell>
          <cell r="AK377">
            <v>45306</v>
          </cell>
          <cell r="AL377" t="str">
            <v>Đại học</v>
          </cell>
          <cell r="AM377" t="str">
            <v>Điều dưỡng ĐH</v>
          </cell>
          <cell r="AR377">
            <v>0</v>
          </cell>
          <cell r="AS377">
            <v>0</v>
          </cell>
          <cell r="AT377" t="str">
            <v>Sơ cấp</v>
          </cell>
          <cell r="AU377" t="str">
            <v>x</v>
          </cell>
          <cell r="AV377" t="str">
            <v>Tày</v>
          </cell>
          <cell r="AW377" t="str">
            <v>B</v>
          </cell>
          <cell r="AY377" t="str">
            <v>Tày</v>
          </cell>
          <cell r="BA377" t="e">
            <v>#REF!</v>
          </cell>
          <cell r="BB377" t="e">
            <v>#REF!</v>
          </cell>
          <cell r="BC377" t="str">
            <v>24/06/2013</v>
          </cell>
        </row>
        <row r="378">
          <cell r="A378" t="str">
            <v>BV0541</v>
          </cell>
          <cell r="B378">
            <v>372</v>
          </cell>
          <cell r="C378" t="str">
            <v>Nông Thị Kim Hoa</v>
          </cell>
          <cell r="D378" t="str">
            <v>BV0541</v>
          </cell>
          <cell r="E378">
            <v>1596007612</v>
          </cell>
          <cell r="G378" t="str">
            <v>081040004, ngày cấp 05/12/2016, nơi cấp: CA Lạng Sơn</v>
          </cell>
          <cell r="I378">
            <v>27208</v>
          </cell>
          <cell r="J378">
            <v>52</v>
          </cell>
          <cell r="K378" t="str">
            <v>081040004</v>
          </cell>
          <cell r="L378" t="str">
            <v>06/07/2000</v>
          </cell>
          <cell r="M378" t="str">
            <v>CA tỉnh Lạng Sơn</v>
          </cell>
          <cell r="P378" t="str">
            <v>Huyện Bình Gia</v>
          </cell>
          <cell r="Q378" t="str">
            <v>Tỉnh Lạng Sơn</v>
          </cell>
          <cell r="S378" t="str">
            <v>Phường Hoàng Văn Thụ</v>
          </cell>
          <cell r="T378" t="str">
            <v>Thành phố Lạng Sơn</v>
          </cell>
          <cell r="U378" t="str">
            <v>Tỉnh Lạng Sơn</v>
          </cell>
          <cell r="V378" t="str">
            <v>Phường Hoàng Văn Thụ, Thành phố Lạng Sơn, Tỉnh Lạng Sơn</v>
          </cell>
          <cell r="W378" t="str">
            <v>1/11/1994</v>
          </cell>
          <cell r="AA378">
            <v>0</v>
          </cell>
          <cell r="AB378" t="str">
            <v>TĐ012</v>
          </cell>
          <cell r="AC378" t="str">
            <v>TDCN</v>
          </cell>
          <cell r="AD378" t="str">
            <v>KP033</v>
          </cell>
          <cell r="AE378" t="str">
            <v>Viên chức</v>
          </cell>
          <cell r="AF378" t="str">
            <v>V.08.05.13</v>
          </cell>
          <cell r="AG378" t="str">
            <v>Điều dưỡng (hạng IV)</v>
          </cell>
          <cell r="AH378">
            <v>4.8899999999999997</v>
          </cell>
          <cell r="AI378">
            <v>10</v>
          </cell>
          <cell r="AJ378">
            <v>0</v>
          </cell>
          <cell r="AK378">
            <v>45778</v>
          </cell>
          <cell r="AL378" t="str">
            <v>Cao đẳng</v>
          </cell>
          <cell r="AM378" t="str">
            <v>Điều dưỡng CĐ</v>
          </cell>
          <cell r="AR378">
            <v>0</v>
          </cell>
          <cell r="AS378">
            <v>0</v>
          </cell>
          <cell r="AT378">
            <v>0</v>
          </cell>
          <cell r="AU378" t="str">
            <v>Anh B</v>
          </cell>
          <cell r="AV378">
            <v>0</v>
          </cell>
          <cell r="AW378" t="str">
            <v>B</v>
          </cell>
          <cell r="AY378" t="str">
            <v>Tày</v>
          </cell>
          <cell r="BA378" t="e">
            <v>#REF!</v>
          </cell>
          <cell r="BB378" t="e">
            <v>#REF!</v>
          </cell>
          <cell r="BC378" t="str">
            <v>24/06/2013</v>
          </cell>
        </row>
        <row r="379">
          <cell r="A379" t="str">
            <v>BV0542</v>
          </cell>
          <cell r="B379">
            <v>373</v>
          </cell>
          <cell r="C379" t="str">
            <v>Hoàng Thanh Hương</v>
          </cell>
          <cell r="D379" t="str">
            <v>BV0542</v>
          </cell>
          <cell r="E379">
            <v>1596007566</v>
          </cell>
          <cell r="G379" t="str">
            <v xml:space="preserve">201074004487, ngày cấp 24/06/2021, cục cảnh sát QLHCVTTXH </v>
          </cell>
          <cell r="I379">
            <v>27342</v>
          </cell>
          <cell r="J379">
            <v>51</v>
          </cell>
          <cell r="K379" t="str">
            <v>081045624</v>
          </cell>
          <cell r="L379" t="str">
            <v>25/08/2003</v>
          </cell>
          <cell r="M379" t="str">
            <v>CA tỉnh Lạng Sơn</v>
          </cell>
          <cell r="P379" t="str">
            <v>Huyện Bình Gia</v>
          </cell>
          <cell r="Q379" t="str">
            <v>Tỉnh Lạng Sơn</v>
          </cell>
          <cell r="S379" t="str">
            <v>Phường Hoàng Văn Thụ</v>
          </cell>
          <cell r="T379" t="str">
            <v>Thành phố Lạng Sơn</v>
          </cell>
          <cell r="U379" t="str">
            <v>Tỉnh Lạng Sơn</v>
          </cell>
          <cell r="V379" t="str">
            <v>Phường Hoàng Văn Thụ, Thành phố Lạng Sơn, Tỉnh Lạng Sơn</v>
          </cell>
          <cell r="W379" t="str">
            <v>1/11/1994</v>
          </cell>
          <cell r="AA379">
            <v>0</v>
          </cell>
          <cell r="AB379" t="str">
            <v>TĐ012</v>
          </cell>
          <cell r="AC379" t="str">
            <v>TDCN</v>
          </cell>
          <cell r="AD379" t="str">
            <v>KP033</v>
          </cell>
          <cell r="AE379" t="str">
            <v>Viên chức</v>
          </cell>
          <cell r="AF379" t="str">
            <v>V.08.05.13</v>
          </cell>
          <cell r="AG379" t="str">
            <v>Điều dưỡng (hạng IV)</v>
          </cell>
          <cell r="AH379">
            <v>4.8899999999999997</v>
          </cell>
          <cell r="AI379">
            <v>10</v>
          </cell>
          <cell r="AJ379">
            <v>0</v>
          </cell>
          <cell r="AK379">
            <v>45778</v>
          </cell>
          <cell r="AL379" t="str">
            <v>Cao đẳng</v>
          </cell>
          <cell r="AM379" t="str">
            <v>Điều dưỡng CĐ</v>
          </cell>
          <cell r="AR379">
            <v>0</v>
          </cell>
          <cell r="AS379">
            <v>0</v>
          </cell>
          <cell r="AT379">
            <v>0</v>
          </cell>
          <cell r="AU379">
            <v>0</v>
          </cell>
          <cell r="AV379">
            <v>0</v>
          </cell>
          <cell r="AW379" t="str">
            <v>x</v>
          </cell>
          <cell r="AY379" t="str">
            <v>Tày</v>
          </cell>
          <cell r="AZ379">
            <v>38763</v>
          </cell>
          <cell r="BA379" t="e">
            <v>#REF!</v>
          </cell>
          <cell r="BB379" t="e">
            <v>#REF!</v>
          </cell>
          <cell r="BC379" t="str">
            <v>29/8/2017</v>
          </cell>
        </row>
        <row r="380">
          <cell r="A380" t="str">
            <v>BV0543</v>
          </cell>
          <cell r="B380">
            <v>374</v>
          </cell>
          <cell r="C380" t="str">
            <v>Lăng Kim Liên</v>
          </cell>
          <cell r="D380" t="str">
            <v>BV0543</v>
          </cell>
          <cell r="E380">
            <v>1596007617</v>
          </cell>
          <cell r="G380" t="str">
            <v>020172000383, ngày cấp 28/03/2021, cục cảnh sát QLHCVTTXH</v>
          </cell>
          <cell r="I380">
            <v>26345</v>
          </cell>
          <cell r="J380">
            <v>54</v>
          </cell>
          <cell r="K380" t="str">
            <v>080992552</v>
          </cell>
          <cell r="L380" t="str">
            <v>09/09/1998</v>
          </cell>
          <cell r="M380" t="str">
            <v>CA tỉnh Lạng Sơn</v>
          </cell>
          <cell r="P380" t="str">
            <v>Huyện Bình Gia</v>
          </cell>
          <cell r="Q380" t="str">
            <v>Tỉnh Lạng Sơn</v>
          </cell>
          <cell r="S380" t="str">
            <v>Phường Tam Thanh</v>
          </cell>
          <cell r="T380" t="str">
            <v>Thành phố Lạng Sơn</v>
          </cell>
          <cell r="U380" t="str">
            <v>Tỉnh Lạng Sơn</v>
          </cell>
          <cell r="V380" t="str">
            <v>Phường Tam Thanh, Thành phố Lạng Sơn, Tỉnh Lạng Sơn</v>
          </cell>
          <cell r="W380" t="str">
            <v>11/10/1995</v>
          </cell>
          <cell r="AA380">
            <v>0</v>
          </cell>
          <cell r="AB380" t="str">
            <v>TĐ012</v>
          </cell>
          <cell r="AC380" t="str">
            <v>TDCN</v>
          </cell>
          <cell r="AD380" t="str">
            <v>KP033</v>
          </cell>
          <cell r="AE380" t="str">
            <v>Viên chức</v>
          </cell>
          <cell r="AF380" t="str">
            <v>V.08.05.13</v>
          </cell>
          <cell r="AG380" t="str">
            <v>Điều dưỡng (hạng IV)</v>
          </cell>
          <cell r="AH380">
            <v>4.58</v>
          </cell>
          <cell r="AI380">
            <v>9</v>
          </cell>
          <cell r="AJ380">
            <v>0</v>
          </cell>
          <cell r="AK380">
            <v>44927</v>
          </cell>
          <cell r="AL380" t="str">
            <v>Cao đẳng</v>
          </cell>
          <cell r="AM380" t="str">
            <v>Điều dưỡng CĐ</v>
          </cell>
          <cell r="AR380">
            <v>0</v>
          </cell>
          <cell r="AS380">
            <v>0</v>
          </cell>
          <cell r="AT380">
            <v>0</v>
          </cell>
          <cell r="AU380">
            <v>0</v>
          </cell>
          <cell r="AV380">
            <v>0</v>
          </cell>
          <cell r="AW380" t="str">
            <v>A</v>
          </cell>
          <cell r="AY380" t="str">
            <v>Nùng</v>
          </cell>
          <cell r="AZ380">
            <v>41396</v>
          </cell>
          <cell r="BA380" t="e">
            <v>#REF!</v>
          </cell>
          <cell r="BB380" t="e">
            <v>#REF!</v>
          </cell>
          <cell r="BC380" t="str">
            <v>24/06/2013</v>
          </cell>
        </row>
        <row r="381">
          <cell r="A381" t="str">
            <v>BV0545</v>
          </cell>
          <cell r="B381">
            <v>375</v>
          </cell>
          <cell r="C381" t="str">
            <v>Lã Bích Hiệp</v>
          </cell>
          <cell r="D381" t="str">
            <v>BV0545</v>
          </cell>
          <cell r="E381">
            <v>1507000625</v>
          </cell>
          <cell r="G381" t="str">
            <v>020183001555, ngày cấp 25/04/2021, cục cảnh sát QLHCVTTXH</v>
          </cell>
          <cell r="I381">
            <v>30522</v>
          </cell>
          <cell r="J381">
            <v>42</v>
          </cell>
          <cell r="K381" t="str">
            <v>080957446</v>
          </cell>
          <cell r="L381" t="str">
            <v>14/04/2000</v>
          </cell>
          <cell r="M381" t="str">
            <v>CA tỉnh Lạng Sơn</v>
          </cell>
          <cell r="P381" t="str">
            <v>Huyện Cao Lộc</v>
          </cell>
          <cell r="Q381" t="str">
            <v>Tỉnh Lạng Sơn</v>
          </cell>
          <cell r="S381" t="str">
            <v>Thị trấn Cao Lộc</v>
          </cell>
          <cell r="T381" t="str">
            <v>Huyện Cao Lộc</v>
          </cell>
          <cell r="U381" t="str">
            <v>Tỉnh Lạng Sơn</v>
          </cell>
          <cell r="V381" t="str">
            <v>Thị trấn Cao Lộc, Huyện Cao Lộc, Tỉnh Lạng Sơn</v>
          </cell>
          <cell r="W381" t="str">
            <v>8/12/2008</v>
          </cell>
          <cell r="AA381">
            <v>0</v>
          </cell>
          <cell r="AB381" t="str">
            <v>TĐ012</v>
          </cell>
          <cell r="AC381" t="str">
            <v>TDCN</v>
          </cell>
          <cell r="AD381" t="str">
            <v>KP033</v>
          </cell>
          <cell r="AE381" t="str">
            <v>Viên chức</v>
          </cell>
          <cell r="AF381" t="str">
            <v>V.08.05.13</v>
          </cell>
          <cell r="AG381" t="str">
            <v>Điều dưỡng (hạng IV)</v>
          </cell>
          <cell r="AH381">
            <v>3.65</v>
          </cell>
          <cell r="AI381">
            <v>6</v>
          </cell>
          <cell r="AJ381">
            <v>0</v>
          </cell>
          <cell r="AK381">
            <v>45992</v>
          </cell>
          <cell r="AL381" t="str">
            <v>Cao đẳng</v>
          </cell>
          <cell r="AM381" t="str">
            <v>Điều dưỡng CĐ</v>
          </cell>
          <cell r="AR381">
            <v>0</v>
          </cell>
          <cell r="AS381">
            <v>0</v>
          </cell>
          <cell r="AT381">
            <v>0</v>
          </cell>
          <cell r="AU381">
            <v>0</v>
          </cell>
          <cell r="AV381" t="str">
            <v>x</v>
          </cell>
          <cell r="AW381" t="str">
            <v>B</v>
          </cell>
          <cell r="AY381" t="str">
            <v>Tày</v>
          </cell>
          <cell r="BA381" t="e">
            <v>#REF!</v>
          </cell>
          <cell r="BB381" t="e">
            <v>#REF!</v>
          </cell>
          <cell r="BC381" t="str">
            <v>24/06/2013</v>
          </cell>
        </row>
        <row r="382">
          <cell r="A382" t="str">
            <v>BV0548</v>
          </cell>
          <cell r="B382">
            <v>376</v>
          </cell>
          <cell r="C382" t="str">
            <v>Triệu Văn Tuân</v>
          </cell>
          <cell r="D382" t="str">
            <v>BV0548</v>
          </cell>
          <cell r="E382">
            <v>1504002809</v>
          </cell>
          <cell r="G382" t="str">
            <v>020081000254, ngày cấp 25/03/2021, cục cảnh sát QLHCVTTXH</v>
          </cell>
          <cell r="H382">
            <v>29587</v>
          </cell>
          <cell r="J382">
            <v>45</v>
          </cell>
          <cell r="K382" t="str">
            <v>080991544</v>
          </cell>
          <cell r="L382" t="str">
            <v>28/03/2013</v>
          </cell>
          <cell r="M382" t="str">
            <v>CA tỉnh Lạng Sơn</v>
          </cell>
          <cell r="P382" t="str">
            <v>Huyện Văn Quan</v>
          </cell>
          <cell r="Q382" t="str">
            <v>Tỉnh Lạng Sơn</v>
          </cell>
          <cell r="S382" t="str">
            <v>Phường Tam Thanh</v>
          </cell>
          <cell r="T382" t="str">
            <v>Thành phố Lạng Sơn</v>
          </cell>
          <cell r="U382" t="str">
            <v>Tỉnh Lạng Sơn</v>
          </cell>
          <cell r="V382" t="str">
            <v>Phường Tam Thanh, Thành phố Lạng Sơn, Tỉnh Lạng Sơn</v>
          </cell>
          <cell r="W382" t="str">
            <v>17/11/2003</v>
          </cell>
          <cell r="AA382">
            <v>0</v>
          </cell>
          <cell r="AB382" t="str">
            <v>TĐ012</v>
          </cell>
          <cell r="AC382" t="str">
            <v>TDCN</v>
          </cell>
          <cell r="AD382" t="str">
            <v>KP033</v>
          </cell>
          <cell r="AE382" t="str">
            <v>Viên chức</v>
          </cell>
          <cell r="AF382" t="str">
            <v>V.08.05.13</v>
          </cell>
          <cell r="AG382" t="str">
            <v>Điều dưỡng (hạng IV)</v>
          </cell>
          <cell r="AH382">
            <v>3.96</v>
          </cell>
          <cell r="AI382">
            <v>7</v>
          </cell>
          <cell r="AJ382">
            <v>0</v>
          </cell>
          <cell r="AK382">
            <v>44927</v>
          </cell>
          <cell r="AL382" t="str">
            <v>Cao đẳng</v>
          </cell>
          <cell r="AM382" t="str">
            <v>Điều dưỡng CĐ</v>
          </cell>
          <cell r="AO382" t="str">
            <v>CĐ Y Lạng Sơn</v>
          </cell>
          <cell r="AP382">
            <v>2018</v>
          </cell>
          <cell r="AR382">
            <v>0</v>
          </cell>
          <cell r="AS382">
            <v>0</v>
          </cell>
          <cell r="AT382">
            <v>0</v>
          </cell>
          <cell r="AU382">
            <v>0</v>
          </cell>
          <cell r="AV382" t="str">
            <v>x</v>
          </cell>
          <cell r="AW382" t="str">
            <v>A</v>
          </cell>
          <cell r="AY382" t="str">
            <v>Nùng</v>
          </cell>
          <cell r="AZ382">
            <v>39902</v>
          </cell>
          <cell r="BA382" t="e">
            <v>#REF!</v>
          </cell>
          <cell r="BB382" t="e">
            <v>#REF!</v>
          </cell>
          <cell r="BC382" t="str">
            <v>24/06/2013</v>
          </cell>
        </row>
        <row r="383">
          <cell r="A383" t="str">
            <v>BV0011</v>
          </cell>
          <cell r="B383">
            <v>377</v>
          </cell>
          <cell r="C383" t="str">
            <v>Vi Văn Hải</v>
          </cell>
          <cell r="D383" t="str">
            <v>BV0011</v>
          </cell>
          <cell r="E383">
            <v>1505002929</v>
          </cell>
          <cell r="G383" t="str">
            <v>025081000976
ngày cấp 25/03/2021, nơi cấp: Cục cảnh sát quản lý hành chính và trật tự xã hội</v>
          </cell>
          <cell r="H383">
            <v>29849</v>
          </cell>
          <cell r="J383">
            <v>44</v>
          </cell>
          <cell r="K383" t="str">
            <v>082105792</v>
          </cell>
          <cell r="L383" t="str">
            <v>28/03/2007</v>
          </cell>
          <cell r="M383" t="str">
            <v>CA tỉnh Lạng Sơn</v>
          </cell>
          <cell r="O383" t="str">
            <v>Xã Tây Cốc</v>
          </cell>
          <cell r="P383" t="str">
            <v>Huyện Đoan Hùng</v>
          </cell>
          <cell r="Q383" t="str">
            <v>Tỉnh Vĩnh Phú</v>
          </cell>
          <cell r="S383" t="str">
            <v>Phường Tam Thanh</v>
          </cell>
          <cell r="T383" t="str">
            <v>Thành phố Lạng Sơn</v>
          </cell>
          <cell r="U383" t="str">
            <v>Tỉnh Lạng Sơn</v>
          </cell>
          <cell r="V383" t="str">
            <v>Phường Tam Thanh, Thành phố Lạng Sơn, Tỉnh Lạng Sơn</v>
          </cell>
          <cell r="W383" t="str">
            <v>16/2/2005</v>
          </cell>
          <cell r="AA383">
            <v>0</v>
          </cell>
          <cell r="AB383" t="str">
            <v>TĐ012</v>
          </cell>
          <cell r="AC383" t="str">
            <v>Chấn thương - Bỏng</v>
          </cell>
          <cell r="AD383" t="str">
            <v>KP014</v>
          </cell>
          <cell r="AE383" t="str">
            <v>Viên chức</v>
          </cell>
          <cell r="AF383" t="str">
            <v>V.08.05.13</v>
          </cell>
          <cell r="AG383" t="str">
            <v>Điều dưỡng (hạng IV)</v>
          </cell>
          <cell r="AH383">
            <v>4.2699999999999996</v>
          </cell>
          <cell r="AI383">
            <v>8</v>
          </cell>
          <cell r="AJ383">
            <v>0</v>
          </cell>
          <cell r="AK383">
            <v>45839</v>
          </cell>
          <cell r="AL383" t="str">
            <v>Cao đẳng</v>
          </cell>
          <cell r="AM383" t="str">
            <v>Điều dưỡng CĐ</v>
          </cell>
          <cell r="AO383" t="str">
            <v>Trung học Y tế Lạng Sơn</v>
          </cell>
          <cell r="AP383">
            <v>2002</v>
          </cell>
          <cell r="AQ383" t="str">
            <v>12/12</v>
          </cell>
          <cell r="AR383">
            <v>0</v>
          </cell>
          <cell r="AS383">
            <v>0</v>
          </cell>
          <cell r="AT383">
            <v>0</v>
          </cell>
          <cell r="AU383">
            <v>0</v>
          </cell>
          <cell r="AV383" t="str">
            <v>x</v>
          </cell>
          <cell r="AW383" t="str">
            <v>B</v>
          </cell>
          <cell r="AY383" t="str">
            <v>Kinh</v>
          </cell>
          <cell r="BA383" t="e">
            <v>#REF!</v>
          </cell>
          <cell r="BB383" t="e">
            <v>#REF!</v>
          </cell>
        </row>
        <row r="384">
          <cell r="A384" t="str">
            <v>BV0514</v>
          </cell>
          <cell r="B384">
            <v>378</v>
          </cell>
          <cell r="C384" t="str">
            <v>Lý Kiên Trung</v>
          </cell>
          <cell r="D384" t="str">
            <v>BV0514</v>
          </cell>
          <cell r="E384">
            <v>2010000124</v>
          </cell>
          <cell r="G384" t="str">
            <v>CMT: 080968807, 
Ngày cấp 24/08/2015, 
CA Lạng Sơn</v>
          </cell>
          <cell r="H384">
            <v>30614</v>
          </cell>
          <cell r="J384">
            <v>42</v>
          </cell>
          <cell r="K384" t="str">
            <v>080968807</v>
          </cell>
          <cell r="L384" t="str">
            <v>23/02/2001</v>
          </cell>
          <cell r="M384" t="str">
            <v>CA tỉnh Lạng Sơn</v>
          </cell>
          <cell r="O384" t="str">
            <v>Xã Vạn Linh</v>
          </cell>
          <cell r="P384" t="str">
            <v>Huyện Chi Lăng</v>
          </cell>
          <cell r="Q384" t="str">
            <v>Tỉnh Lạng Sơn</v>
          </cell>
          <cell r="S384" t="str">
            <v>Xã Quang Lang</v>
          </cell>
          <cell r="T384" t="str">
            <v>Huyện Chi Lăng</v>
          </cell>
          <cell r="U384" t="str">
            <v>Tỉnh Lạng Sơn</v>
          </cell>
          <cell r="V384" t="str">
            <v>Xã Quang Lang, Huyện Chi Lăng, Tỉnh Lạng Sơn</v>
          </cell>
          <cell r="W384" t="str">
            <v>15/1/2010</v>
          </cell>
          <cell r="AA384" t="str">
            <v>Trưởng khoa</v>
          </cell>
          <cell r="AB384" t="str">
            <v>TĐ003</v>
          </cell>
          <cell r="AC384" t="str">
            <v>CĐHA</v>
          </cell>
          <cell r="AD384" t="str">
            <v>KP034</v>
          </cell>
          <cell r="AE384" t="str">
            <v>Viên chức</v>
          </cell>
          <cell r="AF384" t="str">
            <v>V.08.01.02</v>
          </cell>
          <cell r="AG384" t="str">
            <v>Bác sĩ chính (hạng II)</v>
          </cell>
          <cell r="AH384">
            <v>4.74</v>
          </cell>
          <cell r="AI384">
            <v>2</v>
          </cell>
          <cell r="AJ384">
            <v>0</v>
          </cell>
          <cell r="AK384">
            <v>45992</v>
          </cell>
          <cell r="AL384" t="str">
            <v>Đại học</v>
          </cell>
          <cell r="AM384" t="str">
            <v>BSCKI</v>
          </cell>
          <cell r="AN384" t="str">
            <v>Chẩn đoán hình ảnh</v>
          </cell>
          <cell r="AO384" t="str">
            <v>ĐH Y hà Nội</v>
          </cell>
          <cell r="AP384">
            <v>2017</v>
          </cell>
          <cell r="AR384" t="str">
            <v>Chuyên viên</v>
          </cell>
          <cell r="AS384">
            <v>0</v>
          </cell>
          <cell r="AT384" t="str">
            <v>Sơ cấp</v>
          </cell>
          <cell r="AU384" t="str">
            <v>Anh C</v>
          </cell>
          <cell r="AV384" t="str">
            <v>X</v>
          </cell>
          <cell r="AW384" t="str">
            <v>B</v>
          </cell>
          <cell r="AY384" t="str">
            <v>Nùng</v>
          </cell>
          <cell r="AZ384">
            <v>41912</v>
          </cell>
          <cell r="BA384" t="e">
            <v>#REF!</v>
          </cell>
          <cell r="BB384" t="e">
            <v>#REF!</v>
          </cell>
          <cell r="BC384" t="str">
            <v>28/06/2012</v>
          </cell>
        </row>
        <row r="385">
          <cell r="A385" t="str">
            <v>BV0497</v>
          </cell>
          <cell r="B385">
            <v>379</v>
          </cell>
          <cell r="C385" t="str">
            <v>Hoàng Thế Xuân</v>
          </cell>
          <cell r="D385" t="str">
            <v>BV0497</v>
          </cell>
          <cell r="E385">
            <v>2013002638</v>
          </cell>
          <cell r="G385" t="str">
            <v>CMT: 082015389,
Ngày cấp 19/07/2019, 
CA Lạng Sơn</v>
          </cell>
          <cell r="H385">
            <v>32055</v>
          </cell>
          <cell r="J385">
            <v>38</v>
          </cell>
          <cell r="K385" t="str">
            <v>082015389</v>
          </cell>
          <cell r="L385" t="str">
            <v>14/07/2004</v>
          </cell>
          <cell r="M385" t="str">
            <v>CA tỉnh Lạng Sơn</v>
          </cell>
          <cell r="P385" t="str">
            <v>Huyện Hữu Lũng</v>
          </cell>
          <cell r="Q385" t="str">
            <v>Tỉnh Lạng Sơn</v>
          </cell>
          <cell r="S385" t="str">
            <v>Xã Yên Bình</v>
          </cell>
          <cell r="T385" t="str">
            <v>Huyện Hữu Lũng</v>
          </cell>
          <cell r="U385" t="str">
            <v>Tỉnh Lạng Sơn</v>
          </cell>
          <cell r="V385" t="str">
            <v>Xã Yên Bình, Huyện Hữu Lũng, Tỉnh Lạng Sơn</v>
          </cell>
          <cell r="W385" t="str">
            <v>01/11/2014</v>
          </cell>
          <cell r="AA385" t="str">
            <v>Phó trưởng khoa</v>
          </cell>
          <cell r="AB385" t="str">
            <v>TĐ003</v>
          </cell>
          <cell r="AC385" t="str">
            <v>CĐHA</v>
          </cell>
          <cell r="AD385" t="str">
            <v>KP034</v>
          </cell>
          <cell r="AE385" t="str">
            <v>Viên chức</v>
          </cell>
          <cell r="AF385" t="str">
            <v>V.08.01.03</v>
          </cell>
          <cell r="AG385" t="str">
            <v>Bác sĩ chính (hạng II)</v>
          </cell>
          <cell r="AH385">
            <v>4.4000000000000004</v>
          </cell>
          <cell r="AI385">
            <v>1</v>
          </cell>
          <cell r="AJ385">
            <v>0</v>
          </cell>
          <cell r="AK385">
            <v>45809</v>
          </cell>
          <cell r="AL385" t="str">
            <v>Đại học</v>
          </cell>
          <cell r="AM385" t="str">
            <v>BSCKI</v>
          </cell>
          <cell r="AN385" t="str">
            <v>Chẩn đoán hình ảnh</v>
          </cell>
          <cell r="AO385" t="str">
            <v>ĐH Y dược Thái Nguyên</v>
          </cell>
          <cell r="AP385">
            <v>2013</v>
          </cell>
          <cell r="AQ385" t="str">
            <v>12/12</v>
          </cell>
          <cell r="AR385">
            <v>0</v>
          </cell>
          <cell r="AS385" t="str">
            <v>X</v>
          </cell>
          <cell r="AT385" t="str">
            <v>Sơ cấp</v>
          </cell>
          <cell r="AU385" t="str">
            <v>Anh B</v>
          </cell>
          <cell r="AV385">
            <v>0</v>
          </cell>
          <cell r="AW385" t="str">
            <v>B</v>
          </cell>
          <cell r="AY385" t="str">
            <v>Nùng</v>
          </cell>
          <cell r="AZ385">
            <v>43070</v>
          </cell>
          <cell r="BC385" t="str">
            <v>01/6/2016</v>
          </cell>
        </row>
        <row r="386">
          <cell r="A386" t="str">
            <v>BV0517</v>
          </cell>
          <cell r="B386">
            <v>380</v>
          </cell>
          <cell r="C386" t="str">
            <v>Nguyễn Thị Bách</v>
          </cell>
          <cell r="D386" t="str">
            <v>BV0517</v>
          </cell>
          <cell r="E386">
            <v>2014002792</v>
          </cell>
          <cell r="G386" t="str">
            <v>CMT: 082151969, 
Ngày cấp 12/03/2012, 
CA Lạng Sơn</v>
          </cell>
          <cell r="I386">
            <v>32905</v>
          </cell>
          <cell r="J386">
            <v>36</v>
          </cell>
          <cell r="K386" t="str">
            <v>082151969</v>
          </cell>
          <cell r="L386" t="str">
            <v>12/03/2012</v>
          </cell>
          <cell r="M386" t="str">
            <v>CA tỉnh Lạng Sơn</v>
          </cell>
          <cell r="O386" t="str">
            <v>Xã Vũ Lăng</v>
          </cell>
          <cell r="P386" t="str">
            <v>Huyện Bắc Sơn</v>
          </cell>
          <cell r="Q386" t="str">
            <v>Tỉnh Lạng Sơn</v>
          </cell>
          <cell r="S386" t="str">
            <v>Xã Vũ Lăng</v>
          </cell>
          <cell r="T386" t="str">
            <v>Huyện Bắc Sơn</v>
          </cell>
          <cell r="U386" t="str">
            <v>Tỉnh Lạng Sơn</v>
          </cell>
          <cell r="V386" t="str">
            <v>Xã Vũ Lăng, Huyện Bắc Sơn, Tỉnh Lạng Sơn</v>
          </cell>
          <cell r="W386" t="str">
            <v>01/11/2014</v>
          </cell>
          <cell r="AA386">
            <v>0</v>
          </cell>
          <cell r="AB386" t="str">
            <v>TĐ005</v>
          </cell>
          <cell r="AC386" t="str">
            <v>CĐHA</v>
          </cell>
          <cell r="AD386" t="str">
            <v>KP034</v>
          </cell>
          <cell r="AE386" t="str">
            <v>Viên chức</v>
          </cell>
          <cell r="AF386" t="str">
            <v>V.08.01.03</v>
          </cell>
          <cell r="AG386" t="str">
            <v>Bác sĩ (hạng III)</v>
          </cell>
          <cell r="AH386">
            <v>3.33</v>
          </cell>
          <cell r="AI386">
            <v>4</v>
          </cell>
          <cell r="AJ386">
            <v>0</v>
          </cell>
          <cell r="AK386">
            <v>45323</v>
          </cell>
          <cell r="AL386" t="str">
            <v>Đại học</v>
          </cell>
          <cell r="AM386" t="str">
            <v>Bác sĩ</v>
          </cell>
          <cell r="AN386" t="str">
            <v>Chẩn đoán hình ảnh</v>
          </cell>
          <cell r="AO386" t="str">
            <v>ĐH Y dược Thái Nguyên</v>
          </cell>
          <cell r="AP386">
            <v>2014</v>
          </cell>
          <cell r="AQ386" t="str">
            <v>12/12</v>
          </cell>
          <cell r="AR386">
            <v>0</v>
          </cell>
          <cell r="AS386">
            <v>0</v>
          </cell>
          <cell r="AT386" t="str">
            <v>Sơ cấp</v>
          </cell>
          <cell r="AU386" t="str">
            <v>Anh A2</v>
          </cell>
          <cell r="AV386">
            <v>0</v>
          </cell>
          <cell r="AW386" t="str">
            <v>Cơ bản</v>
          </cell>
          <cell r="AY386" t="str">
            <v>Tày</v>
          </cell>
          <cell r="BA386" t="e">
            <v>#REF!</v>
          </cell>
          <cell r="BB386" t="e">
            <v>#REF!</v>
          </cell>
          <cell r="BC386" t="str">
            <v>24/06/2013</v>
          </cell>
        </row>
        <row r="387">
          <cell r="A387" t="str">
            <v>BV0678</v>
          </cell>
          <cell r="B387">
            <v>381</v>
          </cell>
          <cell r="C387" t="str">
            <v>Hoàng Trọng Hiếu</v>
          </cell>
          <cell r="D387" t="str">
            <v>BV0678</v>
          </cell>
          <cell r="E387">
            <v>2016000982</v>
          </cell>
          <cell r="G387" t="str">
            <v>CMT: 082098470,
Ngày cấp 07/02/2014, 
CA Lạng Sơn</v>
          </cell>
          <cell r="H387" t="str">
            <v>14/3/1990</v>
          </cell>
          <cell r="J387">
            <v>36</v>
          </cell>
          <cell r="K387" t="str">
            <v>082098470</v>
          </cell>
          <cell r="M387" t="str">
            <v>CA tỉnh Lạng Sơn</v>
          </cell>
          <cell r="O387" t="str">
            <v>Xã Văn An</v>
          </cell>
          <cell r="P387" t="str">
            <v>Huyện Văn Quan</v>
          </cell>
          <cell r="Q387" t="str">
            <v>Tỉnh Lạng Sơn</v>
          </cell>
          <cell r="S387" t="str">
            <v>Xã Văn An</v>
          </cell>
          <cell r="T387" t="str">
            <v>Huyện Văn Quan</v>
          </cell>
          <cell r="U387" t="str">
            <v>Tỉnh Lạng Sơn</v>
          </cell>
          <cell r="V387" t="str">
            <v>Xã Văn An, Huyện Văn Quan, Tỉnh Lạng Sơn</v>
          </cell>
          <cell r="W387" t="str">
            <v>10/01/2016</v>
          </cell>
          <cell r="AA387">
            <v>0</v>
          </cell>
          <cell r="AB387" t="str">
            <v>TĐ003</v>
          </cell>
          <cell r="AC387" t="str">
            <v>CĐHA</v>
          </cell>
          <cell r="AD387" t="str">
            <v>KP034</v>
          </cell>
          <cell r="AE387" t="str">
            <v>Viên chức</v>
          </cell>
          <cell r="AF387" t="str">
            <v>V.08.01.03</v>
          </cell>
          <cell r="AG387" t="str">
            <v>Bác sĩ (hạng III)</v>
          </cell>
          <cell r="AH387">
            <v>3.33</v>
          </cell>
          <cell r="AI387">
            <v>4</v>
          </cell>
          <cell r="AJ387">
            <v>0</v>
          </cell>
          <cell r="AK387">
            <v>45951</v>
          </cell>
          <cell r="AL387" t="str">
            <v>Đại học</v>
          </cell>
          <cell r="AM387" t="str">
            <v>BSCKI</v>
          </cell>
          <cell r="AN387" t="str">
            <v>Chẩn đoán hình ảnh</v>
          </cell>
          <cell r="AO387" t="str">
            <v>ĐH Y Hà Nội</v>
          </cell>
          <cell r="AP387">
            <v>2015</v>
          </cell>
          <cell r="AQ387" t="str">
            <v>12/12</v>
          </cell>
          <cell r="AR387">
            <v>0</v>
          </cell>
          <cell r="AS387">
            <v>0</v>
          </cell>
          <cell r="AT387" t="str">
            <v>Sơ cấp</v>
          </cell>
          <cell r="AU387" t="str">
            <v>Anh B2</v>
          </cell>
          <cell r="AV387">
            <v>0</v>
          </cell>
          <cell r="AW387" t="str">
            <v>B</v>
          </cell>
          <cell r="AY387" t="str">
            <v>tày</v>
          </cell>
          <cell r="BA387" t="e">
            <v>#REF!</v>
          </cell>
          <cell r="BB387" t="e">
            <v>#REF!</v>
          </cell>
          <cell r="BC387" t="str">
            <v>18/07/2016</v>
          </cell>
        </row>
        <row r="388">
          <cell r="A388" t="str">
            <v>BV0755</v>
          </cell>
          <cell r="B388">
            <v>382</v>
          </cell>
          <cell r="C388" t="str">
            <v>Lương Khánh Tú</v>
          </cell>
          <cell r="D388" t="str">
            <v>BV0755</v>
          </cell>
          <cell r="E388" t="str">
            <v>2020024126</v>
          </cell>
          <cell r="G388" t="str">
            <v>CMT: 082077424, 
Ngày cấp 12/04/2006 
CA Lạng Sơn</v>
          </cell>
          <cell r="I388" t="str">
            <v>17/6/1990</v>
          </cell>
          <cell r="J388">
            <v>36</v>
          </cell>
          <cell r="K388" t="str">
            <v>082077424</v>
          </cell>
          <cell r="L388" t="str">
            <v>12/4/2006</v>
          </cell>
          <cell r="M388" t="str">
            <v>CA tỉnh Lạng Sơn</v>
          </cell>
          <cell r="N388" t="str">
            <v>Tỉnh Lạng Sơn</v>
          </cell>
          <cell r="O388" t="str">
            <v>Xã Liêm Chính</v>
          </cell>
          <cell r="P388" t="str">
            <v>Huyện Phủ Lý</v>
          </cell>
          <cell r="Q388" t="str">
            <v xml:space="preserve"> Hà Nam</v>
          </cell>
          <cell r="R388" t="str">
            <v>Số 39 ngõ 9 khối 6, phường Hoàng Văn Thụ, TP. Lạng Sơn</v>
          </cell>
          <cell r="V388" t="str">
            <v>Số 39 ngõ 9 khối 6, phường Hoàng Văn Thụ, TP. Lạng Sơn</v>
          </cell>
          <cell r="W388" t="str">
            <v>20/3/2018</v>
          </cell>
          <cell r="X388" t="str">
            <v>01/01/2017</v>
          </cell>
          <cell r="Y388">
            <v>600</v>
          </cell>
          <cell r="Z388" t="str">
            <v>18/3/2018</v>
          </cell>
          <cell r="AA388">
            <v>0</v>
          </cell>
          <cell r="AB388" t="str">
            <v>TĐ005</v>
          </cell>
          <cell r="AC388" t="str">
            <v>CĐHA</v>
          </cell>
          <cell r="AD388" t="str">
            <v>KP034</v>
          </cell>
          <cell r="AE388" t="str">
            <v>Viên chức</v>
          </cell>
          <cell r="AF388" t="str">
            <v>V.08.01.03</v>
          </cell>
          <cell r="AG388" t="str">
            <v>Bác sĩ (hạng III)</v>
          </cell>
          <cell r="AH388">
            <v>3</v>
          </cell>
          <cell r="AI388">
            <v>3</v>
          </cell>
          <cell r="AJ388">
            <v>0</v>
          </cell>
          <cell r="AK388">
            <v>45250</v>
          </cell>
          <cell r="AL388" t="str">
            <v>Đại học</v>
          </cell>
          <cell r="AM388" t="str">
            <v>Bác sĩ</v>
          </cell>
          <cell r="AN388" t="str">
            <v>Chẩn đoán hình ảnh</v>
          </cell>
          <cell r="AO388" t="str">
            <v>Đại học Y Dược  - ĐH Thái Nguyên</v>
          </cell>
          <cell r="AP388">
            <v>2016</v>
          </cell>
          <cell r="AQ388" t="str">
            <v>12/12</v>
          </cell>
          <cell r="AR388">
            <v>0</v>
          </cell>
          <cell r="AS388">
            <v>0</v>
          </cell>
          <cell r="AT388" t="str">
            <v>Sơ cấp</v>
          </cell>
          <cell r="AU388" t="str">
            <v>Anh A2</v>
          </cell>
          <cell r="AV388">
            <v>0</v>
          </cell>
          <cell r="AW388" t="str">
            <v>B</v>
          </cell>
          <cell r="AY388" t="str">
            <v>Kinh</v>
          </cell>
          <cell r="BC388" t="str">
            <v>01/08/2012</v>
          </cell>
        </row>
        <row r="389">
          <cell r="A389" t="str">
            <v>BV0826</v>
          </cell>
          <cell r="B389">
            <v>383</v>
          </cell>
          <cell r="C389" t="str">
            <v>Triệu Văn Tú</v>
          </cell>
          <cell r="D389" t="str">
            <v>BV0826</v>
          </cell>
          <cell r="E389" t="str">
            <v>2014002636</v>
          </cell>
          <cell r="G389" t="str">
            <v>020089004618 cấp ngày 13/8/2021, nơi cấp: Cục cảnh sát quản lý hành chính và trật tự xã hội</v>
          </cell>
          <cell r="H389" t="str">
            <v>30/01/1989</v>
          </cell>
          <cell r="J389">
            <v>37</v>
          </cell>
          <cell r="K389" t="str">
            <v>081052647</v>
          </cell>
          <cell r="L389" t="str">
            <v>13/04/2013</v>
          </cell>
          <cell r="M389" t="str">
            <v>CA tỉnh Lạng Sơn</v>
          </cell>
          <cell r="N389" t="str">
            <v>Cao Lâu, Cao Lộc</v>
          </cell>
          <cell r="O389" t="str">
            <v>Cao lâu</v>
          </cell>
          <cell r="P389" t="str">
            <v>Cao Lộc</v>
          </cell>
          <cell r="Q389" t="str">
            <v>Lạng Sơn</v>
          </cell>
          <cell r="R389" t="str">
            <v>Thôn Phai Trần</v>
          </cell>
          <cell r="S389" t="str">
            <v>Hoàng Đồng</v>
          </cell>
          <cell r="T389" t="str">
            <v>TP. Lạng Sơn</v>
          </cell>
          <cell r="U389" t="str">
            <v>Lạng Sơn</v>
          </cell>
          <cell r="V389" t="str">
            <v>Hoàng Đồng, TP. Lạng Sơn, Lạng Sơn</v>
          </cell>
          <cell r="W389" t="str">
            <v>01/11/2014</v>
          </cell>
          <cell r="X389" t="str">
            <v>Trung tâm phòng chống HIV/AIDS</v>
          </cell>
          <cell r="Y389" t="str">
            <v>2807/QĐ-SYT</v>
          </cell>
          <cell r="Z389" t="str">
            <v>17/10/2014</v>
          </cell>
          <cell r="AA389">
            <v>0</v>
          </cell>
          <cell r="AB389" t="str">
            <v>TĐ005</v>
          </cell>
          <cell r="AC389" t="str">
            <v>UB-YHHN</v>
          </cell>
          <cell r="AD389" t="str">
            <v>KP011</v>
          </cell>
          <cell r="AE389" t="str">
            <v>Viên chức</v>
          </cell>
          <cell r="AF389" t="str">
            <v>V.08.01.03</v>
          </cell>
          <cell r="AG389" t="str">
            <v>Bác sĩ (hạng III)</v>
          </cell>
          <cell r="AH389">
            <v>3.66</v>
          </cell>
          <cell r="AI389">
            <v>5</v>
          </cell>
          <cell r="AJ389">
            <v>0</v>
          </cell>
          <cell r="AK389">
            <v>45962</v>
          </cell>
          <cell r="AL389" t="str">
            <v>Đại học</v>
          </cell>
          <cell r="AM389" t="str">
            <v>Bác sĩ</v>
          </cell>
          <cell r="AN389" t="str">
            <v>Đa khoa</v>
          </cell>
          <cell r="AO389" t="str">
            <v>ĐH Y Dược Thái Nguyên</v>
          </cell>
          <cell r="AP389">
            <v>2013</v>
          </cell>
          <cell r="AQ389" t="str">
            <v>12/12</v>
          </cell>
          <cell r="AR389">
            <v>0</v>
          </cell>
          <cell r="AS389" t="str">
            <v>X</v>
          </cell>
          <cell r="AT389" t="str">
            <v>Sơ cấp</v>
          </cell>
          <cell r="AU389">
            <v>0</v>
          </cell>
          <cell r="AV389" t="str">
            <v>X</v>
          </cell>
          <cell r="AW389" t="str">
            <v>Cơ bản</v>
          </cell>
          <cell r="AY389" t="str">
            <v>Tày</v>
          </cell>
          <cell r="BC389" t="str">
            <v>13/10/2016</v>
          </cell>
        </row>
        <row r="390">
          <cell r="A390" t="str">
            <v>BV0449</v>
          </cell>
          <cell r="B390">
            <v>384</v>
          </cell>
          <cell r="C390" t="str">
            <v>Nguyễn Văn Quỳnh</v>
          </cell>
          <cell r="D390" t="str">
            <v>BV0449</v>
          </cell>
          <cell r="E390">
            <v>1596007591</v>
          </cell>
          <cell r="G390" t="str">
            <v>CMT: 080664885, 
Ngày cấp 05/02/2013, 
CA Lạng Sơn</v>
          </cell>
          <cell r="H390">
            <v>23670</v>
          </cell>
          <cell r="J390">
            <v>61</v>
          </cell>
          <cell r="K390" t="str">
            <v>080664885</v>
          </cell>
          <cell r="L390" t="str">
            <v>05/02/2013</v>
          </cell>
          <cell r="M390" t="str">
            <v>CA tỉnh Lạng Sơn</v>
          </cell>
          <cell r="P390" t="str">
            <v>Huyện Bình Gia</v>
          </cell>
          <cell r="Q390" t="str">
            <v>Tỉnh Lạng Sơn</v>
          </cell>
          <cell r="S390" t="str">
            <v>Phường Tam Thanh</v>
          </cell>
          <cell r="T390" t="str">
            <v>Thành phố Lạng Sơn</v>
          </cell>
          <cell r="U390" t="str">
            <v>Tỉnh Lạng Sơn</v>
          </cell>
          <cell r="V390" t="str">
            <v>Phường Tam Thanh, Thành phố Lạng Sơn, Tỉnh Lạng Sơn</v>
          </cell>
          <cell r="W390" t="str">
            <v>17/3/1987</v>
          </cell>
          <cell r="AA390" t="e">
            <v>#N/A</v>
          </cell>
          <cell r="AB390" t="e">
            <v>#N/A</v>
          </cell>
          <cell r="AC390" t="e">
            <v>#N/A</v>
          </cell>
          <cell r="AD390" t="e">
            <v>#N/A</v>
          </cell>
          <cell r="AE390" t="e">
            <v>#N/A</v>
          </cell>
          <cell r="AF390" t="str">
            <v>V.08.05.12</v>
          </cell>
          <cell r="AG390" t="e">
            <v>#N/A</v>
          </cell>
          <cell r="AH390">
            <v>4.9800000000000004</v>
          </cell>
          <cell r="AI390">
            <v>9</v>
          </cell>
          <cell r="AJ390">
            <v>0.11</v>
          </cell>
          <cell r="AK390">
            <v>45962</v>
          </cell>
          <cell r="AL390" t="str">
            <v>Đại học</v>
          </cell>
          <cell r="AM390" t="e">
            <v>#N/A</v>
          </cell>
          <cell r="AO390" t="str">
            <v>ĐH Y dược Thái Nguyên</v>
          </cell>
          <cell r="AP390">
            <v>2010</v>
          </cell>
          <cell r="AQ390" t="str">
            <v>12/12</v>
          </cell>
          <cell r="AR390" t="str">
            <v>Chuyên viên</v>
          </cell>
          <cell r="AS390" t="str">
            <v>x</v>
          </cell>
          <cell r="AT390" t="str">
            <v>Sơ cấp</v>
          </cell>
          <cell r="AU390" t="str">
            <v>Anh B</v>
          </cell>
          <cell r="AV390">
            <v>0</v>
          </cell>
          <cell r="AW390" t="str">
            <v>B</v>
          </cell>
          <cell r="AY390" t="str">
            <v>Kinh</v>
          </cell>
          <cell r="AZ390">
            <v>39532</v>
          </cell>
          <cell r="BA390" t="e">
            <v>#REF!</v>
          </cell>
          <cell r="BB390" t="e">
            <v>#REF!</v>
          </cell>
          <cell r="BC390" t="str">
            <v>24/06/2013</v>
          </cell>
        </row>
        <row r="391">
          <cell r="A391" t="str">
            <v>BV0527</v>
          </cell>
          <cell r="B391">
            <v>385</v>
          </cell>
          <cell r="C391" t="str">
            <v>Ngô Thị Thúy</v>
          </cell>
          <cell r="D391" t="str">
            <v>BV0527</v>
          </cell>
          <cell r="E391">
            <v>1505002945</v>
          </cell>
          <cell r="G391" t="str">
            <v>CMT: 080990073,
Ngày cấp 06/05/2015, 
CA Lạng Sơn</v>
          </cell>
          <cell r="I391">
            <v>29285</v>
          </cell>
          <cell r="J391">
            <v>46</v>
          </cell>
          <cell r="K391" t="str">
            <v>080990073</v>
          </cell>
          <cell r="L391" t="str">
            <v>21/03/1999</v>
          </cell>
          <cell r="M391" t="str">
            <v>CA tỉnh Lạng Sơn</v>
          </cell>
          <cell r="P391" t="str">
            <v>Huyện Văn Lãng</v>
          </cell>
          <cell r="Q391" t="str">
            <v>Tỉnh Lạng Sơn</v>
          </cell>
          <cell r="S391" t="str">
            <v>Phường Tam Thanh</v>
          </cell>
          <cell r="T391" t="str">
            <v>Thành phố Lạng Sơn</v>
          </cell>
          <cell r="U391" t="str">
            <v>Tỉnh Lạng Sơn</v>
          </cell>
          <cell r="V391" t="str">
            <v>Phường Tam Thanh, Thành phố Lạng Sơn, Tỉnh Lạng Sơn</v>
          </cell>
          <cell r="W391" t="str">
            <v>16/2/2005</v>
          </cell>
          <cell r="AA391">
            <v>0</v>
          </cell>
          <cell r="AB391" t="str">
            <v>TĐ012</v>
          </cell>
          <cell r="AC391" t="str">
            <v>CĐHA</v>
          </cell>
          <cell r="AD391" t="str">
            <v>KP034</v>
          </cell>
          <cell r="AE391" t="str">
            <v>Viên chức</v>
          </cell>
          <cell r="AF391" t="str">
            <v>V.08.05.13</v>
          </cell>
          <cell r="AG391" t="str">
            <v>Điều dưỡng (hạng IV)</v>
          </cell>
          <cell r="AH391">
            <v>3.96</v>
          </cell>
          <cell r="AI391">
            <v>7</v>
          </cell>
          <cell r="AJ391">
            <v>0</v>
          </cell>
          <cell r="AK391">
            <v>45536</v>
          </cell>
          <cell r="AL391" t="str">
            <v>Cao đẳng</v>
          </cell>
          <cell r="AM391" t="str">
            <v>Điều dưỡng CĐ</v>
          </cell>
          <cell r="AQ391" t="str">
            <v>12/12</v>
          </cell>
          <cell r="AR391">
            <v>0</v>
          </cell>
          <cell r="AS391">
            <v>0</v>
          </cell>
          <cell r="AT391">
            <v>0</v>
          </cell>
          <cell r="AU391">
            <v>0</v>
          </cell>
          <cell r="AV391" t="str">
            <v>Tày</v>
          </cell>
          <cell r="AW391" t="str">
            <v>Cơ bản</v>
          </cell>
          <cell r="AY391" t="str">
            <v>Nùng</v>
          </cell>
          <cell r="BA391" t="e">
            <v>#REF!</v>
          </cell>
          <cell r="BB391" t="e">
            <v>#REF!</v>
          </cell>
          <cell r="BC391" t="str">
            <v>24/06/2013</v>
          </cell>
        </row>
        <row r="392">
          <cell r="A392" t="str">
            <v>BV0530</v>
          </cell>
          <cell r="B392">
            <v>386</v>
          </cell>
          <cell r="C392" t="str">
            <v>Hoàng Trung Diện</v>
          </cell>
          <cell r="D392" t="str">
            <v>BV0530</v>
          </cell>
          <cell r="E392">
            <v>2010000437</v>
          </cell>
          <cell r="G392" t="str">
            <v>CMT: 082035528,
Ngày cấp 12/10/2019, 
CA Lạng Sơn</v>
          </cell>
          <cell r="H392">
            <v>31583</v>
          </cell>
          <cell r="J392">
            <v>40</v>
          </cell>
          <cell r="K392" t="str">
            <v>082035528</v>
          </cell>
          <cell r="L392" t="str">
            <v>26/10/2004</v>
          </cell>
          <cell r="M392" t="str">
            <v>CA tỉnh Lạng Sơn</v>
          </cell>
          <cell r="O392" t="str">
            <v>Xã Vạn Linh</v>
          </cell>
          <cell r="P392" t="str">
            <v>Huyện Chi Lăng</v>
          </cell>
          <cell r="Q392" t="str">
            <v>Tỉnh Lạng Sơn</v>
          </cell>
          <cell r="S392" t="str">
            <v>Xã Vạn Linh</v>
          </cell>
          <cell r="T392" t="str">
            <v>Huyện Chi Lăng</v>
          </cell>
          <cell r="U392" t="str">
            <v>Tỉnh Lạng Sơn</v>
          </cell>
          <cell r="V392" t="str">
            <v>Xã Vạn Linh, Huyện Chi Lăng, Tỉnh Lạng Sơn</v>
          </cell>
          <cell r="W392" t="str">
            <v>1/12/2010</v>
          </cell>
          <cell r="AA392">
            <v>0</v>
          </cell>
          <cell r="AB392" t="str">
            <v>TĐ011</v>
          </cell>
          <cell r="AC392" t="str">
            <v>CĐHA</v>
          </cell>
          <cell r="AD392" t="str">
            <v>KP034</v>
          </cell>
          <cell r="AE392" t="str">
            <v>Viên chức</v>
          </cell>
          <cell r="AF392" t="str">
            <v>V.08.05.12</v>
          </cell>
          <cell r="AG392" t="str">
            <v>Điều dưỡng (hạng III)</v>
          </cell>
          <cell r="AH392">
            <v>3.66</v>
          </cell>
          <cell r="AI392">
            <v>5</v>
          </cell>
          <cell r="AJ392">
            <v>0</v>
          </cell>
          <cell r="AK392">
            <v>45383</v>
          </cell>
          <cell r="AL392" t="str">
            <v>Đại học</v>
          </cell>
          <cell r="AM392" t="str">
            <v>Điều dưỡng ĐH</v>
          </cell>
          <cell r="AO392" t="str">
            <v>CĐ Y tế Lạng sơn</v>
          </cell>
          <cell r="AP392">
            <v>2008</v>
          </cell>
          <cell r="AQ392" t="str">
            <v>12/12</v>
          </cell>
          <cell r="AR392">
            <v>0</v>
          </cell>
          <cell r="AS392">
            <v>0</v>
          </cell>
          <cell r="AT392">
            <v>0</v>
          </cell>
          <cell r="AU392" t="str">
            <v>Anh A2</v>
          </cell>
          <cell r="AV392" t="str">
            <v>Tày</v>
          </cell>
          <cell r="AW392" t="str">
            <v>Cơ bản</v>
          </cell>
          <cell r="AY392" t="str">
            <v>Tày</v>
          </cell>
          <cell r="BA392" t="e">
            <v>#REF!</v>
          </cell>
          <cell r="BB392" t="e">
            <v>#REF!</v>
          </cell>
          <cell r="BC392" t="str">
            <v>01/08/2012</v>
          </cell>
        </row>
        <row r="393">
          <cell r="A393" t="str">
            <v>BV0105</v>
          </cell>
          <cell r="B393">
            <v>387</v>
          </cell>
          <cell r="C393" t="str">
            <v>Hứa Quang Phong</v>
          </cell>
          <cell r="D393" t="str">
            <v>BV0105</v>
          </cell>
          <cell r="E393">
            <v>2010000188</v>
          </cell>
          <cell r="G393" t="str">
            <v>CMT: 081038526, 
Ngày cấp25/05/2018, 
CA Lạng Sơn</v>
          </cell>
          <cell r="H393">
            <v>31677</v>
          </cell>
          <cell r="J393">
            <v>39</v>
          </cell>
          <cell r="K393" t="str">
            <v>081038526</v>
          </cell>
          <cell r="L393" t="str">
            <v>26/03/2003</v>
          </cell>
          <cell r="M393" t="str">
            <v>CA tỉnh Lạng Sơn</v>
          </cell>
          <cell r="O393" t="str">
            <v>Xã Thạch Đạn</v>
          </cell>
          <cell r="P393" t="str">
            <v>Huyện Cao Lộc</v>
          </cell>
          <cell r="Q393" t="str">
            <v>Tỉnh Lạng Sơn</v>
          </cell>
          <cell r="S393" t="str">
            <v>Xã Thạch Đạn</v>
          </cell>
          <cell r="T393" t="str">
            <v>Huyện Cao Lộc</v>
          </cell>
          <cell r="U393" t="str">
            <v>Tỉnh Lạng Sơn</v>
          </cell>
          <cell r="V393" t="str">
            <v>Xã Thạch Đạn, Huyện Cao Lộc, Tỉnh Lạng Sơn</v>
          </cell>
          <cell r="W393" t="str">
            <v>01/12/2010</v>
          </cell>
          <cell r="AA393">
            <v>0</v>
          </cell>
          <cell r="AB393" t="str">
            <v>TĐ012</v>
          </cell>
          <cell r="AC393" t="str">
            <v>CĐHA</v>
          </cell>
          <cell r="AD393" t="str">
            <v>KP034</v>
          </cell>
          <cell r="AE393" t="str">
            <v>Viên chức</v>
          </cell>
          <cell r="AF393" t="str">
            <v>V.08.05.13</v>
          </cell>
          <cell r="AG393" t="str">
            <v>Điều dưỡng (hạng IV)</v>
          </cell>
          <cell r="AH393">
            <v>3.34</v>
          </cell>
          <cell r="AI393">
            <v>5</v>
          </cell>
          <cell r="AJ393">
            <v>0</v>
          </cell>
          <cell r="AK393">
            <v>44927</v>
          </cell>
          <cell r="AL393" t="str">
            <v>Cao đẳng</v>
          </cell>
          <cell r="AM393" t="str">
            <v>Điều dưỡng CĐ</v>
          </cell>
          <cell r="AO393" t="str">
            <v>Cao đẳng Y tế Lạng Sơn</v>
          </cell>
          <cell r="AP393">
            <v>2007</v>
          </cell>
          <cell r="AQ393" t="str">
            <v>12/12</v>
          </cell>
          <cell r="AR393">
            <v>0</v>
          </cell>
          <cell r="AS393">
            <v>0</v>
          </cell>
          <cell r="AT393">
            <v>0</v>
          </cell>
          <cell r="AU393">
            <v>0</v>
          </cell>
          <cell r="AV393">
            <v>0</v>
          </cell>
          <cell r="AW393" t="str">
            <v>A</v>
          </cell>
          <cell r="AY393" t="str">
            <v>Tày</v>
          </cell>
          <cell r="BA393" t="e">
            <v>#REF!</v>
          </cell>
          <cell r="BB393" t="e">
            <v>#REF!</v>
          </cell>
          <cell r="BC393" t="str">
            <v>24/06/2013</v>
          </cell>
        </row>
        <row r="394">
          <cell r="A394" t="str">
            <v>BV0824</v>
          </cell>
          <cell r="B394">
            <v>388</v>
          </cell>
          <cell r="C394" t="str">
            <v>Lô Hoàng Cương</v>
          </cell>
          <cell r="D394" t="str">
            <v>BV0824</v>
          </cell>
          <cell r="E394" t="str">
            <v>2010000088</v>
          </cell>
          <cell r="G394" t="str">
            <v>CMT: 082026128, 
Ngày cấp 25/09/2020, 
CA Lạng Sơn</v>
          </cell>
          <cell r="H394" t="str">
            <v>19/10/1985</v>
          </cell>
          <cell r="J394">
            <v>40</v>
          </cell>
          <cell r="K394" t="str">
            <v>082026128</v>
          </cell>
          <cell r="L394" t="str">
            <v>08/06/2004</v>
          </cell>
          <cell r="M394" t="str">
            <v>CA tỉnh Lạng Sơn</v>
          </cell>
          <cell r="N394" t="str">
            <v>UBND phường Hoàng Văn Thụ, TP. Lạng Sơn</v>
          </cell>
          <cell r="O394" t="str">
            <v>Thụy Hùng</v>
          </cell>
          <cell r="P394" t="str">
            <v>Văn Lãng</v>
          </cell>
          <cell r="Q394" t="str">
            <v>Lạng Sơn</v>
          </cell>
          <cell r="R394" t="str">
            <v>Khối 5</v>
          </cell>
          <cell r="S394" t="str">
            <v>Hợp Thành</v>
          </cell>
          <cell r="T394" t="str">
            <v>Văn Lãng</v>
          </cell>
          <cell r="U394" t="str">
            <v>Lạng Sơn</v>
          </cell>
          <cell r="V394" t="str">
            <v>Hợp Thành, Văn Lãng, Lạng Sơn</v>
          </cell>
          <cell r="W394" t="str">
            <v>15/01/2010</v>
          </cell>
          <cell r="X394" t="str">
            <v>Trung tâm phòng chống bệnh xã hội</v>
          </cell>
          <cell r="Y394" t="str">
            <v>163/QĐ-SYT</v>
          </cell>
          <cell r="Z394" t="str">
            <v>08/01/2010</v>
          </cell>
          <cell r="AA394">
            <v>0</v>
          </cell>
          <cell r="AB394" t="str">
            <v>TĐ012</v>
          </cell>
          <cell r="AC394" t="str">
            <v>CĐHA</v>
          </cell>
          <cell r="AD394" t="str">
            <v>KP034</v>
          </cell>
          <cell r="AE394" t="str">
            <v>Viên chức</v>
          </cell>
          <cell r="AF394" t="str">
            <v>V.08.05.13</v>
          </cell>
          <cell r="AG394" t="str">
            <v>Điều dưỡng (hạng IV)</v>
          </cell>
          <cell r="AH394">
            <v>3.65</v>
          </cell>
          <cell r="AI394">
            <v>6</v>
          </cell>
          <cell r="AJ394">
            <v>0</v>
          </cell>
          <cell r="AK394">
            <v>45839</v>
          </cell>
          <cell r="AL394" t="str">
            <v>Cao đẳng</v>
          </cell>
          <cell r="AM394" t="str">
            <v>Điều dưỡng CĐ</v>
          </cell>
          <cell r="AO394" t="str">
            <v>Cao đẳng Y tế Lạng Sơn</v>
          </cell>
          <cell r="AP394">
            <v>2007</v>
          </cell>
          <cell r="AQ394" t="str">
            <v>12/12</v>
          </cell>
          <cell r="AR394">
            <v>0</v>
          </cell>
          <cell r="AS394">
            <v>0</v>
          </cell>
          <cell r="AT394">
            <v>0</v>
          </cell>
          <cell r="AU394">
            <v>0</v>
          </cell>
          <cell r="AV394">
            <v>0</v>
          </cell>
          <cell r="AW394" t="str">
            <v>A</v>
          </cell>
          <cell r="AY394" t="str">
            <v>Tày</v>
          </cell>
          <cell r="BA394" t="e">
            <v>#REF!</v>
          </cell>
          <cell r="BB394" t="e">
            <v>#REF!</v>
          </cell>
          <cell r="BC394" t="str">
            <v>24/06/2013</v>
          </cell>
        </row>
        <row r="395">
          <cell r="A395" t="str">
            <v>BV0528</v>
          </cell>
          <cell r="B395">
            <v>389</v>
          </cell>
          <cell r="C395" t="str">
            <v>Lưu Viết Hoàn</v>
          </cell>
          <cell r="D395" t="str">
            <v>BV0528</v>
          </cell>
          <cell r="E395">
            <v>2009000926</v>
          </cell>
          <cell r="G395" t="str">
            <v>CMT: 082002742
 Ngày cấp 12/10/2018, 
CA Lạng Sơn</v>
          </cell>
          <cell r="H395">
            <v>32013</v>
          </cell>
          <cell r="J395">
            <v>38</v>
          </cell>
          <cell r="K395" t="str">
            <v>082002742</v>
          </cell>
          <cell r="L395" t="str">
            <v>25/11/2003</v>
          </cell>
          <cell r="M395" t="str">
            <v>CA tỉnh Lạng Sơn</v>
          </cell>
          <cell r="P395" t="str">
            <v>Huyện Chi Lăng</v>
          </cell>
          <cell r="Q395" t="str">
            <v>Tỉnh Lạng Sơn</v>
          </cell>
          <cell r="S395" t="str">
            <v>Xã Quang Lang</v>
          </cell>
          <cell r="T395" t="str">
            <v>Huyện Chi Lăng</v>
          </cell>
          <cell r="U395" t="str">
            <v>Tỉnh Lạng Sơn</v>
          </cell>
          <cell r="V395" t="str">
            <v>Xã Quang Lang, Huyện Chi Lăng, Tỉnh Lạng Sơn</v>
          </cell>
          <cell r="W395" t="str">
            <v>1/12/2008</v>
          </cell>
          <cell r="AA395">
            <v>0</v>
          </cell>
          <cell r="AB395" t="str">
            <v>TĐ011</v>
          </cell>
          <cell r="AC395" t="str">
            <v>CĐHA</v>
          </cell>
          <cell r="AD395" t="str">
            <v>KP034</v>
          </cell>
          <cell r="AE395" t="str">
            <v>Viên chức</v>
          </cell>
          <cell r="AF395" t="str">
            <v>V.08.05.12</v>
          </cell>
          <cell r="AG395" t="str">
            <v>Điều dưỡng (hạng III)</v>
          </cell>
          <cell r="AH395">
            <v>3.66</v>
          </cell>
          <cell r="AI395">
            <v>5</v>
          </cell>
          <cell r="AJ395">
            <v>0</v>
          </cell>
          <cell r="AK395">
            <v>45383</v>
          </cell>
          <cell r="AL395" t="str">
            <v>Đại học</v>
          </cell>
          <cell r="AM395" t="str">
            <v>Điều dưỡng ĐH</v>
          </cell>
          <cell r="AO395" t="str">
            <v>CĐ Y tế Lạng sơn</v>
          </cell>
          <cell r="AP395">
            <v>2007</v>
          </cell>
          <cell r="AQ395" t="str">
            <v>12/12</v>
          </cell>
          <cell r="AR395">
            <v>0</v>
          </cell>
          <cell r="AS395">
            <v>0</v>
          </cell>
          <cell r="AT395">
            <v>0</v>
          </cell>
          <cell r="AU395" t="str">
            <v>Anh A2</v>
          </cell>
          <cell r="AV395">
            <v>0</v>
          </cell>
          <cell r="AW395" t="str">
            <v>Cơ bản</v>
          </cell>
          <cell r="AY395" t="str">
            <v>Nùng</v>
          </cell>
          <cell r="BA395" t="e">
            <v>#REF!</v>
          </cell>
          <cell r="BB395" t="e">
            <v>#REF!</v>
          </cell>
          <cell r="BC395" t="str">
            <v>24/06/2013</v>
          </cell>
        </row>
        <row r="396">
          <cell r="A396" t="str">
            <v>BV0529</v>
          </cell>
          <cell r="B396">
            <v>390</v>
          </cell>
          <cell r="C396" t="str">
            <v>Hoàng Ngọc Quảng</v>
          </cell>
          <cell r="D396" t="str">
            <v>BV0529</v>
          </cell>
          <cell r="E396">
            <v>2010000171</v>
          </cell>
          <cell r="G396" t="str">
            <v>CMT: 081037750, 
Ngày cấp 05/08/2016, 
CA Lạng Sơn</v>
          </cell>
          <cell r="H396">
            <v>30697</v>
          </cell>
          <cell r="J396">
            <v>42</v>
          </cell>
          <cell r="K396" t="str">
            <v>081037750</v>
          </cell>
          <cell r="L396" t="str">
            <v>05/11/2001</v>
          </cell>
          <cell r="M396" t="str">
            <v>CA tỉnh Lạng Sơn</v>
          </cell>
          <cell r="O396" t="str">
            <v>Xã Hùng Sơn</v>
          </cell>
          <cell r="P396" t="str">
            <v>Huyện Tràng Định</v>
          </cell>
          <cell r="Q396" t="str">
            <v>Tỉnh Lạng Sơn</v>
          </cell>
          <cell r="R396" t="str">
            <v>15/3A - Lê Đại Hành</v>
          </cell>
          <cell r="S396" t="str">
            <v>Phường Vĩnh Trại</v>
          </cell>
          <cell r="T396" t="str">
            <v>Thành phố Lạng Sơn</v>
          </cell>
          <cell r="U396" t="str">
            <v>Tỉnh Lạng Sơn</v>
          </cell>
          <cell r="V396" t="str">
            <v>Phường Vĩnh Trại, Thành phố Lạng Sơn, Tỉnh Lạng Sơn</v>
          </cell>
          <cell r="W396" t="str">
            <v>15/1/2010</v>
          </cell>
          <cell r="AA396">
            <v>0</v>
          </cell>
          <cell r="AB396" t="str">
            <v>TĐ011</v>
          </cell>
          <cell r="AC396" t="str">
            <v>CĐHA</v>
          </cell>
          <cell r="AD396" t="str">
            <v>KP034</v>
          </cell>
          <cell r="AE396" t="str">
            <v>Viên chức</v>
          </cell>
          <cell r="AF396" t="str">
            <v>V.08.05.12</v>
          </cell>
          <cell r="AG396" t="str">
            <v>Điều dưỡng (hạng III)</v>
          </cell>
          <cell r="AH396" t="str">
            <v>3.66</v>
          </cell>
          <cell r="AI396">
            <v>5</v>
          </cell>
          <cell r="AJ396">
            <v>0</v>
          </cell>
          <cell r="AK396">
            <v>45383</v>
          </cell>
          <cell r="AL396" t="str">
            <v>Đại học</v>
          </cell>
          <cell r="AM396" t="str">
            <v>Điều dưỡng ĐH</v>
          </cell>
          <cell r="AO396" t="str">
            <v>CĐ Y tế Lạng sơn</v>
          </cell>
          <cell r="AP396">
            <v>2008</v>
          </cell>
          <cell r="AQ396" t="str">
            <v>12/12</v>
          </cell>
          <cell r="AR396">
            <v>0</v>
          </cell>
          <cell r="AS396">
            <v>0</v>
          </cell>
          <cell r="AT396">
            <v>0</v>
          </cell>
          <cell r="AU396" t="str">
            <v>Anh A2</v>
          </cell>
          <cell r="AV396">
            <v>0</v>
          </cell>
          <cell r="AW396" t="str">
            <v>Cơ bản</v>
          </cell>
          <cell r="AY396" t="str">
            <v>Tày</v>
          </cell>
          <cell r="AZ396">
            <v>43840</v>
          </cell>
          <cell r="BA396" t="e">
            <v>#REF!</v>
          </cell>
          <cell r="BB396" t="e">
            <v>#REF!</v>
          </cell>
        </row>
        <row r="397">
          <cell r="A397" t="str">
            <v>BV0531</v>
          </cell>
          <cell r="B397">
            <v>391</v>
          </cell>
          <cell r="C397" t="str">
            <v>Lâm Minh Mạnh</v>
          </cell>
          <cell r="D397" t="str">
            <v>BV0531</v>
          </cell>
          <cell r="E397">
            <v>2011000160</v>
          </cell>
          <cell r="G397" t="str">
            <v>CMT: 082045274
Ngày cấp 23/07/2011, 
CA Lạng Sơn</v>
          </cell>
          <cell r="H397">
            <v>32388</v>
          </cell>
          <cell r="J397">
            <v>37</v>
          </cell>
          <cell r="K397" t="str">
            <v>082045274</v>
          </cell>
          <cell r="L397" t="str">
            <v>23/07/2011</v>
          </cell>
          <cell r="M397" t="str">
            <v>CA tỉnh Lạng Sơn</v>
          </cell>
          <cell r="O397" t="str">
            <v>Xã Tân Văn</v>
          </cell>
          <cell r="P397" t="str">
            <v>Huyện Bình Gia</v>
          </cell>
          <cell r="Q397" t="str">
            <v>Tỉnh Lạng Sơn</v>
          </cell>
          <cell r="R397" t="str">
            <v>Đường Lê Hồng Phong</v>
          </cell>
          <cell r="S397" t="str">
            <v>Phường Tam Thanh</v>
          </cell>
          <cell r="T397" t="str">
            <v>Thành phố Lạng Sơn</v>
          </cell>
          <cell r="U397" t="str">
            <v>Tỉnh Lạng Sơn</v>
          </cell>
          <cell r="V397" t="str">
            <v>Phường Tam Thanh, Thành phố Lạng Sơn, Tỉnh Lạng Sơn</v>
          </cell>
          <cell r="W397" t="str">
            <v>14/1/2011</v>
          </cell>
          <cell r="AA397">
            <v>0</v>
          </cell>
          <cell r="AB397" t="str">
            <v>TĐ011</v>
          </cell>
          <cell r="AC397" t="str">
            <v>CĐHA</v>
          </cell>
          <cell r="AD397" t="str">
            <v>KP034</v>
          </cell>
          <cell r="AE397" t="str">
            <v>Viên chức</v>
          </cell>
          <cell r="AF397" t="str">
            <v>V.08.05.12</v>
          </cell>
          <cell r="AG397" t="str">
            <v>Điều dưỡng (hạng III)</v>
          </cell>
          <cell r="AH397">
            <v>3.66</v>
          </cell>
          <cell r="AI397">
            <v>5</v>
          </cell>
          <cell r="AJ397">
            <v>0</v>
          </cell>
          <cell r="AK397">
            <v>45383</v>
          </cell>
          <cell r="AL397" t="str">
            <v>Đại học</v>
          </cell>
          <cell r="AM397" t="str">
            <v>Điều dưỡng ĐH</v>
          </cell>
          <cell r="AO397" t="str">
            <v>CĐ Y tế Lạng sơn</v>
          </cell>
          <cell r="AP397">
            <v>2008</v>
          </cell>
          <cell r="AQ397" t="str">
            <v>12/12</v>
          </cell>
          <cell r="AR397">
            <v>0</v>
          </cell>
          <cell r="AS397">
            <v>0</v>
          </cell>
          <cell r="AT397">
            <v>0</v>
          </cell>
          <cell r="AU397" t="str">
            <v>Anh A2</v>
          </cell>
          <cell r="AV397">
            <v>0</v>
          </cell>
          <cell r="AW397" t="str">
            <v>Cơ bản</v>
          </cell>
          <cell r="AY397" t="str">
            <v>Nùng</v>
          </cell>
          <cell r="AZ397">
            <v>43517</v>
          </cell>
          <cell r="BA397" t="e">
            <v>#REF!</v>
          </cell>
          <cell r="BB397" t="e">
            <v>#REF!</v>
          </cell>
        </row>
        <row r="398">
          <cell r="A398" t="str">
            <v>BV0532</v>
          </cell>
          <cell r="B398">
            <v>392</v>
          </cell>
          <cell r="C398" t="str">
            <v>Nguyễn Xuân Mai</v>
          </cell>
          <cell r="D398" t="str">
            <v>BV0532</v>
          </cell>
          <cell r="E398">
            <v>1507002600</v>
          </cell>
          <cell r="G398" t="str">
            <v>CMT: 081036679, 
Ngày cấp 20/05/2015, 
CA Lạng Sơn</v>
          </cell>
          <cell r="H398">
            <v>30918</v>
          </cell>
          <cell r="J398">
            <v>41</v>
          </cell>
          <cell r="K398" t="str">
            <v>081036679</v>
          </cell>
          <cell r="L398" t="str">
            <v>10/01/2002</v>
          </cell>
          <cell r="M398" t="str">
            <v>CA tỉnh Lạng Sơn</v>
          </cell>
          <cell r="O398" t="str">
            <v>Xã Hùng Sơn</v>
          </cell>
          <cell r="P398" t="str">
            <v>Huyện Tràng Định</v>
          </cell>
          <cell r="Q398" t="str">
            <v>Tỉnh Lạng Sơn</v>
          </cell>
          <cell r="S398" t="str">
            <v>Phường Đông Kinh</v>
          </cell>
          <cell r="T398" t="str">
            <v>Thành phố Lạng Sơn</v>
          </cell>
          <cell r="U398" t="str">
            <v>Tỉnh Lạng Sơn</v>
          </cell>
          <cell r="V398" t="str">
            <v>Phường Đông Kinh, Thành phố Lạng Sơn, Tỉnh Lạng Sơn</v>
          </cell>
          <cell r="W398" t="str">
            <v>1/12/2008</v>
          </cell>
          <cell r="AA398">
            <v>0</v>
          </cell>
          <cell r="AB398" t="str">
            <v>TĐ012</v>
          </cell>
          <cell r="AC398" t="str">
            <v>CĐHA</v>
          </cell>
          <cell r="AD398" t="str">
            <v>KP034</v>
          </cell>
          <cell r="AE398" t="str">
            <v>Viên chức</v>
          </cell>
          <cell r="AF398" t="str">
            <v>V.08.05.13</v>
          </cell>
          <cell r="AG398" t="str">
            <v>Điều dưỡng hạng IV</v>
          </cell>
          <cell r="AH398">
            <v>3.65</v>
          </cell>
          <cell r="AI398">
            <v>6</v>
          </cell>
          <cell r="AJ398">
            <v>0</v>
          </cell>
          <cell r="AK398">
            <v>45992</v>
          </cell>
          <cell r="AL398" t="str">
            <v>Cao đẳng</v>
          </cell>
          <cell r="AM398" t="str">
            <v>Điều dưỡng CĐ</v>
          </cell>
          <cell r="AO398" t="str">
            <v>TH Y tế Lạng Sơn</v>
          </cell>
          <cell r="AP398">
            <v>2005</v>
          </cell>
          <cell r="AQ398" t="str">
            <v>12/12</v>
          </cell>
          <cell r="AR398">
            <v>0</v>
          </cell>
          <cell r="AS398">
            <v>0</v>
          </cell>
          <cell r="AT398">
            <v>0</v>
          </cell>
          <cell r="AU398" t="str">
            <v>Anh B</v>
          </cell>
          <cell r="AV398">
            <v>0</v>
          </cell>
          <cell r="AW398" t="str">
            <v>A</v>
          </cell>
          <cell r="AY398" t="str">
            <v>Tày</v>
          </cell>
          <cell r="BA398" t="e">
            <v>#REF!</v>
          </cell>
          <cell r="BB398" t="e">
            <v>#REF!</v>
          </cell>
          <cell r="BC398" t="str">
            <v>24/06/2013</v>
          </cell>
        </row>
        <row r="399">
          <cell r="A399" t="str">
            <v>BV0518</v>
          </cell>
          <cell r="B399">
            <v>393</v>
          </cell>
          <cell r="C399" t="str">
            <v>Nguyễn Anh Tuấn</v>
          </cell>
          <cell r="D399" t="str">
            <v>BV0518</v>
          </cell>
          <cell r="E399">
            <v>1597020274</v>
          </cell>
          <cell r="G399" t="str">
            <v>CMT: 080982963,
Ngày cấp 28/04/2014,
 CA Lạng Sơn</v>
          </cell>
          <cell r="H399">
            <v>26972</v>
          </cell>
          <cell r="J399">
            <v>52</v>
          </cell>
          <cell r="K399" t="str">
            <v>080982963</v>
          </cell>
          <cell r="L399" t="str">
            <v>28/04/2014</v>
          </cell>
          <cell r="M399" t="str">
            <v>CA tỉnh Lạng Sơn</v>
          </cell>
          <cell r="P399" t="str">
            <v>Huyện Nam Sách</v>
          </cell>
          <cell r="Q399" t="str">
            <v>Tỉnh Hải Dương</v>
          </cell>
          <cell r="S399" t="str">
            <v>Phường Đông Kinh</v>
          </cell>
          <cell r="T399" t="str">
            <v>Thành phố Lạng Sơn</v>
          </cell>
          <cell r="U399" t="str">
            <v>Tỉnh Lạng Sơn</v>
          </cell>
          <cell r="V399" t="str">
            <v>Phường Đông Kinh, Thành phố Lạng Sơn, Tỉnh Lạng Sơn</v>
          </cell>
          <cell r="W399" t="str">
            <v>3/12/1993</v>
          </cell>
          <cell r="AA399" t="str">
            <v>Kỹ thuật y trưởng</v>
          </cell>
          <cell r="AB399" t="str">
            <v>TĐ014</v>
          </cell>
          <cell r="AC399" t="str">
            <v>CĐHA</v>
          </cell>
          <cell r="AD399" t="str">
            <v>KP034</v>
          </cell>
          <cell r="AE399" t="str">
            <v>Viên chức</v>
          </cell>
          <cell r="AF399" t="str">
            <v>V.08.07.19</v>
          </cell>
          <cell r="AG399" t="str">
            <v>Kỹ thuật y (hạng III)</v>
          </cell>
          <cell r="AH399">
            <v>4.9800000000000004</v>
          </cell>
          <cell r="AI399">
            <v>9</v>
          </cell>
          <cell r="AJ399">
            <v>0.05</v>
          </cell>
          <cell r="AK399">
            <v>45566</v>
          </cell>
          <cell r="AL399" t="str">
            <v>Đại học</v>
          </cell>
          <cell r="AM399" t="str">
            <v>KTY ĐH</v>
          </cell>
          <cell r="AO399" t="str">
            <v>DH Kỹ thuật Hải Dương</v>
          </cell>
          <cell r="AP399">
            <v>2011</v>
          </cell>
          <cell r="AQ399" t="str">
            <v>12/12</v>
          </cell>
          <cell r="AR399" t="str">
            <v>Chuyên viên</v>
          </cell>
          <cell r="AS399">
            <v>0</v>
          </cell>
          <cell r="AT399" t="str">
            <v>Sơ cấp</v>
          </cell>
          <cell r="AU399" t="str">
            <v>Anh B</v>
          </cell>
          <cell r="AV399">
            <v>0</v>
          </cell>
          <cell r="AW399" t="str">
            <v>B</v>
          </cell>
          <cell r="AY399" t="str">
            <v>Kinh</v>
          </cell>
          <cell r="AZ399">
            <v>40025</v>
          </cell>
          <cell r="BA399" t="e">
            <v>#REF!</v>
          </cell>
          <cell r="BB399" t="e">
            <v>#REF!</v>
          </cell>
          <cell r="BC399" t="str">
            <v>07/09/2015</v>
          </cell>
        </row>
        <row r="400">
          <cell r="A400" t="str">
            <v>BV0519</v>
          </cell>
          <cell r="B400">
            <v>394</v>
          </cell>
          <cell r="C400" t="str">
            <v>Trương Hùng Khoan</v>
          </cell>
          <cell r="D400" t="str">
            <v>BV0519</v>
          </cell>
          <cell r="E400">
            <v>1504000178</v>
          </cell>
          <cell r="G400" t="str">
            <v>CMT: 080973084, 
Ngày cấp 15/08/2019, 
CA Lạng Sơn</v>
          </cell>
          <cell r="H400">
            <v>26472</v>
          </cell>
          <cell r="J400">
            <v>54</v>
          </cell>
          <cell r="K400" t="str">
            <v>080973084</v>
          </cell>
          <cell r="L400" t="str">
            <v>24/10/2007</v>
          </cell>
          <cell r="M400" t="str">
            <v>CA tỉnh Lạng Sơn</v>
          </cell>
          <cell r="P400" t="str">
            <v>Huyện Cao Lộc</v>
          </cell>
          <cell r="Q400" t="str">
            <v>Tỉnh Lạng Sơn</v>
          </cell>
          <cell r="S400" t="str">
            <v>Xã Hợp Thành</v>
          </cell>
          <cell r="T400" t="str">
            <v>Huyện Cao Lộc</v>
          </cell>
          <cell r="U400" t="str">
            <v>Tỉnh Lạng Sơn</v>
          </cell>
          <cell r="V400" t="str">
            <v>Xã Hợp Thành, Huyện Cao Lộc, Tỉnh Lạng Sơn</v>
          </cell>
          <cell r="W400" t="str">
            <v>10/10/1996</v>
          </cell>
          <cell r="AA400">
            <v>0</v>
          </cell>
          <cell r="AB400" t="str">
            <v>TĐ014</v>
          </cell>
          <cell r="AC400" t="str">
            <v>CĐHA</v>
          </cell>
          <cell r="AD400" t="str">
            <v>KP034</v>
          </cell>
          <cell r="AE400" t="str">
            <v>Viên chức</v>
          </cell>
          <cell r="AF400" t="str">
            <v>V.08.07.18</v>
          </cell>
          <cell r="AG400" t="str">
            <v>Kỹ thuật y (hạng III)</v>
          </cell>
          <cell r="AH400">
            <v>4.9800000000000004</v>
          </cell>
          <cell r="AI400">
            <v>9</v>
          </cell>
          <cell r="AJ400">
            <v>0.05</v>
          </cell>
          <cell r="AK400">
            <v>45962</v>
          </cell>
          <cell r="AL400" t="str">
            <v>Đại học</v>
          </cell>
          <cell r="AM400" t="str">
            <v>KTY ĐH</v>
          </cell>
          <cell r="AO400" t="str">
            <v>ĐH Kỹ thuật Y tế Hải Dương</v>
          </cell>
          <cell r="AP400">
            <v>2009</v>
          </cell>
          <cell r="AQ400" t="str">
            <v>12/12</v>
          </cell>
          <cell r="AR400">
            <v>0</v>
          </cell>
          <cell r="AS400">
            <v>0</v>
          </cell>
          <cell r="AT400">
            <v>0</v>
          </cell>
          <cell r="AU400">
            <v>0</v>
          </cell>
          <cell r="AV400" t="str">
            <v>X</v>
          </cell>
          <cell r="AW400" t="str">
            <v>A</v>
          </cell>
          <cell r="AY400" t="str">
            <v>Tày</v>
          </cell>
          <cell r="AZ400">
            <v>35070</v>
          </cell>
          <cell r="BA400" t="e">
            <v>#REF!</v>
          </cell>
          <cell r="BB400" t="e">
            <v>#REF!</v>
          </cell>
          <cell r="BC400" t="str">
            <v>24/06/2013</v>
          </cell>
        </row>
        <row r="401">
          <cell r="A401" t="str">
            <v>BV0520</v>
          </cell>
          <cell r="B401">
            <v>395</v>
          </cell>
          <cell r="C401" t="str">
            <v>Nguyễn Trung Hiếu</v>
          </cell>
          <cell r="D401" t="str">
            <v>BV0520</v>
          </cell>
          <cell r="E401">
            <v>1507000514</v>
          </cell>
          <cell r="G401" t="str">
            <v>CMT: 080986436, 
Ngày cấp 30/01/2013, 
CA Lạng Sơn</v>
          </cell>
          <cell r="H401">
            <v>30132</v>
          </cell>
          <cell r="J401">
            <v>44</v>
          </cell>
          <cell r="K401" t="str">
            <v>080986436</v>
          </cell>
          <cell r="L401" t="str">
            <v>30/01/2013</v>
          </cell>
          <cell r="M401" t="str">
            <v>CA tỉnh Lạng Sơn</v>
          </cell>
          <cell r="Q401" t="str">
            <v>Tỉnh Lạng Sơn</v>
          </cell>
          <cell r="S401" t="str">
            <v>Phường Tam Thanh</v>
          </cell>
          <cell r="T401" t="str">
            <v>Thành phố Lạng Sơn</v>
          </cell>
          <cell r="U401" t="str">
            <v>Tỉnh Lạng Sơn</v>
          </cell>
          <cell r="V401" t="str">
            <v>Phường Tam Thanh, Thành phố Lạng Sơn, Tỉnh Lạng Sơn</v>
          </cell>
          <cell r="W401" t="str">
            <v>15/1/2010</v>
          </cell>
          <cell r="AA401">
            <v>0</v>
          </cell>
          <cell r="AB401" t="str">
            <v>TĐ014</v>
          </cell>
          <cell r="AC401" t="str">
            <v>CĐHA</v>
          </cell>
          <cell r="AD401" t="str">
            <v>KP034</v>
          </cell>
          <cell r="AE401" t="str">
            <v>Viên chức</v>
          </cell>
          <cell r="AF401" t="str">
            <v>V.08.07.19</v>
          </cell>
          <cell r="AG401" t="str">
            <v>Kỹ thuật y (hạng III)</v>
          </cell>
          <cell r="AH401">
            <v>3.66</v>
          </cell>
          <cell r="AI401">
            <v>5</v>
          </cell>
          <cell r="AJ401">
            <v>0</v>
          </cell>
          <cell r="AK401">
            <v>45672</v>
          </cell>
          <cell r="AL401" t="str">
            <v>Đại học</v>
          </cell>
          <cell r="AM401" t="str">
            <v>KTY ĐH</v>
          </cell>
          <cell r="AO401" t="str">
            <v>DĐH Y tế Hải Dương</v>
          </cell>
          <cell r="AP401">
            <v>2009</v>
          </cell>
          <cell r="AQ401" t="str">
            <v>12/12</v>
          </cell>
          <cell r="AR401">
            <v>0</v>
          </cell>
          <cell r="AS401">
            <v>0</v>
          </cell>
          <cell r="AT401">
            <v>0</v>
          </cell>
          <cell r="AU401">
            <v>0</v>
          </cell>
          <cell r="AV401" t="str">
            <v>X</v>
          </cell>
          <cell r="AW401" t="str">
            <v>B</v>
          </cell>
          <cell r="AY401" t="str">
            <v>Tày</v>
          </cell>
          <cell r="BA401" t="e">
            <v>#REF!</v>
          </cell>
          <cell r="BB401" t="e">
            <v>#REF!</v>
          </cell>
          <cell r="BC401" t="str">
            <v>24/06/2013</v>
          </cell>
        </row>
        <row r="402">
          <cell r="A402" t="str">
            <v>BV0997</v>
          </cell>
          <cell r="B402">
            <v>396</v>
          </cell>
          <cell r="C402" t="str">
            <v>Bạch Tiến Cường</v>
          </cell>
          <cell r="D402" t="str">
            <v>BV0997</v>
          </cell>
          <cell r="E402" t="str">
            <v>2014002802</v>
          </cell>
          <cell r="F402" t="str">
            <v>Kỹ thuật y (hạng III)</v>
          </cell>
          <cell r="G402" t="str">
            <v>CMT: 082176490, 
Ngày cấp 27/02/2014, 
CA Lạng Sơn</v>
          </cell>
          <cell r="H402">
            <v>33634</v>
          </cell>
          <cell r="J402">
            <v>34</v>
          </cell>
          <cell r="K402" t="str">
            <v>082176490</v>
          </cell>
          <cell r="L402">
            <v>41697</v>
          </cell>
          <cell r="V402" t="str">
            <v>Thị trấn Đồng Mỏ, huyện Chi Lăng, tỉnh Lạng Sơn</v>
          </cell>
          <cell r="W402" t="str">
            <v>11/01/2016</v>
          </cell>
          <cell r="AA402">
            <v>0</v>
          </cell>
          <cell r="AB402" t="str">
            <v>TĐ014</v>
          </cell>
          <cell r="AC402" t="str">
            <v>CĐHA</v>
          </cell>
          <cell r="AD402" t="str">
            <v>KP034</v>
          </cell>
          <cell r="AE402" t="str">
            <v>Viên chức</v>
          </cell>
          <cell r="AF402" t="str">
            <v>V.08.07.18</v>
          </cell>
          <cell r="AG402" t="str">
            <v>KTY (hạng III)</v>
          </cell>
          <cell r="AH402">
            <v>3.33</v>
          </cell>
          <cell r="AI402">
            <v>4</v>
          </cell>
          <cell r="AJ402">
            <v>0</v>
          </cell>
          <cell r="AK402">
            <v>45849</v>
          </cell>
          <cell r="AL402" t="str">
            <v>Đại học</v>
          </cell>
          <cell r="AM402" t="str">
            <v>KTY ĐH</v>
          </cell>
          <cell r="AN402" t="str">
            <v>Kỹ thuật hình ảnh y học</v>
          </cell>
          <cell r="AO402" t="str">
            <v>ĐH Kỹ thuật y tế Hải Dương</v>
          </cell>
          <cell r="AP402">
            <v>2014</v>
          </cell>
          <cell r="AR402">
            <v>0</v>
          </cell>
          <cell r="AS402">
            <v>0</v>
          </cell>
          <cell r="AT402">
            <v>0</v>
          </cell>
          <cell r="AU402" t="str">
            <v>Anh B</v>
          </cell>
          <cell r="AV402">
            <v>0</v>
          </cell>
          <cell r="AW402" t="str">
            <v>B</v>
          </cell>
          <cell r="AY402" t="str">
            <v>Kinh</v>
          </cell>
          <cell r="BC402" t="str">
            <v>24/06/2013</v>
          </cell>
        </row>
        <row r="403">
          <cell r="A403" t="str">
            <v>BV0521</v>
          </cell>
          <cell r="B403">
            <v>397</v>
          </cell>
          <cell r="C403" t="str">
            <v>Hoàng Văn Bé</v>
          </cell>
          <cell r="D403" t="str">
            <v>BV0521</v>
          </cell>
          <cell r="E403">
            <v>1597024467</v>
          </cell>
          <cell r="G403" t="str">
            <v>CMT: 080925358,
Ngày cấp 18/01/2018, 
CA Lạng Sơn</v>
          </cell>
          <cell r="H403">
            <v>26764</v>
          </cell>
          <cell r="J403">
            <v>53</v>
          </cell>
          <cell r="K403" t="str">
            <v>080925358</v>
          </cell>
          <cell r="L403" t="str">
            <v>16/01/2003</v>
          </cell>
          <cell r="M403" t="str">
            <v>CA tỉnh Lạng Sơn</v>
          </cell>
          <cell r="O403" t="str">
            <v>Xã Xuân Lễ</v>
          </cell>
          <cell r="P403" t="str">
            <v>Huyện Lộc Bình</v>
          </cell>
          <cell r="Q403" t="str">
            <v>Tỉnh Lạng Sơn</v>
          </cell>
          <cell r="S403" t="str">
            <v>Thị trấn Lộc Bình</v>
          </cell>
          <cell r="T403" t="str">
            <v>Huyện Lộc Bình</v>
          </cell>
          <cell r="U403" t="str">
            <v>Tỉnh Lạng Sơn</v>
          </cell>
          <cell r="V403" t="str">
            <v>Thị trấn Lộc Bình, Huyện Lộc Bình, Tỉnh Lạng Sơn</v>
          </cell>
          <cell r="W403" t="str">
            <v>1/1/1998</v>
          </cell>
          <cell r="AA403">
            <v>0</v>
          </cell>
          <cell r="AB403" t="str">
            <v>TĐ015</v>
          </cell>
          <cell r="AC403" t="str">
            <v>CĐHA</v>
          </cell>
          <cell r="AD403" t="str">
            <v>KP034</v>
          </cell>
          <cell r="AE403" t="str">
            <v>Viên chức</v>
          </cell>
          <cell r="AF403" t="str">
            <v>V.08.07.19</v>
          </cell>
          <cell r="AG403" t="str">
            <v>Kỹ thuật y (hạng IV)</v>
          </cell>
          <cell r="AH403">
            <v>4.8899999999999997</v>
          </cell>
          <cell r="AI403">
            <v>10</v>
          </cell>
          <cell r="AJ403">
            <v>0</v>
          </cell>
          <cell r="AK403">
            <v>45839</v>
          </cell>
          <cell r="AL403" t="str">
            <v>Cao đẳng</v>
          </cell>
          <cell r="AM403" t="str">
            <v>KTY CĐ</v>
          </cell>
          <cell r="AO403" t="str">
            <v>CĐ kỹ thuật y tế Hải Dương</v>
          </cell>
          <cell r="AP403">
            <v>2007</v>
          </cell>
          <cell r="AQ403" t="str">
            <v>12/12</v>
          </cell>
          <cell r="AR403">
            <v>0</v>
          </cell>
          <cell r="AS403">
            <v>0</v>
          </cell>
          <cell r="AT403">
            <v>0</v>
          </cell>
          <cell r="AU403" t="str">
            <v>Anh B</v>
          </cell>
          <cell r="AV403">
            <v>0</v>
          </cell>
          <cell r="AW403" t="str">
            <v>B</v>
          </cell>
          <cell r="AY403" t="str">
            <v>Tày</v>
          </cell>
          <cell r="AZ403">
            <v>37588</v>
          </cell>
          <cell r="BA403" t="e">
            <v>#REF!</v>
          </cell>
          <cell r="BB403" t="e">
            <v>#REF!</v>
          </cell>
          <cell r="BC403" t="str">
            <v>24/06/2013</v>
          </cell>
        </row>
        <row r="404">
          <cell r="A404" t="str">
            <v>BV0526</v>
          </cell>
          <cell r="B404">
            <v>398</v>
          </cell>
          <cell r="C404" t="str">
            <v>Hoàng Văn Sỹ</v>
          </cell>
          <cell r="D404" t="str">
            <v>BV0526</v>
          </cell>
          <cell r="E404">
            <v>2009000891</v>
          </cell>
          <cell r="G404" t="str">
            <v>CMT : 081063869, 
Ngày cấp 27/04/2010, 
CA Lạng Sơn</v>
          </cell>
          <cell r="H404">
            <v>31106</v>
          </cell>
          <cell r="J404">
            <v>41</v>
          </cell>
          <cell r="K404" t="str">
            <v>081063869</v>
          </cell>
          <cell r="L404" t="str">
            <v>27/04/2010</v>
          </cell>
          <cell r="M404" t="str">
            <v>CA tỉnh Lạng Sơn</v>
          </cell>
          <cell r="P404" t="str">
            <v>Huyện Bắc Sơn</v>
          </cell>
          <cell r="Q404" t="str">
            <v>Tỉnh Lạng Sơn</v>
          </cell>
          <cell r="S404" t="str">
            <v>Phường Hoàng Văn Thụ</v>
          </cell>
          <cell r="T404" t="str">
            <v>Thành phố Lạng Sơn</v>
          </cell>
          <cell r="U404" t="str">
            <v>Tỉnh Lạng Sơn</v>
          </cell>
          <cell r="V404" t="str">
            <v>Phường Hoàng Văn Thụ, Thành phố Lạng Sơn, Tỉnh Lạng Sơn</v>
          </cell>
          <cell r="W404" t="str">
            <v>1/12/2008</v>
          </cell>
          <cell r="AA404">
            <v>0</v>
          </cell>
          <cell r="AB404" t="str">
            <v>TĐ015</v>
          </cell>
          <cell r="AC404" t="str">
            <v>CĐHA</v>
          </cell>
          <cell r="AD404" t="str">
            <v>KP034</v>
          </cell>
          <cell r="AE404" t="str">
            <v>Viên chức</v>
          </cell>
          <cell r="AF404" t="str">
            <v>V.08.07.19</v>
          </cell>
          <cell r="AG404" t="str">
            <v>Kỹ thuật y (hạng IV)</v>
          </cell>
          <cell r="AH404">
            <v>3.65</v>
          </cell>
          <cell r="AI404">
            <v>6</v>
          </cell>
          <cell r="AJ404">
            <v>0</v>
          </cell>
          <cell r="AK404">
            <v>45992</v>
          </cell>
          <cell r="AL404" t="str">
            <v>Cao đẳng</v>
          </cell>
          <cell r="AM404" t="str">
            <v>KTY CĐ</v>
          </cell>
          <cell r="AO404" t="str">
            <v>ĐH Kỹ thuật Y tế Hải Dương</v>
          </cell>
          <cell r="AP404">
            <v>2007</v>
          </cell>
          <cell r="AQ404" t="str">
            <v>12/12</v>
          </cell>
          <cell r="AR404">
            <v>0</v>
          </cell>
          <cell r="AS404">
            <v>0</v>
          </cell>
          <cell r="AT404">
            <v>0</v>
          </cell>
          <cell r="AU404">
            <v>0</v>
          </cell>
          <cell r="AV404">
            <v>0</v>
          </cell>
          <cell r="AW404" t="str">
            <v>B</v>
          </cell>
          <cell r="AY404" t="str">
            <v>Tày</v>
          </cell>
          <cell r="BA404" t="e">
            <v>#REF!</v>
          </cell>
          <cell r="BB404" t="e">
            <v>#REF!</v>
          </cell>
          <cell r="BC404" t="str">
            <v>24/06/2013</v>
          </cell>
        </row>
        <row r="405">
          <cell r="A405" t="str">
            <v>BV0523</v>
          </cell>
          <cell r="B405">
            <v>399</v>
          </cell>
          <cell r="C405" t="str">
            <v>Hoàng Văn Hòa</v>
          </cell>
          <cell r="D405" t="str">
            <v>BV0523</v>
          </cell>
          <cell r="E405">
            <v>1504002805</v>
          </cell>
          <cell r="G405" t="str">
            <v>CMT: 080964152, 
Ngày cấp 13/06/2011, 
CA Lạng Sơn</v>
          </cell>
          <cell r="H405">
            <v>27518</v>
          </cell>
          <cell r="J405">
            <v>51</v>
          </cell>
          <cell r="K405" t="str">
            <v>080964152</v>
          </cell>
          <cell r="L405" t="str">
            <v>13/06/2011</v>
          </cell>
          <cell r="M405" t="str">
            <v>CA tỉnh Lạng Sơn</v>
          </cell>
          <cell r="P405" t="str">
            <v>Huyện Văn Quan</v>
          </cell>
          <cell r="Q405" t="str">
            <v>Tỉnh Lạng Sơn</v>
          </cell>
          <cell r="S405" t="str">
            <v>Xã Hoàng Đồng</v>
          </cell>
          <cell r="T405" t="str">
            <v>Thành phố Lạng Sơn</v>
          </cell>
          <cell r="U405" t="str">
            <v>Tỉnh Lạng Sơn</v>
          </cell>
          <cell r="V405" t="str">
            <v>Xã Hoàng Đồng, Thành phố Lạng Sơn, Tỉnh Lạng Sơn</v>
          </cell>
          <cell r="W405" t="str">
            <v>17/11/2003</v>
          </cell>
          <cell r="AA405">
            <v>0</v>
          </cell>
          <cell r="AB405" t="str">
            <v>TĐ015</v>
          </cell>
          <cell r="AC405" t="str">
            <v>CĐHA</v>
          </cell>
          <cell r="AD405" t="str">
            <v>KP034</v>
          </cell>
          <cell r="AE405" t="str">
            <v>Viên chức</v>
          </cell>
          <cell r="AF405" t="str">
            <v>V.08.07.19</v>
          </cell>
          <cell r="AG405" t="str">
            <v>Kỹ thuật y (hạng IV)</v>
          </cell>
          <cell r="AH405">
            <v>3.96</v>
          </cell>
          <cell r="AI405">
            <v>7</v>
          </cell>
          <cell r="AJ405">
            <v>0</v>
          </cell>
          <cell r="AK405">
            <v>45352</v>
          </cell>
          <cell r="AL405" t="str">
            <v>Cao đẳng</v>
          </cell>
          <cell r="AM405" t="str">
            <v>KTY CĐ</v>
          </cell>
          <cell r="AO405" t="str">
            <v>TH Kỹ thuật Y tế I-Bộ Y tế</v>
          </cell>
          <cell r="AP405">
            <v>1998</v>
          </cell>
          <cell r="AQ405" t="str">
            <v>12/12</v>
          </cell>
          <cell r="AR405">
            <v>0</v>
          </cell>
          <cell r="AS405">
            <v>0</v>
          </cell>
          <cell r="AT405">
            <v>0</v>
          </cell>
          <cell r="AU405">
            <v>0</v>
          </cell>
          <cell r="AV405">
            <v>0</v>
          </cell>
          <cell r="AW405" t="str">
            <v>A</v>
          </cell>
          <cell r="AY405" t="str">
            <v>Tày</v>
          </cell>
          <cell r="BA405" t="e">
            <v>#REF!</v>
          </cell>
          <cell r="BB405" t="e">
            <v>#REF!</v>
          </cell>
          <cell r="BC405" t="str">
            <v>24/06/2013</v>
          </cell>
        </row>
        <row r="406">
          <cell r="A406" t="str">
            <v>BV0524</v>
          </cell>
          <cell r="B406">
            <v>400</v>
          </cell>
          <cell r="C406" t="str">
            <v>Trần Trung Dũng</v>
          </cell>
          <cell r="D406" t="str">
            <v>BV0524</v>
          </cell>
          <cell r="E406">
            <v>1505002495</v>
          </cell>
          <cell r="G406" t="str">
            <v>CMT: 080971624,
 Ngày cấp 16/12/2015, 
CA Lạng Sơn</v>
          </cell>
          <cell r="H406">
            <v>30198</v>
          </cell>
          <cell r="J406">
            <v>43</v>
          </cell>
          <cell r="K406" t="str">
            <v>080971624</v>
          </cell>
          <cell r="L406" t="str">
            <v>17/01/2000</v>
          </cell>
          <cell r="M406" t="str">
            <v>CA tỉnh Lạng Sơn</v>
          </cell>
          <cell r="P406" t="str">
            <v>Huyện Bắc Sơn</v>
          </cell>
          <cell r="Q406" t="str">
            <v>Tỉnh Lạng Sơn</v>
          </cell>
          <cell r="S406" t="str">
            <v>Phường Tam Thanh</v>
          </cell>
          <cell r="T406" t="str">
            <v>Thành phố Lạng Sơn</v>
          </cell>
          <cell r="U406" t="str">
            <v>Tỉnh Lạng Sơn</v>
          </cell>
          <cell r="V406" t="str">
            <v>Phường Tam Thanh, Thành phố Lạng Sơn, Tỉnh Lạng Sơn</v>
          </cell>
          <cell r="W406" t="str">
            <v>16/2/2005</v>
          </cell>
          <cell r="AA406">
            <v>0</v>
          </cell>
          <cell r="AB406" t="str">
            <v>TĐ014</v>
          </cell>
          <cell r="AC406" t="str">
            <v>CĐHA</v>
          </cell>
          <cell r="AD406" t="str">
            <v>KP034</v>
          </cell>
          <cell r="AE406" t="str">
            <v>Viên chức</v>
          </cell>
          <cell r="AF406" t="str">
            <v>V.08.07.19</v>
          </cell>
          <cell r="AG406" t="str">
            <v>Kỹ thuật y (hạng III)</v>
          </cell>
          <cell r="AH406">
            <v>4.32</v>
          </cell>
          <cell r="AI406">
            <v>7</v>
          </cell>
          <cell r="AJ406">
            <v>0</v>
          </cell>
          <cell r="AK406">
            <v>45839</v>
          </cell>
          <cell r="AL406" t="str">
            <v>Cao đẳng</v>
          </cell>
          <cell r="AM406" t="str">
            <v>KTY ĐH</v>
          </cell>
          <cell r="AO406" t="str">
            <v>CĐ Kỹ thuật Y tế I- Bộ Y tế</v>
          </cell>
          <cell r="AP406">
            <v>2004</v>
          </cell>
          <cell r="AQ406" t="str">
            <v>12/12</v>
          </cell>
          <cell r="AR406">
            <v>0</v>
          </cell>
          <cell r="AS406">
            <v>0</v>
          </cell>
          <cell r="AT406">
            <v>0</v>
          </cell>
          <cell r="AU406">
            <v>0</v>
          </cell>
          <cell r="AV406">
            <v>0</v>
          </cell>
          <cell r="AW406" t="str">
            <v>A</v>
          </cell>
          <cell r="AY406" t="str">
            <v>Kinh</v>
          </cell>
          <cell r="AZ406">
            <v>40877</v>
          </cell>
          <cell r="BA406" t="e">
            <v>#REF!</v>
          </cell>
          <cell r="BB406" t="e">
            <v>#REF!</v>
          </cell>
          <cell r="BC406" t="str">
            <v>24/06/2013</v>
          </cell>
        </row>
        <row r="407">
          <cell r="A407" t="str">
            <v>BV0525</v>
          </cell>
          <cell r="B407">
            <v>401</v>
          </cell>
          <cell r="C407" t="str">
            <v>Hoàng Tư Vấn</v>
          </cell>
          <cell r="D407" t="str">
            <v>BV0525</v>
          </cell>
          <cell r="E407">
            <v>1506002927</v>
          </cell>
          <cell r="G407" t="str">
            <v>CMT: 081049732, 
Ngày cấp 06/09/2017, 
CA Lạng Sơn</v>
          </cell>
          <cell r="H407">
            <v>30612</v>
          </cell>
          <cell r="J407">
            <v>42</v>
          </cell>
          <cell r="K407" t="str">
            <v>081049732</v>
          </cell>
          <cell r="L407" t="str">
            <v>20/10/2006</v>
          </cell>
          <cell r="M407" t="str">
            <v>CA tỉnh Lạng Sơn</v>
          </cell>
          <cell r="P407" t="str">
            <v>Huyện Cao Lộc</v>
          </cell>
          <cell r="Q407" t="str">
            <v>Tỉnh Lạng Sơn</v>
          </cell>
          <cell r="S407" t="str">
            <v>Xã Hợp Thành</v>
          </cell>
          <cell r="T407" t="str">
            <v>Huyện Cao Lộc</v>
          </cell>
          <cell r="U407" t="str">
            <v>Tỉnh Lạng Sơn</v>
          </cell>
          <cell r="V407" t="str">
            <v>Xã Hợp Thành, Huyện Cao Lộc, Tỉnh Lạng Sơn</v>
          </cell>
          <cell r="W407" t="str">
            <v>07/11/2006</v>
          </cell>
          <cell r="AA407">
            <v>0</v>
          </cell>
          <cell r="AB407" t="str">
            <v>TĐ015</v>
          </cell>
          <cell r="AC407" t="str">
            <v>CĐHA</v>
          </cell>
          <cell r="AD407" t="str">
            <v>KP034</v>
          </cell>
          <cell r="AE407" t="str">
            <v>Viên chức</v>
          </cell>
          <cell r="AF407" t="str">
            <v>V.08.07.19</v>
          </cell>
          <cell r="AG407" t="str">
            <v>Kỹ thuật y (hạng IV)</v>
          </cell>
          <cell r="AH407">
            <v>3.96</v>
          </cell>
          <cell r="AI407">
            <v>7</v>
          </cell>
          <cell r="AJ407">
            <v>0</v>
          </cell>
          <cell r="AK407">
            <v>45962</v>
          </cell>
          <cell r="AL407" t="str">
            <v>Cao đẳng</v>
          </cell>
          <cell r="AM407" t="str">
            <v>KTY CĐ</v>
          </cell>
          <cell r="AO407" t="str">
            <v>CĐ Kỹ thuật Y tế I- Bộ Y tế</v>
          </cell>
          <cell r="AP407">
            <v>2005</v>
          </cell>
          <cell r="AQ407" t="str">
            <v>12/12</v>
          </cell>
          <cell r="AR407">
            <v>0</v>
          </cell>
          <cell r="AS407">
            <v>0</v>
          </cell>
          <cell r="AT407">
            <v>0</v>
          </cell>
          <cell r="AU407">
            <v>0</v>
          </cell>
          <cell r="AV407">
            <v>0</v>
          </cell>
          <cell r="AW407">
            <v>0</v>
          </cell>
          <cell r="AY407" t="str">
            <v>Tày</v>
          </cell>
          <cell r="AZ407">
            <v>42494</v>
          </cell>
          <cell r="BA407" t="e">
            <v>#REF!</v>
          </cell>
          <cell r="BB407" t="e">
            <v>#REF!</v>
          </cell>
        </row>
        <row r="408">
          <cell r="A408" t="str">
            <v>BV0422</v>
          </cell>
          <cell r="B408">
            <v>402</v>
          </cell>
          <cell r="C408" t="str">
            <v>Vũ Thủy Tiên</v>
          </cell>
          <cell r="D408" t="str">
            <v>BV0422</v>
          </cell>
          <cell r="E408">
            <v>1505002488</v>
          </cell>
          <cell r="G408" t="str">
            <v>CMT: 081040083, 
Ngày cấp 17/03/2010, 
CA Lạng Sơn</v>
          </cell>
          <cell r="I408">
            <v>30553</v>
          </cell>
          <cell r="J408">
            <v>42</v>
          </cell>
          <cell r="K408" t="str">
            <v>081040083</v>
          </cell>
          <cell r="L408" t="str">
            <v>17/03/2010</v>
          </cell>
          <cell r="M408" t="str">
            <v>CA tỉnh Lạng Sơn</v>
          </cell>
          <cell r="O408" t="str">
            <v>Phường Vĩnh Trại</v>
          </cell>
          <cell r="P408" t="str">
            <v>Thành phố Lạng Sơn</v>
          </cell>
          <cell r="Q408" t="str">
            <v>Tỉnh Lạng Sơn</v>
          </cell>
          <cell r="S408" t="str">
            <v>Phường Vĩnh Trại</v>
          </cell>
          <cell r="T408" t="str">
            <v>Thành phố Lạng Sơn</v>
          </cell>
          <cell r="U408" t="str">
            <v>Tỉnh Lạng Sơn</v>
          </cell>
          <cell r="V408" t="str">
            <v>Phường Vĩnh Trại, Thành phố Lạng Sơn, Tỉnh Lạng Sơn</v>
          </cell>
          <cell r="W408" t="str">
            <v>15/1/2010</v>
          </cell>
          <cell r="AA408">
            <v>0</v>
          </cell>
          <cell r="AB408" t="str">
            <v>TĐ018</v>
          </cell>
          <cell r="AC408" t="str">
            <v>CĐHA</v>
          </cell>
          <cell r="AD408" t="str">
            <v>KP034</v>
          </cell>
          <cell r="AE408" t="str">
            <v>Viên chức</v>
          </cell>
          <cell r="AF408" t="str">
            <v>V.08.06.16</v>
          </cell>
          <cell r="AG408" t="str">
            <v>Hộ sinh (hạng IV)</v>
          </cell>
          <cell r="AH408">
            <v>3.65</v>
          </cell>
          <cell r="AI408">
            <v>6</v>
          </cell>
          <cell r="AJ408">
            <v>0</v>
          </cell>
          <cell r="AK408">
            <v>45672</v>
          </cell>
          <cell r="AL408" t="str">
            <v>Cao đẳng</v>
          </cell>
          <cell r="AM408" t="str">
            <v>Hộ sinh CĐ</v>
          </cell>
          <cell r="AR408">
            <v>0</v>
          </cell>
          <cell r="AS408">
            <v>0</v>
          </cell>
          <cell r="AT408">
            <v>0</v>
          </cell>
          <cell r="AU408" t="str">
            <v>Anh B</v>
          </cell>
          <cell r="AV408">
            <v>0</v>
          </cell>
          <cell r="AW408" t="str">
            <v>A</v>
          </cell>
          <cell r="AY408" t="str">
            <v>Kinh</v>
          </cell>
          <cell r="BA408" t="e">
            <v>#REF!</v>
          </cell>
          <cell r="BB408" t="e">
            <v>#REF!</v>
          </cell>
        </row>
        <row r="409">
          <cell r="A409" t="str">
            <v>BV0550</v>
          </cell>
          <cell r="B409">
            <v>403</v>
          </cell>
          <cell r="C409" t="str">
            <v>Chu Văn Hải</v>
          </cell>
          <cell r="D409" t="str">
            <v>BV0550</v>
          </cell>
          <cell r="E409">
            <v>1596004107</v>
          </cell>
          <cell r="G409" t="str">
            <v>20068005074
Ngày cấp: 09/05/2021
cục cảnh sát  quản lý hành chính về trật tự xã hội</v>
          </cell>
          <cell r="H409">
            <v>25121</v>
          </cell>
          <cell r="J409">
            <v>57</v>
          </cell>
          <cell r="K409" t="str">
            <v>080799595</v>
          </cell>
          <cell r="L409" t="str">
            <v>22/03/2013</v>
          </cell>
          <cell r="M409" t="str">
            <v>CA tỉnh Lạng Sơn</v>
          </cell>
          <cell r="P409" t="str">
            <v>Huyện Tràng Định</v>
          </cell>
          <cell r="Q409" t="str">
            <v>Tỉnh Lạng Sơn</v>
          </cell>
          <cell r="S409" t="str">
            <v>Phường Tam Thanh</v>
          </cell>
          <cell r="T409" t="str">
            <v>Thành phố Lạng Sơn</v>
          </cell>
          <cell r="U409" t="str">
            <v>Tỉnh Lạng Sơn</v>
          </cell>
          <cell r="V409" t="str">
            <v>Phường Tam Thanh, Thành phố Lạng Sơn, Tỉnh Lạng Sơn</v>
          </cell>
          <cell r="W409" t="str">
            <v>1/7/1992</v>
          </cell>
          <cell r="AA409" t="str">
            <v>Trưởng khoa</v>
          </cell>
          <cell r="AB409" t="str">
            <v>TĐ003</v>
          </cell>
          <cell r="AC409" t="str">
            <v>GPB</v>
          </cell>
          <cell r="AD409" t="str">
            <v>KP035</v>
          </cell>
          <cell r="AE409" t="str">
            <v>Viên chức</v>
          </cell>
          <cell r="AF409" t="str">
            <v>V.08.01.02</v>
          </cell>
          <cell r="AG409" t="str">
            <v>Bác sĩ chính (hạng II)</v>
          </cell>
          <cell r="AH409">
            <v>5.76</v>
          </cell>
          <cell r="AI409">
            <v>5</v>
          </cell>
          <cell r="AJ409">
            <v>0</v>
          </cell>
          <cell r="AK409">
            <v>46023</v>
          </cell>
          <cell r="AL409" t="str">
            <v>Đại học</v>
          </cell>
          <cell r="AM409" t="str">
            <v>BSCKI</v>
          </cell>
          <cell r="AN409" t="str">
            <v>giải phẫu bệnh</v>
          </cell>
          <cell r="AR409" t="str">
            <v>Chuyên viên</v>
          </cell>
          <cell r="AS409" t="str">
            <v>x</v>
          </cell>
          <cell r="AT409" t="str">
            <v>Trung cấp</v>
          </cell>
          <cell r="AU409" t="str">
            <v>Anh C</v>
          </cell>
          <cell r="AV409" t="str">
            <v>Tày</v>
          </cell>
          <cell r="AW409" t="str">
            <v>Cơ bản</v>
          </cell>
          <cell r="AY409" t="str">
            <v>Tày</v>
          </cell>
          <cell r="AZ409">
            <v>38211</v>
          </cell>
          <cell r="BA409" t="e">
            <v>#REF!</v>
          </cell>
          <cell r="BB409" t="e">
            <v>#REF!</v>
          </cell>
        </row>
        <row r="410">
          <cell r="A410" t="str">
            <v>BV0546</v>
          </cell>
          <cell r="B410">
            <v>404</v>
          </cell>
          <cell r="C410" t="str">
            <v>Nguyễn An Hải</v>
          </cell>
          <cell r="D410" t="str">
            <v>BV0546</v>
          </cell>
          <cell r="E410">
            <v>1506001848</v>
          </cell>
          <cell r="G410" t="str">
            <v>CCCD: 004185009967, ngày cấp: 27/9/2021, nơi cấp: Cục Cảnh sát Quản lý hành chính về trật tự xã hội</v>
          </cell>
          <cell r="I410">
            <v>31105</v>
          </cell>
          <cell r="J410">
            <v>41</v>
          </cell>
          <cell r="K410" t="str">
            <v>081039644</v>
          </cell>
          <cell r="L410" t="str">
            <v>18/02/2007</v>
          </cell>
          <cell r="M410" t="str">
            <v>CA tỉnh Lạng Sơn</v>
          </cell>
          <cell r="P410" t="str">
            <v>Huyện Nguyên Bình</v>
          </cell>
          <cell r="Q410" t="str">
            <v>Tỉnh Cao Bằng</v>
          </cell>
          <cell r="S410" t="str">
            <v>Phường Đông Kinh</v>
          </cell>
          <cell r="T410" t="str">
            <v>Thành phố Lạng Sơn</v>
          </cell>
          <cell r="U410" t="str">
            <v>Tỉnh Lạng Sơn</v>
          </cell>
          <cell r="V410" t="str">
            <v>Phường Đông Kinh, Thành phố Lạng Sơn, Tỉnh Lạng Sơn</v>
          </cell>
          <cell r="W410" t="str">
            <v>1/12/2008</v>
          </cell>
          <cell r="AA410">
            <v>0</v>
          </cell>
          <cell r="AB410" t="str">
            <v>TĐ003</v>
          </cell>
          <cell r="AC410" t="str">
            <v>UB-YHHN</v>
          </cell>
          <cell r="AD410" t="str">
            <v>KP011</v>
          </cell>
          <cell r="AE410" t="str">
            <v>Viên chức</v>
          </cell>
          <cell r="AF410" t="str">
            <v>V.08.03.07</v>
          </cell>
          <cell r="AG410" t="str">
            <v>Bác sĩ (hạng III)</v>
          </cell>
          <cell r="AH410">
            <v>3.66</v>
          </cell>
          <cell r="AI410">
            <v>5</v>
          </cell>
          <cell r="AJ410">
            <v>0</v>
          </cell>
          <cell r="AK410">
            <v>45627</v>
          </cell>
          <cell r="AL410" t="str">
            <v>Đại học</v>
          </cell>
          <cell r="AM410" t="str">
            <v>BSCKI</v>
          </cell>
          <cell r="AN410" t="str">
            <v>Đa khoa</v>
          </cell>
          <cell r="AR410">
            <v>0</v>
          </cell>
          <cell r="AS410">
            <v>0</v>
          </cell>
          <cell r="AT410" t="str">
            <v>Sơ cấp</v>
          </cell>
          <cell r="AU410" t="str">
            <v>Anh B</v>
          </cell>
          <cell r="AV410" t="str">
            <v>Tày</v>
          </cell>
          <cell r="AW410" t="str">
            <v>Cơ bản</v>
          </cell>
          <cell r="AY410" t="str">
            <v>Tày</v>
          </cell>
          <cell r="BA410" t="e">
            <v>#REF!</v>
          </cell>
          <cell r="BB410" t="e">
            <v>#REF!</v>
          </cell>
          <cell r="BC410" t="str">
            <v>24/06/2013</v>
          </cell>
        </row>
        <row r="411">
          <cell r="A411" t="str">
            <v>BV0739</v>
          </cell>
          <cell r="B411">
            <v>405</v>
          </cell>
          <cell r="C411" t="str">
            <v>Nguyễn Thị Thường</v>
          </cell>
          <cell r="D411" t="str">
            <v>BV0739</v>
          </cell>
          <cell r="E411" t="str">
            <v>2011001571</v>
          </cell>
          <cell r="G411" t="str">
            <v>20186006250
Ngày cấp: 09/05/2021
cục cảnh sát  quản lý hành chính về trật tự xã hội</v>
          </cell>
          <cell r="I411" t="str">
            <v>08/02/1986</v>
          </cell>
          <cell r="J411">
            <v>40</v>
          </cell>
          <cell r="K411" t="str">
            <v>081068784</v>
          </cell>
          <cell r="L411" t="str">
            <v>19/3/2003</v>
          </cell>
          <cell r="M411" t="str">
            <v>CA tỉnh Lạng Sơn</v>
          </cell>
          <cell r="O411" t="str">
            <v xml:space="preserve">Vân Nham </v>
          </cell>
          <cell r="P411" t="str">
            <v>Hữu Lũng</v>
          </cell>
          <cell r="Q411" t="str">
            <v>Tỉnh Lạng Sơn</v>
          </cell>
          <cell r="R411" t="str">
            <v>Thôn Phổng</v>
          </cell>
          <cell r="S411" t="str">
            <v>Vân Nham</v>
          </cell>
          <cell r="T411" t="str">
            <v>Huyện Hữu Lũng</v>
          </cell>
          <cell r="U411" t="str">
            <v>Tỉnh Lạng Sơn</v>
          </cell>
          <cell r="V411" t="str">
            <v>Vân Nham, Huyện Hữu Lũng, Tỉnh Lạng Sơn</v>
          </cell>
          <cell r="W411" t="str">
            <v>05/6/2013</v>
          </cell>
          <cell r="AA411" t="str">
            <v>Phó trưởng khoa</v>
          </cell>
          <cell r="AB411" t="str">
            <v>TĐ003</v>
          </cell>
          <cell r="AC411" t="str">
            <v>GPB</v>
          </cell>
          <cell r="AD411" t="str">
            <v>KP035</v>
          </cell>
          <cell r="AE411" t="str">
            <v>Viên chức</v>
          </cell>
          <cell r="AF411" t="str">
            <v>V.08.01.03</v>
          </cell>
          <cell r="AG411" t="str">
            <v>Bác sĩ (hạng III)</v>
          </cell>
          <cell r="AH411">
            <v>3.66</v>
          </cell>
          <cell r="AI411">
            <v>5</v>
          </cell>
          <cell r="AJ411">
            <v>0</v>
          </cell>
          <cell r="AK411">
            <v>45910</v>
          </cell>
          <cell r="AL411" t="str">
            <v>Đại học</v>
          </cell>
          <cell r="AM411" t="str">
            <v>BSCKI</v>
          </cell>
          <cell r="AN411" t="str">
            <v>giải phẫu bệnh</v>
          </cell>
          <cell r="AR411" t="str">
            <v>Chuyên viên</v>
          </cell>
          <cell r="AS411">
            <v>0</v>
          </cell>
          <cell r="AT411" t="str">
            <v>Sơ cấp</v>
          </cell>
          <cell r="AU411" t="str">
            <v>Anh B</v>
          </cell>
          <cell r="AV411">
            <v>0</v>
          </cell>
          <cell r="AW411" t="str">
            <v>B</v>
          </cell>
          <cell r="AY411" t="str">
            <v>Kinh</v>
          </cell>
          <cell r="AZ411">
            <v>40606</v>
          </cell>
          <cell r="BA411" t="e">
            <v>#REF!</v>
          </cell>
          <cell r="BB411" t="e">
            <v>#REF!</v>
          </cell>
          <cell r="BC411" t="str">
            <v>24/06/2013</v>
          </cell>
        </row>
        <row r="412">
          <cell r="A412" t="str">
            <v>BV0108</v>
          </cell>
          <cell r="B412">
            <v>406</v>
          </cell>
          <cell r="C412" t="str">
            <v>Nông Thị Hồng Điệp</v>
          </cell>
          <cell r="D412" t="str">
            <v>BV0108</v>
          </cell>
          <cell r="E412">
            <v>1504001631</v>
          </cell>
          <cell r="G412" t="str">
            <v>020179005644
Ngày cấp: 09/5/2021
cục cảnh sát  quản lý hành chính về trật tự xã hội</v>
          </cell>
          <cell r="I412">
            <v>28899</v>
          </cell>
          <cell r="J412">
            <v>47</v>
          </cell>
          <cell r="K412" t="str">
            <v>080953386</v>
          </cell>
          <cell r="L412" t="str">
            <v>22/04/2003</v>
          </cell>
          <cell r="M412" t="str">
            <v>CA tỉnh Lạng Sơn</v>
          </cell>
          <cell r="P412" t="str">
            <v>Huyện Hữu Lũng</v>
          </cell>
          <cell r="Q412" t="str">
            <v>Tỉnh Lạng Sơn</v>
          </cell>
          <cell r="S412" t="str">
            <v>Phường Đông Kinh</v>
          </cell>
          <cell r="T412" t="str">
            <v>Thành phố Lạng Sơn</v>
          </cell>
          <cell r="U412" t="str">
            <v>Tỉnh Lạng Sơn</v>
          </cell>
          <cell r="V412" t="str">
            <v>Phường Đông Kinh, Thành phố Lạng Sơn, Tỉnh Lạng Sơn</v>
          </cell>
          <cell r="W412" t="str">
            <v>16/2/2005</v>
          </cell>
          <cell r="AA412">
            <v>0</v>
          </cell>
          <cell r="AB412" t="str">
            <v>TĐ012</v>
          </cell>
          <cell r="AC412" t="str">
            <v>GPB</v>
          </cell>
          <cell r="AD412" t="str">
            <v>KP035</v>
          </cell>
          <cell r="AE412" t="str">
            <v>Viên chức</v>
          </cell>
          <cell r="AF412" t="str">
            <v>V.08.05.13</v>
          </cell>
          <cell r="AG412" t="str">
            <v>Điều dưỡng (hạng IV)</v>
          </cell>
          <cell r="AH412">
            <v>3.96</v>
          </cell>
          <cell r="AI412">
            <v>7</v>
          </cell>
          <cell r="AJ412">
            <v>0</v>
          </cell>
          <cell r="AK412">
            <v>44927</v>
          </cell>
          <cell r="AL412" t="str">
            <v>Cao đẳng</v>
          </cell>
          <cell r="AM412" t="str">
            <v>Điều dưỡng CĐ</v>
          </cell>
          <cell r="AO412" t="str">
            <v>CĐ Y tế LS</v>
          </cell>
          <cell r="AP412">
            <v>2015</v>
          </cell>
          <cell r="AQ412" t="str">
            <v>12/12</v>
          </cell>
          <cell r="AR412">
            <v>0</v>
          </cell>
          <cell r="AS412">
            <v>0</v>
          </cell>
          <cell r="AT412">
            <v>0</v>
          </cell>
          <cell r="AU412">
            <v>0</v>
          </cell>
          <cell r="AV412" t="str">
            <v>Tày</v>
          </cell>
          <cell r="AW412" t="str">
            <v>A</v>
          </cell>
          <cell r="AY412" t="str">
            <v>Tày</v>
          </cell>
          <cell r="BA412" t="e">
            <v>#REF!</v>
          </cell>
          <cell r="BB412" t="e">
            <v>#REF!</v>
          </cell>
          <cell r="BC412" t="str">
            <v>24/06/2013</v>
          </cell>
        </row>
        <row r="413">
          <cell r="A413" t="str">
            <v>BV0822</v>
          </cell>
          <cell r="B413">
            <v>407</v>
          </cell>
          <cell r="C413" t="str">
            <v>Hoàng Đức Thịnh</v>
          </cell>
          <cell r="D413" t="str">
            <v>BV0822</v>
          </cell>
          <cell r="E413" t="str">
            <v>2013002154</v>
          </cell>
          <cell r="G413" t="str">
            <v>020085009682
Ngày cấp: 13/8/2021
cục cảnh sát  quản lý hành chính về trật tự xã hội</v>
          </cell>
          <cell r="H413" t="str">
            <v>19/11/1985</v>
          </cell>
          <cell r="J413">
            <v>40</v>
          </cell>
          <cell r="K413" t="str">
            <v>080953310</v>
          </cell>
          <cell r="L413" t="str">
            <v>30/03/2012</v>
          </cell>
          <cell r="M413" t="str">
            <v>CA tỉnh Lạng Sơn</v>
          </cell>
          <cell r="N413" t="str">
            <v>Quan Sơn, Chi Lăng</v>
          </cell>
          <cell r="O413" t="str">
            <v>Quan Sơn</v>
          </cell>
          <cell r="P413" t="str">
            <v>Chi Lăng</v>
          </cell>
          <cell r="Q413" t="str">
            <v>Lạng Sơn</v>
          </cell>
          <cell r="R413" t="str">
            <v>Khu Hòa Bình I</v>
          </cell>
          <cell r="S413" t="str">
            <v>TT Đồng Mỏ</v>
          </cell>
          <cell r="T413" t="str">
            <v>huyện Chi Lăng</v>
          </cell>
          <cell r="U413" t="str">
            <v>Lạng Sơn</v>
          </cell>
          <cell r="V413" t="str">
            <v>TT Đồng Mỏ, huyện Chi Lăng, Lạng Sơn</v>
          </cell>
          <cell r="W413" t="str">
            <v>05/6/2013</v>
          </cell>
          <cell r="X413" t="str">
            <v>Trung tâm phòng chống bệnh xã hội</v>
          </cell>
          <cell r="Y413" t="str">
            <v>1313/QĐ-SYT</v>
          </cell>
          <cell r="Z413" t="str">
            <v>05/6/2013</v>
          </cell>
          <cell r="AA413">
            <v>0</v>
          </cell>
          <cell r="AB413" t="str">
            <v>TĐ012</v>
          </cell>
          <cell r="AC413" t="str">
            <v>GPB</v>
          </cell>
          <cell r="AD413" t="str">
            <v>KP035</v>
          </cell>
          <cell r="AE413" t="str">
            <v>Viên chức</v>
          </cell>
          <cell r="AF413" t="str">
            <v>V.08.01.03</v>
          </cell>
          <cell r="AG413" t="str">
            <v>Điều dưỡng (hạng IV)</v>
          </cell>
          <cell r="AH413">
            <v>3.03</v>
          </cell>
          <cell r="AI413">
            <v>4</v>
          </cell>
          <cell r="AJ413">
            <v>0</v>
          </cell>
          <cell r="AK413">
            <v>45636</v>
          </cell>
          <cell r="AL413" t="str">
            <v>Cao đẳng</v>
          </cell>
          <cell r="AM413" t="str">
            <v>Điều dưỡng CĐ</v>
          </cell>
          <cell r="AR413">
            <v>0</v>
          </cell>
          <cell r="AS413">
            <v>0</v>
          </cell>
          <cell r="AT413">
            <v>0</v>
          </cell>
          <cell r="AU413" t="str">
            <v>Anh</v>
          </cell>
          <cell r="AV413" t="str">
            <v>Tày</v>
          </cell>
          <cell r="AW413" t="str">
            <v>Cơ bản</v>
          </cell>
          <cell r="AY413" t="str">
            <v>Tày</v>
          </cell>
          <cell r="BA413" t="e">
            <v>#REF!</v>
          </cell>
          <cell r="BB413" t="e">
            <v>#REF!</v>
          </cell>
          <cell r="BC413" t="str">
            <v>24/06/2013</v>
          </cell>
        </row>
        <row r="414">
          <cell r="A414" t="str">
            <v>BV0544</v>
          </cell>
          <cell r="B414">
            <v>408</v>
          </cell>
          <cell r="C414" t="str">
            <v>Nguyễn Thị Nga</v>
          </cell>
          <cell r="D414" t="str">
            <v>BV0544</v>
          </cell>
          <cell r="E414">
            <v>1504002803</v>
          </cell>
          <cell r="G414" t="str">
            <v>024182001620
Ngày cấp: 25/03/2021
cục cảnh sát  quản lý hành chính về trật tự xã hội</v>
          </cell>
          <cell r="I414">
            <v>29955</v>
          </cell>
          <cell r="J414">
            <v>44</v>
          </cell>
          <cell r="K414" t="str">
            <v>080986898</v>
          </cell>
          <cell r="L414" t="str">
            <v>17/10/2010</v>
          </cell>
          <cell r="M414" t="str">
            <v>CA tỉnh Lạng Sơn</v>
          </cell>
          <cell r="O414" t="str">
            <v>Phường Thị Cầu</v>
          </cell>
          <cell r="P414" t="str">
            <v>Thành phố Bắc Ninh</v>
          </cell>
          <cell r="Q414" t="str">
            <v>Tỉnh Bắc Ninh</v>
          </cell>
          <cell r="S414" t="str">
            <v>Phường Hoàng Văn Thụ</v>
          </cell>
          <cell r="T414" t="str">
            <v>Thành phố Lạng Sơn</v>
          </cell>
          <cell r="U414" t="str">
            <v>Tỉnh Lạng Sơn</v>
          </cell>
          <cell r="V414" t="str">
            <v>Phường Hoàng Văn Thụ, Thành phố Lạng Sơn, Tỉnh Lạng Sơn</v>
          </cell>
          <cell r="W414" t="str">
            <v>17/11/2003</v>
          </cell>
          <cell r="AA414" t="str">
            <v>Điều dưỡng trưởng</v>
          </cell>
          <cell r="AB414" t="str">
            <v>TĐ011</v>
          </cell>
          <cell r="AC414" t="str">
            <v>GPB</v>
          </cell>
          <cell r="AD414" t="str">
            <v>KP035</v>
          </cell>
          <cell r="AE414" t="str">
            <v>Viên chức</v>
          </cell>
          <cell r="AF414" t="str">
            <v>V.08.05.12</v>
          </cell>
          <cell r="AG414" t="str">
            <v>Điều dưỡng (hạng III)</v>
          </cell>
          <cell r="AH414">
            <v>3.99</v>
          </cell>
          <cell r="AI414">
            <v>6</v>
          </cell>
          <cell r="AJ414">
            <v>0</v>
          </cell>
          <cell r="AK414">
            <v>45170</v>
          </cell>
          <cell r="AL414" t="str">
            <v>Đại học</v>
          </cell>
          <cell r="AM414" t="str">
            <v>Điều dưỡng ĐH</v>
          </cell>
          <cell r="AR414">
            <v>0</v>
          </cell>
          <cell r="AS414" t="str">
            <v>X</v>
          </cell>
          <cell r="AT414">
            <v>0</v>
          </cell>
          <cell r="AU414" t="str">
            <v>Anh B</v>
          </cell>
          <cell r="AV414" t="str">
            <v>Tày</v>
          </cell>
          <cell r="AW414" t="str">
            <v>Cơ bản</v>
          </cell>
          <cell r="AY414" t="str">
            <v>Kinh</v>
          </cell>
          <cell r="AZ414">
            <v>44754</v>
          </cell>
          <cell r="BA414" t="e">
            <v>#REF!</v>
          </cell>
          <cell r="BB414" t="e">
            <v>#REF!</v>
          </cell>
          <cell r="BC414" t="str">
            <v>01/12/2017</v>
          </cell>
        </row>
        <row r="415">
          <cell r="A415" t="str">
            <v>BV0304</v>
          </cell>
          <cell r="B415">
            <v>409</v>
          </cell>
          <cell r="C415" t="str">
            <v>Võ Thị Hương</v>
          </cell>
          <cell r="D415" t="str">
            <v>BV0304</v>
          </cell>
          <cell r="E415">
            <v>1504003179</v>
          </cell>
          <cell r="G415" t="str">
            <v>020177008975 
Ngày cấp: 9-05-2021
cục cảnh sát  quản lý hành chính về trật tự xã hội</v>
          </cell>
          <cell r="I415">
            <v>28226</v>
          </cell>
          <cell r="J415">
            <v>49</v>
          </cell>
          <cell r="K415" t="str">
            <v>080961526</v>
          </cell>
          <cell r="L415" t="str">
            <v>28/07/2008</v>
          </cell>
          <cell r="M415" t="str">
            <v>CA tỉnh Lạng Sơn</v>
          </cell>
          <cell r="P415" t="str">
            <v>Huyện Chi Lăng</v>
          </cell>
          <cell r="Q415" t="str">
            <v>Tỉnh Lạng Sơn</v>
          </cell>
          <cell r="S415" t="str">
            <v>Phường Đông Kinh</v>
          </cell>
          <cell r="T415" t="str">
            <v>Thành phố Lạng Sơn</v>
          </cell>
          <cell r="U415" t="str">
            <v>Tỉnh Lạng Sơn</v>
          </cell>
          <cell r="V415" t="str">
            <v>Phường Đông Kinh, Thành phố Lạng Sơn, Tỉnh Lạng Sơn</v>
          </cell>
          <cell r="W415" t="str">
            <v>1/1/2003</v>
          </cell>
          <cell r="AA415">
            <v>0</v>
          </cell>
          <cell r="AB415" t="str">
            <v>TĐ012</v>
          </cell>
          <cell r="AC415" t="str">
            <v>GPB</v>
          </cell>
          <cell r="AD415" t="str">
            <v>KP035</v>
          </cell>
          <cell r="AE415" t="str">
            <v>Viên chức</v>
          </cell>
          <cell r="AF415" t="str">
            <v>V.08.05.13</v>
          </cell>
          <cell r="AG415" t="str">
            <v>Điều dưỡng (hạng IV)</v>
          </cell>
          <cell r="AH415">
            <v>3.65</v>
          </cell>
          <cell r="AI415">
            <v>6</v>
          </cell>
          <cell r="AJ415">
            <v>0</v>
          </cell>
          <cell r="AK415">
            <v>45992</v>
          </cell>
          <cell r="AL415" t="str">
            <v>Cao đẳng</v>
          </cell>
          <cell r="AM415" t="str">
            <v>Điều dưỡng CĐ</v>
          </cell>
          <cell r="AR415">
            <v>0</v>
          </cell>
          <cell r="AS415">
            <v>0</v>
          </cell>
          <cell r="AT415">
            <v>0</v>
          </cell>
          <cell r="AU415" t="str">
            <v>Toefl</v>
          </cell>
          <cell r="AV415">
            <v>0</v>
          </cell>
          <cell r="AW415" t="str">
            <v>Cơ bản</v>
          </cell>
          <cell r="AY415" t="str">
            <v>Kinh</v>
          </cell>
          <cell r="AZ415">
            <v>42158</v>
          </cell>
          <cell r="BA415" t="e">
            <v>#REF!</v>
          </cell>
          <cell r="BB415" t="e">
            <v>#REF!</v>
          </cell>
          <cell r="BC415" t="str">
            <v>20/07/2018</v>
          </cell>
        </row>
        <row r="416">
          <cell r="A416" t="str">
            <v>BV0553</v>
          </cell>
          <cell r="B416">
            <v>410</v>
          </cell>
          <cell r="C416" t="str">
            <v>Nguyễn Tiến Lâm</v>
          </cell>
          <cell r="D416" t="str">
            <v>BV0553</v>
          </cell>
          <cell r="E416">
            <v>2009000921</v>
          </cell>
          <cell r="G416" t="str">
            <v>020086002685
Ngày cấp: 29/04/2021
cục cảnh sát  quản lý hành chính về trật tự xã hội</v>
          </cell>
          <cell r="H416">
            <v>31486</v>
          </cell>
          <cell r="J416">
            <v>40</v>
          </cell>
          <cell r="K416" t="str">
            <v>081008513</v>
          </cell>
          <cell r="L416" t="str">
            <v>07/04/2003</v>
          </cell>
          <cell r="M416" t="str">
            <v>CA tỉnh Lạng Sơn</v>
          </cell>
          <cell r="P416" t="str">
            <v>Huyện Tràng Định</v>
          </cell>
          <cell r="Q416" t="str">
            <v>Tỉnh Lạng Sơn</v>
          </cell>
          <cell r="S416" t="str">
            <v>Xã Đại Đồng</v>
          </cell>
          <cell r="T416" t="str">
            <v>Huyện Tràng Định</v>
          </cell>
          <cell r="U416" t="str">
            <v>Tỉnh Lạng Sơn</v>
          </cell>
          <cell r="V416" t="str">
            <v>Xã Đại Đồng, Huyện Tràng Định, Tỉnh Lạng Sơn</v>
          </cell>
          <cell r="W416" t="str">
            <v>1/12/2008</v>
          </cell>
          <cell r="AA416">
            <v>0</v>
          </cell>
          <cell r="AB416" t="str">
            <v>TĐ014</v>
          </cell>
          <cell r="AC416" t="str">
            <v>GPB</v>
          </cell>
          <cell r="AD416" t="str">
            <v>KP035</v>
          </cell>
          <cell r="AE416" t="str">
            <v>Viên chức</v>
          </cell>
          <cell r="AF416" t="str">
            <v>V.08.07.19</v>
          </cell>
          <cell r="AG416" t="str">
            <v>Kỹ thuật y (hạng III)</v>
          </cell>
          <cell r="AH416" t="str">
            <v>3.66</v>
          </cell>
          <cell r="AI416">
            <v>5</v>
          </cell>
          <cell r="AJ416">
            <v>0</v>
          </cell>
          <cell r="AK416">
            <v>45383</v>
          </cell>
          <cell r="AL416" t="str">
            <v>Đại học</v>
          </cell>
          <cell r="AM416" t="str">
            <v>KTY ĐH</v>
          </cell>
          <cell r="AR416">
            <v>0</v>
          </cell>
          <cell r="AS416">
            <v>0</v>
          </cell>
          <cell r="AT416">
            <v>0</v>
          </cell>
          <cell r="AU416" t="str">
            <v>Toefl</v>
          </cell>
          <cell r="AV416">
            <v>0</v>
          </cell>
          <cell r="AW416" t="str">
            <v>Cơ bản</v>
          </cell>
          <cell r="AY416" t="str">
            <v>Tày</v>
          </cell>
          <cell r="AZ416">
            <v>42127</v>
          </cell>
          <cell r="BA416" t="e">
            <v>#REF!</v>
          </cell>
          <cell r="BB416" t="e">
            <v>#REF!</v>
          </cell>
          <cell r="BC416" t="str">
            <v>07/6/2018</v>
          </cell>
        </row>
        <row r="417">
          <cell r="A417" t="str">
            <v>BV0472</v>
          </cell>
          <cell r="B417">
            <v>411</v>
          </cell>
          <cell r="C417" t="str">
            <v>Lộc Thị Nga</v>
          </cell>
          <cell r="D417" t="str">
            <v>BV0472</v>
          </cell>
          <cell r="E417">
            <v>2010000122</v>
          </cell>
          <cell r="G417" t="str">
            <v xml:space="preserve">      020184006243, ngày cấp: 24/6/2021, nơi cấp: Cục cảnh sát quản lý hành chính và trật tự xã hội</v>
          </cell>
          <cell r="I417">
            <v>30854</v>
          </cell>
          <cell r="J417">
            <v>42</v>
          </cell>
          <cell r="K417" t="str">
            <v>081039562</v>
          </cell>
          <cell r="L417" t="str">
            <v>31/12/2014</v>
          </cell>
          <cell r="M417" t="str">
            <v>CA tỉnh Lạng Sơn</v>
          </cell>
          <cell r="P417" t="str">
            <v>Huyện Lộc Bình</v>
          </cell>
          <cell r="Q417" t="str">
            <v>Tỉnh Lạng Sơn</v>
          </cell>
          <cell r="R417" t="str">
            <v>Khối 14</v>
          </cell>
          <cell r="S417" t="str">
            <v>Phường Hoàng Văn Thụ</v>
          </cell>
          <cell r="T417" t="str">
            <v>Thành phố Lạng Sơn</v>
          </cell>
          <cell r="U417" t="str">
            <v>Tỉnh Lạng Sơn</v>
          </cell>
          <cell r="V417" t="str">
            <v>Phường Hoàng Văn Thụ, Thành phố Lạng Sơn, Tỉnh Lạng Sơn</v>
          </cell>
          <cell r="W417" t="str">
            <v>15/1/2010</v>
          </cell>
          <cell r="AA417">
            <v>0</v>
          </cell>
          <cell r="AB417" t="str">
            <v>TĐ009</v>
          </cell>
          <cell r="AC417" t="str">
            <v>KSNK</v>
          </cell>
          <cell r="AD417" t="str">
            <v>KP036</v>
          </cell>
          <cell r="AE417" t="str">
            <v>Viên chức</v>
          </cell>
          <cell r="AF417" t="str">
            <v>V.08.08.23</v>
          </cell>
          <cell r="AG417" t="str">
            <v>Dược (hạng IV)</v>
          </cell>
          <cell r="AH417">
            <v>3.34</v>
          </cell>
          <cell r="AI417">
            <v>5</v>
          </cell>
          <cell r="AJ417">
            <v>0</v>
          </cell>
          <cell r="AK417">
            <v>44927</v>
          </cell>
          <cell r="AL417" t="str">
            <v>Cao đẳng</v>
          </cell>
          <cell r="AM417" t="str">
            <v>Dược sỹ CĐ</v>
          </cell>
          <cell r="AR417">
            <v>0</v>
          </cell>
          <cell r="AS417">
            <v>0</v>
          </cell>
          <cell r="AT417">
            <v>0</v>
          </cell>
          <cell r="AU417">
            <v>0</v>
          </cell>
          <cell r="AV417">
            <v>0</v>
          </cell>
          <cell r="AW417">
            <v>0</v>
          </cell>
          <cell r="AY417" t="str">
            <v>Tày</v>
          </cell>
          <cell r="BC417" t="str">
            <v>24/06/2013</v>
          </cell>
        </row>
        <row r="418">
          <cell r="A418" t="str">
            <v>BV0097</v>
          </cell>
          <cell r="B418">
            <v>412</v>
          </cell>
          <cell r="C418" t="str">
            <v>Nguyễn Thị Oanh</v>
          </cell>
          <cell r="D418" t="str">
            <v>BV0097</v>
          </cell>
          <cell r="E418">
            <v>1504000549</v>
          </cell>
          <cell r="G418" t="str">
            <v>30181010513, cấp ngày: 9/4/2021, nơi cấp: Cục cảnh sát quản lý hành chính và trật tự xã hội</v>
          </cell>
          <cell r="I418">
            <v>29647</v>
          </cell>
          <cell r="J418">
            <v>45</v>
          </cell>
          <cell r="K418" t="str">
            <v>081064227</v>
          </cell>
          <cell r="L418" t="str">
            <v>19/12/2002</v>
          </cell>
          <cell r="M418" t="str">
            <v>CA tỉnh Lạng Sơn</v>
          </cell>
          <cell r="O418" t="str">
            <v>Xã Lương Điền</v>
          </cell>
          <cell r="P418" t="str">
            <v>Huyện Cẩm Giàng</v>
          </cell>
          <cell r="Q418" t="str">
            <v>Tỉnh Hải Dương</v>
          </cell>
          <cell r="S418" t="str">
            <v>Phường Chi Lăng</v>
          </cell>
          <cell r="T418" t="str">
            <v>Thành phố Lạng Sơn</v>
          </cell>
          <cell r="U418" t="str">
            <v>Tỉnh Lạng Sơn</v>
          </cell>
          <cell r="V418" t="str">
            <v>Phường Chi Lăng, Thành phố Lạng Sơn, Tỉnh Lạng Sơn</v>
          </cell>
          <cell r="W418" t="str">
            <v>16/2/2005</v>
          </cell>
          <cell r="AA418" t="str">
            <v>Trưởng khoa</v>
          </cell>
          <cell r="AB418" t="e">
            <v>#N/A</v>
          </cell>
          <cell r="AC418" t="str">
            <v>KSNK</v>
          </cell>
          <cell r="AD418" t="str">
            <v>KP036</v>
          </cell>
          <cell r="AE418" t="str">
            <v>Viên chức</v>
          </cell>
          <cell r="AF418" t="str">
            <v>V.08.05.12</v>
          </cell>
          <cell r="AG418" t="str">
            <v>Điều dưỡng (hạng II)</v>
          </cell>
          <cell r="AH418">
            <v>4.4000000000000004</v>
          </cell>
          <cell r="AI418">
            <v>1</v>
          </cell>
          <cell r="AJ418">
            <v>0</v>
          </cell>
          <cell r="AK418">
            <v>45809</v>
          </cell>
          <cell r="AL418" t="str">
            <v>Đại học</v>
          </cell>
          <cell r="AM418" t="str">
            <v>ĐDCKI</v>
          </cell>
          <cell r="AN418" t="str">
            <v>Điều dưỡng</v>
          </cell>
          <cell r="AO418" t="str">
            <v>ĐH Y tế công cộng - Thạc sĩ Quản lý BV</v>
          </cell>
          <cell r="AP418">
            <v>2019</v>
          </cell>
          <cell r="AQ418" t="str">
            <v>12/12</v>
          </cell>
          <cell r="AR418" t="str">
            <v>Chuyên viên</v>
          </cell>
          <cell r="AS418">
            <v>0</v>
          </cell>
          <cell r="AT418" t="str">
            <v>Trung cấp</v>
          </cell>
          <cell r="AU418" t="str">
            <v>Anh B</v>
          </cell>
          <cell r="AV418">
            <v>0</v>
          </cell>
          <cell r="AW418" t="str">
            <v>Văn phòng -B</v>
          </cell>
          <cell r="AY418" t="str">
            <v>Kinh</v>
          </cell>
          <cell r="AZ418">
            <v>41823</v>
          </cell>
          <cell r="BA418" t="e">
            <v>#REF!</v>
          </cell>
          <cell r="BB418" t="e">
            <v>#REF!</v>
          </cell>
          <cell r="BC418" t="str">
            <v>24/06/2013</v>
          </cell>
        </row>
        <row r="419">
          <cell r="A419" t="str">
            <v>BV0409</v>
          </cell>
          <cell r="B419">
            <v>413</v>
          </cell>
          <cell r="C419" t="str">
            <v>Chu Thị Bích Thoan</v>
          </cell>
          <cell r="D419" t="str">
            <v>BV0409</v>
          </cell>
          <cell r="E419">
            <v>1505002511</v>
          </cell>
          <cell r="G419" t="str">
            <v xml:space="preserve">    020176006409, ngày cấp: 25/6/2021, nơi cấp: Cục cảnh sát quản lý hành chính và trật tự xã hội</v>
          </cell>
          <cell r="I419">
            <v>27765</v>
          </cell>
          <cell r="J419">
            <v>50</v>
          </cell>
          <cell r="K419" t="str">
            <v>080940693</v>
          </cell>
          <cell r="L419" t="str">
            <v>11/05/2000</v>
          </cell>
          <cell r="M419" t="str">
            <v>CA tỉnh Lạng Sơn</v>
          </cell>
          <cell r="P419" t="str">
            <v>Huyện Cao Lộc</v>
          </cell>
          <cell r="Q419" t="str">
            <v>Tỉnh Lạng Sơn</v>
          </cell>
          <cell r="S419" t="str">
            <v>Thị trấn Đồng Đăng</v>
          </cell>
          <cell r="T419" t="str">
            <v>Huyện Cao Lộc</v>
          </cell>
          <cell r="U419" t="str">
            <v>Tỉnh Lạng Sơn</v>
          </cell>
          <cell r="V419" t="str">
            <v>Thị trấn Đồng Đăng, Huyện Cao Lộc, Tỉnh Lạng Sơn</v>
          </cell>
          <cell r="W419" t="str">
            <v>16/2/2005</v>
          </cell>
          <cell r="AA419" t="str">
            <v>Phó trưởng khoa</v>
          </cell>
          <cell r="AB419" t="e">
            <v>#N/A</v>
          </cell>
          <cell r="AC419" t="str">
            <v>KSNK</v>
          </cell>
          <cell r="AD419" t="str">
            <v>KP036</v>
          </cell>
          <cell r="AE419" t="str">
            <v>Viên chức</v>
          </cell>
          <cell r="AF419" t="str">
            <v>V.08.05.12</v>
          </cell>
          <cell r="AG419" t="str">
            <v>Điều dưỡng (hạng III)</v>
          </cell>
          <cell r="AH419">
            <v>4.32</v>
          </cell>
          <cell r="AI419">
            <v>7</v>
          </cell>
          <cell r="AJ419">
            <v>0</v>
          </cell>
          <cell r="AK419">
            <v>45839</v>
          </cell>
          <cell r="AL419" t="str">
            <v>Đại học</v>
          </cell>
          <cell r="AM419" t="str">
            <v>ĐDCKI</v>
          </cell>
          <cell r="AN419" t="str">
            <v>Điều dưỡng</v>
          </cell>
          <cell r="AO419" t="str">
            <v>ĐH  Y Dược Thái Nguyên</v>
          </cell>
          <cell r="AP419">
            <v>2012</v>
          </cell>
          <cell r="AQ419" t="str">
            <v>12/12</v>
          </cell>
          <cell r="AR419">
            <v>0</v>
          </cell>
          <cell r="AS419" t="str">
            <v>x</v>
          </cell>
          <cell r="AT419" t="str">
            <v>Sơ cấp</v>
          </cell>
          <cell r="AU419" t="str">
            <v>Anh</v>
          </cell>
          <cell r="AV419" t="str">
            <v>Tày</v>
          </cell>
          <cell r="AW419" t="str">
            <v>Văn phòng -B</v>
          </cell>
          <cell r="AY419" t="str">
            <v>Nùng</v>
          </cell>
          <cell r="AZ419">
            <v>35528</v>
          </cell>
          <cell r="BA419" t="e">
            <v>#REF!</v>
          </cell>
          <cell r="BB419" t="e">
            <v>#REF!</v>
          </cell>
          <cell r="BC419" t="str">
            <v>24/06/2013</v>
          </cell>
        </row>
        <row r="420">
          <cell r="A420" t="str">
            <v>BV0557</v>
          </cell>
          <cell r="B420">
            <v>414</v>
          </cell>
          <cell r="C420" t="str">
            <v>Lương Thị Cúc</v>
          </cell>
          <cell r="D420" t="str">
            <v>BV0557</v>
          </cell>
          <cell r="E420">
            <v>1504000566</v>
          </cell>
          <cell r="G420" t="str">
            <v xml:space="preserve">       020174077587, ngày cấp: 09/5/2021, nơi cấp: Cục cảnh sát quản lý hành chính và trật tự xã hội</v>
          </cell>
          <cell r="I420">
            <v>27125</v>
          </cell>
          <cell r="J420">
            <v>52</v>
          </cell>
          <cell r="K420" t="str">
            <v>081008373</v>
          </cell>
          <cell r="L420" t="str">
            <v>04/04/2003</v>
          </cell>
          <cell r="M420" t="str">
            <v>CA tỉnh Lạng Sơn</v>
          </cell>
          <cell r="P420" t="str">
            <v>Huyện Tràng Định</v>
          </cell>
          <cell r="Q420" t="str">
            <v>Tỉnh Lạng Sơn</v>
          </cell>
          <cell r="S420" t="str">
            <v>Phường Đông Kinh</v>
          </cell>
          <cell r="T420" t="str">
            <v>Thành phố Lạng Sơn</v>
          </cell>
          <cell r="U420" t="str">
            <v>Tỉnh Lạng Sơn</v>
          </cell>
          <cell r="V420" t="str">
            <v>Phường Đông Kinh, Thành phố Lạng Sơn, Tỉnh Lạng Sơn</v>
          </cell>
          <cell r="W420" t="str">
            <v>17/2/2003</v>
          </cell>
          <cell r="AA420">
            <v>0</v>
          </cell>
          <cell r="AB420" t="str">
            <v>TĐ012</v>
          </cell>
          <cell r="AC420" t="str">
            <v>KSNK</v>
          </cell>
          <cell r="AD420" t="str">
            <v>KP036</v>
          </cell>
          <cell r="AE420" t="str">
            <v>Viên chức</v>
          </cell>
          <cell r="AF420" t="str">
            <v>V.08.05.13</v>
          </cell>
          <cell r="AG420" t="str">
            <v>Điều dưỡng (hạng IV)</v>
          </cell>
          <cell r="AH420">
            <v>3.96</v>
          </cell>
          <cell r="AI420">
            <v>7</v>
          </cell>
          <cell r="AJ420">
            <v>0</v>
          </cell>
          <cell r="AK420">
            <v>45536</v>
          </cell>
          <cell r="AL420" t="str">
            <v>Trung cấp</v>
          </cell>
          <cell r="AM420" t="str">
            <v>Điều dưỡng CĐ</v>
          </cell>
          <cell r="AR420">
            <v>0</v>
          </cell>
          <cell r="AS420">
            <v>0</v>
          </cell>
          <cell r="AT420" t="str">
            <v>Sơ cấp</v>
          </cell>
          <cell r="AU420">
            <v>0</v>
          </cell>
          <cell r="AV420">
            <v>0</v>
          </cell>
          <cell r="AW420" t="str">
            <v>A</v>
          </cell>
          <cell r="AY420" t="str">
            <v>Tày</v>
          </cell>
          <cell r="BA420" t="e">
            <v>#REF!</v>
          </cell>
          <cell r="BB420" t="e">
            <v>#REF!</v>
          </cell>
          <cell r="BC420" t="str">
            <v>01/08/2012</v>
          </cell>
        </row>
        <row r="421">
          <cell r="A421" t="str">
            <v>BV0558</v>
          </cell>
          <cell r="B421">
            <v>415</v>
          </cell>
          <cell r="C421" t="str">
            <v>Nguyễn Lệ Hà</v>
          </cell>
          <cell r="D421" t="str">
            <v>BV0558</v>
          </cell>
          <cell r="E421">
            <v>2010000175</v>
          </cell>
          <cell r="G421" t="str">
            <v>020188011242, ngày cấp: 24/6/2021, nơi cấp: Cục cảnh sát quản lý hành chính và trật tự xã hội</v>
          </cell>
          <cell r="I421">
            <v>32383</v>
          </cell>
          <cell r="J421">
            <v>37</v>
          </cell>
          <cell r="K421" t="str">
            <v>082062654</v>
          </cell>
          <cell r="L421" t="str">
            <v>06/10/2009</v>
          </cell>
          <cell r="M421" t="str">
            <v>CA tỉnh Lạng Sơn</v>
          </cell>
          <cell r="O421" t="str">
            <v>Xã Đại Đồng</v>
          </cell>
          <cell r="P421" t="str">
            <v>Huyện Tràng Định</v>
          </cell>
          <cell r="Q421" t="str">
            <v>Tỉnh Lạng Sơn</v>
          </cell>
          <cell r="S421" t="str">
            <v>Xã Đại Đồng</v>
          </cell>
          <cell r="T421" t="str">
            <v>Huyện Tràng Định</v>
          </cell>
          <cell r="U421" t="str">
            <v>Tỉnh Lạng Sơn</v>
          </cell>
          <cell r="V421" t="str">
            <v>Xã Đại Đồng, Huyện Tràng Định, Tỉnh Lạng Sơn</v>
          </cell>
          <cell r="W421" t="str">
            <v>15/1/2010</v>
          </cell>
          <cell r="AA421">
            <v>0</v>
          </cell>
          <cell r="AB421" t="str">
            <v>TĐ012</v>
          </cell>
          <cell r="AC421" t="str">
            <v>KSNK</v>
          </cell>
          <cell r="AD421" t="str">
            <v>KP036</v>
          </cell>
          <cell r="AE421" t="str">
            <v>Viên chức</v>
          </cell>
          <cell r="AF421" t="str">
            <v>V.08.05.13</v>
          </cell>
          <cell r="AG421" t="str">
            <v>Điều dưỡng (hạng IV)</v>
          </cell>
          <cell r="AH421">
            <v>3.34</v>
          </cell>
          <cell r="AI421">
            <v>5</v>
          </cell>
          <cell r="AJ421">
            <v>0</v>
          </cell>
          <cell r="AK421">
            <v>45488</v>
          </cell>
          <cell r="AL421" t="str">
            <v>Trung cấp</v>
          </cell>
          <cell r="AM421" t="str">
            <v>Điều dưỡng CĐ</v>
          </cell>
          <cell r="AR421">
            <v>0</v>
          </cell>
          <cell r="AS421">
            <v>0</v>
          </cell>
          <cell r="AT421">
            <v>0</v>
          </cell>
          <cell r="AU421" t="str">
            <v>Anh B</v>
          </cell>
          <cell r="AV421">
            <v>0</v>
          </cell>
          <cell r="AW421" t="str">
            <v>Cơ bản</v>
          </cell>
          <cell r="AY421" t="str">
            <v>Tày</v>
          </cell>
          <cell r="BA421" t="e">
            <v>#REF!</v>
          </cell>
          <cell r="BB421" t="e">
            <v>#REF!</v>
          </cell>
          <cell r="BC421" t="str">
            <v>24/06/2013</v>
          </cell>
        </row>
        <row r="422">
          <cell r="A422" t="str">
            <v>BV0100</v>
          </cell>
          <cell r="B422">
            <v>416</v>
          </cell>
          <cell r="C422" t="str">
            <v>Nguyễn Thị Thu Thương</v>
          </cell>
          <cell r="D422" t="str">
            <v>BV0100</v>
          </cell>
          <cell r="E422">
            <v>2010000126</v>
          </cell>
          <cell r="G422" t="str">
            <v>025187009369
ngày cấp 26/08/2021, nơi cấp: Cục cảnh sát quản lý hành chính và trật tự xã hội</v>
          </cell>
          <cell r="I422">
            <v>31959</v>
          </cell>
          <cell r="J422">
            <v>39</v>
          </cell>
          <cell r="K422" t="str">
            <v>082242721</v>
          </cell>
          <cell r="L422" t="str">
            <v>29/09/2010</v>
          </cell>
          <cell r="M422" t="str">
            <v>CA tỉnh Lạng Sơn</v>
          </cell>
          <cell r="O422" t="str">
            <v>Tân Phương</v>
          </cell>
          <cell r="P422" t="str">
            <v>Huyện Thanh Thủy</v>
          </cell>
          <cell r="Q422" t="str">
            <v>Tỉnh Phú Thoj</v>
          </cell>
          <cell r="R422" t="str">
            <v>Số 52 đường Bông Lau</v>
          </cell>
          <cell r="S422" t="str">
            <v>Phường Hoàng Văn Thụ</v>
          </cell>
          <cell r="T422" t="str">
            <v>Thành phố Lạng Sơn</v>
          </cell>
          <cell r="U422" t="str">
            <v>Tỉnh Lạng Sơn</v>
          </cell>
          <cell r="V422" t="str">
            <v>Phường Hoàng Văn Thụ, Thành phố Lạng Sơn, Tỉnh Lạng Sơn</v>
          </cell>
          <cell r="W422" t="str">
            <v>15/1/2010</v>
          </cell>
          <cell r="AA422" t="str">
            <v>Phó trưởng phòng/ Điều dưỡng trưởng</v>
          </cell>
          <cell r="AB422" t="e">
            <v>#N/A</v>
          </cell>
          <cell r="AC422" t="str">
            <v>Điều dưỡng</v>
          </cell>
          <cell r="AD422" t="str">
            <v>KP037</v>
          </cell>
          <cell r="AE422" t="str">
            <v>Viên chức</v>
          </cell>
          <cell r="AF422" t="str">
            <v>V.08.05.12</v>
          </cell>
          <cell r="AG422" t="str">
            <v>Điều dưỡng (hạng III)</v>
          </cell>
          <cell r="AH422">
            <v>3.66</v>
          </cell>
          <cell r="AI422">
            <v>5</v>
          </cell>
          <cell r="AJ422">
            <v>0</v>
          </cell>
          <cell r="AK422">
            <v>45488</v>
          </cell>
          <cell r="AL422" t="str">
            <v>Đại học</v>
          </cell>
          <cell r="AM422" t="str">
            <v>ThS Điều dưỡng</v>
          </cell>
          <cell r="AN422" t="str">
            <v>Điều dưỡng</v>
          </cell>
          <cell r="AR422" t="str">
            <v>Chuyên viên</v>
          </cell>
          <cell r="AS422">
            <v>0</v>
          </cell>
          <cell r="AT422" t="str">
            <v>Sơ cấp</v>
          </cell>
          <cell r="AU422" t="str">
            <v>Anh B</v>
          </cell>
          <cell r="AV422">
            <v>0</v>
          </cell>
          <cell r="AW422" t="str">
            <v>Tin B</v>
          </cell>
          <cell r="AY422" t="str">
            <v>Kinh</v>
          </cell>
          <cell r="AZ422">
            <v>41525</v>
          </cell>
          <cell r="BA422" t="e">
            <v>#REF!</v>
          </cell>
          <cell r="BB422" t="e">
            <v>#REF!</v>
          </cell>
        </row>
        <row r="423">
          <cell r="A423" t="str">
            <v>BV0102</v>
          </cell>
          <cell r="B423">
            <v>417</v>
          </cell>
          <cell r="C423" t="str">
            <v>Vi Thị Hiếu</v>
          </cell>
          <cell r="D423" t="str">
            <v>BV0102</v>
          </cell>
          <cell r="E423">
            <v>2013002134</v>
          </cell>
          <cell r="G423" t="str">
            <v>020189002910, ngày cấp 29/4/2021,  nơi cấp cục cảnh sát quản lý hành chính về trật tự xã hội</v>
          </cell>
          <cell r="I423">
            <v>32868</v>
          </cell>
          <cell r="J423">
            <v>36</v>
          </cell>
          <cell r="K423" t="str">
            <v>082069892</v>
          </cell>
          <cell r="L423" t="str">
            <v>18/10/2012</v>
          </cell>
          <cell r="M423" t="str">
            <v>CA tỉnh Lạng Sơn</v>
          </cell>
          <cell r="N423" t="str">
            <v>TT Đồng Mỏ, huyện Chi Lăng, tỉnh Lạng Sơn</v>
          </cell>
          <cell r="O423" t="str">
            <v>Thị trấn Đồng Mỏ</v>
          </cell>
          <cell r="P423" t="str">
            <v>Huyện Chi Lăng</v>
          </cell>
          <cell r="Q423" t="str">
            <v>Tỉnh Lạng Sơn</v>
          </cell>
          <cell r="S423" t="str">
            <v>Phường Chi Lăng</v>
          </cell>
          <cell r="T423" t="str">
            <v>Thành phố Lạng Sơn</v>
          </cell>
          <cell r="U423" t="str">
            <v>Tỉnh Lạng Sơn</v>
          </cell>
          <cell r="V423" t="str">
            <v>Phường Chi Lăng, Thành phố Lạng Sơn, Tỉnh Lạng Sơn</v>
          </cell>
          <cell r="W423" t="str">
            <v>05/6/2013</v>
          </cell>
          <cell r="AA423" t="str">
            <v>Điều dưỡng trưởng</v>
          </cell>
          <cell r="AB423" t="str">
            <v>TĐ011</v>
          </cell>
          <cell r="AC423" t="str">
            <v>Tâm thần - Thần kinh</v>
          </cell>
          <cell r="AD423" t="str">
            <v>KP006</v>
          </cell>
          <cell r="AE423" t="str">
            <v>Viên chức</v>
          </cell>
          <cell r="AF423" t="str">
            <v>V.08.05.12</v>
          </cell>
          <cell r="AG423" t="str">
            <v>Điều dưỡng (hạng III)</v>
          </cell>
          <cell r="AH423">
            <v>3.66</v>
          </cell>
          <cell r="AI423">
            <v>5</v>
          </cell>
          <cell r="AJ423">
            <v>0</v>
          </cell>
          <cell r="AK423">
            <v>45383</v>
          </cell>
          <cell r="AL423" t="str">
            <v>Cao đẳng</v>
          </cell>
          <cell r="AM423" t="str">
            <v>Điều dưỡng ĐH</v>
          </cell>
          <cell r="AO423" t="str">
            <v>Cao đẳng Y tế Lạng  Sơn</v>
          </cell>
          <cell r="AP423">
            <v>2011</v>
          </cell>
          <cell r="AQ423" t="str">
            <v>12/12</v>
          </cell>
          <cell r="AR423">
            <v>0</v>
          </cell>
          <cell r="AS423">
            <v>0</v>
          </cell>
          <cell r="AT423" t="str">
            <v>Sơ cấp</v>
          </cell>
          <cell r="AU423" t="str">
            <v>Tiếng anh B</v>
          </cell>
          <cell r="AV423">
            <v>0</v>
          </cell>
          <cell r="AW423" t="str">
            <v>Cơ bản</v>
          </cell>
          <cell r="AX423" t="str">
            <v>Quản lý điều dưỡng</v>
          </cell>
          <cell r="AY423" t="str">
            <v>Tày</v>
          </cell>
          <cell r="BA423" t="e">
            <v>#REF!</v>
          </cell>
          <cell r="BB423" t="e">
            <v>#REF!</v>
          </cell>
          <cell r="BC423" t="str">
            <v>24/06/2013</v>
          </cell>
        </row>
        <row r="424">
          <cell r="A424" t="str">
            <v>BV0480</v>
          </cell>
          <cell r="B424">
            <v>418</v>
          </cell>
          <cell r="C424" t="str">
            <v>Đinh Thị Huyền Trang</v>
          </cell>
          <cell r="D424" t="str">
            <v>BV0480</v>
          </cell>
          <cell r="E424">
            <v>1506002349</v>
          </cell>
          <cell r="G424" t="str">
            <v>CCCD: 020183011151, 
Ngày cấp: 22/11/2021. 
Tại Cục cảnh sát quản lý hành chính về trật tự xã hội</v>
          </cell>
          <cell r="I424">
            <v>30322</v>
          </cell>
          <cell r="J424">
            <v>43</v>
          </cell>
          <cell r="K424" t="str">
            <v>080999103</v>
          </cell>
          <cell r="L424" t="str">
            <v>15/01/2006</v>
          </cell>
          <cell r="M424" t="str">
            <v>CA tỉnh Lạng Sơn</v>
          </cell>
          <cell r="O424" t="str">
            <v>Thị trấn Lộc Bình</v>
          </cell>
          <cell r="P424" t="str">
            <v>Huyện Lộc Bình</v>
          </cell>
          <cell r="Q424" t="str">
            <v>Tỉnh Lạng Sơn</v>
          </cell>
          <cell r="S424" t="str">
            <v>Thị trấn Lộc Bình</v>
          </cell>
          <cell r="T424" t="str">
            <v>Huyện Lộc Bình</v>
          </cell>
          <cell r="U424" t="str">
            <v>Tỉnh Lạng Sơn</v>
          </cell>
          <cell r="V424" t="str">
            <v>Thị trấn Lộc Bình, Huyện Lộc Bình, Tỉnh Lạng Sơn</v>
          </cell>
          <cell r="W424" t="str">
            <v>12/1/2008</v>
          </cell>
          <cell r="AA424">
            <v>0</v>
          </cell>
          <cell r="AB424" t="str">
            <v>TĐ007</v>
          </cell>
          <cell r="AC424" t="str">
            <v>VT-TTBYT</v>
          </cell>
          <cell r="AD424" t="str">
            <v>KP038</v>
          </cell>
          <cell r="AE424" t="str">
            <v>Viên chức</v>
          </cell>
          <cell r="AF424" t="str">
            <v>V.08.08.22</v>
          </cell>
          <cell r="AG424" t="str">
            <v>Dược sĩ (hạng III)</v>
          </cell>
          <cell r="AH424">
            <v>3.66</v>
          </cell>
          <cell r="AI424">
            <v>5</v>
          </cell>
          <cell r="AJ424">
            <v>0</v>
          </cell>
          <cell r="AK424">
            <v>45809</v>
          </cell>
          <cell r="AL424" t="str">
            <v>Đại học</v>
          </cell>
          <cell r="AM424" t="str">
            <v>DSCKI</v>
          </cell>
          <cell r="AR424">
            <v>0</v>
          </cell>
          <cell r="AS424">
            <v>0</v>
          </cell>
          <cell r="AT424" t="str">
            <v>Sơ cấp</v>
          </cell>
          <cell r="AU424">
            <v>0</v>
          </cell>
          <cell r="AV424">
            <v>0</v>
          </cell>
          <cell r="AW424">
            <v>0</v>
          </cell>
          <cell r="AY424" t="str">
            <v>Tày</v>
          </cell>
          <cell r="AZ424">
            <v>41837</v>
          </cell>
          <cell r="BC424" t="str">
            <v>24/06/2013</v>
          </cell>
        </row>
        <row r="425">
          <cell r="A425" t="str">
            <v>BV0461</v>
          </cell>
          <cell r="B425">
            <v>419</v>
          </cell>
          <cell r="C425" t="str">
            <v>Hoàng Bích Thủy</v>
          </cell>
          <cell r="D425" t="str">
            <v>BV0461</v>
          </cell>
          <cell r="E425">
            <v>1505002507</v>
          </cell>
          <cell r="G425" t="str">
            <v>CCCD: 020183002634, 
Ngày cấp: 29/04/2021.
Tại Cục cảnh sát quản lý hành chính về trật tự xã hội</v>
          </cell>
          <cell r="I425">
            <v>30632</v>
          </cell>
          <cell r="J425">
            <v>42</v>
          </cell>
          <cell r="K425" t="str">
            <v>081040337</v>
          </cell>
          <cell r="L425" t="str">
            <v>31/08/2000</v>
          </cell>
          <cell r="M425" t="str">
            <v>CA tỉnh Lạng Sơn</v>
          </cell>
          <cell r="P425" t="str">
            <v>Huyện Bình Gia</v>
          </cell>
          <cell r="Q425" t="str">
            <v>Tỉnh Lạng Sơn</v>
          </cell>
          <cell r="S425" t="str">
            <v>Phường Tam Thanh</v>
          </cell>
          <cell r="T425" t="str">
            <v>Thành phố Lạng Sơn</v>
          </cell>
          <cell r="U425" t="str">
            <v>Tỉnh Lạng Sơn</v>
          </cell>
          <cell r="V425" t="str">
            <v>Phường Tam Thanh, Thành phố Lạng Sơn, Tỉnh Lạng Sơn</v>
          </cell>
          <cell r="W425" t="str">
            <v>16/2/2005</v>
          </cell>
          <cell r="AA425" t="str">
            <v>Phó trưởng phòng</v>
          </cell>
          <cell r="AB425" t="str">
            <v>TĐ008</v>
          </cell>
          <cell r="AC425" t="str">
            <v>VT-TTBYT</v>
          </cell>
          <cell r="AD425" t="str">
            <v>KP038</v>
          </cell>
          <cell r="AE425" t="str">
            <v>Viên chức</v>
          </cell>
          <cell r="AF425" t="str">
            <v>V.08.08.22</v>
          </cell>
          <cell r="AG425" t="str">
            <v>Dược sĩ (hạng III)</v>
          </cell>
          <cell r="AH425">
            <v>3.99</v>
          </cell>
          <cell r="AI425">
            <v>6</v>
          </cell>
          <cell r="AJ425">
            <v>0</v>
          </cell>
          <cell r="AK425">
            <v>45292</v>
          </cell>
          <cell r="AL425" t="str">
            <v>Đại học</v>
          </cell>
          <cell r="AM425" t="str">
            <v>Dược sỹ ĐH</v>
          </cell>
          <cell r="AR425" t="str">
            <v>Chuyên viên</v>
          </cell>
          <cell r="AS425">
            <v>0</v>
          </cell>
          <cell r="AT425" t="str">
            <v>Sơ cấp</v>
          </cell>
          <cell r="AU425" t="str">
            <v>Anh B</v>
          </cell>
          <cell r="AV425" t="str">
            <v>Tày</v>
          </cell>
          <cell r="AW425" t="str">
            <v>B</v>
          </cell>
          <cell r="AY425" t="str">
            <v>Tày</v>
          </cell>
          <cell r="AZ425">
            <v>41298</v>
          </cell>
          <cell r="BC425" t="str">
            <v>01/08/2012</v>
          </cell>
        </row>
        <row r="426">
          <cell r="A426" t="str">
            <v>BV0473</v>
          </cell>
          <cell r="B426">
            <v>420</v>
          </cell>
          <cell r="C426" t="str">
            <v>Đào Minh An</v>
          </cell>
          <cell r="D426" t="str">
            <v>BV0473</v>
          </cell>
          <cell r="E426">
            <v>2011000011</v>
          </cell>
          <cell r="I426">
            <v>31669</v>
          </cell>
          <cell r="J426">
            <v>39</v>
          </cell>
          <cell r="K426" t="str">
            <v>081045288</v>
          </cell>
          <cell r="L426" t="str">
            <v>09/11/2009</v>
          </cell>
          <cell r="M426" t="str">
            <v>CA tỉnh Lạng Sơn</v>
          </cell>
          <cell r="O426" t="str">
            <v xml:space="preserve">Quảng Hưng </v>
          </cell>
          <cell r="P426" t="str">
            <v>Hưng Điền</v>
          </cell>
          <cell r="Q426" t="str">
            <v>Quảng Trị</v>
          </cell>
          <cell r="R426" t="str">
            <v>116 Ngô Quyền</v>
          </cell>
          <cell r="S426" t="str">
            <v>Phường Đông Kinh</v>
          </cell>
          <cell r="T426" t="str">
            <v>Thành phố Lạng Sơn</v>
          </cell>
          <cell r="U426" t="str">
            <v>Tỉnh Lạng Sơn</v>
          </cell>
          <cell r="V426" t="str">
            <v>Phường Đông Kinh, Thành phố Lạng Sơn, Tỉnh Lạng Sơn</v>
          </cell>
          <cell r="W426" t="str">
            <v>1/12/2010</v>
          </cell>
          <cell r="AA426">
            <v>0</v>
          </cell>
          <cell r="AB426" t="str">
            <v>TĐ009</v>
          </cell>
          <cell r="AC426" t="str">
            <v>VT-TTBYT</v>
          </cell>
          <cell r="AD426" t="str">
            <v>KP038</v>
          </cell>
          <cell r="AE426" t="str">
            <v>Viên chức</v>
          </cell>
          <cell r="AF426" t="str">
            <v>V.08.08.23</v>
          </cell>
          <cell r="AG426" t="str">
            <v>Dược (hạng IV)</v>
          </cell>
          <cell r="AH426">
            <v>3.34</v>
          </cell>
          <cell r="AI426">
            <v>5</v>
          </cell>
          <cell r="AJ426">
            <v>0</v>
          </cell>
          <cell r="AK426">
            <v>45444</v>
          </cell>
          <cell r="AL426" t="str">
            <v>Cao đẳng</v>
          </cell>
          <cell r="AM426" t="str">
            <v>Dược sỹ CĐ</v>
          </cell>
          <cell r="AO426" t="str">
            <v>CĐ Y tế Lạng Sơn</v>
          </cell>
          <cell r="AP426">
            <v>2008</v>
          </cell>
          <cell r="AQ426" t="str">
            <v>12/12</v>
          </cell>
          <cell r="AR426">
            <v>0</v>
          </cell>
          <cell r="AS426">
            <v>0</v>
          </cell>
          <cell r="AT426">
            <v>0</v>
          </cell>
          <cell r="AU426" t="str">
            <v>Anh B</v>
          </cell>
          <cell r="AV426" t="str">
            <v>Tày</v>
          </cell>
          <cell r="AW426" t="str">
            <v>B</v>
          </cell>
          <cell r="AY426" t="str">
            <v>Nùng</v>
          </cell>
          <cell r="BC426" t="str">
            <v>24/06/2013</v>
          </cell>
        </row>
        <row r="427">
          <cell r="A427" t="str">
            <v>BV0477</v>
          </cell>
          <cell r="B427">
            <v>421</v>
          </cell>
          <cell r="C427" t="str">
            <v>Hoàng Lan Thịnh</v>
          </cell>
          <cell r="D427" t="str">
            <v>BV0477</v>
          </cell>
          <cell r="E427">
            <v>2010000972</v>
          </cell>
          <cell r="G427" t="str">
            <v>CCCD: 020188002921, 
Ngày cấp: 29/04/2021. 
Tại Cục cảnh sát quản lý hành chính về trật tự xã hội</v>
          </cell>
          <cell r="I427">
            <v>32197</v>
          </cell>
          <cell r="J427">
            <v>38</v>
          </cell>
          <cell r="K427" t="str">
            <v>082048487</v>
          </cell>
          <cell r="L427" t="str">
            <v>10/03/2005</v>
          </cell>
          <cell r="M427" t="str">
            <v>CA tỉnh Lạng Sơn</v>
          </cell>
          <cell r="O427" t="str">
            <v>Xã Mai Pha</v>
          </cell>
          <cell r="P427" t="str">
            <v>Thành phố Lạng Sơn</v>
          </cell>
          <cell r="Q427" t="str">
            <v>Tỉnh Lạng Sơn</v>
          </cell>
          <cell r="S427" t="str">
            <v>Xã Mai Pha</v>
          </cell>
          <cell r="T427" t="str">
            <v>Thành phố Lạng Sơn</v>
          </cell>
          <cell r="U427" t="str">
            <v>Tỉnh Lạng Sơn</v>
          </cell>
          <cell r="V427" t="str">
            <v>Xã Mai Pha, Thành phố Lạng Sơn, Tỉnh Lạng Sơn</v>
          </cell>
          <cell r="W427" t="str">
            <v>10/6/2013</v>
          </cell>
          <cell r="AA427">
            <v>0</v>
          </cell>
          <cell r="AB427" t="str">
            <v>TĐ009</v>
          </cell>
          <cell r="AC427" t="str">
            <v>VT-TTBYT</v>
          </cell>
          <cell r="AD427" t="str">
            <v>KP038</v>
          </cell>
          <cell r="AE427" t="str">
            <v>Viên chức</v>
          </cell>
          <cell r="AF427" t="str">
            <v>V.08.08.23</v>
          </cell>
          <cell r="AG427" t="str">
            <v>Dược (hạng IV)</v>
          </cell>
          <cell r="AH427">
            <v>3.03</v>
          </cell>
          <cell r="AI427">
            <v>4</v>
          </cell>
          <cell r="AJ427">
            <v>0</v>
          </cell>
          <cell r="AK427">
            <v>45483</v>
          </cell>
          <cell r="AL427" t="str">
            <v>Cao đẳng</v>
          </cell>
          <cell r="AM427" t="str">
            <v>Dược sỹ CĐ</v>
          </cell>
          <cell r="AR427">
            <v>0</v>
          </cell>
          <cell r="AS427">
            <v>0</v>
          </cell>
          <cell r="AT427">
            <v>0</v>
          </cell>
          <cell r="AU427" t="str">
            <v>Anh B</v>
          </cell>
          <cell r="AV427">
            <v>0</v>
          </cell>
          <cell r="AW427" t="str">
            <v>B</v>
          </cell>
          <cell r="AY427" t="str">
            <v>Tày</v>
          </cell>
          <cell r="BC427" t="str">
            <v>24/06/2013</v>
          </cell>
        </row>
        <row r="428">
          <cell r="A428" t="str">
            <v>BV0577</v>
          </cell>
          <cell r="B428">
            <v>422</v>
          </cell>
          <cell r="C428" t="str">
            <v>Ma Duy Tường</v>
          </cell>
          <cell r="D428" t="str">
            <v>BV0577</v>
          </cell>
          <cell r="E428">
            <v>1596013403</v>
          </cell>
          <cell r="H428">
            <v>25162</v>
          </cell>
          <cell r="J428">
            <v>57</v>
          </cell>
          <cell r="K428" t="str">
            <v>080793969</v>
          </cell>
          <cell r="L428" t="str">
            <v>09/11/2009</v>
          </cell>
          <cell r="M428" t="str">
            <v>CA tỉnh Lạng Sơn</v>
          </cell>
          <cell r="O428" t="str">
            <v>Đai Đồng</v>
          </cell>
          <cell r="P428" t="str">
            <v>Huyện Tràng Định</v>
          </cell>
          <cell r="Q428" t="str">
            <v>Tỉnh Lạng Sơn</v>
          </cell>
          <cell r="R428" t="str">
            <v>Số 16 Trần Hưng Đạo</v>
          </cell>
          <cell r="S428" t="str">
            <v>Phường Chi Lăng</v>
          </cell>
          <cell r="T428" t="str">
            <v>Thành phố Lạng Sơn</v>
          </cell>
          <cell r="U428" t="str">
            <v>Tỉnh Lạng Sơn</v>
          </cell>
          <cell r="V428" t="str">
            <v>Phường Chi Lăng, Thành phố Lạng Sơn, Tỉnh Lạng Sơn</v>
          </cell>
          <cell r="W428" t="str">
            <v>6/6/1989</v>
          </cell>
          <cell r="AA428">
            <v>0</v>
          </cell>
          <cell r="AB428" t="str">
            <v>TĐ029</v>
          </cell>
          <cell r="AC428" t="str">
            <v>VT-TTBYT</v>
          </cell>
          <cell r="AD428" t="str">
            <v>KP038</v>
          </cell>
          <cell r="AE428" t="str">
            <v>Viên chức</v>
          </cell>
          <cell r="AF428" t="str">
            <v>01.005</v>
          </cell>
          <cell r="AG428" t="str">
            <v>Cán sự</v>
          </cell>
          <cell r="AH428">
            <v>4.58</v>
          </cell>
          <cell r="AI428">
            <v>9</v>
          </cell>
          <cell r="AJ428">
            <v>0</v>
          </cell>
          <cell r="AK428">
            <v>45778</v>
          </cell>
          <cell r="AL428" t="str">
            <v>Đại học</v>
          </cell>
          <cell r="AM428" t="str">
            <v>Kỹ sư</v>
          </cell>
          <cell r="AO428" t="str">
            <v>ĐH Bách khoa HN</v>
          </cell>
          <cell r="AP428">
            <v>2011</v>
          </cell>
          <cell r="AQ428" t="str">
            <v>12/12</v>
          </cell>
          <cell r="AR428" t="str">
            <v>Chuyên viên</v>
          </cell>
          <cell r="AS428" t="str">
            <v>x</v>
          </cell>
          <cell r="AT428" t="str">
            <v>Trung cấp</v>
          </cell>
          <cell r="AU428" t="str">
            <v>Anh B</v>
          </cell>
          <cell r="AV428" t="str">
            <v>Tày</v>
          </cell>
          <cell r="AW428" t="str">
            <v>B</v>
          </cell>
          <cell r="AY428" t="str">
            <v>Tày</v>
          </cell>
          <cell r="AZ428">
            <v>38623</v>
          </cell>
          <cell r="BC428" t="str">
            <v>24/06/2013</v>
          </cell>
        </row>
        <row r="429">
          <cell r="A429" t="str">
            <v>BV0579</v>
          </cell>
          <cell r="B429">
            <v>423</v>
          </cell>
          <cell r="C429" t="str">
            <v>Bùi Mạnh Ước</v>
          </cell>
          <cell r="D429" t="str">
            <v>BV0579</v>
          </cell>
          <cell r="E429">
            <v>1506001854</v>
          </cell>
          <cell r="G429" t="str">
            <v>CCCD: 036083016039, 
Ngày cấp: 29/04/2021. 
Tại Cục cảnh sát quản lý hành chính về trật tự xã hội</v>
          </cell>
          <cell r="H429">
            <v>30505</v>
          </cell>
          <cell r="J429">
            <v>43</v>
          </cell>
          <cell r="K429" t="str">
            <v>162557870</v>
          </cell>
          <cell r="L429" t="str">
            <v>27/02/2001</v>
          </cell>
          <cell r="M429" t="str">
            <v>CA Nam Định</v>
          </cell>
          <cell r="N429" t="str">
            <v>Nam Trực, Nam Định</v>
          </cell>
          <cell r="O429" t="str">
            <v>Nam Thanh</v>
          </cell>
          <cell r="P429" t="str">
            <v>Huyện Nam Trực</v>
          </cell>
          <cell r="Q429" t="str">
            <v>Tỉnh Nam Định</v>
          </cell>
          <cell r="R429" t="str">
            <v>36 Tô Hiến Thành</v>
          </cell>
          <cell r="S429" t="str">
            <v>Phường Hoàng Văn Thụ</v>
          </cell>
          <cell r="T429" t="str">
            <v>Thành phố Lạng Sơn</v>
          </cell>
          <cell r="U429" t="str">
            <v>Tỉnh Lạng Sơn</v>
          </cell>
          <cell r="V429" t="str">
            <v>Phường Hoàng Văn Thụ, Thành phố Lạng Sơn, Tỉnh Lạng Sơn</v>
          </cell>
          <cell r="W429" t="str">
            <v>10/6/2013</v>
          </cell>
          <cell r="AA429" t="str">
            <v>Trưởng phòng</v>
          </cell>
          <cell r="AB429" t="str">
            <v>TĐ029</v>
          </cell>
          <cell r="AC429" t="str">
            <v>VT-TTBYT</v>
          </cell>
          <cell r="AD429" t="str">
            <v>KP038</v>
          </cell>
          <cell r="AE429" t="str">
            <v>Viên chức</v>
          </cell>
          <cell r="AF429" t="str">
            <v>01.004</v>
          </cell>
          <cell r="AG429" t="str">
            <v>Kỹ sư (hạng III)</v>
          </cell>
          <cell r="AH429">
            <v>3.33</v>
          </cell>
          <cell r="AI429">
            <v>4</v>
          </cell>
          <cell r="AJ429">
            <v>0</v>
          </cell>
          <cell r="AK429">
            <v>45636</v>
          </cell>
          <cell r="AL429" t="str">
            <v>Đại học</v>
          </cell>
          <cell r="AM429" t="str">
            <v>Kỹ sư</v>
          </cell>
          <cell r="AO429" t="str">
            <v>ĐH Bách khoa HN</v>
          </cell>
          <cell r="AP429">
            <v>2018</v>
          </cell>
          <cell r="AQ429" t="str">
            <v>12/12</v>
          </cell>
          <cell r="AR429" t="str">
            <v>Chuyên viên</v>
          </cell>
          <cell r="AS429">
            <v>0</v>
          </cell>
          <cell r="AT429" t="str">
            <v>Trung cấp</v>
          </cell>
          <cell r="AU429" t="str">
            <v>Anh B</v>
          </cell>
          <cell r="AV429" t="str">
            <v>Tày</v>
          </cell>
          <cell r="AW429" t="str">
            <v>A</v>
          </cell>
          <cell r="AY429" t="str">
            <v>Kinh</v>
          </cell>
          <cell r="AZ429">
            <v>41067</v>
          </cell>
        </row>
        <row r="430">
          <cell r="A430" t="str">
            <v>BV0578</v>
          </cell>
          <cell r="B430">
            <v>424</v>
          </cell>
          <cell r="C430" t="str">
            <v>Hứa Trọng Tôn</v>
          </cell>
          <cell r="D430" t="str">
            <v>BV0578</v>
          </cell>
          <cell r="E430">
            <v>1596007624</v>
          </cell>
          <cell r="H430">
            <v>25676</v>
          </cell>
          <cell r="J430">
            <v>56</v>
          </cell>
          <cell r="K430" t="str">
            <v>080793971</v>
          </cell>
          <cell r="L430" t="str">
            <v>03/10/2006</v>
          </cell>
          <cell r="M430" t="str">
            <v>CA tỉnh Lạng Sơn</v>
          </cell>
          <cell r="N430" t="str">
            <v>Đại An,Văn Quan</v>
          </cell>
          <cell r="O430" t="str">
            <v>Đại An</v>
          </cell>
          <cell r="P430" t="str">
            <v>Huyện Văn Quan</v>
          </cell>
          <cell r="Q430" t="str">
            <v>Tỉnh Lạng Sơn</v>
          </cell>
          <cell r="R430" t="str">
            <v>83 đường Hùng Vương</v>
          </cell>
          <cell r="S430" t="str">
            <v>Phường Chi Lăng</v>
          </cell>
          <cell r="T430" t="str">
            <v>Thành phố Lạng Sơn</v>
          </cell>
          <cell r="U430" t="str">
            <v>Tỉnh Lạng Sơn</v>
          </cell>
          <cell r="V430" t="str">
            <v>Phường Chi Lăng, Thành phố Lạng Sơn, Tỉnh Lạng Sơn</v>
          </cell>
          <cell r="W430" t="str">
            <v>12/4/1995</v>
          </cell>
          <cell r="AA430">
            <v>0</v>
          </cell>
          <cell r="AB430" t="str">
            <v>TĐ040</v>
          </cell>
          <cell r="AC430" t="str">
            <v>VT-TTBYT</v>
          </cell>
          <cell r="AD430" t="str">
            <v>KP038</v>
          </cell>
          <cell r="AE430" t="str">
            <v>Viên chức</v>
          </cell>
          <cell r="AF430" t="str">
            <v>V.08.07.19</v>
          </cell>
          <cell r="AG430" t="str">
            <v>Kỹ thuật viên (hạng IV)</v>
          </cell>
          <cell r="AH430">
            <v>3.46</v>
          </cell>
          <cell r="AI430">
            <v>9</v>
          </cell>
          <cell r="AJ430">
            <v>0</v>
          </cell>
          <cell r="AK430">
            <v>45488</v>
          </cell>
          <cell r="AL430" t="str">
            <v>Cao đẳng</v>
          </cell>
          <cell r="AM430" t="str">
            <v>CĐ y sinh</v>
          </cell>
          <cell r="AO430" t="str">
            <v>ĐH Bách khoa HN</v>
          </cell>
          <cell r="AP430">
            <v>2008</v>
          </cell>
          <cell r="AQ430" t="str">
            <v>12/12</v>
          </cell>
          <cell r="AR430">
            <v>0</v>
          </cell>
          <cell r="AS430">
            <v>0</v>
          </cell>
          <cell r="AT430">
            <v>0</v>
          </cell>
          <cell r="AU430">
            <v>0</v>
          </cell>
          <cell r="AV430">
            <v>0</v>
          </cell>
          <cell r="AW430">
            <v>0</v>
          </cell>
          <cell r="AY430" t="str">
            <v>Nùng</v>
          </cell>
          <cell r="AZ430">
            <v>40490</v>
          </cell>
          <cell r="BC430" t="str">
            <v>24/06/2013</v>
          </cell>
        </row>
        <row r="431">
          <cell r="A431" t="str">
            <v>BV0580</v>
          </cell>
          <cell r="B431">
            <v>425</v>
          </cell>
          <cell r="C431" t="str">
            <v>Ma Bá Tiếp</v>
          </cell>
          <cell r="D431" t="str">
            <v>BV0580</v>
          </cell>
          <cell r="E431">
            <v>2013002140</v>
          </cell>
          <cell r="H431">
            <v>33004</v>
          </cell>
          <cell r="J431">
            <v>36</v>
          </cell>
          <cell r="K431" t="str">
            <v>082062577</v>
          </cell>
          <cell r="L431" t="str">
            <v>16/12/2005</v>
          </cell>
          <cell r="M431" t="str">
            <v>CA tỉnh Lạng Sơn</v>
          </cell>
          <cell r="N431" t="str">
            <v>Đại Đồng</v>
          </cell>
          <cell r="O431" t="str">
            <v>Xã Đại Đồng</v>
          </cell>
          <cell r="P431" t="str">
            <v>Huyện Tràng Định</v>
          </cell>
          <cell r="Q431" t="str">
            <v>Tỉnh Lạng Sơn</v>
          </cell>
          <cell r="R431" t="str">
            <v>Số 115 đường Tam Thanh</v>
          </cell>
          <cell r="S431" t="str">
            <v>Phường Tam Thanh</v>
          </cell>
          <cell r="T431" t="str">
            <v>Thành phố Lạng Sơn</v>
          </cell>
          <cell r="U431" t="str">
            <v>Tỉnh Lạng Sơn</v>
          </cell>
          <cell r="V431" t="str">
            <v>Phường Tam Thanh, Thành phố Lạng Sơn, Tỉnh Lạng Sơn</v>
          </cell>
          <cell r="W431" t="str">
            <v>10/6/2013</v>
          </cell>
          <cell r="AA431">
            <v>0</v>
          </cell>
          <cell r="AB431" t="str">
            <v>TĐ041</v>
          </cell>
          <cell r="AC431" t="str">
            <v>VT-TTBYT</v>
          </cell>
          <cell r="AD431" t="str">
            <v>KP038</v>
          </cell>
          <cell r="AE431" t="str">
            <v>Viên chức</v>
          </cell>
          <cell r="AF431" t="str">
            <v>01.004</v>
          </cell>
          <cell r="AG431" t="str">
            <v>Kỹ thuật viên (hạng IV)</v>
          </cell>
          <cell r="AH431">
            <v>3.26</v>
          </cell>
          <cell r="AI431">
            <v>8</v>
          </cell>
          <cell r="AJ431">
            <v>0</v>
          </cell>
          <cell r="AK431">
            <v>46001</v>
          </cell>
          <cell r="AL431" t="str">
            <v>Cao đẳng</v>
          </cell>
          <cell r="AM431" t="str">
            <v>CV cao đẳng</v>
          </cell>
          <cell r="AO431" t="str">
            <v>CĐ Nghề Kỹ thuật thiết bị y tế</v>
          </cell>
          <cell r="AP431">
            <v>2011</v>
          </cell>
          <cell r="AQ431" t="str">
            <v>12/12</v>
          </cell>
          <cell r="AR431">
            <v>0</v>
          </cell>
          <cell r="AS431">
            <v>0</v>
          </cell>
          <cell r="AT431">
            <v>0</v>
          </cell>
          <cell r="AU431" t="str">
            <v>Anh C</v>
          </cell>
          <cell r="AV431">
            <v>0</v>
          </cell>
          <cell r="AW431" t="str">
            <v>Tin B</v>
          </cell>
          <cell r="AY431" t="str">
            <v>Tày</v>
          </cell>
          <cell r="BC431" t="str">
            <v>24/06/2013</v>
          </cell>
        </row>
        <row r="432">
          <cell r="A432" t="str">
            <v>BV0821</v>
          </cell>
          <cell r="B432">
            <v>426</v>
          </cell>
          <cell r="C432" t="str">
            <v>Trần Đức Vinh</v>
          </cell>
          <cell r="D432" t="str">
            <v>BV0821</v>
          </cell>
          <cell r="E432" t="str">
            <v>1597024529</v>
          </cell>
          <cell r="G432" t="str">
            <v>CMT: 080954361; 
Cấp ngày 05/10/2013
Nơi cấp: Công an tỉnh Lạng Sơn</v>
          </cell>
          <cell r="H432" t="str">
            <v>19/8/1971</v>
          </cell>
          <cell r="J432">
            <v>54</v>
          </cell>
          <cell r="K432" t="str">
            <v>080954361</v>
          </cell>
          <cell r="L432" t="str">
            <v>05/10/2013</v>
          </cell>
          <cell r="M432" t="str">
            <v>CA tỉnh Lạng Sơn</v>
          </cell>
          <cell r="N432" t="str">
            <v>Tân Thành, Hữu Lũng</v>
          </cell>
          <cell r="O432" t="str">
            <v>Tân Thành</v>
          </cell>
          <cell r="P432" t="str">
            <v>Hữu Lũng</v>
          </cell>
          <cell r="Q432" t="str">
            <v>Lạng Sơn</v>
          </cell>
          <cell r="R432" t="str">
            <v>Số 10, ngõ 10a, đường Bắc Sơn, khối 9</v>
          </cell>
          <cell r="S432" t="str">
            <v>Phường Hoàng Văn Thụ</v>
          </cell>
          <cell r="T432" t="str">
            <v>TP. Lạng Sơn</v>
          </cell>
          <cell r="U432" t="str">
            <v>Lạng Sơn</v>
          </cell>
          <cell r="V432" t="str">
            <v>Phường Hoàng Văn Thụ, TP. Lạng Sơn, Lạng Sơn</v>
          </cell>
          <cell r="W432" t="str">
            <v>25/4/1997</v>
          </cell>
          <cell r="X432" t="str">
            <v>Trạm Mắt</v>
          </cell>
          <cell r="Y432" t="str">
            <v>149/TC-QĐ</v>
          </cell>
          <cell r="Z432" t="str">
            <v>25/4/1997</v>
          </cell>
          <cell r="AA432" t="str">
            <v>Trưởng phòng</v>
          </cell>
          <cell r="AB432" t="str">
            <v>TĐ003</v>
          </cell>
          <cell r="AC432" t="str">
            <v>TCCB</v>
          </cell>
          <cell r="AD432" t="str">
            <v>KP039</v>
          </cell>
          <cell r="AE432" t="str">
            <v>Viên chức</v>
          </cell>
          <cell r="AF432" t="str">
            <v>V.08.01.03</v>
          </cell>
          <cell r="AG432" t="str">
            <v>Bác sĩ (hạng III)</v>
          </cell>
          <cell r="AH432">
            <v>5.08</v>
          </cell>
          <cell r="AI432">
            <v>3</v>
          </cell>
          <cell r="AJ432">
            <v>0</v>
          </cell>
          <cell r="AK432">
            <v>45597</v>
          </cell>
          <cell r="AL432" t="str">
            <v>Đại học</v>
          </cell>
          <cell r="AM432" t="str">
            <v>BSCKI</v>
          </cell>
          <cell r="AN432" t="str">
            <v>Nhãn khoa</v>
          </cell>
          <cell r="AO432" t="str">
            <v>ĐH Y - Dược Thái Nguyên</v>
          </cell>
          <cell r="AP432">
            <v>2013</v>
          </cell>
          <cell r="AQ432" t="str">
            <v>12/12</v>
          </cell>
          <cell r="AR432" t="str">
            <v>Chuyên viên</v>
          </cell>
          <cell r="AS432" t="str">
            <v>x</v>
          </cell>
          <cell r="AT432" t="str">
            <v>Trung cấp</v>
          </cell>
          <cell r="AU432" t="str">
            <v>Anh C</v>
          </cell>
          <cell r="AV432">
            <v>0</v>
          </cell>
          <cell r="AW432" t="str">
            <v>Tin B</v>
          </cell>
          <cell r="AY432" t="str">
            <v>Kinh</v>
          </cell>
          <cell r="AZ432">
            <v>36308</v>
          </cell>
          <cell r="BA432" t="e">
            <v>#REF!</v>
          </cell>
          <cell r="BB432" t="e">
            <v>#REF!</v>
          </cell>
          <cell r="BC432" t="str">
            <v>24/06/2013</v>
          </cell>
        </row>
        <row r="433">
          <cell r="A433" t="str">
            <v>BV0666</v>
          </cell>
          <cell r="B433">
            <v>427</v>
          </cell>
          <cell r="C433" t="str">
            <v>Hoàng Tuấn Anh</v>
          </cell>
          <cell r="D433" t="str">
            <v>BV0666</v>
          </cell>
          <cell r="E433">
            <v>1597020320</v>
          </cell>
          <cell r="G433" t="str">
            <v>CCCD: 020074003896; 
Ngày cấp: 25/06/2021
Tại Cục cảnh sát quản lý hành chính về trật tự xã hội</v>
          </cell>
          <cell r="H433">
            <v>27080</v>
          </cell>
          <cell r="J433">
            <v>52</v>
          </cell>
          <cell r="K433" t="str">
            <v>082001549</v>
          </cell>
          <cell r="L433" t="str">
            <v>21/09/2010</v>
          </cell>
          <cell r="M433" t="str">
            <v>CA tỉnh Lạng Sơn</v>
          </cell>
          <cell r="N433" t="str">
            <v>Đức Tâm, Văn Quan</v>
          </cell>
          <cell r="O433" t="str">
            <v>Đức Tâm</v>
          </cell>
          <cell r="P433" t="str">
            <v>Huyện Văn Quan</v>
          </cell>
          <cell r="Q433" t="str">
            <v>Tỉnh Lạng Sơn</v>
          </cell>
          <cell r="R433" t="str">
            <v>Nguyễn Du</v>
          </cell>
          <cell r="S433" t="str">
            <v>Phường Đông Kinh</v>
          </cell>
          <cell r="T433" t="str">
            <v>Thành phố Lạng Sơn</v>
          </cell>
          <cell r="U433" t="str">
            <v>Tỉnh Lạng Sơn</v>
          </cell>
          <cell r="V433" t="str">
            <v>Phường Đông Kinh, Thành phố Lạng Sơn, Tỉnh Lạng Sơn</v>
          </cell>
          <cell r="W433" t="str">
            <v>3/2/1993</v>
          </cell>
          <cell r="AA433">
            <v>0</v>
          </cell>
          <cell r="AB433" t="str">
            <v>TĐ028</v>
          </cell>
          <cell r="AC433" t="str">
            <v>TCCB</v>
          </cell>
          <cell r="AD433" t="str">
            <v>KP039</v>
          </cell>
          <cell r="AE433" t="str">
            <v>Viên chức</v>
          </cell>
          <cell r="AF433" t="str">
            <v>V.11.06.15</v>
          </cell>
          <cell r="AG433" t="str">
            <v>Công nghệ thông tin (hạng IV)</v>
          </cell>
          <cell r="AH433">
            <v>4.0599999999999996</v>
          </cell>
          <cell r="AI433">
            <v>12</v>
          </cell>
          <cell r="AJ433">
            <v>0.12</v>
          </cell>
          <cell r="AK433">
            <v>45901</v>
          </cell>
          <cell r="AL433" t="str">
            <v>Trung cấp</v>
          </cell>
          <cell r="AM433" t="str">
            <v>TC CNTT</v>
          </cell>
          <cell r="AO433" t="str">
            <v>CĐ Cơ khí Luyện Kim Thái Nguyên</v>
          </cell>
          <cell r="AP433">
            <v>2002</v>
          </cell>
          <cell r="AQ433" t="str">
            <v>12/12</v>
          </cell>
          <cell r="AR433">
            <v>0</v>
          </cell>
          <cell r="AS433">
            <v>0</v>
          </cell>
          <cell r="AT433">
            <v>0</v>
          </cell>
          <cell r="AU433" t="str">
            <v>Anh B</v>
          </cell>
          <cell r="AV433">
            <v>0</v>
          </cell>
          <cell r="AW433" t="str">
            <v>TC</v>
          </cell>
          <cell r="AY433" t="str">
            <v>Tày</v>
          </cell>
          <cell r="AZ433">
            <v>37435</v>
          </cell>
          <cell r="BC433" t="str">
            <v>24/06/2013</v>
          </cell>
        </row>
        <row r="434">
          <cell r="A434" t="str">
            <v>BV0592</v>
          </cell>
          <cell r="B434">
            <v>428</v>
          </cell>
          <cell r="C434" t="str">
            <v>Đoàn Trung Tuấn</v>
          </cell>
          <cell r="D434" t="str">
            <v>BV0592</v>
          </cell>
          <cell r="E434" t="str">
            <v>2014002801</v>
          </cell>
          <cell r="G434" t="str">
            <v>CCCD: 020089006691; 
Cấp ngày 29/4/2021
Tại Cục cảnh sát quản lý hành chính về trật tự xã hội</v>
          </cell>
          <cell r="H434">
            <v>32840</v>
          </cell>
          <cell r="J434">
            <v>36</v>
          </cell>
          <cell r="K434" t="str">
            <v>082114193</v>
          </cell>
          <cell r="L434" t="str">
            <v>26/03/2007</v>
          </cell>
          <cell r="M434" t="str">
            <v>CA tỉnh Lạng Sơn</v>
          </cell>
          <cell r="O434" t="str">
            <v>Xã Xuân Tình</v>
          </cell>
          <cell r="P434" t="str">
            <v>Huyện Lộc Bình</v>
          </cell>
          <cell r="Q434" t="str">
            <v>Tỉnh Lạng Sơn</v>
          </cell>
          <cell r="S434" t="str">
            <v>Thị trấn Lộc Bình</v>
          </cell>
          <cell r="T434" t="str">
            <v>Huyện Lộc Bình</v>
          </cell>
          <cell r="U434" t="str">
            <v>Tỉnh Lạng Sơn</v>
          </cell>
          <cell r="V434" t="str">
            <v>Thị trấn Lộc Bình, Huyện Lộc Bình, Tỉnh Lạng Sơn</v>
          </cell>
          <cell r="W434" t="str">
            <v>01/11/2014</v>
          </cell>
          <cell r="AA434">
            <v>0</v>
          </cell>
          <cell r="AB434" t="str">
            <v>TĐ031</v>
          </cell>
          <cell r="AC434" t="str">
            <v>TCCB</v>
          </cell>
          <cell r="AD434" t="str">
            <v>KP039</v>
          </cell>
          <cell r="AE434" t="str">
            <v>Viên chức</v>
          </cell>
          <cell r="AF434" t="str">
            <v>01.004</v>
          </cell>
          <cell r="AG434" t="str">
            <v>Chuyên viên</v>
          </cell>
          <cell r="AH434">
            <v>3.33</v>
          </cell>
          <cell r="AI434">
            <v>4</v>
          </cell>
          <cell r="AJ434">
            <v>0</v>
          </cell>
          <cell r="AK434">
            <v>45413</v>
          </cell>
          <cell r="AL434" t="str">
            <v>Đại học</v>
          </cell>
          <cell r="AM434" t="str">
            <v>ĐH QTNL</v>
          </cell>
          <cell r="AO434" t="str">
            <v>ĐH LĐ-XH</v>
          </cell>
          <cell r="AP434">
            <v>2012</v>
          </cell>
          <cell r="AQ434" t="str">
            <v>12/12</v>
          </cell>
          <cell r="AR434" t="str">
            <v>Chuyên viên</v>
          </cell>
          <cell r="AS434">
            <v>0</v>
          </cell>
          <cell r="AT434" t="str">
            <v>Sơ cấp</v>
          </cell>
          <cell r="AU434" t="str">
            <v>Anh B</v>
          </cell>
          <cell r="AV434">
            <v>0</v>
          </cell>
          <cell r="AW434" t="str">
            <v>B</v>
          </cell>
          <cell r="AY434" t="str">
            <v>Tày</v>
          </cell>
          <cell r="BC434" t="str">
            <v>24/06/2013</v>
          </cell>
        </row>
        <row r="435">
          <cell r="A435" t="str">
            <v>BV0593</v>
          </cell>
          <cell r="B435">
            <v>429</v>
          </cell>
          <cell r="C435" t="str">
            <v>Hoàng Thị Ngọc Mai</v>
          </cell>
          <cell r="D435" t="str">
            <v>BV0593</v>
          </cell>
          <cell r="E435">
            <v>2016000985</v>
          </cell>
          <cell r="G435" t="str">
            <v>CCCD: 020192002278; 
Cấp ngày 29/4/2021
Tại Cục cảnh sát quản lý hành chính về trật tự xã hội</v>
          </cell>
          <cell r="I435" t="str">
            <v>11/4/1992</v>
          </cell>
          <cell r="J435">
            <v>34</v>
          </cell>
          <cell r="K435" t="str">
            <v>082178157</v>
          </cell>
          <cell r="L435" t="str">
            <v>12/07/2011</v>
          </cell>
          <cell r="M435" t="str">
            <v>CA tỉnh Lạng Sơn</v>
          </cell>
          <cell r="O435" t="str">
            <v>Quan Sơn</v>
          </cell>
          <cell r="P435" t="str">
            <v>Huyện Chi Lăng</v>
          </cell>
          <cell r="Q435" t="str">
            <v>Tỉnh Lạng Sơn</v>
          </cell>
          <cell r="R435" t="str">
            <v>207 Bến Bắc</v>
          </cell>
          <cell r="S435" t="str">
            <v>Phường Tam Thanh</v>
          </cell>
          <cell r="T435" t="str">
            <v>Thành phố Lạng Sơn</v>
          </cell>
          <cell r="U435" t="str">
            <v>Lạng Sơn</v>
          </cell>
          <cell r="V435" t="str">
            <v>Phường Tam Thanh, Thành phố Lạng Sơn, Lạng Sơn</v>
          </cell>
          <cell r="W435" t="str">
            <v>10/1/2016</v>
          </cell>
          <cell r="AA435" t="str">
            <v>Phó trưởng phòng</v>
          </cell>
          <cell r="AB435" t="e">
            <v>#N/A</v>
          </cell>
          <cell r="AC435" t="str">
            <v>TCCB</v>
          </cell>
          <cell r="AD435" t="str">
            <v>KP039</v>
          </cell>
          <cell r="AE435" t="str">
            <v>Viên chức</v>
          </cell>
          <cell r="AF435" t="str">
            <v>01.004</v>
          </cell>
          <cell r="AG435" t="str">
            <v>Chuyên viên</v>
          </cell>
          <cell r="AH435">
            <v>3.33</v>
          </cell>
          <cell r="AI435">
            <v>4</v>
          </cell>
          <cell r="AJ435">
            <v>0</v>
          </cell>
          <cell r="AK435">
            <v>45858</v>
          </cell>
          <cell r="AL435" t="str">
            <v>Đại học</v>
          </cell>
          <cell r="AM435" t="str">
            <v>ThS QTNL</v>
          </cell>
          <cell r="AN435" t="str">
            <v>QTNL</v>
          </cell>
          <cell r="AO435" t="str">
            <v>ĐH Nội Vụ Hà Nội</v>
          </cell>
          <cell r="AP435">
            <v>2013</v>
          </cell>
          <cell r="AQ435" t="str">
            <v>12/12</v>
          </cell>
          <cell r="AR435" t="str">
            <v>Chuyên viên</v>
          </cell>
          <cell r="AS435">
            <v>0</v>
          </cell>
          <cell r="AT435" t="str">
            <v>Sơ cấp</v>
          </cell>
          <cell r="AU435" t="str">
            <v>Anh B</v>
          </cell>
          <cell r="AV435" t="str">
            <v>Tày</v>
          </cell>
          <cell r="AW435" t="str">
            <v>B</v>
          </cell>
          <cell r="AY435" t="str">
            <v>Nùng</v>
          </cell>
          <cell r="AZ435">
            <v>44476</v>
          </cell>
          <cell r="BC435" t="str">
            <v>24/06/2013</v>
          </cell>
        </row>
        <row r="436">
          <cell r="A436" t="str">
            <v>BV0852</v>
          </cell>
          <cell r="B436">
            <v>430</v>
          </cell>
          <cell r="C436" t="str">
            <v>Hoàng Thị Hường</v>
          </cell>
          <cell r="D436" t="str">
            <v>BV0852</v>
          </cell>
          <cell r="E436" t="str">
            <v>1507003390</v>
          </cell>
          <cell r="G436" t="str">
            <v>020184001479</v>
          </cell>
          <cell r="I436">
            <v>31025</v>
          </cell>
          <cell r="J436">
            <v>41</v>
          </cell>
          <cell r="K436" t="str">
            <v>080996060</v>
          </cell>
          <cell r="L436" t="str">
            <v>29/07/2014</v>
          </cell>
          <cell r="M436" t="str">
            <v>CA tỉnh Lạng Sơn</v>
          </cell>
          <cell r="N436" t="str">
            <v>Xã Yên Trạch, huyện Cao Lộc, Tỉnh LS</v>
          </cell>
          <cell r="O436" t="str">
            <v>Yên trạch</v>
          </cell>
          <cell r="P436" t="str">
            <v>Cao Lộc</v>
          </cell>
          <cell r="Q436" t="str">
            <v>Lạng Sơn</v>
          </cell>
          <cell r="S436" t="str">
            <v>Yên trạch</v>
          </cell>
          <cell r="T436" t="str">
            <v>Cao Lộc</v>
          </cell>
          <cell r="U436" t="str">
            <v>Lạng Sơn</v>
          </cell>
          <cell r="V436" t="str">
            <v>Xã Yên Trạch, huyện Cao Lộc, tỉnh Lạng Sơn</v>
          </cell>
          <cell r="W436" t="str">
            <v>01/11/2019</v>
          </cell>
          <cell r="X436" t="str">
            <v>01/11/2019</v>
          </cell>
          <cell r="AA436">
            <v>0</v>
          </cell>
          <cell r="AB436" t="str">
            <v>TĐ033</v>
          </cell>
          <cell r="AC436" t="str">
            <v>TCCB</v>
          </cell>
          <cell r="AD436" t="str">
            <v>KP039</v>
          </cell>
          <cell r="AE436" t="str">
            <v>Viên chức</v>
          </cell>
          <cell r="AF436" t="str">
            <v>01.003</v>
          </cell>
          <cell r="AG436" t="str">
            <v>Chuyên viên</v>
          </cell>
          <cell r="AH436">
            <v>3</v>
          </cell>
          <cell r="AI436">
            <v>3</v>
          </cell>
          <cell r="AJ436">
            <v>0</v>
          </cell>
          <cell r="AK436">
            <v>45962</v>
          </cell>
          <cell r="AL436" t="str">
            <v>Đại học</v>
          </cell>
          <cell r="AM436" t="str">
            <v>Cử nhân Luật</v>
          </cell>
          <cell r="AO436" t="str">
            <v>ĐH Thái Nguyên</v>
          </cell>
          <cell r="AP436">
            <v>2018</v>
          </cell>
          <cell r="AQ436" t="str">
            <v>12/12</v>
          </cell>
          <cell r="AR436">
            <v>0</v>
          </cell>
          <cell r="AS436">
            <v>0</v>
          </cell>
          <cell r="AT436" t="str">
            <v>Sơ cấp</v>
          </cell>
          <cell r="AU436">
            <v>0</v>
          </cell>
          <cell r="AV436">
            <v>0</v>
          </cell>
          <cell r="AW436">
            <v>0</v>
          </cell>
          <cell r="AY436" t="str">
            <v>Tày</v>
          </cell>
          <cell r="AZ436">
            <v>41555</v>
          </cell>
        </row>
        <row r="437">
          <cell r="A437" t="str">
            <v>BV0596</v>
          </cell>
          <cell r="B437">
            <v>431</v>
          </cell>
          <cell r="C437" t="str">
            <v>Phạm Văn Bình</v>
          </cell>
          <cell r="D437" t="str">
            <v>BV0596</v>
          </cell>
          <cell r="E437">
            <v>1596007587</v>
          </cell>
          <cell r="G437" t="str">
            <v>CCCD: 020071000384
Ngày cấp: 28/3/2021
Tại Cục cảnh sát quản lý hành chính về trật tự xã hội</v>
          </cell>
          <cell r="H437">
            <v>26197</v>
          </cell>
          <cell r="J437">
            <v>54</v>
          </cell>
          <cell r="K437" t="str">
            <v>080993128</v>
          </cell>
          <cell r="L437" t="str">
            <v>18/08/2010</v>
          </cell>
          <cell r="M437" t="str">
            <v>CA tỉnh Lạng Sơn</v>
          </cell>
          <cell r="N437" t="str">
            <v>Thị trấn Na Dương, Lộc Bình</v>
          </cell>
          <cell r="P437" t="str">
            <v>Huyện Vụ Bản</v>
          </cell>
          <cell r="Q437" t="str">
            <v>Tỉnh Nam Định</v>
          </cell>
          <cell r="S437" t="str">
            <v>Phường Hoàng Văn Thụ</v>
          </cell>
          <cell r="T437" t="str">
            <v>Thành phố Lạng Sơn</v>
          </cell>
          <cell r="U437" t="str">
            <v>Tỉnh Lạng Sơn</v>
          </cell>
          <cell r="V437" t="str">
            <v>Phường Hoàng Văn Thụ, Thành phố Lạng Sơn, Tỉnh Lạng Sơn</v>
          </cell>
          <cell r="W437" t="str">
            <v>10/1/1996</v>
          </cell>
          <cell r="AA437" t="str">
            <v>Phó trưởng phòng</v>
          </cell>
          <cell r="AB437" t="str">
            <v>TĐ011</v>
          </cell>
          <cell r="AC437" t="str">
            <v>HCQT</v>
          </cell>
          <cell r="AD437" t="str">
            <v>KP040</v>
          </cell>
          <cell r="AE437" t="str">
            <v>Viên chức</v>
          </cell>
          <cell r="AF437" t="str">
            <v>V.08.05.12</v>
          </cell>
          <cell r="AG437" t="str">
            <v>Điều dưỡng (hạng III)</v>
          </cell>
          <cell r="AH437">
            <v>4.9800000000000004</v>
          </cell>
          <cell r="AI437">
            <v>9</v>
          </cell>
          <cell r="AJ437">
            <v>0</v>
          </cell>
          <cell r="AK437">
            <v>44958</v>
          </cell>
          <cell r="AL437" t="str">
            <v>Đại học</v>
          </cell>
          <cell r="AM437" t="str">
            <v>Điều dưỡng ĐH</v>
          </cell>
          <cell r="AO437" t="str">
            <v>ĐH Y Dược Thái Nguyên</v>
          </cell>
          <cell r="AP437">
            <v>2009</v>
          </cell>
          <cell r="AQ437" t="str">
            <v>12/12</v>
          </cell>
          <cell r="AR437" t="str">
            <v>Chuyên viên</v>
          </cell>
          <cell r="AS437" t="str">
            <v>x</v>
          </cell>
          <cell r="AT437" t="str">
            <v>Trung cấp</v>
          </cell>
          <cell r="AU437" t="str">
            <v>Anh A</v>
          </cell>
          <cell r="AV437" t="str">
            <v>Tày</v>
          </cell>
          <cell r="AW437" t="str">
            <v>Cơ bản</v>
          </cell>
          <cell r="AY437" t="str">
            <v>Kinh</v>
          </cell>
          <cell r="AZ437">
            <v>39983</v>
          </cell>
          <cell r="BA437" t="e">
            <v>#REF!</v>
          </cell>
          <cell r="BB437" t="e">
            <v>#REF!</v>
          </cell>
          <cell r="BC437" t="str">
            <v>24/06/2013</v>
          </cell>
        </row>
        <row r="438">
          <cell r="A438" t="str">
            <v>BV0598</v>
          </cell>
          <cell r="B438">
            <v>432</v>
          </cell>
          <cell r="C438" t="str">
            <v>Lê Ngọc Ân</v>
          </cell>
          <cell r="D438" t="str">
            <v>BV0598</v>
          </cell>
          <cell r="E438">
            <v>1507002007</v>
          </cell>
          <cell r="G438" t="str">
            <v>CCCD: 020078002034
Ngày cấp: 29/4/2021
Tại Cục cảnh sát quản lý hành chính về trật tự xã hội</v>
          </cell>
          <cell r="H438">
            <v>28735</v>
          </cell>
          <cell r="J438">
            <v>47</v>
          </cell>
          <cell r="K438" t="str">
            <v>080984088</v>
          </cell>
          <cell r="L438" t="str">
            <v>21/01/2013</v>
          </cell>
          <cell r="M438" t="str">
            <v>CA tỉnh Lạng Sơn</v>
          </cell>
          <cell r="O438" t="str">
            <v>Xã Hoàng Đồng</v>
          </cell>
          <cell r="P438" t="str">
            <v>Thành phố Lạng Sơn</v>
          </cell>
          <cell r="Q438" t="str">
            <v>Tỉnh Lạng Sơn</v>
          </cell>
          <cell r="S438" t="str">
            <v>Xã Hoàng Đồng</v>
          </cell>
          <cell r="T438" t="str">
            <v>Thành phố Lạng Sơn</v>
          </cell>
          <cell r="U438" t="str">
            <v>Tỉnh Lạng Sơn</v>
          </cell>
          <cell r="V438" t="str">
            <v>Xã Hoàng Đồng, Thành phố Lạng Sơn, Tỉnh Lạng Sơn</v>
          </cell>
          <cell r="W438" t="str">
            <v>1/12/2008</v>
          </cell>
          <cell r="AA438">
            <v>0</v>
          </cell>
          <cell r="AB438" t="str">
            <v>TĐ029</v>
          </cell>
          <cell r="AC438" t="str">
            <v>HCQT</v>
          </cell>
          <cell r="AD438" t="str">
            <v>KP040</v>
          </cell>
          <cell r="AE438" t="str">
            <v>Viên chức</v>
          </cell>
          <cell r="AF438" t="str">
            <v>V.05.02.07</v>
          </cell>
          <cell r="AG438" t="str">
            <v>Kỹ sư (hạng III)</v>
          </cell>
          <cell r="AH438">
            <v>3.99</v>
          </cell>
          <cell r="AI438">
            <v>6</v>
          </cell>
          <cell r="AJ438">
            <v>0</v>
          </cell>
          <cell r="AK438">
            <v>45444</v>
          </cell>
          <cell r="AL438" t="str">
            <v>Đại học</v>
          </cell>
          <cell r="AM438" t="str">
            <v>Kỹ sư</v>
          </cell>
          <cell r="AO438" t="str">
            <v>ĐH kỹ thuật CN</v>
          </cell>
          <cell r="AP438">
            <v>2007</v>
          </cell>
          <cell r="AQ438" t="str">
            <v>12/12</v>
          </cell>
          <cell r="AR438">
            <v>0</v>
          </cell>
          <cell r="AS438" t="str">
            <v>x</v>
          </cell>
          <cell r="AT438" t="str">
            <v>Trung cấp</v>
          </cell>
          <cell r="AU438">
            <v>0</v>
          </cell>
          <cell r="AV438">
            <v>0</v>
          </cell>
          <cell r="AW438">
            <v>0</v>
          </cell>
          <cell r="AY438" t="str">
            <v>Tày</v>
          </cell>
          <cell r="AZ438">
            <v>41592</v>
          </cell>
          <cell r="BC438" t="str">
            <v>24/06/2013</v>
          </cell>
        </row>
        <row r="439">
          <cell r="A439" t="str">
            <v>BV0600</v>
          </cell>
          <cell r="B439">
            <v>433</v>
          </cell>
          <cell r="C439" t="str">
            <v>Triệu Thị Hằng</v>
          </cell>
          <cell r="D439" t="str">
            <v>BV0600</v>
          </cell>
          <cell r="E439">
            <v>2013002120</v>
          </cell>
          <cell r="G439" t="str">
            <v>CCCD: 020188012707
Ngày cấp: 18/11/2021
Tại Cục cảnh sát quản lý hành chính về trật tự xã hội</v>
          </cell>
          <cell r="I439">
            <v>32433</v>
          </cell>
          <cell r="J439">
            <v>37</v>
          </cell>
          <cell r="K439" t="str">
            <v>082031496</v>
          </cell>
          <cell r="L439" t="str">
            <v>05/07/2005</v>
          </cell>
          <cell r="M439" t="str">
            <v>CA tỉnh Lạng Sơn</v>
          </cell>
          <cell r="O439" t="str">
            <v>Xã Vĩnh Yên</v>
          </cell>
          <cell r="P439" t="str">
            <v>Huyện Bình Gia</v>
          </cell>
          <cell r="Q439" t="str">
            <v>Tỉnh Lạng Sơn</v>
          </cell>
          <cell r="S439" t="str">
            <v>Xã Vĩnh Yên</v>
          </cell>
          <cell r="T439" t="str">
            <v>Huyện Bình Gia</v>
          </cell>
          <cell r="U439" t="str">
            <v>Tỉnh Lạng Sơn</v>
          </cell>
          <cell r="V439" t="str">
            <v>Xã Vĩnh Yên, Huyện Bình Gia, Tỉnh Lạng Sơn</v>
          </cell>
          <cell r="W439" t="str">
            <v>10/6/2013</v>
          </cell>
          <cell r="AA439" t="str">
            <v>Phó trưởng phòng</v>
          </cell>
          <cell r="AB439" t="e">
            <v>#N/A</v>
          </cell>
          <cell r="AC439" t="str">
            <v>HCQT</v>
          </cell>
          <cell r="AD439" t="str">
            <v>KP040</v>
          </cell>
          <cell r="AE439" t="str">
            <v>Viên chức</v>
          </cell>
          <cell r="AF439" t="str">
            <v>01.003</v>
          </cell>
          <cell r="AG439" t="str">
            <v>Chuyên viên</v>
          </cell>
          <cell r="AH439">
            <v>3.66</v>
          </cell>
          <cell r="AI439">
            <v>5</v>
          </cell>
          <cell r="AJ439">
            <v>0</v>
          </cell>
          <cell r="AK439">
            <v>45818</v>
          </cell>
          <cell r="AL439" t="str">
            <v>Đại học</v>
          </cell>
          <cell r="AM439" t="str">
            <v>ThS Quản lý công</v>
          </cell>
          <cell r="AO439" t="str">
            <v>Học viên HCQG</v>
          </cell>
          <cell r="AP439">
            <v>2012</v>
          </cell>
          <cell r="AQ439" t="str">
            <v>12/12</v>
          </cell>
          <cell r="AR439" t="str">
            <v>Chuyên viên</v>
          </cell>
          <cell r="AS439" t="str">
            <v>x</v>
          </cell>
          <cell r="AT439" t="str">
            <v>Sơ cấp</v>
          </cell>
          <cell r="AU439" t="str">
            <v>Anh B</v>
          </cell>
          <cell r="AV439">
            <v>0</v>
          </cell>
          <cell r="AW439" t="str">
            <v>Tin B</v>
          </cell>
          <cell r="AY439" t="str">
            <v>Dao</v>
          </cell>
          <cell r="AZ439">
            <v>42796</v>
          </cell>
        </row>
        <row r="440">
          <cell r="A440" t="str">
            <v>BV0620</v>
          </cell>
          <cell r="B440">
            <v>434</v>
          </cell>
          <cell r="C440" t="str">
            <v>Lý Minh Hường</v>
          </cell>
          <cell r="D440" t="str">
            <v>BV0620</v>
          </cell>
          <cell r="E440">
            <v>2008000994</v>
          </cell>
          <cell r="G440" t="str">
            <v>CCCD: 020181009302
Ngày cấp: 25/6/2021
Tại Cục cảnh sát quản lý hành chính về trật tự xã hội</v>
          </cell>
          <cell r="I440">
            <v>29614</v>
          </cell>
          <cell r="J440">
            <v>45</v>
          </cell>
          <cell r="K440" t="str">
            <v>080993980</v>
          </cell>
          <cell r="L440" t="str">
            <v>08/06/1998</v>
          </cell>
          <cell r="M440" t="str">
            <v>CA tỉnh Lạng Sơn</v>
          </cell>
          <cell r="P440" t="str">
            <v>Huyện Châu Giang</v>
          </cell>
          <cell r="Q440" t="str">
            <v>Tỉnh Hưng Yên</v>
          </cell>
          <cell r="S440" t="str">
            <v>Phường Đông Kinh</v>
          </cell>
          <cell r="T440" t="str">
            <v>Thành phố Lạng Sơn</v>
          </cell>
          <cell r="U440" t="str">
            <v>Tỉnh Lạng Sơn</v>
          </cell>
          <cell r="V440" t="str">
            <v>Phường Đông Kinh, Thành phố Lạng Sơn, Tỉnh Lạng Sơn</v>
          </cell>
          <cell r="W440" t="str">
            <v>15/4/2008</v>
          </cell>
          <cell r="AA440">
            <v>0</v>
          </cell>
          <cell r="AB440" t="str">
            <v>TĐ035</v>
          </cell>
          <cell r="AC440" t="str">
            <v>HCQT</v>
          </cell>
          <cell r="AD440" t="str">
            <v>KP040</v>
          </cell>
          <cell r="AE440" t="str">
            <v>Viên chức</v>
          </cell>
          <cell r="AF440" t="str">
            <v>01.003</v>
          </cell>
          <cell r="AG440" t="str">
            <v>Chuyên viên</v>
          </cell>
          <cell r="AH440">
            <v>3.33</v>
          </cell>
          <cell r="AI440">
            <v>4</v>
          </cell>
          <cell r="AJ440">
            <v>0</v>
          </cell>
          <cell r="AK440">
            <v>45889</v>
          </cell>
          <cell r="AL440" t="str">
            <v>Đại học</v>
          </cell>
          <cell r="AM440" t="str">
            <v>Cử nhân HC</v>
          </cell>
          <cell r="AO440" t="str">
            <v>Học viên HCQG</v>
          </cell>
          <cell r="AP440">
            <v>2014</v>
          </cell>
          <cell r="AQ440" t="str">
            <v>12/12</v>
          </cell>
          <cell r="AR440">
            <v>0</v>
          </cell>
          <cell r="AS440">
            <v>0</v>
          </cell>
          <cell r="AT440" t="str">
            <v>Sơ cấp</v>
          </cell>
          <cell r="AU440">
            <v>0</v>
          </cell>
          <cell r="AV440">
            <v>0</v>
          </cell>
          <cell r="AW440">
            <v>0</v>
          </cell>
          <cell r="AY440" t="str">
            <v>Kinh</v>
          </cell>
          <cell r="AZ440">
            <v>43343</v>
          </cell>
        </row>
        <row r="441">
          <cell r="A441" t="str">
            <v>BV0819</v>
          </cell>
          <cell r="B441">
            <v>435</v>
          </cell>
          <cell r="C441" t="str">
            <v>Lưu Mai Hương</v>
          </cell>
          <cell r="D441" t="str">
            <v>BV0819</v>
          </cell>
          <cell r="E441">
            <v>2020773930</v>
          </cell>
          <cell r="G441" t="str">
            <v>CCCD: 020195006010
Ngày cấp: 25/6/2021
Tại Cục cảnh sát quản lý hành chính về trật tự xã hội</v>
          </cell>
          <cell r="I441">
            <v>35045</v>
          </cell>
          <cell r="J441">
            <v>30</v>
          </cell>
          <cell r="K441" t="str">
            <v>082164979</v>
          </cell>
          <cell r="L441" t="str">
            <v>11/10/2010</v>
          </cell>
          <cell r="M441" t="str">
            <v>CA tỉnh Lạng Sơn</v>
          </cell>
          <cell r="O441" t="str">
            <v>Đồng Tâm</v>
          </cell>
          <cell r="P441" t="str">
            <v>Hiệp Hòa</v>
          </cell>
          <cell r="Q441" t="str">
            <v>Bắc Giang</v>
          </cell>
          <cell r="S441" t="str">
            <v>Mỹ Sơn</v>
          </cell>
          <cell r="T441" t="str">
            <v>Thành phố Lạng Sơn</v>
          </cell>
          <cell r="U441" t="str">
            <v>Lạng Sơn</v>
          </cell>
          <cell r="W441" t="str">
            <v>11/12/2018</v>
          </cell>
          <cell r="X441" t="str">
            <v>11/12/2018</v>
          </cell>
          <cell r="AA441">
            <v>0</v>
          </cell>
          <cell r="AB441" t="str">
            <v>TĐ035</v>
          </cell>
          <cell r="AC441" t="str">
            <v>HCQT</v>
          </cell>
          <cell r="AD441" t="str">
            <v>KP040</v>
          </cell>
          <cell r="AE441" t="str">
            <v>Viên chức</v>
          </cell>
          <cell r="AF441" t="str">
            <v>01.003</v>
          </cell>
          <cell r="AG441" t="str">
            <v>Chuyên viên</v>
          </cell>
          <cell r="AH441">
            <v>3</v>
          </cell>
          <cell r="AI441">
            <v>3</v>
          </cell>
          <cell r="AJ441">
            <v>0</v>
          </cell>
          <cell r="AK441">
            <v>45662</v>
          </cell>
          <cell r="AL441" t="str">
            <v>Đại học</v>
          </cell>
          <cell r="AM441" t="str">
            <v>Cử nhân HC</v>
          </cell>
          <cell r="AN441" t="str">
            <v>Quản trị kinh doanh</v>
          </cell>
          <cell r="AO441" t="str">
            <v>ĐH Nội Vụ Hà Nội</v>
          </cell>
          <cell r="AP441">
            <v>2017</v>
          </cell>
          <cell r="AQ441" t="str">
            <v>12/12</v>
          </cell>
          <cell r="AR441">
            <v>0</v>
          </cell>
          <cell r="AS441">
            <v>0</v>
          </cell>
          <cell r="AT441" t="str">
            <v>Sơ cấp</v>
          </cell>
          <cell r="AU441">
            <v>0</v>
          </cell>
          <cell r="AV441">
            <v>0</v>
          </cell>
          <cell r="AW441">
            <v>0</v>
          </cell>
          <cell r="AY441" t="str">
            <v>Kinh</v>
          </cell>
          <cell r="BC441" t="str">
            <v>24/06/2013</v>
          </cell>
        </row>
        <row r="442">
          <cell r="A442" t="str">
            <v>BV0612</v>
          </cell>
          <cell r="B442">
            <v>436</v>
          </cell>
          <cell r="C442" t="str">
            <v>Nguyễn Thị Hà</v>
          </cell>
          <cell r="D442" t="str">
            <v>BV0612</v>
          </cell>
          <cell r="E442">
            <v>1505002933</v>
          </cell>
          <cell r="G442" t="str">
            <v>020172001989
Ngày cấp 29/4/2021
Tại Cục cảnh sát quản lý hành chính về trật tự xã hội</v>
          </cell>
          <cell r="I442">
            <v>26566</v>
          </cell>
          <cell r="J442">
            <v>53</v>
          </cell>
          <cell r="K442" t="str">
            <v>080992049</v>
          </cell>
          <cell r="L442" t="str">
            <v>19/06/1998</v>
          </cell>
          <cell r="M442" t="str">
            <v>CA tỉnh Lạng Sơn</v>
          </cell>
          <cell r="P442" t="str">
            <v>Huyện Kiến Xương</v>
          </cell>
          <cell r="Q442" t="str">
            <v>Tỉnh Thái Bình</v>
          </cell>
          <cell r="S442" t="str">
            <v>Phường Tam Thanh</v>
          </cell>
          <cell r="T442" t="str">
            <v>Thành phố Lạng Sơn</v>
          </cell>
          <cell r="U442" t="str">
            <v>Tỉnh Lạng Sơn</v>
          </cell>
          <cell r="V442" t="str">
            <v>Phường Tam Thanh, Thành phố Lạng Sơn, Tỉnh Lạng Sơn</v>
          </cell>
          <cell r="W442" t="str">
            <v>10/6/2013</v>
          </cell>
          <cell r="AA442">
            <v>0</v>
          </cell>
          <cell r="AB442" t="str">
            <v>TĐ042</v>
          </cell>
          <cell r="AC442" t="str">
            <v>HCQT</v>
          </cell>
          <cell r="AD442" t="str">
            <v>KP040</v>
          </cell>
          <cell r="AE442" t="str">
            <v>Viên chức</v>
          </cell>
          <cell r="AF442" t="str">
            <v>02.008</v>
          </cell>
          <cell r="AG442" t="str">
            <v>Văn thư viên trung cấp</v>
          </cell>
          <cell r="AH442">
            <v>3.26</v>
          </cell>
          <cell r="AI442">
            <v>8</v>
          </cell>
          <cell r="AJ442">
            <v>0</v>
          </cell>
          <cell r="AK442">
            <v>46183</v>
          </cell>
          <cell r="AL442" t="str">
            <v>Trung cấp</v>
          </cell>
          <cell r="AM442" t="str">
            <v>Văn thư</v>
          </cell>
          <cell r="AO442" t="str">
            <v>CĐ Nội vụ Hà Nội</v>
          </cell>
          <cell r="AP442">
            <v>2011</v>
          </cell>
          <cell r="AQ442" t="str">
            <v>12/12</v>
          </cell>
          <cell r="AR442">
            <v>0</v>
          </cell>
          <cell r="AS442">
            <v>0</v>
          </cell>
          <cell r="AT442" t="str">
            <v>Sơ cấp</v>
          </cell>
          <cell r="AU442">
            <v>0</v>
          </cell>
          <cell r="AV442">
            <v>0</v>
          </cell>
          <cell r="AW442" t="str">
            <v>Tin A</v>
          </cell>
          <cell r="AY442" t="str">
            <v>Kinh</v>
          </cell>
          <cell r="BC442" t="str">
            <v>24/06/2013</v>
          </cell>
        </row>
        <row r="443">
          <cell r="A443" t="str">
            <v>BV0601</v>
          </cell>
          <cell r="B443">
            <v>437</v>
          </cell>
          <cell r="C443" t="str">
            <v>Lương Viết Bảo</v>
          </cell>
          <cell r="D443" t="str">
            <v>BV0601</v>
          </cell>
          <cell r="E443">
            <v>1597020323</v>
          </cell>
          <cell r="H443">
            <v>23847</v>
          </cell>
          <cell r="J443">
            <v>61</v>
          </cell>
          <cell r="K443" t="str">
            <v>080631910</v>
          </cell>
          <cell r="L443" t="str">
            <v>27/06/2004</v>
          </cell>
          <cell r="M443" t="str">
            <v>CA tỉnh Lạng Sơn</v>
          </cell>
          <cell r="P443" t="str">
            <v>Huyện Văn Quan</v>
          </cell>
          <cell r="Q443" t="str">
            <v>Tỉnh Lạng Sơn</v>
          </cell>
          <cell r="S443" t="str">
            <v>Phường Hoàng Văn Thụ</v>
          </cell>
          <cell r="T443" t="str">
            <v>Thành phố Lạng Sơn</v>
          </cell>
          <cell r="U443" t="str">
            <v>Tỉnh Lạng Sơn</v>
          </cell>
          <cell r="V443" t="str">
            <v>Phường Hoàng Văn Thụ, Thành phố Lạng Sơn, Tỉnh Lạng Sơn</v>
          </cell>
          <cell r="W443" t="str">
            <v>1/7/1985</v>
          </cell>
          <cell r="AA443">
            <v>0</v>
          </cell>
          <cell r="AB443" t="str">
            <v>TĐ043</v>
          </cell>
          <cell r="AC443" t="str">
            <v>HCQT</v>
          </cell>
          <cell r="AD443" t="str">
            <v>KP040</v>
          </cell>
          <cell r="AE443" t="str">
            <v>Viên chức</v>
          </cell>
          <cell r="AF443" t="str">
            <v>01.005</v>
          </cell>
          <cell r="AG443" t="str">
            <v>Nhân viên</v>
          </cell>
          <cell r="AH443">
            <v>4.03</v>
          </cell>
          <cell r="AI443">
            <v>12</v>
          </cell>
          <cell r="AJ443">
            <v>0.14000000000000001</v>
          </cell>
          <cell r="AK443">
            <v>45658</v>
          </cell>
          <cell r="AM443" t="str">
            <v>Lái xe</v>
          </cell>
          <cell r="AQ443" t="str">
            <v>12/12</v>
          </cell>
          <cell r="AR443">
            <v>0</v>
          </cell>
          <cell r="AS443">
            <v>0</v>
          </cell>
          <cell r="AT443">
            <v>0</v>
          </cell>
          <cell r="AU443">
            <v>0</v>
          </cell>
          <cell r="AV443">
            <v>0</v>
          </cell>
          <cell r="AW443">
            <v>0</v>
          </cell>
          <cell r="AY443" t="str">
            <v>Tày</v>
          </cell>
          <cell r="AZ443">
            <v>38202</v>
          </cell>
          <cell r="BC443" t="str">
            <v>24/06/2013</v>
          </cell>
        </row>
        <row r="444">
          <cell r="A444" t="str">
            <v>BV0631</v>
          </cell>
          <cell r="B444">
            <v>438</v>
          </cell>
          <cell r="C444" t="str">
            <v>Chu Thị Hằng</v>
          </cell>
          <cell r="D444" t="str">
            <v>BV0631</v>
          </cell>
          <cell r="E444">
            <v>1505002940</v>
          </cell>
          <cell r="I444">
            <v>28956</v>
          </cell>
          <cell r="J444">
            <v>47</v>
          </cell>
          <cell r="K444" t="str">
            <v>080982522</v>
          </cell>
          <cell r="L444" t="str">
            <v>23/03/1999</v>
          </cell>
          <cell r="M444" t="str">
            <v>CA tỉnh Lạng Sơn</v>
          </cell>
          <cell r="P444" t="str">
            <v>Huyện Tràng Định</v>
          </cell>
          <cell r="Q444" t="str">
            <v>Tỉnh Lạng Sơn</v>
          </cell>
          <cell r="S444" t="str">
            <v>Phường Chi Lăng</v>
          </cell>
          <cell r="T444" t="str">
            <v>Thành phố Lạng Sơn</v>
          </cell>
          <cell r="U444" t="str">
            <v>Tỉnh Lạng Sơn</v>
          </cell>
          <cell r="V444" t="str">
            <v>Phường Chi Lăng, Thành phố Lạng Sơn, Tỉnh Lạng Sơn</v>
          </cell>
          <cell r="W444" t="str">
            <v>15/6/2005</v>
          </cell>
          <cell r="AA444" t="str">
            <v>Trưởng phòng</v>
          </cell>
          <cell r="AB444" t="e">
            <v>#N/A</v>
          </cell>
          <cell r="AC444" t="str">
            <v>TCKT</v>
          </cell>
          <cell r="AD444" t="str">
            <v>KP041</v>
          </cell>
          <cell r="AE444" t="str">
            <v>Viên chức</v>
          </cell>
          <cell r="AF444" t="str">
            <v>06.031</v>
          </cell>
          <cell r="AG444" t="str">
            <v>Kế toán viên</v>
          </cell>
          <cell r="AH444">
            <v>4.32</v>
          </cell>
          <cell r="AI444">
            <v>7</v>
          </cell>
          <cell r="AJ444">
            <v>0</v>
          </cell>
          <cell r="AK444" t="str">
            <v>01/01/2023</v>
          </cell>
          <cell r="AL444" t="str">
            <v>Đại học</v>
          </cell>
          <cell r="AM444" t="str">
            <v>ThS KT</v>
          </cell>
          <cell r="AN444" t="str">
            <v>Quản lý KT</v>
          </cell>
          <cell r="AO444" t="str">
            <v>ĐH Kinh doanh công nghệ</v>
          </cell>
          <cell r="AP444">
            <v>2018</v>
          </cell>
          <cell r="AQ444" t="str">
            <v>12/12</v>
          </cell>
          <cell r="AR444" t="str">
            <v>Chuyên viên</v>
          </cell>
          <cell r="AS444" t="str">
            <v>x</v>
          </cell>
          <cell r="AT444" t="str">
            <v>Trung cấp</v>
          </cell>
          <cell r="AU444" t="str">
            <v>Trung C</v>
          </cell>
          <cell r="AV444">
            <v>0</v>
          </cell>
          <cell r="AW444" t="str">
            <v>B</v>
          </cell>
          <cell r="AY444" t="str">
            <v>Tày</v>
          </cell>
          <cell r="AZ444">
            <v>40190</v>
          </cell>
        </row>
        <row r="445">
          <cell r="A445" t="str">
            <v>BV0632</v>
          </cell>
          <cell r="B445">
            <v>439</v>
          </cell>
          <cell r="C445" t="str">
            <v>Hoàng Thu Hiền</v>
          </cell>
          <cell r="D445" t="str">
            <v>BV0632</v>
          </cell>
          <cell r="E445">
            <v>2009000923</v>
          </cell>
          <cell r="G445" t="str">
            <v>CCCD: 020177001969
Ngày cấp: 20/4/2021
Tại Cục cảnh sát quản lý hành chính về trật tự xã hội</v>
          </cell>
          <cell r="I445">
            <v>28464</v>
          </cell>
          <cell r="J445">
            <v>48</v>
          </cell>
          <cell r="K445" t="str">
            <v>080961292</v>
          </cell>
          <cell r="L445" t="str">
            <v>05/03/2012</v>
          </cell>
          <cell r="M445" t="str">
            <v>CA tỉnh Lạng Sơn</v>
          </cell>
          <cell r="O445" t="str">
            <v>Vinh Quý</v>
          </cell>
          <cell r="P445" t="str">
            <v>Hạ Lang</v>
          </cell>
          <cell r="Q445" t="str">
            <v>Tỉnh Cao Bằng</v>
          </cell>
          <cell r="R445" t="str">
            <v>Số 28 Lê Đại Hành</v>
          </cell>
          <cell r="S445" t="str">
            <v>Phường Vĩnh Trại</v>
          </cell>
          <cell r="T445" t="str">
            <v>Thành phố Lạng Sơn</v>
          </cell>
          <cell r="U445" t="str">
            <v>Tỉnh Lạng Sơn</v>
          </cell>
          <cell r="V445" t="str">
            <v>Phường Vĩnh Trại, Thành phố Lạng Sơn, Tỉnh Lạng Sơn</v>
          </cell>
          <cell r="W445" t="str">
            <v>1/12/2008</v>
          </cell>
          <cell r="AA445" t="str">
            <v>Phó trưởng phòng</v>
          </cell>
          <cell r="AB445" t="str">
            <v>TĐ021</v>
          </cell>
          <cell r="AC445" t="str">
            <v>TCKT</v>
          </cell>
          <cell r="AD445" t="str">
            <v>KP041</v>
          </cell>
          <cell r="AE445" t="str">
            <v>Viên chức</v>
          </cell>
          <cell r="AF445" t="str">
            <v>06.031</v>
          </cell>
          <cell r="AG445" t="str">
            <v>Kế toán viên</v>
          </cell>
          <cell r="AH445">
            <v>3.99</v>
          </cell>
          <cell r="AI445">
            <v>6</v>
          </cell>
          <cell r="AJ445">
            <v>0</v>
          </cell>
          <cell r="AK445" t="str">
            <v>01/6/2023</v>
          </cell>
          <cell r="AL445" t="str">
            <v>Đại học</v>
          </cell>
          <cell r="AM445" t="str">
            <v>KTĐH</v>
          </cell>
          <cell r="AO445" t="str">
            <v>ĐH Kinh tế quốc dân</v>
          </cell>
          <cell r="AP445">
            <v>2008</v>
          </cell>
          <cell r="AQ445" t="str">
            <v>12/12</v>
          </cell>
          <cell r="AR445">
            <v>0</v>
          </cell>
          <cell r="AS445">
            <v>0</v>
          </cell>
          <cell r="AT445" t="str">
            <v>Sơ cấp</v>
          </cell>
          <cell r="AU445" t="str">
            <v>Trung C</v>
          </cell>
          <cell r="AV445">
            <v>0</v>
          </cell>
          <cell r="AW445" t="str">
            <v>B</v>
          </cell>
          <cell r="AY445" t="str">
            <v>Kinh</v>
          </cell>
          <cell r="AZ445">
            <v>41611</v>
          </cell>
        </row>
        <row r="446">
          <cell r="A446" t="str">
            <v>BV0633</v>
          </cell>
          <cell r="B446">
            <v>440</v>
          </cell>
          <cell r="C446" t="str">
            <v>Tô Thị Yêu</v>
          </cell>
          <cell r="D446" t="str">
            <v>BV0633</v>
          </cell>
          <cell r="E446">
            <v>1506003243</v>
          </cell>
          <cell r="G446" t="str">
            <v>CCCD: 020182002422
Ngày cấp: 20/4/2021
Tại Cục cảnh sát quản lý hành chính về trật tự xã hội</v>
          </cell>
          <cell r="I446">
            <v>30251</v>
          </cell>
          <cell r="J446">
            <v>43</v>
          </cell>
          <cell r="K446" t="str">
            <v>080990484</v>
          </cell>
          <cell r="L446" t="str">
            <v>25/11/2009</v>
          </cell>
          <cell r="M446" t="str">
            <v>CA tỉnh Lạng Sơn</v>
          </cell>
          <cell r="N446" t="str">
            <v>Khun Gioong</v>
          </cell>
          <cell r="O446" t="str">
            <v>Trùng Quán</v>
          </cell>
          <cell r="P446" t="str">
            <v>Huyện Văn Lãng</v>
          </cell>
          <cell r="Q446" t="str">
            <v>Tỉnh Lạng Sơn</v>
          </cell>
          <cell r="S446" t="str">
            <v>Thị trấn Na Sầm</v>
          </cell>
          <cell r="T446" t="str">
            <v>Huyện Văn Lãng</v>
          </cell>
          <cell r="U446" t="str">
            <v>Tỉnh Lạng Sơn</v>
          </cell>
          <cell r="V446" t="str">
            <v>Thị trấn Na Sầm, Huyện Văn Lãng, Tỉnh Lạng Sơn</v>
          </cell>
          <cell r="W446" t="str">
            <v>15/1/2010</v>
          </cell>
          <cell r="AA446">
            <v>0</v>
          </cell>
          <cell r="AB446" t="str">
            <v>TĐ021</v>
          </cell>
          <cell r="AC446" t="str">
            <v>TCKT</v>
          </cell>
          <cell r="AD446" t="str">
            <v>KP041</v>
          </cell>
          <cell r="AE446" t="str">
            <v>Viên chức</v>
          </cell>
          <cell r="AF446" t="str">
            <v>06.031</v>
          </cell>
          <cell r="AG446" t="str">
            <v>Kế toán viên</v>
          </cell>
          <cell r="AH446">
            <v>3.99</v>
          </cell>
          <cell r="AI446">
            <v>6</v>
          </cell>
          <cell r="AJ446">
            <v>0</v>
          </cell>
          <cell r="AK446">
            <v>45717</v>
          </cell>
          <cell r="AL446" t="str">
            <v>Đại học</v>
          </cell>
          <cell r="AM446" t="str">
            <v>KTĐH</v>
          </cell>
          <cell r="AO446" t="str">
            <v>HV Tài chính</v>
          </cell>
          <cell r="AP446">
            <v>2008</v>
          </cell>
          <cell r="AQ446" t="str">
            <v>12/12</v>
          </cell>
          <cell r="AR446">
            <v>0</v>
          </cell>
          <cell r="AS446">
            <v>0</v>
          </cell>
          <cell r="AT446">
            <v>0</v>
          </cell>
          <cell r="AU446" t="str">
            <v>Anh B</v>
          </cell>
          <cell r="AV446">
            <v>0</v>
          </cell>
          <cell r="AW446" t="str">
            <v>B</v>
          </cell>
          <cell r="AY446" t="str">
            <v>Nùng</v>
          </cell>
          <cell r="AZ446">
            <v>44211</v>
          </cell>
        </row>
        <row r="447">
          <cell r="A447" t="str">
            <v>BV0641</v>
          </cell>
          <cell r="B447">
            <v>441</v>
          </cell>
          <cell r="C447" t="str">
            <v>Vi Thu Huyền</v>
          </cell>
          <cell r="D447" t="str">
            <v>BV0641</v>
          </cell>
          <cell r="E447">
            <v>2014002745</v>
          </cell>
          <cell r="G447" t="str">
            <v>CCCD: 020187009643
Ngày cấp: 25/6/2021
Tại Cục cảnh sát quản lý hành chính về trật tự xã hội</v>
          </cell>
          <cell r="I447">
            <v>32094</v>
          </cell>
          <cell r="J447">
            <v>38</v>
          </cell>
          <cell r="K447" t="str">
            <v>082020124</v>
          </cell>
          <cell r="L447" t="str">
            <v>07/11/2014</v>
          </cell>
          <cell r="M447" t="str">
            <v>CA tỉnh Lạng Sơn</v>
          </cell>
          <cell r="N447" t="str">
            <v>Vĩnh Trại, TP Lạng Sơn</v>
          </cell>
          <cell r="O447" t="str">
            <v>Đông Quan</v>
          </cell>
          <cell r="P447" t="str">
            <v xml:space="preserve">Lộc Bình </v>
          </cell>
          <cell r="Q447" t="str">
            <v>Tỉnh Lạng Sơn</v>
          </cell>
          <cell r="R447" t="str">
            <v>Số 14 ngõ 11 đường Nguyễn Du</v>
          </cell>
          <cell r="S447" t="str">
            <v>Phường Đông Kinh</v>
          </cell>
          <cell r="T447" t="str">
            <v>Thành phố Lạng Sơn</v>
          </cell>
          <cell r="U447" t="str">
            <v>Tỉnh Lạng Sơn</v>
          </cell>
          <cell r="V447" t="str">
            <v>Phường Đông Kinh, Thành phố Lạng Sơn, Tỉnh Lạng Sơn</v>
          </cell>
          <cell r="W447" t="str">
            <v>1/11/2015</v>
          </cell>
          <cell r="AA447">
            <v>0</v>
          </cell>
          <cell r="AB447" t="str">
            <v>TĐ021</v>
          </cell>
          <cell r="AC447" t="str">
            <v>TCKT</v>
          </cell>
          <cell r="AD447" t="str">
            <v>KP041</v>
          </cell>
          <cell r="AE447" t="str">
            <v>Viên chức</v>
          </cell>
          <cell r="AF447" t="str">
            <v>06.031</v>
          </cell>
          <cell r="AG447" t="str">
            <v>Kế toán viên</v>
          </cell>
          <cell r="AH447">
            <v>3.33</v>
          </cell>
          <cell r="AI447">
            <v>4</v>
          </cell>
          <cell r="AJ447">
            <v>0</v>
          </cell>
          <cell r="AK447">
            <v>45413</v>
          </cell>
          <cell r="AL447" t="str">
            <v>Đại học</v>
          </cell>
          <cell r="AM447" t="str">
            <v>KTĐH</v>
          </cell>
          <cell r="AO447" t="str">
            <v>ĐH Kinh tế quốc dân</v>
          </cell>
          <cell r="AP447">
            <v>2012</v>
          </cell>
          <cell r="AQ447" t="str">
            <v>12/12</v>
          </cell>
          <cell r="AR447">
            <v>0</v>
          </cell>
          <cell r="AS447">
            <v>0</v>
          </cell>
          <cell r="AT447">
            <v>0</v>
          </cell>
          <cell r="AU447" t="str">
            <v>Anh B</v>
          </cell>
          <cell r="AV447">
            <v>0</v>
          </cell>
          <cell r="AW447" t="str">
            <v>B</v>
          </cell>
          <cell r="AY447" t="str">
            <v>Tày</v>
          </cell>
        </row>
        <row r="448">
          <cell r="A448" t="str">
            <v>BV0656</v>
          </cell>
          <cell r="B448">
            <v>442</v>
          </cell>
          <cell r="C448" t="str">
            <v>Trần Thị Vui</v>
          </cell>
          <cell r="D448" t="str">
            <v>BV0656</v>
          </cell>
          <cell r="E448">
            <v>2014002759</v>
          </cell>
          <cell r="G448" t="str">
            <v>CCCD: 036189017423
Ngày cấp: 25/6/2021
Tại Cục cảnh sát quản lý hành chính về trật tự xã hội</v>
          </cell>
          <cell r="I448">
            <v>32528</v>
          </cell>
          <cell r="J448">
            <v>37</v>
          </cell>
          <cell r="K448" t="str">
            <v>163051360</v>
          </cell>
          <cell r="L448" t="str">
            <v>05/01/2015</v>
          </cell>
          <cell r="M448" t="str">
            <v>CA tỉnh Lạng Sơn</v>
          </cell>
          <cell r="P448" t="str">
            <v>Huyện Nam Hồng</v>
          </cell>
          <cell r="Q448" t="str">
            <v>Tỉnh Nam Định</v>
          </cell>
          <cell r="S448" t="str">
            <v>Phường Tam Thanh</v>
          </cell>
          <cell r="T448" t="str">
            <v>Thành phố Lạng Sơn</v>
          </cell>
          <cell r="U448" t="str">
            <v>Tỉnh Lạng Sơn</v>
          </cell>
          <cell r="V448" t="str">
            <v>Phường Tam Thanh, Thành phố Lạng Sơn, Tỉnh Lạng Sơn</v>
          </cell>
          <cell r="W448" t="str">
            <v>01/10/2014</v>
          </cell>
          <cell r="AA448">
            <v>0</v>
          </cell>
          <cell r="AB448" t="str">
            <v>TĐ021</v>
          </cell>
          <cell r="AC448" t="str">
            <v>TCKT</v>
          </cell>
          <cell r="AD448" t="str">
            <v>KP041</v>
          </cell>
          <cell r="AE448" t="str">
            <v>Viên chức</v>
          </cell>
          <cell r="AF448" t="str">
            <v>06.031</v>
          </cell>
          <cell r="AG448" t="str">
            <v>Kế toán viên</v>
          </cell>
          <cell r="AH448">
            <v>3.33</v>
          </cell>
          <cell r="AI448">
            <v>4</v>
          </cell>
          <cell r="AJ448">
            <v>0</v>
          </cell>
          <cell r="AK448">
            <v>45453</v>
          </cell>
          <cell r="AL448" t="str">
            <v>Đại học</v>
          </cell>
          <cell r="AM448" t="str">
            <v>KTĐH</v>
          </cell>
          <cell r="AO448" t="str">
            <v>HV Nông nghiệp</v>
          </cell>
          <cell r="AP448">
            <v>2014</v>
          </cell>
          <cell r="AQ448" t="str">
            <v>12/12</v>
          </cell>
          <cell r="AR448">
            <v>0</v>
          </cell>
          <cell r="AS448">
            <v>0</v>
          </cell>
          <cell r="AT448" t="str">
            <v>Sơ cấp</v>
          </cell>
          <cell r="AU448" t="str">
            <v>Anh B</v>
          </cell>
          <cell r="AV448">
            <v>0</v>
          </cell>
          <cell r="AW448" t="str">
            <v>ĐH</v>
          </cell>
          <cell r="AY448" t="str">
            <v>Kinh</v>
          </cell>
        </row>
        <row r="449">
          <cell r="A449" t="str">
            <v>BV0635</v>
          </cell>
          <cell r="B449">
            <v>443</v>
          </cell>
          <cell r="C449" t="str">
            <v>Nông Thị Lan Anh</v>
          </cell>
          <cell r="D449" t="str">
            <v>BV0635</v>
          </cell>
          <cell r="E449">
            <v>2012000303</v>
          </cell>
          <cell r="G449" t="str">
            <v>CCCD: 020186002583
Ngày cấp: 20/4/2021
Tại Cục cảnh sát quản lý hành chính về trật tự xã hội</v>
          </cell>
          <cell r="I449">
            <v>31541</v>
          </cell>
          <cell r="J449">
            <v>40</v>
          </cell>
          <cell r="K449" t="str">
            <v>081045969</v>
          </cell>
          <cell r="L449" t="str">
            <v>02/10/2003</v>
          </cell>
          <cell r="M449" t="str">
            <v>CA tỉnh Lạng Sơn</v>
          </cell>
          <cell r="O449" t="str">
            <v>Xã Đề Thám</v>
          </cell>
          <cell r="P449" t="str">
            <v>Huyện Tràng Định</v>
          </cell>
          <cell r="Q449" t="str">
            <v>Tỉnh Lạng Sơn</v>
          </cell>
          <cell r="S449" t="str">
            <v>Phường Hoàng Văn Thụ</v>
          </cell>
          <cell r="T449" t="str">
            <v>Thành phố Lạng Sơn</v>
          </cell>
          <cell r="U449" t="str">
            <v>Tỉnh Lạng Sơn</v>
          </cell>
          <cell r="V449" t="str">
            <v>Phường Hoàng Văn Thụ, Thành phố Lạng Sơn, Tỉnh Lạng Sơn</v>
          </cell>
          <cell r="W449" t="str">
            <v>4/9/2012</v>
          </cell>
          <cell r="AA449">
            <v>0</v>
          </cell>
          <cell r="AB449" t="str">
            <v>TĐ021</v>
          </cell>
          <cell r="AC449" t="str">
            <v>TCKT</v>
          </cell>
          <cell r="AD449" t="str">
            <v>KP041</v>
          </cell>
          <cell r="AE449" t="str">
            <v>Viên chức</v>
          </cell>
          <cell r="AF449" t="str">
            <v>06.031</v>
          </cell>
          <cell r="AG449" t="str">
            <v>Kế toán viên</v>
          </cell>
          <cell r="AH449">
            <v>3.66</v>
          </cell>
          <cell r="AI449">
            <v>5</v>
          </cell>
          <cell r="AJ449">
            <v>0</v>
          </cell>
          <cell r="AK449">
            <v>45931</v>
          </cell>
          <cell r="AL449" t="str">
            <v>Đại học</v>
          </cell>
          <cell r="AM449" t="str">
            <v>KTĐH</v>
          </cell>
          <cell r="AO449" t="str">
            <v>ĐH Kinh tế quốc dân</v>
          </cell>
          <cell r="AP449">
            <v>2013</v>
          </cell>
          <cell r="AQ449" t="str">
            <v>12/12</v>
          </cell>
          <cell r="AR449">
            <v>0</v>
          </cell>
          <cell r="AS449">
            <v>0</v>
          </cell>
          <cell r="AT449">
            <v>0</v>
          </cell>
          <cell r="AU449" t="str">
            <v>Anh B</v>
          </cell>
          <cell r="AV449">
            <v>0</v>
          </cell>
          <cell r="AW449" t="str">
            <v>B</v>
          </cell>
          <cell r="AY449" t="str">
            <v>Tày</v>
          </cell>
        </row>
        <row r="450">
          <cell r="A450" t="str">
            <v>BV0651</v>
          </cell>
          <cell r="B450">
            <v>444</v>
          </cell>
          <cell r="C450" t="str">
            <v>Nông Thị Mơ</v>
          </cell>
          <cell r="D450" t="str">
            <v>BV0651</v>
          </cell>
          <cell r="E450">
            <v>2207000894</v>
          </cell>
          <cell r="G450" t="str">
            <v>CCCD: 020179007084
Ngày cấp: 25/6/2021
Tại Cục cảnh sát quản lý hành chính về trật tự xã hội</v>
          </cell>
          <cell r="I450">
            <v>29161</v>
          </cell>
          <cell r="J450">
            <v>46</v>
          </cell>
          <cell r="K450" t="str">
            <v>080952512</v>
          </cell>
          <cell r="L450" t="str">
            <v>06/04/2012</v>
          </cell>
          <cell r="M450" t="str">
            <v>CA tỉnh Lạng Sơn</v>
          </cell>
          <cell r="O450" t="str">
            <v>Xã Văn An</v>
          </cell>
          <cell r="P450" t="str">
            <v>Huyện Văn Quan</v>
          </cell>
          <cell r="Q450" t="str">
            <v>Tỉnh Lạng Sơn</v>
          </cell>
          <cell r="R450" t="str">
            <v>Số 107 Lê Hồng Phong</v>
          </cell>
          <cell r="S450" t="str">
            <v>Phường Tam Thanh</v>
          </cell>
          <cell r="T450" t="str">
            <v>Thành phố Lạng Sơn</v>
          </cell>
          <cell r="U450" t="str">
            <v>Tỉnh Lạng Sơn</v>
          </cell>
          <cell r="V450" t="str">
            <v>Phường Tam Thanh, Thành phố Lạng Sơn, Tỉnh Lạng Sơn</v>
          </cell>
          <cell r="W450" t="str">
            <v>15/1/2010</v>
          </cell>
          <cell r="AA450">
            <v>0</v>
          </cell>
          <cell r="AB450" t="str">
            <v>TĐ021</v>
          </cell>
          <cell r="AC450" t="str">
            <v>TCKT</v>
          </cell>
          <cell r="AD450" t="str">
            <v>KP041</v>
          </cell>
          <cell r="AE450" t="str">
            <v>Viên chức</v>
          </cell>
          <cell r="AF450" t="str">
            <v>06.032</v>
          </cell>
          <cell r="AG450" t="str">
            <v>Kế toán viên</v>
          </cell>
          <cell r="AH450">
            <v>3.66</v>
          </cell>
          <cell r="AI450">
            <v>5</v>
          </cell>
          <cell r="AJ450">
            <v>0</v>
          </cell>
          <cell r="AK450">
            <v>45778</v>
          </cell>
          <cell r="AL450" t="str">
            <v>Đại học</v>
          </cell>
          <cell r="AM450" t="str">
            <v>KTĐH</v>
          </cell>
          <cell r="AO450" t="str">
            <v>HV Tài chính</v>
          </cell>
          <cell r="AP450">
            <v>2011</v>
          </cell>
          <cell r="AQ450" t="str">
            <v>12/12</v>
          </cell>
          <cell r="AR450">
            <v>0</v>
          </cell>
          <cell r="AS450">
            <v>0</v>
          </cell>
          <cell r="AT450">
            <v>0</v>
          </cell>
          <cell r="AU450" t="str">
            <v>Anh B</v>
          </cell>
          <cell r="AV450" t="str">
            <v>Tày</v>
          </cell>
          <cell r="AW450" t="str">
            <v>B</v>
          </cell>
          <cell r="AY450" t="str">
            <v>Nùng</v>
          </cell>
          <cell r="AZ450">
            <v>42311</v>
          </cell>
        </row>
        <row r="451">
          <cell r="A451" t="str">
            <v>BV1030</v>
          </cell>
          <cell r="B451">
            <v>445</v>
          </cell>
          <cell r="C451" t="str">
            <v>Bùi Thị Thắm</v>
          </cell>
          <cell r="D451" t="str">
            <v>BV1030</v>
          </cell>
          <cell r="E451" t="str">
            <v>2020840119</v>
          </cell>
          <cell r="G451" t="str">
            <v>CCCD: 020188012621
Ngày cấp: 05/7/2021
Tại Cục cảnh sát quản lý hành chính về trật tự xã hội</v>
          </cell>
          <cell r="I451">
            <v>32482</v>
          </cell>
          <cell r="J451">
            <v>37</v>
          </cell>
          <cell r="K451" t="str">
            <v>082020412</v>
          </cell>
          <cell r="L451">
            <v>40835</v>
          </cell>
          <cell r="R451" t="str">
            <v>45/1 Lê Đại Hành</v>
          </cell>
          <cell r="S451" t="str">
            <v>Vĩnh Trại</v>
          </cell>
          <cell r="T451" t="str">
            <v>TP Lạng Sơn</v>
          </cell>
          <cell r="U451" t="str">
            <v>Lạng Sơn</v>
          </cell>
          <cell r="W451" t="str">
            <v>20/3/2018</v>
          </cell>
          <cell r="X451" t="str">
            <v>18/5/2020</v>
          </cell>
          <cell r="AA451">
            <v>0</v>
          </cell>
          <cell r="AB451" t="str">
            <v>TĐ021</v>
          </cell>
          <cell r="AC451" t="str">
            <v>TCKT</v>
          </cell>
          <cell r="AD451" t="str">
            <v>KP041</v>
          </cell>
          <cell r="AE451" t="str">
            <v>Viên chức</v>
          </cell>
          <cell r="AF451" t="str">
            <v>06.031</v>
          </cell>
          <cell r="AG451" t="str">
            <v>Kế toán viên</v>
          </cell>
          <cell r="AH451">
            <v>3</v>
          </cell>
          <cell r="AI451">
            <v>3</v>
          </cell>
          <cell r="AJ451">
            <v>0</v>
          </cell>
          <cell r="AK451">
            <v>45809</v>
          </cell>
          <cell r="AL451" t="str">
            <v>Đại học</v>
          </cell>
          <cell r="AM451" t="str">
            <v>KTĐH</v>
          </cell>
          <cell r="AR451">
            <v>0</v>
          </cell>
          <cell r="AS451">
            <v>0</v>
          </cell>
          <cell r="AT451">
            <v>0</v>
          </cell>
          <cell r="AU451" t="str">
            <v>Anh B</v>
          </cell>
          <cell r="AV451">
            <v>0</v>
          </cell>
          <cell r="AW451" t="str">
            <v>B</v>
          </cell>
          <cell r="AY451" t="str">
            <v>Tày</v>
          </cell>
        </row>
        <row r="452">
          <cell r="A452" t="str">
            <v>BV0637</v>
          </cell>
          <cell r="B452">
            <v>446</v>
          </cell>
          <cell r="C452" t="str">
            <v>Lê Thanh Tú</v>
          </cell>
          <cell r="D452" t="str">
            <v>BV0637</v>
          </cell>
          <cell r="E452">
            <v>1507000020</v>
          </cell>
          <cell r="G452" t="str">
            <v>CCCD: 020185000844
Ngày cấp: 08/4/2021
Tại Cục cảnh sát quản lý hành chính về trật tự xã hội</v>
          </cell>
          <cell r="I452">
            <v>31392</v>
          </cell>
          <cell r="J452">
            <v>40</v>
          </cell>
          <cell r="K452" t="str">
            <v>081064420</v>
          </cell>
          <cell r="L452" t="str">
            <v>10/02/2003</v>
          </cell>
          <cell r="M452" t="str">
            <v>CA tỉnh Lạng Sơn</v>
          </cell>
          <cell r="N452" t="str">
            <v>Thị xã Lạng Sơn</v>
          </cell>
          <cell r="P452" t="str">
            <v>Huyện Tràng Định</v>
          </cell>
          <cell r="Q452" t="str">
            <v>Tỉnh Lạng Sơn</v>
          </cell>
          <cell r="R452" t="str">
            <v>Nhị Thanh</v>
          </cell>
          <cell r="S452" t="str">
            <v>Phường Tam Thanh</v>
          </cell>
          <cell r="T452" t="str">
            <v>Thành phố Lạng Sơn</v>
          </cell>
          <cell r="U452" t="str">
            <v>Tỉnh Lạng Sơn</v>
          </cell>
          <cell r="V452" t="str">
            <v>Phường Tam Thanh, Thành phố Lạng Sơn, Tỉnh Lạng Sơn</v>
          </cell>
          <cell r="W452" t="str">
            <v>1/11/2006</v>
          </cell>
          <cell r="AA452">
            <v>0</v>
          </cell>
          <cell r="AB452" t="str">
            <v>TĐ021</v>
          </cell>
          <cell r="AC452" t="str">
            <v>TCKT</v>
          </cell>
          <cell r="AD452" t="str">
            <v>KP041</v>
          </cell>
          <cell r="AE452" t="str">
            <v>Viên chức</v>
          </cell>
          <cell r="AF452" t="str">
            <v>06.032</v>
          </cell>
          <cell r="AG452" t="str">
            <v>Kế toán viên</v>
          </cell>
          <cell r="AH452">
            <v>3.66</v>
          </cell>
          <cell r="AI452">
            <v>5</v>
          </cell>
          <cell r="AJ452">
            <v>0</v>
          </cell>
          <cell r="AK452">
            <v>45778</v>
          </cell>
          <cell r="AL452" t="str">
            <v>Cao đẳng</v>
          </cell>
          <cell r="AM452" t="str">
            <v>KTĐH</v>
          </cell>
          <cell r="AO452" t="str">
            <v>CĐ TMDL Thái Nguyên</v>
          </cell>
          <cell r="AP452">
            <v>2010</v>
          </cell>
          <cell r="AQ452" t="str">
            <v>12/12</v>
          </cell>
          <cell r="AR452">
            <v>0</v>
          </cell>
          <cell r="AS452">
            <v>0</v>
          </cell>
          <cell r="AT452">
            <v>0</v>
          </cell>
          <cell r="AU452" t="str">
            <v>Anh B</v>
          </cell>
          <cell r="AV452">
            <v>0</v>
          </cell>
          <cell r="AW452" t="str">
            <v>B</v>
          </cell>
          <cell r="AY452" t="str">
            <v>Tày</v>
          </cell>
          <cell r="BC452" t="str">
            <v>24/06/2013</v>
          </cell>
        </row>
        <row r="453">
          <cell r="A453" t="str">
            <v>BV0638</v>
          </cell>
          <cell r="B453">
            <v>447</v>
          </cell>
          <cell r="C453" t="str">
            <v>Đinh Thị Quỳnh Nga</v>
          </cell>
          <cell r="D453" t="str">
            <v>BV0638</v>
          </cell>
          <cell r="E453">
            <v>1500002076</v>
          </cell>
          <cell r="G453" t="str">
            <v>CCCD: 020176005081
Ngày cấp: 06/12/2021
Tại Cục cảnh sát quản lý hành chính về trật tự xã hội</v>
          </cell>
          <cell r="I453">
            <v>28051</v>
          </cell>
          <cell r="J453">
            <v>49</v>
          </cell>
          <cell r="K453" t="str">
            <v>080964112</v>
          </cell>
          <cell r="L453" t="str">
            <v>21/07/2011</v>
          </cell>
          <cell r="M453" t="str">
            <v>CA tỉnh Lạng Sơn</v>
          </cell>
          <cell r="N453" t="str">
            <v>Lạng Sơn</v>
          </cell>
          <cell r="O453" t="str">
            <v>Tân Lang</v>
          </cell>
          <cell r="P453" t="str">
            <v>Huyện Văn Lãng</v>
          </cell>
          <cell r="Q453" t="str">
            <v>Tỉnh Lạng Sơn</v>
          </cell>
          <cell r="R453" t="str">
            <v>Ngõ 4 khối 9 đường Bến Bắc</v>
          </cell>
          <cell r="S453" t="str">
            <v>Phường Tam Thanh</v>
          </cell>
          <cell r="T453" t="str">
            <v>Thành phố Lạng Sơn</v>
          </cell>
          <cell r="U453" t="str">
            <v>Tỉnh Lạng Sơn</v>
          </cell>
          <cell r="V453" t="str">
            <v>Phường Tam Thanh, Thành phố Lạng Sơn, Tỉnh Lạng Sơn</v>
          </cell>
          <cell r="W453" t="str">
            <v>1/6/1999</v>
          </cell>
          <cell r="AA453">
            <v>0</v>
          </cell>
          <cell r="AB453" t="str">
            <v>TĐ021</v>
          </cell>
          <cell r="AC453" t="str">
            <v>TCKT</v>
          </cell>
          <cell r="AD453" t="str">
            <v>KP041</v>
          </cell>
          <cell r="AE453" t="str">
            <v>Viên chức</v>
          </cell>
          <cell r="AF453" t="str">
            <v>06.032</v>
          </cell>
          <cell r="AG453" t="str">
            <v>Kế toán viên</v>
          </cell>
          <cell r="AH453">
            <v>3.99</v>
          </cell>
          <cell r="AI453">
            <v>6</v>
          </cell>
          <cell r="AJ453">
            <v>0</v>
          </cell>
          <cell r="AK453">
            <v>45474</v>
          </cell>
          <cell r="AL453" t="str">
            <v>Cao đẳng</v>
          </cell>
          <cell r="AM453" t="str">
            <v>KTĐH</v>
          </cell>
          <cell r="AQ453" t="str">
            <v>12/12</v>
          </cell>
          <cell r="AR453">
            <v>0</v>
          </cell>
          <cell r="AS453">
            <v>0</v>
          </cell>
          <cell r="AT453">
            <v>0</v>
          </cell>
          <cell r="AU453" t="str">
            <v>Anh B</v>
          </cell>
          <cell r="AV453" t="str">
            <v>Tày</v>
          </cell>
          <cell r="AW453" t="str">
            <v>Cơ bản</v>
          </cell>
          <cell r="AY453" t="str">
            <v>Nùng</v>
          </cell>
          <cell r="AZ453">
            <v>39903</v>
          </cell>
        </row>
        <row r="454">
          <cell r="A454" t="str">
            <v>BV0644</v>
          </cell>
          <cell r="B454">
            <v>448</v>
          </cell>
          <cell r="C454" t="str">
            <v>Đinh Hữu Đạt</v>
          </cell>
          <cell r="D454" t="str">
            <v>BV0644</v>
          </cell>
          <cell r="E454">
            <v>1502000170</v>
          </cell>
          <cell r="G454" t="str">
            <v>CCCD: 020073001632
Ngày cấp: 20/4/2021
Tại Cục cảnh sát quản lý hành chính về trật tự xã hội</v>
          </cell>
          <cell r="H454">
            <v>26872</v>
          </cell>
          <cell r="J454">
            <v>52</v>
          </cell>
          <cell r="K454" t="str">
            <v>080976768</v>
          </cell>
          <cell r="L454" t="str">
            <v>03/03/2012</v>
          </cell>
          <cell r="M454" t="str">
            <v>CA tỉnh Lạng Sơn</v>
          </cell>
          <cell r="O454" t="str">
            <v>Phường Vĩnh Trại</v>
          </cell>
          <cell r="P454" t="str">
            <v>Thành phố Lạng Sơn</v>
          </cell>
          <cell r="Q454" t="str">
            <v>Tỉnh Lạng Sơn</v>
          </cell>
          <cell r="R454" t="str">
            <v>90 ngõ 2, Đường Lê Lợi</v>
          </cell>
          <cell r="S454" t="str">
            <v>Phường Vĩnh Trại</v>
          </cell>
          <cell r="T454" t="str">
            <v>Thành phố Lạng Sơn</v>
          </cell>
          <cell r="U454" t="str">
            <v>Tỉnh Lạng Sơn</v>
          </cell>
          <cell r="V454" t="str">
            <v>Phường Vĩnh Trại, Thành phố Lạng Sơn, Tỉnh Lạng Sơn</v>
          </cell>
          <cell r="W454" t="str">
            <v>15/8/2006</v>
          </cell>
          <cell r="X454" t="str">
            <v>15/8/2006</v>
          </cell>
          <cell r="AA454">
            <v>0</v>
          </cell>
          <cell r="AB454" t="str">
            <v>TĐ021</v>
          </cell>
          <cell r="AC454" t="str">
            <v>TCKT</v>
          </cell>
          <cell r="AD454" t="str">
            <v>KP041</v>
          </cell>
          <cell r="AE454" t="str">
            <v>Viên chức</v>
          </cell>
          <cell r="AF454" t="str">
            <v>06.032</v>
          </cell>
          <cell r="AG454" t="str">
            <v>Kế toán viên</v>
          </cell>
          <cell r="AH454">
            <v>3.66</v>
          </cell>
          <cell r="AI454">
            <v>5</v>
          </cell>
          <cell r="AJ454">
            <v>0</v>
          </cell>
          <cell r="AK454">
            <v>46001</v>
          </cell>
          <cell r="AL454" t="str">
            <v>Cao đẳng</v>
          </cell>
          <cell r="AM454" t="str">
            <v>KTĐH</v>
          </cell>
          <cell r="AO454" t="str">
            <v>CĐ thống kê Bắc Ninh</v>
          </cell>
          <cell r="AP454">
            <v>2011</v>
          </cell>
          <cell r="AQ454" t="str">
            <v>12/12</v>
          </cell>
          <cell r="AR454">
            <v>0</v>
          </cell>
          <cell r="AS454">
            <v>0</v>
          </cell>
          <cell r="AT454">
            <v>0</v>
          </cell>
          <cell r="AU454" t="str">
            <v>Anh B</v>
          </cell>
          <cell r="AV454" t="str">
            <v>Tày</v>
          </cell>
          <cell r="AW454" t="str">
            <v>Cơ bản</v>
          </cell>
          <cell r="AY454" t="str">
            <v>Kinh</v>
          </cell>
          <cell r="AZ454">
            <v>41611</v>
          </cell>
          <cell r="BC454" t="str">
            <v>24/06/2013</v>
          </cell>
        </row>
        <row r="455">
          <cell r="A455" t="str">
            <v>BV0650</v>
          </cell>
          <cell r="B455">
            <v>449</v>
          </cell>
          <cell r="C455" t="str">
            <v>Hoàng Thị Hảo</v>
          </cell>
          <cell r="D455" t="str">
            <v>BV0650</v>
          </cell>
          <cell r="E455">
            <v>1596007631</v>
          </cell>
          <cell r="G455" t="str">
            <v>CCCD: 020175004519
Ngày cấp: 25/6/2021
Tại Cục cảnh sát quản lý hành chính về trật tự xã hội</v>
          </cell>
          <cell r="I455">
            <v>27399</v>
          </cell>
          <cell r="J455">
            <v>51</v>
          </cell>
          <cell r="K455" t="str">
            <v>082153103</v>
          </cell>
          <cell r="L455" t="str">
            <v>23/11/2007</v>
          </cell>
          <cell r="M455" t="str">
            <v>CA tỉnh Lạng Sơn</v>
          </cell>
          <cell r="P455" t="str">
            <v>Huyện Bình Gia</v>
          </cell>
          <cell r="Q455" t="str">
            <v>Tỉnh Lạng Sơn</v>
          </cell>
          <cell r="S455" t="str">
            <v>Phường Chi Lăng</v>
          </cell>
          <cell r="T455" t="str">
            <v>Thành phố Lạng Sơn</v>
          </cell>
          <cell r="U455" t="str">
            <v>Tỉnh Lạng Sơn</v>
          </cell>
          <cell r="V455" t="str">
            <v>Phường Chi Lăng, Thành phố Lạng Sơn, Tỉnh Lạng Sơn</v>
          </cell>
          <cell r="W455" t="str">
            <v>5/7/1996</v>
          </cell>
          <cell r="AA455">
            <v>0</v>
          </cell>
          <cell r="AB455" t="str">
            <v>TĐ022</v>
          </cell>
          <cell r="AC455" t="str">
            <v>TCKT</v>
          </cell>
          <cell r="AD455" t="str">
            <v>KP041</v>
          </cell>
          <cell r="AE455" t="str">
            <v>Viên chức</v>
          </cell>
          <cell r="AF455" t="str">
            <v>06.032</v>
          </cell>
          <cell r="AG455" t="str">
            <v>Kế toán viên TC</v>
          </cell>
          <cell r="AH455">
            <v>4.58</v>
          </cell>
          <cell r="AI455">
            <v>9</v>
          </cell>
          <cell r="AJ455">
            <v>0</v>
          </cell>
          <cell r="AK455">
            <v>45413</v>
          </cell>
          <cell r="AL455" t="str">
            <v>Cao đẳng</v>
          </cell>
          <cell r="AM455" t="str">
            <v>KTCĐ</v>
          </cell>
          <cell r="AO455" t="str">
            <v>ĐH Sao đỏ</v>
          </cell>
          <cell r="AP455">
            <v>2010</v>
          </cell>
          <cell r="AQ455" t="str">
            <v>12/12</v>
          </cell>
          <cell r="AR455">
            <v>0</v>
          </cell>
          <cell r="AS455">
            <v>0</v>
          </cell>
          <cell r="AT455">
            <v>0</v>
          </cell>
          <cell r="AU455" t="str">
            <v>Anh B</v>
          </cell>
          <cell r="AV455">
            <v>0</v>
          </cell>
          <cell r="AW455" t="str">
            <v>B</v>
          </cell>
          <cell r="AY455" t="str">
            <v>Tày</v>
          </cell>
          <cell r="AZ455">
            <v>39177</v>
          </cell>
        </row>
        <row r="456">
          <cell r="A456" t="str">
            <v>BV1004</v>
          </cell>
          <cell r="B456">
            <v>450</v>
          </cell>
          <cell r="C456" t="str">
            <v>Nguyễn Duy Khánh</v>
          </cell>
          <cell r="D456" t="str">
            <v>BV1004</v>
          </cell>
          <cell r="E456" t="str">
            <v>2013000097</v>
          </cell>
          <cell r="F456" t="str">
            <v>Kế toán viên CĐ</v>
          </cell>
          <cell r="G456" t="str">
            <v>CCCD: 020091002293
Ngày cấp: 29/4/2021
Tại Cục cảnh sát quản lý hành chính về trật tự xã hội</v>
          </cell>
          <cell r="H456">
            <v>33503</v>
          </cell>
          <cell r="J456">
            <v>34</v>
          </cell>
          <cell r="K456" t="str">
            <v>082186308</v>
          </cell>
          <cell r="L456">
            <v>42361</v>
          </cell>
          <cell r="V456" t="str">
            <v>Số 13 khối 2, ngõ 2 đường Bắc Sơn, Phường Vĩnh Trại, TP Lạng Sơn</v>
          </cell>
          <cell r="W456" t="str">
            <v>03/2/2017</v>
          </cell>
          <cell r="AA456">
            <v>0</v>
          </cell>
          <cell r="AB456" t="str">
            <v>TĐ021</v>
          </cell>
          <cell r="AC456" t="str">
            <v>TCKT</v>
          </cell>
          <cell r="AD456" t="str">
            <v>KP041</v>
          </cell>
          <cell r="AE456" t="str">
            <v>Viên chức</v>
          </cell>
          <cell r="AF456" t="str">
            <v>06.032</v>
          </cell>
          <cell r="AG456" t="str">
            <v>Kế toán viên</v>
          </cell>
          <cell r="AH456">
            <v>3.33</v>
          </cell>
          <cell r="AI456">
            <v>4</v>
          </cell>
          <cell r="AJ456">
            <v>0</v>
          </cell>
          <cell r="AK456">
            <v>45444</v>
          </cell>
          <cell r="AL456" t="str">
            <v>Cao đẳng</v>
          </cell>
          <cell r="AM456" t="str">
            <v>KTĐH</v>
          </cell>
          <cell r="AR456">
            <v>0</v>
          </cell>
          <cell r="AS456">
            <v>0</v>
          </cell>
          <cell r="AT456">
            <v>0</v>
          </cell>
          <cell r="AU456" t="str">
            <v>Anh B</v>
          </cell>
          <cell r="AV456">
            <v>0</v>
          </cell>
          <cell r="AW456" t="str">
            <v>B</v>
          </cell>
          <cell r="AY456" t="str">
            <v>Kinh</v>
          </cell>
        </row>
        <row r="457">
          <cell r="A457" t="str">
            <v>BV0652</v>
          </cell>
          <cell r="B457">
            <v>451</v>
          </cell>
          <cell r="C457" t="str">
            <v>Lương Thị Hồng</v>
          </cell>
          <cell r="D457" t="str">
            <v>BV0652</v>
          </cell>
          <cell r="E457">
            <v>2013002143</v>
          </cell>
          <cell r="G457" t="str">
            <v>CMT: 082015584
Ngày cấp: 04/9/2012
CAT Lạng Sơn</v>
          </cell>
          <cell r="I457">
            <v>31797</v>
          </cell>
          <cell r="J457">
            <v>39</v>
          </cell>
          <cell r="K457" t="str">
            <v>082015584</v>
          </cell>
          <cell r="L457" t="str">
            <v>02/04/2015</v>
          </cell>
          <cell r="M457" t="str">
            <v>CA tỉnh Lạng Sơn</v>
          </cell>
          <cell r="O457" t="str">
            <v>Xã Quyết thắng</v>
          </cell>
          <cell r="P457" t="str">
            <v>Huyện Hữu Lũng</v>
          </cell>
          <cell r="Q457" t="str">
            <v>Tỉnh Lạng Sơn</v>
          </cell>
          <cell r="S457" t="str">
            <v>Xã Quyết thắng</v>
          </cell>
          <cell r="T457" t="str">
            <v>Huyện Hữu Lũng</v>
          </cell>
          <cell r="U457" t="str">
            <v>Tỉnh Lạng Sơn</v>
          </cell>
          <cell r="V457" t="str">
            <v>Xã Quyết thắng, Huyện Hữu Lũng, Tỉnh Lạng Sơn</v>
          </cell>
          <cell r="W457" t="str">
            <v>10/6/2013</v>
          </cell>
          <cell r="AA457">
            <v>0</v>
          </cell>
          <cell r="AB457" t="str">
            <v>TĐ021</v>
          </cell>
          <cell r="AC457" t="str">
            <v>TCKT</v>
          </cell>
          <cell r="AD457" t="str">
            <v>KP041</v>
          </cell>
          <cell r="AE457" t="str">
            <v>Viên chức</v>
          </cell>
          <cell r="AF457" t="str">
            <v>06.032</v>
          </cell>
          <cell r="AG457" t="str">
            <v>Kế toán viên</v>
          </cell>
          <cell r="AH457">
            <v>3.33</v>
          </cell>
          <cell r="AI457">
            <v>4</v>
          </cell>
          <cell r="AJ457">
            <v>0</v>
          </cell>
          <cell r="AK457">
            <v>45413</v>
          </cell>
          <cell r="AL457" t="str">
            <v>Đại học</v>
          </cell>
          <cell r="AM457" t="str">
            <v>KTĐH</v>
          </cell>
          <cell r="AO457" t="str">
            <v>ĐH Thương Mại</v>
          </cell>
          <cell r="AQ457" t="str">
            <v>12/12</v>
          </cell>
          <cell r="AR457">
            <v>0</v>
          </cell>
          <cell r="AS457">
            <v>0</v>
          </cell>
          <cell r="AT457">
            <v>0</v>
          </cell>
          <cell r="AU457" t="str">
            <v>Anh B</v>
          </cell>
          <cell r="AV457">
            <v>0</v>
          </cell>
          <cell r="AW457" t="str">
            <v>B</v>
          </cell>
          <cell r="AY457" t="str">
            <v>Kinh</v>
          </cell>
        </row>
        <row r="458">
          <cell r="A458" t="str">
            <v>BV0655</v>
          </cell>
          <cell r="B458">
            <v>452</v>
          </cell>
          <cell r="C458" t="str">
            <v>Tô Thị Đại</v>
          </cell>
          <cell r="D458" t="str">
            <v>BV0655</v>
          </cell>
          <cell r="E458">
            <v>2010000184</v>
          </cell>
          <cell r="G458" t="str">
            <v>CCCD: 020187009874
Ngày cấp: 25/6/2021
Tại Cục cảnh sát quản lý hành chính về trật tự xã hội</v>
          </cell>
          <cell r="I458">
            <v>32025</v>
          </cell>
          <cell r="J458">
            <v>38</v>
          </cell>
          <cell r="K458" t="str">
            <v>082027714</v>
          </cell>
          <cell r="L458" t="str">
            <v>22/08/2004</v>
          </cell>
          <cell r="M458" t="str">
            <v>CA tỉnh Lạng Sơn</v>
          </cell>
          <cell r="O458" t="str">
            <v>Xã Sơn Hà</v>
          </cell>
          <cell r="P458" t="str">
            <v>Huyện Hữu Lũng</v>
          </cell>
          <cell r="Q458" t="str">
            <v>Tỉnh Lạng Sơn</v>
          </cell>
          <cell r="R458" t="str">
            <v>SN 20, ngõ 20 Bà Triệu</v>
          </cell>
          <cell r="S458" t="str">
            <v>Phường Đông Kinh</v>
          </cell>
          <cell r="T458" t="str">
            <v>Thành phố Lạng Sơn</v>
          </cell>
          <cell r="U458" t="str">
            <v>Tỉnh Lạng Sơn</v>
          </cell>
          <cell r="V458" t="str">
            <v>Phường Đông Kinh, Thành phố Lạng Sơn, Tỉnh Lạng Sơn</v>
          </cell>
          <cell r="W458" t="str">
            <v>15/1/2010</v>
          </cell>
          <cell r="AA458">
            <v>0</v>
          </cell>
          <cell r="AB458" t="str">
            <v>TĐ021</v>
          </cell>
          <cell r="AC458" t="str">
            <v>TCKT</v>
          </cell>
          <cell r="AD458" t="str">
            <v>KP041</v>
          </cell>
          <cell r="AE458" t="str">
            <v>Viên chức</v>
          </cell>
          <cell r="AF458" t="str">
            <v>06.032</v>
          </cell>
          <cell r="AG458" t="str">
            <v>Kế toán viên</v>
          </cell>
          <cell r="AH458">
            <v>3.66</v>
          </cell>
          <cell r="AI458">
            <v>5</v>
          </cell>
          <cell r="AJ458">
            <v>0</v>
          </cell>
          <cell r="AK458">
            <v>45778</v>
          </cell>
          <cell r="AL458" t="str">
            <v>Trung cấp</v>
          </cell>
          <cell r="AM458" t="str">
            <v>KTĐH</v>
          </cell>
          <cell r="AO458" t="str">
            <v>Trung cấp xây dựng HN</v>
          </cell>
          <cell r="AP458">
            <v>2008</v>
          </cell>
          <cell r="AQ458" t="str">
            <v>12/12</v>
          </cell>
          <cell r="AR458">
            <v>0</v>
          </cell>
          <cell r="AS458">
            <v>0</v>
          </cell>
          <cell r="AT458">
            <v>0</v>
          </cell>
          <cell r="AU458" t="str">
            <v>Anh B</v>
          </cell>
          <cell r="AV458">
            <v>0</v>
          </cell>
          <cell r="AW458" t="str">
            <v>B</v>
          </cell>
          <cell r="AY458" t="str">
            <v>Nùng</v>
          </cell>
          <cell r="AZ458">
            <v>42311</v>
          </cell>
        </row>
        <row r="459">
          <cell r="A459" t="str">
            <v>BV0830</v>
          </cell>
          <cell r="B459">
            <v>453</v>
          </cell>
          <cell r="C459" t="str">
            <v>Lê Thị Na</v>
          </cell>
          <cell r="D459" t="str">
            <v>BV0830</v>
          </cell>
          <cell r="E459" t="str">
            <v>7913269996</v>
          </cell>
          <cell r="G459" t="str">
            <v>CCCD: 020189008309
Ngày cấp: 25/6/2021
Tại Cục cảnh sát quản lý hành chính về trật tự xã hội</v>
          </cell>
          <cell r="I459" t="str">
            <v>21/6/1989</v>
          </cell>
          <cell r="J459">
            <v>37</v>
          </cell>
          <cell r="K459" t="str">
            <v>082103290</v>
          </cell>
          <cell r="L459" t="str">
            <v>04/08/2008</v>
          </cell>
          <cell r="M459" t="str">
            <v>CA tỉnh Lạng Sơn</v>
          </cell>
          <cell r="N459" t="str">
            <v>Thị trấn Na Dương, huyện Lộc Bình</v>
          </cell>
          <cell r="O459" t="str">
            <v>Thị trấn Na Dương</v>
          </cell>
          <cell r="P459" t="str">
            <v>Lộc Bình</v>
          </cell>
          <cell r="Q459" t="str">
            <v>Lạng Sơn</v>
          </cell>
          <cell r="R459" t="str">
            <v>Số 13 ngõ 2 đường Bà Triệu, Phường Vĩnh Trại, TP. Lạng Sơn</v>
          </cell>
          <cell r="V459" t="str">
            <v>Số 13 ngõ 2 đường Bà Triệu, Phường Vĩnh Trại, TP. Lạng Sơn</v>
          </cell>
          <cell r="W459" t="str">
            <v>20/3/2018</v>
          </cell>
          <cell r="Y459">
            <v>596</v>
          </cell>
          <cell r="Z459" t="str">
            <v>18/3/2018</v>
          </cell>
          <cell r="AA459">
            <v>0</v>
          </cell>
          <cell r="AB459" t="str">
            <v>TĐ024</v>
          </cell>
          <cell r="AC459" t="str">
            <v>TCKT</v>
          </cell>
          <cell r="AD459" t="str">
            <v>KP041</v>
          </cell>
          <cell r="AE459" t="str">
            <v>Viên chức</v>
          </cell>
          <cell r="AF459" t="str">
            <v>01.003</v>
          </cell>
          <cell r="AG459" t="str">
            <v>Chuyên viên</v>
          </cell>
          <cell r="AH459">
            <v>3</v>
          </cell>
          <cell r="AI459">
            <v>3</v>
          </cell>
          <cell r="AJ459">
            <v>0</v>
          </cell>
          <cell r="AK459">
            <v>45748</v>
          </cell>
          <cell r="AL459" t="str">
            <v>Đại học</v>
          </cell>
          <cell r="AM459" t="str">
            <v>Cử nhân QTKD</v>
          </cell>
          <cell r="AQ459" t="str">
            <v>12/12</v>
          </cell>
          <cell r="AR459">
            <v>0</v>
          </cell>
          <cell r="AS459">
            <v>0</v>
          </cell>
          <cell r="AT459">
            <v>0</v>
          </cell>
          <cell r="AU459" t="str">
            <v>Anh B</v>
          </cell>
          <cell r="AV459">
            <v>0</v>
          </cell>
          <cell r="AW459" t="str">
            <v>B</v>
          </cell>
          <cell r="AY459" t="str">
            <v>Tày</v>
          </cell>
        </row>
        <row r="460">
          <cell r="A460" t="str">
            <v>BV0891</v>
          </cell>
          <cell r="B460">
            <v>454</v>
          </cell>
          <cell r="C460" t="str">
            <v>Ma Thùy Ninh</v>
          </cell>
          <cell r="D460" t="str">
            <v>BV0891</v>
          </cell>
          <cell r="E460" t="str">
            <v>2013000772</v>
          </cell>
          <cell r="G460" t="str">
            <v>CCCD: 020189002911
Ngày cấp: 29/4/2021
Tại Cục cảnh sát quản lý hành chính về trật tự xã hội</v>
          </cell>
          <cell r="I460" t="str">
            <v>07/03/1989</v>
          </cell>
          <cell r="J460">
            <v>37</v>
          </cell>
          <cell r="K460" t="str">
            <v>082112222</v>
          </cell>
          <cell r="L460" t="str">
            <v>12/03/2007</v>
          </cell>
          <cell r="M460" t="str">
            <v>CA tỉnh Lạng Sơn</v>
          </cell>
          <cell r="W460" t="str">
            <v>05/04/2019</v>
          </cell>
          <cell r="AA460">
            <v>0</v>
          </cell>
          <cell r="AB460" t="str">
            <v>TĐ024</v>
          </cell>
          <cell r="AC460" t="str">
            <v>TCKT</v>
          </cell>
          <cell r="AD460" t="str">
            <v>KP041</v>
          </cell>
          <cell r="AE460" t="str">
            <v>Viên chức</v>
          </cell>
          <cell r="AF460" t="str">
            <v>V.08.01.03</v>
          </cell>
          <cell r="AG460" t="str">
            <v>Chuyên viên</v>
          </cell>
          <cell r="AH460">
            <v>3</v>
          </cell>
          <cell r="AI460">
            <v>3</v>
          </cell>
          <cell r="AJ460">
            <v>0</v>
          </cell>
          <cell r="AK460">
            <v>45931</v>
          </cell>
          <cell r="AL460" t="str">
            <v>Đại học</v>
          </cell>
          <cell r="AM460" t="str">
            <v>Cử nhân QTKD</v>
          </cell>
          <cell r="AN460" t="str">
            <v>QTKD</v>
          </cell>
          <cell r="AQ460" t="str">
            <v>12/12</v>
          </cell>
          <cell r="AR460">
            <v>0</v>
          </cell>
          <cell r="AS460">
            <v>0</v>
          </cell>
          <cell r="AT460">
            <v>0</v>
          </cell>
          <cell r="AU460">
            <v>0</v>
          </cell>
          <cell r="AV460">
            <v>0</v>
          </cell>
          <cell r="AW460">
            <v>0</v>
          </cell>
          <cell r="AY460" t="str">
            <v>Tày</v>
          </cell>
        </row>
        <row r="461">
          <cell r="A461" t="str">
            <v>BV0812</v>
          </cell>
          <cell r="B461">
            <v>455</v>
          </cell>
          <cell r="C461" t="str">
            <v>Dương Huyền Nhi</v>
          </cell>
          <cell r="D461" t="str">
            <v>BV0812</v>
          </cell>
          <cell r="E461" t="str">
            <v>2016008138</v>
          </cell>
          <cell r="G461" t="str">
            <v>CCCD: 020193007471
Ngày cấp: 25/6/2021
Tại Cục cảnh sát quản lý hành chính về trật tự xã hội</v>
          </cell>
          <cell r="I461" t="str">
            <v>18/12/1993</v>
          </cell>
          <cell r="J461">
            <v>32</v>
          </cell>
          <cell r="K461" t="str">
            <v>082254088</v>
          </cell>
          <cell r="L461" t="str">
            <v>23/10/2010</v>
          </cell>
          <cell r="M461" t="str">
            <v>CA tỉnh Lạng Sơn</v>
          </cell>
          <cell r="N461" t="str">
            <v>Thị trấn Cao Lộc</v>
          </cell>
          <cell r="O461" t="str">
            <v>Bãi Uyên</v>
          </cell>
          <cell r="P461" t="str">
            <v>Tiên Sơn</v>
          </cell>
          <cell r="Q461" t="str">
            <v>Bắc Ninh</v>
          </cell>
          <cell r="R461" t="str">
            <v>Tổ 1 khối 7</v>
          </cell>
          <cell r="S461" t="str">
            <v>Thị trấn Cao Lộc</v>
          </cell>
          <cell r="T461" t="str">
            <v>Cao Lộc</v>
          </cell>
          <cell r="U461" t="str">
            <v>Lạng Sơn</v>
          </cell>
          <cell r="V461" t="str">
            <v>Thị trấn Cao Lộc, Cao Lộc, Lạng Sơn</v>
          </cell>
          <cell r="W461" t="str">
            <v>10/01/2018</v>
          </cell>
          <cell r="AA461">
            <v>0</v>
          </cell>
          <cell r="AB461" t="str">
            <v>TĐ025</v>
          </cell>
          <cell r="AC461" t="str">
            <v>TCKT</v>
          </cell>
          <cell r="AD461" t="str">
            <v>KP041</v>
          </cell>
          <cell r="AE461" t="str">
            <v>Viên chức</v>
          </cell>
          <cell r="AF461" t="str">
            <v>01.003</v>
          </cell>
          <cell r="AG461" t="str">
            <v>Chuyên viên</v>
          </cell>
          <cell r="AH461">
            <v>3</v>
          </cell>
          <cell r="AI461">
            <v>3</v>
          </cell>
          <cell r="AJ461">
            <v>0</v>
          </cell>
          <cell r="AK461">
            <v>45474</v>
          </cell>
          <cell r="AL461" t="str">
            <v>Đại học</v>
          </cell>
          <cell r="AM461" t="str">
            <v>Cử nhân TCNH</v>
          </cell>
          <cell r="AO461" t="str">
            <v>HV Tài chính</v>
          </cell>
          <cell r="AP461">
            <v>2016</v>
          </cell>
          <cell r="AQ461" t="str">
            <v>12/12</v>
          </cell>
          <cell r="AR461">
            <v>0</v>
          </cell>
          <cell r="AS461">
            <v>0</v>
          </cell>
          <cell r="AT461">
            <v>0</v>
          </cell>
          <cell r="AU461" t="str">
            <v>Anh B</v>
          </cell>
          <cell r="AV461">
            <v>0</v>
          </cell>
          <cell r="AW461" t="str">
            <v>B</v>
          </cell>
          <cell r="AY461" t="str">
            <v>Tày</v>
          </cell>
        </row>
        <row r="462">
          <cell r="A462" t="str">
            <v>BV0299</v>
          </cell>
          <cell r="B462">
            <v>456</v>
          </cell>
          <cell r="C462" t="str">
            <v>Hoàng Đức Thuận</v>
          </cell>
          <cell r="D462" t="str">
            <v>BV0299</v>
          </cell>
          <cell r="E462">
            <v>2011001572</v>
          </cell>
          <cell r="G462" t="str">
            <v>CCCD: 020087002770, 
Ngày cấp 29/4/2021,  
Tại Cục cảnh sát quản lý hành chính về trật tự xã hội</v>
          </cell>
          <cell r="H462">
            <v>32058</v>
          </cell>
          <cell r="J462">
            <v>38</v>
          </cell>
          <cell r="K462" t="str">
            <v>082010818</v>
          </cell>
          <cell r="L462" t="str">
            <v>20/5/2004</v>
          </cell>
          <cell r="M462" t="str">
            <v>CA tỉnh Lạng Sơn</v>
          </cell>
          <cell r="N462" t="str">
            <v>Tỉnh Lạng Sơn</v>
          </cell>
          <cell r="O462" t="str">
            <v>Xã Yên Phúc</v>
          </cell>
          <cell r="P462" t="str">
            <v>Huyện Văn Quan</v>
          </cell>
          <cell r="Q462" t="str">
            <v>Tỉnh Lạng Sơn</v>
          </cell>
          <cell r="S462" t="str">
            <v>Thị trấn Đồng Đăng</v>
          </cell>
          <cell r="T462" t="str">
            <v>Huyện Cao Lộc</v>
          </cell>
          <cell r="U462" t="str">
            <v>Tỉnh Lạng Sơn</v>
          </cell>
          <cell r="V462" t="str">
            <v>Thị trấn Đồng Đăng, Huyện Cao Lộc, Tỉnh Lạng Sơn</v>
          </cell>
          <cell r="W462" t="str">
            <v>10/6/2013</v>
          </cell>
          <cell r="AA462" t="str">
            <v>Trưởng phòng</v>
          </cell>
          <cell r="AB462" t="str">
            <v>TĐ003</v>
          </cell>
          <cell r="AC462" t="str">
            <v>KHTH</v>
          </cell>
          <cell r="AD462" t="str">
            <v>KP042</v>
          </cell>
          <cell r="AE462" t="str">
            <v>Viên chức</v>
          </cell>
          <cell r="AF462" t="str">
            <v>V.08.01.03</v>
          </cell>
          <cell r="AG462" t="str">
            <v>Bác sĩ chính (hạng II)</v>
          </cell>
          <cell r="AH462">
            <v>4.4000000000000004</v>
          </cell>
          <cell r="AI462">
            <v>1</v>
          </cell>
          <cell r="AJ462">
            <v>0</v>
          </cell>
          <cell r="AK462">
            <v>45809</v>
          </cell>
          <cell r="AL462" t="str">
            <v>Đại học</v>
          </cell>
          <cell r="AM462" t="str">
            <v>BSCKI</v>
          </cell>
          <cell r="AN462" t="str">
            <v>Nhi khoa</v>
          </cell>
          <cell r="AO462" t="str">
            <v>Đại học Y Hà Nội</v>
          </cell>
          <cell r="AP462">
            <v>2018</v>
          </cell>
          <cell r="AQ462" t="str">
            <v>12/12</v>
          </cell>
          <cell r="AR462" t="str">
            <v>Chuyên viên</v>
          </cell>
          <cell r="AS462">
            <v>0</v>
          </cell>
          <cell r="AT462" t="str">
            <v>Sơ cấp</v>
          </cell>
          <cell r="AU462" t="str">
            <v>Anh B</v>
          </cell>
          <cell r="AV462" t="str">
            <v>Tày</v>
          </cell>
          <cell r="AW462" t="str">
            <v>Cơ bản</v>
          </cell>
          <cell r="AY462" t="str">
            <v>Nùng</v>
          </cell>
          <cell r="AZ462">
            <v>40280</v>
          </cell>
          <cell r="BA462" t="e">
            <v>#REF!</v>
          </cell>
          <cell r="BB462" t="e">
            <v>#REF!</v>
          </cell>
        </row>
        <row r="463">
          <cell r="A463" t="str">
            <v>BV0231</v>
          </cell>
          <cell r="B463">
            <v>457</v>
          </cell>
          <cell r="C463" t="str">
            <v>Nguyễn Thị Hương</v>
          </cell>
          <cell r="D463" t="str">
            <v>BV0231</v>
          </cell>
          <cell r="E463">
            <v>2011000016</v>
          </cell>
          <cell r="G463" t="str">
            <v>CCCD: 020188008038, 
Ngày cấp 18/11/2021,  
Tại Cục cảnh sát quản lý hành chính về trật tự xã hội</v>
          </cell>
          <cell r="I463">
            <v>32411</v>
          </cell>
          <cell r="J463">
            <v>37</v>
          </cell>
          <cell r="K463" t="str">
            <v>082055606</v>
          </cell>
          <cell r="L463" t="str">
            <v>27/06/2005</v>
          </cell>
          <cell r="M463" t="str">
            <v>CA tỉnh Lạng Sơn</v>
          </cell>
          <cell r="N463" t="str">
            <v>Tràng Sơn, Văn Quan</v>
          </cell>
          <cell r="O463" t="str">
            <v>Tràng Sơn</v>
          </cell>
          <cell r="P463" t="str">
            <v>Huyện Văn Quan</v>
          </cell>
          <cell r="Q463" t="str">
            <v>Tỉnh Lạng Sơn</v>
          </cell>
          <cell r="R463" t="str">
            <v>62A Tô Thị</v>
          </cell>
          <cell r="S463" t="str">
            <v>Phường Tam Thanh</v>
          </cell>
          <cell r="T463" t="str">
            <v>Thành phố Lạng Sơn</v>
          </cell>
          <cell r="U463" t="str">
            <v>Tỉnh Lạng Sơn</v>
          </cell>
          <cell r="V463" t="str">
            <v>Phường Tam Thanh, Thành phố Lạng Sơn, Tỉnh Lạng Sơn</v>
          </cell>
          <cell r="W463" t="str">
            <v>1/12/2010</v>
          </cell>
          <cell r="AA463">
            <v>0</v>
          </cell>
          <cell r="AB463" t="str">
            <v>TĐ011</v>
          </cell>
          <cell r="AC463" t="str">
            <v>KHTH</v>
          </cell>
          <cell r="AD463" t="str">
            <v>KP042</v>
          </cell>
          <cell r="AE463" t="str">
            <v>Viên chức</v>
          </cell>
          <cell r="AF463" t="str">
            <v>V.08.05.13</v>
          </cell>
          <cell r="AG463" t="str">
            <v>Điều dưỡng (hạng IV)</v>
          </cell>
          <cell r="AH463">
            <v>3.65</v>
          </cell>
          <cell r="AI463">
            <v>6</v>
          </cell>
          <cell r="AJ463">
            <v>0</v>
          </cell>
          <cell r="AK463">
            <v>45839</v>
          </cell>
          <cell r="AL463" t="str">
            <v>Đại học</v>
          </cell>
          <cell r="AM463" t="str">
            <v>Điều dưỡng ĐH</v>
          </cell>
          <cell r="AO463" t="str">
            <v>CĐ Y tế Lang Sơn</v>
          </cell>
          <cell r="AP463">
            <v>2009</v>
          </cell>
          <cell r="AQ463" t="str">
            <v>12/12</v>
          </cell>
          <cell r="AR463">
            <v>0</v>
          </cell>
          <cell r="AS463">
            <v>0</v>
          </cell>
          <cell r="AT463">
            <v>0</v>
          </cell>
          <cell r="AU463">
            <v>0</v>
          </cell>
          <cell r="AV463" t="str">
            <v>Tày</v>
          </cell>
          <cell r="AW463" t="str">
            <v>Cơ bản</v>
          </cell>
          <cell r="AY463" t="str">
            <v>Tày</v>
          </cell>
          <cell r="BA463" t="e">
            <v>#REF!</v>
          </cell>
          <cell r="BB463" t="e">
            <v>#REF!</v>
          </cell>
        </row>
        <row r="464">
          <cell r="A464" t="str">
            <v>BV0669</v>
          </cell>
          <cell r="B464">
            <v>458</v>
          </cell>
          <cell r="C464" t="str">
            <v>Lành Thị Điển</v>
          </cell>
          <cell r="D464" t="str">
            <v>BV0669</v>
          </cell>
          <cell r="E464">
            <v>1505002503</v>
          </cell>
          <cell r="G464" t="str">
            <v>CCCD: 020176002267, 
Ngày cấp 29/4/2021,  
Tại Cục cảnh sát quản lý hành chính về trật tự xã hội</v>
          </cell>
          <cell r="I464">
            <v>27959</v>
          </cell>
          <cell r="J464">
            <v>49</v>
          </cell>
          <cell r="K464" t="str">
            <v>080964243</v>
          </cell>
          <cell r="L464" t="str">
            <v>08/04/1994</v>
          </cell>
          <cell r="M464" t="str">
            <v>CA tỉnh Lạng Sơn</v>
          </cell>
          <cell r="N464" t="str">
            <v>Xã Hoàng Đồng</v>
          </cell>
          <cell r="O464" t="str">
            <v>Xã Hoàng Đồng</v>
          </cell>
          <cell r="P464" t="str">
            <v>Thành phố Lạng Sơn</v>
          </cell>
          <cell r="Q464" t="str">
            <v>Tỉnh Lạng Sơn</v>
          </cell>
          <cell r="R464" t="str">
            <v>Số 8 đường Phai Vệ</v>
          </cell>
          <cell r="S464" t="str">
            <v>Phường Đông Kinh</v>
          </cell>
          <cell r="T464" t="str">
            <v>Thành phố Lạng Sơn</v>
          </cell>
          <cell r="U464" t="str">
            <v>Tỉnh Lạng Sơn</v>
          </cell>
          <cell r="V464" t="str">
            <v>Phường Đông Kinh, Thành phố Lạng Sơn, Tỉnh Lạng Sơn</v>
          </cell>
          <cell r="W464" t="str">
            <v>16/2/2005</v>
          </cell>
          <cell r="AA464">
            <v>0</v>
          </cell>
          <cell r="AB464" t="str">
            <v>TĐ012</v>
          </cell>
          <cell r="AC464" t="str">
            <v>KHTH</v>
          </cell>
          <cell r="AD464" t="str">
            <v>KP042</v>
          </cell>
          <cell r="AE464" t="str">
            <v>Viên chức</v>
          </cell>
          <cell r="AF464" t="str">
            <v>V.08.05.13</v>
          </cell>
          <cell r="AG464" t="str">
            <v>Điều dưỡng (hạng IV)</v>
          </cell>
          <cell r="AH464">
            <v>3.96</v>
          </cell>
          <cell r="AI464">
            <v>7</v>
          </cell>
          <cell r="AJ464">
            <v>0</v>
          </cell>
          <cell r="AK464">
            <v>45170</v>
          </cell>
          <cell r="AL464" t="str">
            <v>Cao đẳng</v>
          </cell>
          <cell r="AM464" t="str">
            <v>Điều dưỡng CĐ</v>
          </cell>
          <cell r="AO464" t="str">
            <v>Trung học Y tế LS</v>
          </cell>
          <cell r="AP464">
            <v>1998</v>
          </cell>
          <cell r="AQ464" t="str">
            <v>12/12</v>
          </cell>
          <cell r="AR464" t="str">
            <v>Chuyên viên</v>
          </cell>
          <cell r="AS464">
            <v>0</v>
          </cell>
          <cell r="AT464">
            <v>0</v>
          </cell>
          <cell r="AU464">
            <v>0</v>
          </cell>
          <cell r="AV464" t="str">
            <v>Tày</v>
          </cell>
          <cell r="AW464">
            <v>0</v>
          </cell>
          <cell r="AY464" t="str">
            <v>Tày</v>
          </cell>
          <cell r="AZ464">
            <v>42923</v>
          </cell>
          <cell r="BA464" t="e">
            <v>#REF!</v>
          </cell>
          <cell r="BB464" t="e">
            <v>#REF!</v>
          </cell>
        </row>
        <row r="465">
          <cell r="A465" t="str">
            <v>BV0661</v>
          </cell>
          <cell r="B465">
            <v>459</v>
          </cell>
          <cell r="C465" t="str">
            <v>Lưu Kim Phượng</v>
          </cell>
          <cell r="D465" t="str">
            <v>BV0661</v>
          </cell>
          <cell r="E465">
            <v>2008000399</v>
          </cell>
          <cell r="G465" t="str">
            <v>CCCD: 020186002922, 
Ngày cấp 29/4/2021, 
Tại Cục cảnh sát quản lý hành chính về trật tự xã hội</v>
          </cell>
          <cell r="I465">
            <v>31556</v>
          </cell>
          <cell r="J465">
            <v>40</v>
          </cell>
          <cell r="K465" t="str">
            <v>081045345</v>
          </cell>
          <cell r="L465" t="str">
            <v>30/07/2003</v>
          </cell>
          <cell r="M465" t="str">
            <v>CA tỉnh Lạng Sơn</v>
          </cell>
          <cell r="N465" t="str">
            <v>Phường Đông Kinh</v>
          </cell>
          <cell r="O465" t="str">
            <v>Phường Đông Kinh</v>
          </cell>
          <cell r="P465" t="str">
            <v>Thành phố Lạng Sơn</v>
          </cell>
          <cell r="Q465" t="str">
            <v>Tỉnh Lạng Sơn</v>
          </cell>
          <cell r="R465" t="str">
            <v>155 đường Nguyễn Du</v>
          </cell>
          <cell r="S465" t="str">
            <v>Phường Đông Kinh</v>
          </cell>
          <cell r="T465" t="str">
            <v>Thành phố Lạng Sơn</v>
          </cell>
          <cell r="U465" t="str">
            <v>Tỉnh Lạng Sơn</v>
          </cell>
          <cell r="V465" t="str">
            <v>Phường Đông Kinh, Thành phố Lạng Sơn, Tỉnh Lạng Sơn</v>
          </cell>
          <cell r="W465" t="str">
            <v>15/1/2010</v>
          </cell>
          <cell r="AA465">
            <v>0</v>
          </cell>
          <cell r="AB465" t="str">
            <v>TĐ026</v>
          </cell>
          <cell r="AC465" t="str">
            <v>KHTH</v>
          </cell>
          <cell r="AD465" t="str">
            <v>KP042</v>
          </cell>
          <cell r="AE465" t="str">
            <v>Viên chức</v>
          </cell>
          <cell r="AF465" t="str">
            <v>V.05.02.07</v>
          </cell>
          <cell r="AG465" t="str">
            <v>Công nghệ thông tin (hạng III)</v>
          </cell>
          <cell r="AH465">
            <v>3.99</v>
          </cell>
          <cell r="AI465">
            <v>6</v>
          </cell>
          <cell r="AJ465">
            <v>0</v>
          </cell>
          <cell r="AK465">
            <v>45474</v>
          </cell>
          <cell r="AL465" t="str">
            <v>Đại học</v>
          </cell>
          <cell r="AM465" t="str">
            <v>ĐH CNTT</v>
          </cell>
          <cell r="AQ465" t="str">
            <v>12/12</v>
          </cell>
          <cell r="AR465">
            <v>0</v>
          </cell>
          <cell r="AS465">
            <v>0</v>
          </cell>
          <cell r="AT465">
            <v>0</v>
          </cell>
          <cell r="AU465">
            <v>0</v>
          </cell>
          <cell r="AV465">
            <v>0</v>
          </cell>
          <cell r="AW465" t="str">
            <v>Đại học</v>
          </cell>
          <cell r="AY465" t="str">
            <v>Nùng</v>
          </cell>
          <cell r="AZ465">
            <v>41598</v>
          </cell>
        </row>
        <row r="466">
          <cell r="A466" t="str">
            <v>BV0664</v>
          </cell>
          <cell r="B466">
            <v>460</v>
          </cell>
          <cell r="C466" t="str">
            <v>Nguyễn Thị Mai</v>
          </cell>
          <cell r="D466" t="str">
            <v>BV0664</v>
          </cell>
          <cell r="E466">
            <v>2009003252</v>
          </cell>
          <cell r="G466" t="str">
            <v>CCCD: 020184002852, 
Ngày cấp 29/4/2021, 
Tại Cục cảnh sát quản lý hành chính về trật tự xã hội</v>
          </cell>
          <cell r="I466">
            <v>31041</v>
          </cell>
          <cell r="J466">
            <v>41</v>
          </cell>
          <cell r="K466" t="str">
            <v>081037022</v>
          </cell>
          <cell r="L466" t="str">
            <v>08/04/2003</v>
          </cell>
          <cell r="M466" t="str">
            <v>CA tỉnh Lạng Sơn</v>
          </cell>
          <cell r="N466" t="str">
            <v>Tô Hiệu</v>
          </cell>
          <cell r="O466" t="str">
            <v>Tô Hiệu</v>
          </cell>
          <cell r="P466" t="str">
            <v>Bình Gia</v>
          </cell>
          <cell r="Q466" t="str">
            <v>Tỉnh Lạng Sơn</v>
          </cell>
          <cell r="R466" t="str">
            <v>Số 155 đường Nguyễn Du</v>
          </cell>
          <cell r="S466" t="str">
            <v>Phường Đông Kinh</v>
          </cell>
          <cell r="T466" t="str">
            <v>Thành phố Lạng Sơn</v>
          </cell>
          <cell r="U466" t="str">
            <v>Tỉnh Lạng Sơn</v>
          </cell>
          <cell r="V466" t="str">
            <v>Phường Đông Kinh, Thành phố Lạng Sơn, Tỉnh Lạng Sơn</v>
          </cell>
          <cell r="W466" t="str">
            <v>01/11/2014</v>
          </cell>
          <cell r="AA466">
            <v>0</v>
          </cell>
          <cell r="AB466" t="str">
            <v>TĐ026</v>
          </cell>
          <cell r="AC466" t="str">
            <v>KHTH</v>
          </cell>
          <cell r="AD466" t="str">
            <v>KP042</v>
          </cell>
          <cell r="AE466" t="str">
            <v>Viên chức</v>
          </cell>
          <cell r="AF466" t="str">
            <v>01.003</v>
          </cell>
          <cell r="AG466" t="str">
            <v>Chuyên viên</v>
          </cell>
          <cell r="AH466">
            <v>3.99</v>
          </cell>
          <cell r="AI466">
            <v>6</v>
          </cell>
          <cell r="AJ466">
            <v>0</v>
          </cell>
          <cell r="AK466">
            <v>45689</v>
          </cell>
          <cell r="AL466" t="str">
            <v>Đại học</v>
          </cell>
          <cell r="AM466" t="str">
            <v>ĐH CNTT</v>
          </cell>
          <cell r="AO466" t="str">
            <v>ĐH Thái Nguyên</v>
          </cell>
          <cell r="AP466">
            <v>2008</v>
          </cell>
          <cell r="AQ466" t="str">
            <v>12/12</v>
          </cell>
          <cell r="AR466">
            <v>0</v>
          </cell>
          <cell r="AS466">
            <v>0</v>
          </cell>
          <cell r="AT466">
            <v>0</v>
          </cell>
          <cell r="AU466">
            <v>0</v>
          </cell>
          <cell r="AV466" t="str">
            <v>Tày</v>
          </cell>
          <cell r="AW466" t="str">
            <v>Đại học</v>
          </cell>
          <cell r="AY466" t="str">
            <v>Tày</v>
          </cell>
        </row>
        <row r="467">
          <cell r="A467" t="str">
            <v>BV0829</v>
          </cell>
          <cell r="B467">
            <v>461</v>
          </cell>
          <cell r="C467" t="str">
            <v>Hoàng Bảo Vượng</v>
          </cell>
          <cell r="D467" t="str">
            <v>BV0829</v>
          </cell>
          <cell r="E467" t="str">
            <v>2016006994</v>
          </cell>
          <cell r="G467" t="str">
            <v>CCCD: 020093004930 
Ngày cấp 09/8/2021, 
Tại Cục cảnh sát quản lý hành chính về trật tự xã hội</v>
          </cell>
          <cell r="H467" t="str">
            <v>08/5/1993</v>
          </cell>
          <cell r="J467">
            <v>33</v>
          </cell>
          <cell r="K467" t="str">
            <v>082243615</v>
          </cell>
          <cell r="L467" t="str">
            <v>21/08/2010</v>
          </cell>
          <cell r="M467" t="str">
            <v>CA tỉnh Lạng Sơn</v>
          </cell>
          <cell r="N467" t="str">
            <v>Hải Yến, Cao Lộc</v>
          </cell>
          <cell r="O467" t="str">
            <v>Hải Yến</v>
          </cell>
          <cell r="P467" t="str">
            <v>Cao Lộc</v>
          </cell>
          <cell r="Q467" t="str">
            <v>Lạng Sơn</v>
          </cell>
          <cell r="R467" t="str">
            <v>Tồng Riền</v>
          </cell>
          <cell r="S467" t="str">
            <v>Hải Yến</v>
          </cell>
          <cell r="T467" t="str">
            <v>Cao Lộc</v>
          </cell>
          <cell r="U467" t="str">
            <v>Lạng Sơn</v>
          </cell>
          <cell r="V467" t="str">
            <v>Hải Yến, Cao Lộc, Lạng Sơn</v>
          </cell>
          <cell r="W467" t="str">
            <v>01/02/2017</v>
          </cell>
          <cell r="X467" t="str">
            <v>Trung tâm Truyền thông Giáo dục sức khỏe</v>
          </cell>
          <cell r="Y467" t="str">
            <v>486/QĐ-SYT</v>
          </cell>
          <cell r="Z467" t="str">
            <v>19/01/2017</v>
          </cell>
          <cell r="AA467">
            <v>0</v>
          </cell>
          <cell r="AB467" t="str">
            <v>TĐ036</v>
          </cell>
          <cell r="AC467" t="str">
            <v>Chỉ đạo tuyến</v>
          </cell>
          <cell r="AD467" t="str">
            <v>KP045</v>
          </cell>
          <cell r="AE467" t="str">
            <v>Viên chức</v>
          </cell>
          <cell r="AF467" t="str">
            <v>V.08.04.10</v>
          </cell>
          <cell r="AG467" t="str">
            <v>Y tế công cộng (hạng III)</v>
          </cell>
          <cell r="AH467">
            <v>3</v>
          </cell>
          <cell r="AI467">
            <v>3</v>
          </cell>
          <cell r="AJ467">
            <v>0</v>
          </cell>
          <cell r="AK467">
            <v>45146</v>
          </cell>
          <cell r="AL467" t="str">
            <v>Đại học</v>
          </cell>
          <cell r="AM467" t="str">
            <v>YTCC</v>
          </cell>
          <cell r="AN467" t="str">
            <v>YTCC</v>
          </cell>
          <cell r="AO467" t="str">
            <v>ĐH Y tế Công cộng</v>
          </cell>
          <cell r="AP467">
            <v>2016</v>
          </cell>
          <cell r="AQ467" t="str">
            <v>12/12</v>
          </cell>
          <cell r="AR467">
            <v>0</v>
          </cell>
          <cell r="AS467">
            <v>0</v>
          </cell>
          <cell r="AT467">
            <v>0</v>
          </cell>
          <cell r="AU467">
            <v>0</v>
          </cell>
          <cell r="AV467">
            <v>0</v>
          </cell>
          <cell r="AW467">
            <v>0</v>
          </cell>
          <cell r="AY467" t="str">
            <v>Nùng</v>
          </cell>
        </row>
        <row r="468">
          <cell r="A468" t="str">
            <v>BV0078</v>
          </cell>
          <cell r="B468">
            <v>462</v>
          </cell>
          <cell r="C468" t="str">
            <v>Phạm Lan Anh</v>
          </cell>
          <cell r="D468" t="str">
            <v>BV0078</v>
          </cell>
          <cell r="E468">
            <v>2013002168</v>
          </cell>
          <cell r="G468" t="str">
            <v>CCCD: 020189002247
Ngày cấp 25/4/2021
Tại Cục cảnh sát quản lý hành chính về trật tự xã hội</v>
          </cell>
          <cell r="I468">
            <v>32755</v>
          </cell>
          <cell r="J468">
            <v>36</v>
          </cell>
          <cell r="K468" t="str">
            <v>082153533</v>
          </cell>
          <cell r="L468" t="str">
            <v>03/10/2014</v>
          </cell>
          <cell r="M468" t="str">
            <v>CA tỉnh Lạng Sơn</v>
          </cell>
          <cell r="N468" t="str">
            <v>Phường Phan Đình Phùng, TP Nam Định, tỉnh Nam Định</v>
          </cell>
          <cell r="O468" t="str">
            <v>Phường Phan Đình Phùng</v>
          </cell>
          <cell r="P468" t="str">
            <v>Thành phố Nam Định</v>
          </cell>
          <cell r="Q468" t="str">
            <v>Nam Định</v>
          </cell>
          <cell r="R468" t="str">
            <v>Số 211 Khối 6 đường Lê Lợi, phường Vĩnh Trại, TP Lạng Sơn, tỉnh Lạng Sơn</v>
          </cell>
          <cell r="S468" t="str">
            <v>Phường Vĩnh Trại</v>
          </cell>
          <cell r="T468" t="str">
            <v>Thành phố Lạng Sơn</v>
          </cell>
          <cell r="U468" t="str">
            <v>Tỉnh Lạng Sơn</v>
          </cell>
          <cell r="V468" t="str">
            <v>Phường Vĩnh Trại, Thành phố Lạng Sơn, Tỉnh Lạng Sơn</v>
          </cell>
          <cell r="W468" t="str">
            <v>1/7/2013</v>
          </cell>
          <cell r="AA468" t="str">
            <v>Trưởng phòng</v>
          </cell>
          <cell r="AB468" t="str">
            <v>TĐ011</v>
          </cell>
          <cell r="AC468" t="str">
            <v>CTXH</v>
          </cell>
          <cell r="AD468" t="str">
            <v>KP043</v>
          </cell>
          <cell r="AE468" t="str">
            <v>Viên chức</v>
          </cell>
          <cell r="AF468" t="str">
            <v>V.08.05.12</v>
          </cell>
          <cell r="AG468" t="str">
            <v>Điều dưỡng (hạng III)</v>
          </cell>
          <cell r="AH468">
            <v>3.33</v>
          </cell>
          <cell r="AI468">
            <v>4</v>
          </cell>
          <cell r="AJ468">
            <v>0</v>
          </cell>
          <cell r="AK468" t="str">
            <v>01/01/2023</v>
          </cell>
          <cell r="AL468" t="str">
            <v>Đại học</v>
          </cell>
          <cell r="AM468" t="str">
            <v>Điều dưỡng ĐH</v>
          </cell>
          <cell r="AO468" t="str">
            <v>Đại học Điều dưỡng Nam Định</v>
          </cell>
          <cell r="AP468">
            <v>2012</v>
          </cell>
          <cell r="AQ468" t="str">
            <v>12/12</v>
          </cell>
          <cell r="AR468">
            <v>0</v>
          </cell>
          <cell r="AS468">
            <v>0</v>
          </cell>
          <cell r="AT468" t="str">
            <v>Trung cấp</v>
          </cell>
          <cell r="AU468" t="str">
            <v>Anh B</v>
          </cell>
          <cell r="AV468">
            <v>0</v>
          </cell>
          <cell r="AW468" t="str">
            <v>B</v>
          </cell>
          <cell r="AY468" t="str">
            <v>Nùng</v>
          </cell>
          <cell r="BA468" t="e">
            <v>#REF!</v>
          </cell>
          <cell r="BB468" t="e">
            <v>#REF!</v>
          </cell>
        </row>
        <row r="469">
          <cell r="A469" t="str">
            <v>BV0382</v>
          </cell>
          <cell r="B469">
            <v>463</v>
          </cell>
          <cell r="C469" t="str">
            <v>Vy Thị Hồng Thơ</v>
          </cell>
          <cell r="D469" t="str">
            <v>BV0382</v>
          </cell>
          <cell r="E469">
            <v>1506002916</v>
          </cell>
          <cell r="G469" t="str">
            <v>CCCD: 020184000948, 
Ngày cấp 31/3/2021, 
Tại Cục cảnh sát quản lý hành chính về trật tự xã hội</v>
          </cell>
          <cell r="I469">
            <v>30834</v>
          </cell>
          <cell r="J469">
            <v>42</v>
          </cell>
          <cell r="K469" t="str">
            <v>081025036</v>
          </cell>
          <cell r="L469" t="str">
            <v>04/01/2001</v>
          </cell>
          <cell r="M469" t="str">
            <v>CA tỉnh Lạng Sơn</v>
          </cell>
          <cell r="N469" t="str">
            <v>Thành phố Lạng Sơn</v>
          </cell>
          <cell r="O469" t="str">
            <v>Phường Tam Thanh</v>
          </cell>
          <cell r="P469" t="str">
            <v>Thành phố Lạng Sơn</v>
          </cell>
          <cell r="Q469" t="str">
            <v>Tỉnh Lạng Sơn</v>
          </cell>
          <cell r="R469" t="str">
            <v>Số 28 ngõ 2 đường Lê Hồng Phong</v>
          </cell>
          <cell r="S469" t="str">
            <v>Phường Tam Thanh</v>
          </cell>
          <cell r="T469" t="str">
            <v>Thành phố Lạng Sơn</v>
          </cell>
          <cell r="U469" t="str">
            <v>Tỉnh Lạng Sơn</v>
          </cell>
          <cell r="V469" t="str">
            <v>Phường Tam Thanh, Thành phố Lạng Sơn, Tỉnh Lạng Sơn</v>
          </cell>
          <cell r="W469" t="str">
            <v>6/11/2006</v>
          </cell>
          <cell r="AA469">
            <v>0</v>
          </cell>
          <cell r="AB469" t="str">
            <v>TĐ011</v>
          </cell>
          <cell r="AC469" t="str">
            <v>CTXH</v>
          </cell>
          <cell r="AD469" t="str">
            <v>KP043</v>
          </cell>
          <cell r="AE469" t="str">
            <v>Viên chức</v>
          </cell>
          <cell r="AF469" t="str">
            <v>V.08.05.12</v>
          </cell>
          <cell r="AG469" t="str">
            <v>Điều dưỡng (hạng III)</v>
          </cell>
          <cell r="AH469">
            <v>3.99</v>
          </cell>
          <cell r="AI469">
            <v>6</v>
          </cell>
          <cell r="AJ469">
            <v>0</v>
          </cell>
          <cell r="AK469">
            <v>45778</v>
          </cell>
          <cell r="AL469" t="str">
            <v>Đại học</v>
          </cell>
          <cell r="AM469" t="str">
            <v>Điều dưỡng ĐH</v>
          </cell>
          <cell r="AO469" t="str">
            <v>CĐ Y tế Lạng Sơn</v>
          </cell>
          <cell r="AP469">
            <v>2018</v>
          </cell>
          <cell r="AQ469" t="str">
            <v>12/12</v>
          </cell>
          <cell r="AR469">
            <v>0</v>
          </cell>
          <cell r="AS469">
            <v>0</v>
          </cell>
          <cell r="AT469">
            <v>0</v>
          </cell>
          <cell r="AU469" t="str">
            <v>Anh A2</v>
          </cell>
          <cell r="AV469" t="str">
            <v>x</v>
          </cell>
          <cell r="AW469" t="str">
            <v>Cơ bản</v>
          </cell>
          <cell r="AY469" t="str">
            <v>Tày</v>
          </cell>
          <cell r="AZ469">
            <v>42971</v>
          </cell>
          <cell r="BA469" t="e">
            <v>#REF!</v>
          </cell>
          <cell r="BB469" t="e">
            <v>#REF!</v>
          </cell>
        </row>
        <row r="470">
          <cell r="A470" t="str">
            <v>BV0084</v>
          </cell>
          <cell r="B470">
            <v>464</v>
          </cell>
          <cell r="C470" t="str">
            <v>Hoàng Thị Mai Anh</v>
          </cell>
          <cell r="D470" t="str">
            <v>BV0084</v>
          </cell>
          <cell r="E470">
            <v>2013002124</v>
          </cell>
          <cell r="G470" t="str">
            <v>CCCD: 020189006254
Ngày cấp 25/6/2021
Tại Cục cảnh sát quản lý hành chính về trật tự xã hội</v>
          </cell>
          <cell r="I470">
            <v>32618</v>
          </cell>
          <cell r="J470">
            <v>37</v>
          </cell>
          <cell r="K470" t="str">
            <v>082092472</v>
          </cell>
          <cell r="L470" t="str">
            <v>16/08/2006</v>
          </cell>
          <cell r="M470" t="str">
            <v>CA tỉnh Lạng Sơn</v>
          </cell>
          <cell r="N470" t="str">
            <v>Đại Đồng, Tràng Định</v>
          </cell>
          <cell r="O470" t="str">
            <v>Phường Vĩnh Trại</v>
          </cell>
          <cell r="P470" t="str">
            <v>Thành phố Lạng Sơn</v>
          </cell>
          <cell r="Q470" t="str">
            <v>Tỉnh Lạng Sơn</v>
          </cell>
          <cell r="R470" t="str">
            <v>Số 3A ngõ 7 đường Lê Lợi, Phường Vĩnh Trại, TP. Lạng Sơn</v>
          </cell>
          <cell r="S470" t="str">
            <v>Phường Vĩnh Trại</v>
          </cell>
          <cell r="T470" t="str">
            <v>Thành phố Lạng Sơn</v>
          </cell>
          <cell r="U470" t="str">
            <v>Tỉnh Lạng Sơn</v>
          </cell>
          <cell r="V470" t="str">
            <v>Phường Vĩnh Trại, Thành phố Lạng Sơn, Tỉnh Lạng Sơn</v>
          </cell>
          <cell r="W470" t="str">
            <v>10/6/2013</v>
          </cell>
          <cell r="AA470">
            <v>0</v>
          </cell>
          <cell r="AB470" t="str">
            <v>TĐ012</v>
          </cell>
          <cell r="AC470" t="str">
            <v>CTXH</v>
          </cell>
          <cell r="AD470" t="str">
            <v>KP043</v>
          </cell>
          <cell r="AE470" t="str">
            <v>Viên chức</v>
          </cell>
          <cell r="AF470" t="str">
            <v>V.08.05.13</v>
          </cell>
          <cell r="AG470" t="str">
            <v>Điều dưỡng (hạng IV)</v>
          </cell>
          <cell r="AH470">
            <v>3.03</v>
          </cell>
          <cell r="AI470">
            <v>4</v>
          </cell>
          <cell r="AJ470">
            <v>0</v>
          </cell>
          <cell r="AK470">
            <v>45636</v>
          </cell>
          <cell r="AL470" t="str">
            <v>Cao đẳng</v>
          </cell>
          <cell r="AM470" t="str">
            <v>Điều dưỡng CĐ</v>
          </cell>
          <cell r="AO470" t="str">
            <v>CĐ Y tế Lạng Sơn</v>
          </cell>
          <cell r="AP470">
            <v>2010</v>
          </cell>
          <cell r="AQ470" t="str">
            <v>12/12</v>
          </cell>
          <cell r="AR470">
            <v>0</v>
          </cell>
          <cell r="AS470">
            <v>0</v>
          </cell>
          <cell r="AT470">
            <v>0</v>
          </cell>
          <cell r="AU470" t="str">
            <v>Anh B</v>
          </cell>
          <cell r="AV470">
            <v>0</v>
          </cell>
          <cell r="AW470" t="str">
            <v>Cơ bản</v>
          </cell>
          <cell r="AY470" t="str">
            <v>Tày</v>
          </cell>
          <cell r="BA470" t="e">
            <v>#REF!</v>
          </cell>
          <cell r="BB470" t="e">
            <v>#REF!</v>
          </cell>
        </row>
        <row r="471">
          <cell r="A471" t="str">
            <v>BV0675</v>
          </cell>
          <cell r="B471">
            <v>465</v>
          </cell>
          <cell r="C471" t="str">
            <v>Phạm Thùy Linh</v>
          </cell>
          <cell r="D471" t="str">
            <v>BV0675</v>
          </cell>
          <cell r="E471" t="str">
            <v>2015003289</v>
          </cell>
          <cell r="G471" t="str">
            <v>CCCD: 020193002192 
Ngày cấp 29/4/2021
Tại Cục cảnh sát quản lý hành chính về trật tự xã hội</v>
          </cell>
          <cell r="I471" t="str">
            <v>08/12/1993</v>
          </cell>
          <cell r="J471">
            <v>32</v>
          </cell>
          <cell r="K471" t="str">
            <v>082219839</v>
          </cell>
          <cell r="L471" t="str">
            <v>15/01/2010</v>
          </cell>
          <cell r="M471" t="str">
            <v>CA tỉnh Lạng Sơn</v>
          </cell>
          <cell r="N471" t="str">
            <v>Phường Tam Thanh</v>
          </cell>
          <cell r="O471" t="str">
            <v>Phường Tam Thanh</v>
          </cell>
          <cell r="P471" t="str">
            <v>Thành phố Lạng Sơn</v>
          </cell>
          <cell r="Q471" t="str">
            <v>Lạng Sơn</v>
          </cell>
          <cell r="R471" t="str">
            <v>Phường Tam Thanh, TP. Lạng Sơn, tỉnh Lạng Sơn</v>
          </cell>
          <cell r="V471" t="str">
            <v>Phường Tam Thanh, TP. Lạng Sơn, tỉnh Lạng Sơn</v>
          </cell>
          <cell r="W471" t="str">
            <v>20/3/2018</v>
          </cell>
          <cell r="X471" t="str">
            <v>5/8/2015</v>
          </cell>
          <cell r="Y471">
            <v>626</v>
          </cell>
          <cell r="Z471" t="str">
            <v>18/3/2018</v>
          </cell>
          <cell r="AA471">
            <v>0</v>
          </cell>
          <cell r="AB471" t="str">
            <v>TĐ037</v>
          </cell>
          <cell r="AC471" t="str">
            <v>CTXH</v>
          </cell>
          <cell r="AD471" t="str">
            <v>KP043</v>
          </cell>
          <cell r="AE471" t="str">
            <v>Viên chức</v>
          </cell>
          <cell r="AF471" t="str">
            <v>01.003</v>
          </cell>
          <cell r="AG471" t="str">
            <v>Chuyên viên</v>
          </cell>
          <cell r="AH471">
            <v>3.33</v>
          </cell>
          <cell r="AI471">
            <v>4</v>
          </cell>
          <cell r="AJ471">
            <v>0</v>
          </cell>
          <cell r="AK471">
            <v>45950</v>
          </cell>
          <cell r="AL471" t="str">
            <v>Đại học</v>
          </cell>
          <cell r="AM471" t="str">
            <v>Cử nhân QHCC</v>
          </cell>
          <cell r="AO471" t="str">
            <v>Học viện Báo chí và truyên truyền</v>
          </cell>
          <cell r="AP471">
            <v>2015</v>
          </cell>
          <cell r="AQ471" t="str">
            <v>12/12</v>
          </cell>
          <cell r="AR471">
            <v>0</v>
          </cell>
          <cell r="AS471">
            <v>0</v>
          </cell>
          <cell r="AT471" t="str">
            <v>Trung cấp</v>
          </cell>
          <cell r="AU471" t="str">
            <v>Anh A2</v>
          </cell>
          <cell r="AV471">
            <v>0</v>
          </cell>
          <cell r="AW471" t="str">
            <v>Cơ bản</v>
          </cell>
          <cell r="AY471" t="str">
            <v>Kinh</v>
          </cell>
          <cell r="AZ471">
            <v>42173</v>
          </cell>
        </row>
        <row r="472">
          <cell r="A472" t="str">
            <v>BV0832</v>
          </cell>
          <cell r="B472">
            <v>466</v>
          </cell>
          <cell r="C472" t="str">
            <v>Nguyễn Thị Hà Thu</v>
          </cell>
          <cell r="D472" t="str">
            <v>BV0832</v>
          </cell>
          <cell r="E472" t="str">
            <v>2020038534</v>
          </cell>
          <cell r="G472" t="str">
            <v>CCCD: 020193008525
Ngày cấp 25/6/2021, 
Tại Cục cảnh sát quản lý hành chính về trật tự xã hội</v>
          </cell>
          <cell r="I472">
            <v>34165</v>
          </cell>
          <cell r="J472">
            <v>32</v>
          </cell>
          <cell r="K472" t="str">
            <v>082197646</v>
          </cell>
          <cell r="L472" t="str">
            <v>02/02/2013</v>
          </cell>
          <cell r="M472" t="str">
            <v>CA tỉnh Lạng Sơn</v>
          </cell>
          <cell r="N472" t="str">
            <v>Thì trấn Na Dương, huyện Lộc Bình</v>
          </cell>
          <cell r="O472" t="str">
            <v>Phương Trung</v>
          </cell>
          <cell r="P472" t="str">
            <v>Thanh Oai</v>
          </cell>
          <cell r="Q472" t="str">
            <v>Hà Nội</v>
          </cell>
          <cell r="R472" t="str">
            <v>Số 3A ngõ 7 đường Lê Lợi, Phường Vĩnh Trại, TP. Lạng Sơn</v>
          </cell>
          <cell r="U472" t="str">
            <v>Tỉnh Lạng Sơn</v>
          </cell>
          <cell r="V472" t="str">
            <v>Số 3A ngõ 7 đường Lê Lợi, Phường Vĩnh Trại, TP. Lạng Sơn</v>
          </cell>
          <cell r="W472" t="str">
            <v>20/3/2018</v>
          </cell>
          <cell r="Y472">
            <v>594</v>
          </cell>
          <cell r="Z472" t="str">
            <v>18/3/2018</v>
          </cell>
          <cell r="AA472">
            <v>0</v>
          </cell>
          <cell r="AB472" t="str">
            <v>TĐ039</v>
          </cell>
          <cell r="AC472" t="str">
            <v>CTXH</v>
          </cell>
          <cell r="AD472" t="str">
            <v>KP043</v>
          </cell>
          <cell r="AE472" t="str">
            <v>Viên chức</v>
          </cell>
          <cell r="AF472" t="str">
            <v>01.003</v>
          </cell>
          <cell r="AG472" t="str">
            <v>Chuyên viên</v>
          </cell>
          <cell r="AH472">
            <v>3</v>
          </cell>
          <cell r="AI472">
            <v>3</v>
          </cell>
          <cell r="AJ472">
            <v>0</v>
          </cell>
          <cell r="AK472">
            <v>45566</v>
          </cell>
          <cell r="AL472" t="str">
            <v>Đại học</v>
          </cell>
          <cell r="AM472" t="str">
            <v>Cử nhân Báo chí</v>
          </cell>
          <cell r="AO472" t="str">
            <v>ĐH Báo Chí</v>
          </cell>
          <cell r="AP472">
            <v>2016</v>
          </cell>
          <cell r="AQ472" t="str">
            <v>12/12</v>
          </cell>
          <cell r="AR472">
            <v>0</v>
          </cell>
          <cell r="AS472">
            <v>0</v>
          </cell>
          <cell r="AT472">
            <v>0</v>
          </cell>
          <cell r="AU472" t="str">
            <v>B</v>
          </cell>
          <cell r="AV472">
            <v>0</v>
          </cell>
          <cell r="AW472" t="str">
            <v>B</v>
          </cell>
          <cell r="AY472" t="str">
            <v>Kinh</v>
          </cell>
        </row>
        <row r="473">
          <cell r="A473" t="str">
            <v>BV0668</v>
          </cell>
          <cell r="B473">
            <v>467</v>
          </cell>
          <cell r="C473" t="str">
            <v>Trần Thị Bích</v>
          </cell>
          <cell r="D473" t="str">
            <v>BV0668</v>
          </cell>
          <cell r="E473">
            <v>1504002806</v>
          </cell>
          <cell r="G473" t="str">
            <v>CCCD: 024173002543
Ngày cấp: 29/4/2021
Tại Cục cảnh sát quản lý hành chính về trật tự xã hội</v>
          </cell>
          <cell r="I473">
            <v>26825</v>
          </cell>
          <cell r="J473">
            <v>53</v>
          </cell>
          <cell r="K473" t="str">
            <v>080982581</v>
          </cell>
          <cell r="L473" t="str">
            <v>25/102004</v>
          </cell>
          <cell r="M473" t="str">
            <v>CA tỉnh Lạng Sơn</v>
          </cell>
          <cell r="N473" t="str">
            <v>Đại Thành, Hiệp Hòa</v>
          </cell>
          <cell r="O473" t="str">
            <v>Đại Thành</v>
          </cell>
          <cell r="P473" t="str">
            <v>Huyện Hiệp Hòa</v>
          </cell>
          <cell r="Q473" t="str">
            <v>Tỉnh Bắc Giang</v>
          </cell>
          <cell r="R473" t="str">
            <v>Số 19, ngõ 4 đường Lê Lợi</v>
          </cell>
          <cell r="S473" t="str">
            <v>Phường Vĩnh Trại</v>
          </cell>
          <cell r="T473" t="str">
            <v>Thành phố Lạng Sơn</v>
          </cell>
          <cell r="U473" t="str">
            <v>Tỉnh Lạng Sơn</v>
          </cell>
          <cell r="V473" t="str">
            <v>Phường Vĩnh Trại, Thành phố Lạng Sơn, Tỉnh Lạng Sơn</v>
          </cell>
          <cell r="W473" t="str">
            <v>1/11/2003</v>
          </cell>
          <cell r="AA473">
            <v>0</v>
          </cell>
          <cell r="AB473" t="str">
            <v>TĐ012</v>
          </cell>
          <cell r="AC473" t="str">
            <v>QLCL</v>
          </cell>
          <cell r="AD473" t="str">
            <v>KP044</v>
          </cell>
          <cell r="AE473" t="str">
            <v>Viên chức</v>
          </cell>
          <cell r="AF473" t="str">
            <v>V.08.05.13</v>
          </cell>
          <cell r="AG473" t="str">
            <v>Điều dưỡng (hạng IV)</v>
          </cell>
          <cell r="AH473">
            <v>3.96</v>
          </cell>
          <cell r="AI473">
            <v>7</v>
          </cell>
          <cell r="AJ473">
            <v>0</v>
          </cell>
          <cell r="AK473">
            <v>45627</v>
          </cell>
          <cell r="AL473" t="str">
            <v>Cao đẳng</v>
          </cell>
          <cell r="AM473" t="str">
            <v>Điều dưỡng CĐ</v>
          </cell>
          <cell r="AO473" t="str">
            <v>Trung học Y tế Lạng Sơn</v>
          </cell>
          <cell r="AP473">
            <v>2003</v>
          </cell>
          <cell r="AQ473" t="str">
            <v>12/12</v>
          </cell>
          <cell r="AR473">
            <v>0</v>
          </cell>
          <cell r="AS473">
            <v>0</v>
          </cell>
          <cell r="AT473">
            <v>0</v>
          </cell>
          <cell r="AU473">
            <v>0</v>
          </cell>
          <cell r="AV473">
            <v>0</v>
          </cell>
          <cell r="AW473">
            <v>0</v>
          </cell>
          <cell r="AY473" t="str">
            <v>Kinh</v>
          </cell>
          <cell r="AZ473">
            <v>41598</v>
          </cell>
          <cell r="BA473" t="e">
            <v>#REF!</v>
          </cell>
          <cell r="BB473" t="e">
            <v>#REF!</v>
          </cell>
        </row>
        <row r="474">
          <cell r="A474" t="str">
            <v>BV0673</v>
          </cell>
          <cell r="B474">
            <v>468</v>
          </cell>
          <cell r="C474" t="str">
            <v>Dương Thần Trưởng</v>
          </cell>
          <cell r="D474" t="str">
            <v>BV0673</v>
          </cell>
          <cell r="E474">
            <v>2016000986</v>
          </cell>
          <cell r="G474" t="str">
            <v>CCCD: 020092002149
Ngày cấp: 29/4/2021
Tại Cục cảnh sát quản lý hành chính về trật tự xã hội</v>
          </cell>
          <cell r="H474" t="str">
            <v>12/9/1992</v>
          </cell>
          <cell r="J474">
            <v>33</v>
          </cell>
          <cell r="K474" t="str">
            <v>082230019</v>
          </cell>
          <cell r="L474" t="str">
            <v>09/12/2009</v>
          </cell>
          <cell r="M474" t="str">
            <v>CA tỉnh Lạng Sơn</v>
          </cell>
          <cell r="N474" t="str">
            <v>Nội Hòa, Bắc Sơn</v>
          </cell>
          <cell r="O474" t="str">
            <v>Nội Hòa</v>
          </cell>
          <cell r="P474" t="str">
            <v>Bắc Sơn</v>
          </cell>
          <cell r="Q474" t="str">
            <v>Lạng Sơn</v>
          </cell>
          <cell r="R474" t="str">
            <v>Nội Hòa</v>
          </cell>
          <cell r="S474" t="str">
            <v>Xã Bắc Sơn</v>
          </cell>
          <cell r="T474" t="str">
            <v>Huyện Bắc Sơn</v>
          </cell>
          <cell r="U474" t="str">
            <v>Tỉnh Lạng Sơn</v>
          </cell>
          <cell r="V474" t="str">
            <v>Xã Bắc Sơn, Huyện Bắc Sơn, Tỉnh Lạng Sơn</v>
          </cell>
          <cell r="W474" t="str">
            <v>15/01/2016</v>
          </cell>
          <cell r="AA474">
            <v>0</v>
          </cell>
          <cell r="AB474" t="str">
            <v>TĐ036</v>
          </cell>
          <cell r="AC474" t="str">
            <v>KHTH</v>
          </cell>
          <cell r="AD474" t="str">
            <v>KP042</v>
          </cell>
          <cell r="AE474" t="str">
            <v>Viên chức</v>
          </cell>
          <cell r="AF474" t="str">
            <v>V.08.04.10</v>
          </cell>
          <cell r="AG474" t="str">
            <v>Y tế công cộng (hạng III)</v>
          </cell>
          <cell r="AH474">
            <v>3.33</v>
          </cell>
          <cell r="AI474">
            <v>4</v>
          </cell>
          <cell r="AJ474">
            <v>0</v>
          </cell>
          <cell r="AK474">
            <v>45677</v>
          </cell>
          <cell r="AL474" t="str">
            <v>Đại học</v>
          </cell>
          <cell r="AM474" t="str">
            <v>YTCC</v>
          </cell>
          <cell r="AN474" t="str">
            <v>YTCC</v>
          </cell>
          <cell r="AO474" t="str">
            <v>ĐH Y tế Công cộng</v>
          </cell>
          <cell r="AP474">
            <v>2015</v>
          </cell>
          <cell r="AQ474" t="str">
            <v>12/12</v>
          </cell>
          <cell r="AR474">
            <v>0</v>
          </cell>
          <cell r="AS474" t="str">
            <v>x</v>
          </cell>
          <cell r="AT474">
            <v>0</v>
          </cell>
          <cell r="AU474">
            <v>0</v>
          </cell>
          <cell r="AV474">
            <v>0</v>
          </cell>
          <cell r="AW474">
            <v>0</v>
          </cell>
          <cell r="AY474" t="str">
            <v>Tày</v>
          </cell>
          <cell r="AZ474">
            <v>44144</v>
          </cell>
        </row>
        <row r="475">
          <cell r="A475" t="str">
            <v>BV0672</v>
          </cell>
          <cell r="B475">
            <v>469</v>
          </cell>
          <cell r="C475" t="str">
            <v>Lục Thị Ngọc Hoài</v>
          </cell>
          <cell r="D475" t="str">
            <v>BV0672</v>
          </cell>
          <cell r="E475">
            <v>2015002146</v>
          </cell>
          <cell r="G475" t="str">
            <v>CCCD: 020191005648
Ngày cấp: 25/06/2021
Tại Cục cảnh sát quản lý hành chính về trật tự xã hội</v>
          </cell>
          <cell r="I475" t="str">
            <v>20/8/1991</v>
          </cell>
          <cell r="J475">
            <v>34</v>
          </cell>
          <cell r="K475" t="str">
            <v>082110090</v>
          </cell>
          <cell r="L475" t="str">
            <v>12/07/2012</v>
          </cell>
          <cell r="M475" t="str">
            <v>CA tỉnh Lạng Sơn</v>
          </cell>
          <cell r="N475" t="str">
            <v>TT Chi Lăng</v>
          </cell>
          <cell r="O475" t="str">
            <v>TT Chi Lăng</v>
          </cell>
          <cell r="P475" t="str">
            <v>Chi Lăng</v>
          </cell>
          <cell r="Q475" t="str">
            <v>Tỉnh Lạng Sơn</v>
          </cell>
          <cell r="R475" t="str">
            <v>Đường Lương Văn Can</v>
          </cell>
          <cell r="S475" t="str">
            <v>Phường Hoàng Văn Thụ</v>
          </cell>
          <cell r="T475" t="str">
            <v>Thành phố Lạng Sơn</v>
          </cell>
          <cell r="U475" t="str">
            <v>Tỉnh Lạng Sơn</v>
          </cell>
          <cell r="V475" t="str">
            <v>Phường Hoàng Văn Thụ, Thành phố Lạng Sơn, Tỉnh Lạng Sơn</v>
          </cell>
          <cell r="W475" t="str">
            <v>08/01/2016</v>
          </cell>
          <cell r="AA475">
            <v>0</v>
          </cell>
          <cell r="AB475" t="str">
            <v>TĐ036</v>
          </cell>
          <cell r="AC475" t="str">
            <v>Chỉ đạo tuyến</v>
          </cell>
          <cell r="AD475" t="str">
            <v>KP045</v>
          </cell>
          <cell r="AE475" t="str">
            <v>Viên chức</v>
          </cell>
          <cell r="AF475" t="str">
            <v>V.08.04.10</v>
          </cell>
          <cell r="AG475" t="str">
            <v>Y tế công cộng (hạng III)</v>
          </cell>
          <cell r="AH475">
            <v>3</v>
          </cell>
          <cell r="AI475">
            <v>3</v>
          </cell>
          <cell r="AJ475">
            <v>0</v>
          </cell>
          <cell r="AK475" t="str">
            <v>20/6/2023</v>
          </cell>
          <cell r="AL475" t="str">
            <v>Đại học</v>
          </cell>
          <cell r="AM475" t="str">
            <v>YTCC</v>
          </cell>
          <cell r="AN475" t="str">
            <v>YTCC</v>
          </cell>
          <cell r="AO475" t="str">
            <v>ĐH Y tế Công cộng</v>
          </cell>
          <cell r="AP475">
            <v>2014</v>
          </cell>
          <cell r="AQ475" t="str">
            <v>12/12</v>
          </cell>
          <cell r="AR475">
            <v>0</v>
          </cell>
          <cell r="AS475" t="str">
            <v>x</v>
          </cell>
          <cell r="AT475">
            <v>0</v>
          </cell>
          <cell r="AU475">
            <v>0</v>
          </cell>
          <cell r="AV475">
            <v>0</v>
          </cell>
          <cell r="AW475">
            <v>0</v>
          </cell>
          <cell r="AY475" t="str">
            <v>Nùng</v>
          </cell>
        </row>
        <row r="476">
          <cell r="A476" t="str">
            <v>BV0247</v>
          </cell>
          <cell r="B476">
            <v>470</v>
          </cell>
          <cell r="C476" t="str">
            <v>Đặng Thị Thơm</v>
          </cell>
          <cell r="D476" t="str">
            <v>BV0247</v>
          </cell>
          <cell r="E476">
            <v>2011001570</v>
          </cell>
          <cell r="G476" t="str">
            <v>CCCD: 020185002827
Ngày cấp: 29/4/2021
Tại Cục cảnh sát quản lý hành chính về trật tự xã hội</v>
          </cell>
          <cell r="I476">
            <v>31358</v>
          </cell>
          <cell r="J476">
            <v>40</v>
          </cell>
          <cell r="K476" t="str">
            <v>081024224</v>
          </cell>
          <cell r="L476" t="str">
            <v>27/7/2011</v>
          </cell>
          <cell r="M476" t="str">
            <v>CA tỉnh Lạng Sơn</v>
          </cell>
          <cell r="N476" t="str">
            <v>Tỉnh Lạng Sơn</v>
          </cell>
          <cell r="O476" t="str">
            <v>Thị trấn Hữu Lũng</v>
          </cell>
          <cell r="P476" t="str">
            <v>Huyện Hữu Lũng</v>
          </cell>
          <cell r="Q476" t="str">
            <v>Tỉnh Lạng Sơn</v>
          </cell>
          <cell r="S476" t="str">
            <v>Thị trấn Hữu Lũng</v>
          </cell>
          <cell r="T476" t="str">
            <v>Huyện Hữu Lũng</v>
          </cell>
          <cell r="U476" t="str">
            <v>Tỉnh Lạng Sơn</v>
          </cell>
          <cell r="V476" t="str">
            <v>Thị trấn Hữu Lũng, Huyện Hữu Lũng, Tỉnh Lạng Sơn</v>
          </cell>
          <cell r="W476" t="str">
            <v>10/06/2013</v>
          </cell>
          <cell r="AA476" t="str">
            <v>Trưởng phòng</v>
          </cell>
          <cell r="AB476" t="str">
            <v>TĐ003</v>
          </cell>
          <cell r="AC476" t="str">
            <v>Chỉ đạo tuyến</v>
          </cell>
          <cell r="AD476" t="str">
            <v>KP045</v>
          </cell>
          <cell r="AE476" t="str">
            <v>Viên chức</v>
          </cell>
          <cell r="AF476" t="str">
            <v>V.08.01.03</v>
          </cell>
          <cell r="AG476" t="str">
            <v>Bác sĩ chính (hạng II)</v>
          </cell>
          <cell r="AH476">
            <v>4.4000000000000004</v>
          </cell>
          <cell r="AI476">
            <v>1</v>
          </cell>
          <cell r="AJ476">
            <v>0</v>
          </cell>
          <cell r="AK476">
            <v>45809</v>
          </cell>
          <cell r="AL476" t="str">
            <v>Đại học</v>
          </cell>
          <cell r="AM476" t="str">
            <v>BSCKI</v>
          </cell>
          <cell r="AN476" t="str">
            <v>Sản phụ khoa</v>
          </cell>
          <cell r="AO476" t="str">
            <v>Đại học Y Hà Nội</v>
          </cell>
          <cell r="AP476">
            <v>2018</v>
          </cell>
          <cell r="AQ476" t="str">
            <v>12/12</v>
          </cell>
          <cell r="AR476">
            <v>0</v>
          </cell>
          <cell r="AS476" t="str">
            <v>x</v>
          </cell>
          <cell r="AT476" t="str">
            <v>Sơ cấp</v>
          </cell>
          <cell r="AU476">
            <v>0</v>
          </cell>
          <cell r="AV476">
            <v>0</v>
          </cell>
          <cell r="AW476">
            <v>0</v>
          </cell>
          <cell r="AY476" t="str">
            <v>Kinh</v>
          </cell>
          <cell r="BA476" t="e">
            <v>#REF!</v>
          </cell>
          <cell r="BB476" t="e">
            <v>#REF!</v>
          </cell>
        </row>
        <row r="477">
          <cell r="A477" t="str">
            <v>BV0225</v>
          </cell>
          <cell r="B477">
            <v>471</v>
          </cell>
          <cell r="C477" t="str">
            <v>Hà Thị Thanh</v>
          </cell>
          <cell r="D477" t="str">
            <v>BV0225</v>
          </cell>
          <cell r="E477">
            <v>2010000161</v>
          </cell>
          <cell r="G477" t="str">
            <v>CCCD: 020188006726
Ngày cấp: 25/06/2021
Tại Cục cảnh sát quản lý hành chính về trật tự xã hội</v>
          </cell>
          <cell r="I477">
            <v>32160</v>
          </cell>
          <cell r="J477">
            <v>38</v>
          </cell>
          <cell r="K477" t="str">
            <v>082030174</v>
          </cell>
          <cell r="L477" t="str">
            <v>14/10/2004</v>
          </cell>
          <cell r="M477" t="str">
            <v>CA tỉnh Lạng Sơn</v>
          </cell>
          <cell r="N477" t="str">
            <v>Tỉnh Lạng Sơn</v>
          </cell>
          <cell r="O477" t="str">
            <v>Xã Tân Văn</v>
          </cell>
          <cell r="P477" t="str">
            <v>Huyện Bình Gia</v>
          </cell>
          <cell r="Q477" t="str">
            <v>Tỉnh Lạng Sơn</v>
          </cell>
          <cell r="R477" t="str">
            <v>Thôn Nà Pái</v>
          </cell>
          <cell r="S477" t="str">
            <v>Xã Tân Văn</v>
          </cell>
          <cell r="T477" t="str">
            <v>Huyện Bình Gia</v>
          </cell>
          <cell r="U477" t="str">
            <v>Tỉnh Lạng Sơn</v>
          </cell>
          <cell r="V477" t="str">
            <v>Xã Tân Văn, Huyện Bình Gia, Tỉnh Lạng Sơn</v>
          </cell>
          <cell r="W477" t="str">
            <v>15/1/2010</v>
          </cell>
          <cell r="AA477">
            <v>0</v>
          </cell>
          <cell r="AB477" t="str">
            <v>TĐ036</v>
          </cell>
          <cell r="AC477" t="str">
            <v>Chỉ đạo tuyến</v>
          </cell>
          <cell r="AD477" t="str">
            <v>KP045</v>
          </cell>
          <cell r="AE477" t="str">
            <v>Viên chức</v>
          </cell>
          <cell r="AF477" t="str">
            <v>V.08.05.13</v>
          </cell>
          <cell r="AG477" t="str">
            <v>Y tế công cộng (hạng III)</v>
          </cell>
          <cell r="AH477">
            <v>3.33</v>
          </cell>
          <cell r="AI477">
            <v>4</v>
          </cell>
          <cell r="AJ477">
            <v>0</v>
          </cell>
          <cell r="AK477">
            <v>45306</v>
          </cell>
          <cell r="AL477" t="str">
            <v>Đại học</v>
          </cell>
          <cell r="AM477" t="str">
            <v>YTCC</v>
          </cell>
          <cell r="AN477" t="str">
            <v>YTCC</v>
          </cell>
          <cell r="AO477" t="str">
            <v>CĐ Y tế Lạng Sơn</v>
          </cell>
          <cell r="AP477">
            <v>2008</v>
          </cell>
          <cell r="AQ477" t="str">
            <v>12/12</v>
          </cell>
          <cell r="AR477">
            <v>0</v>
          </cell>
          <cell r="AS477">
            <v>0</v>
          </cell>
          <cell r="AT477">
            <v>0</v>
          </cell>
          <cell r="AU477" t="str">
            <v>Anh B</v>
          </cell>
          <cell r="AV477">
            <v>0</v>
          </cell>
          <cell r="AW477" t="str">
            <v>Cơ bản</v>
          </cell>
          <cell r="AY477" t="str">
            <v>Tày</v>
          </cell>
          <cell r="BA477" t="e">
            <v>#REF!</v>
          </cell>
          <cell r="BB477" t="e">
            <v>#REF!</v>
          </cell>
        </row>
        <row r="478">
          <cell r="A478" t="str">
            <v>BV0659</v>
          </cell>
          <cell r="B478">
            <v>472</v>
          </cell>
          <cell r="C478" t="str">
            <v>Lâm An Biên</v>
          </cell>
          <cell r="D478" t="str">
            <v>BV0659</v>
          </cell>
          <cell r="E478">
            <v>1506001740</v>
          </cell>
          <cell r="G478" t="str">
            <v>CCCD: 020075008291 
 Ngày cấp 25/06/2021
Tại Cục cảnh sát quản lý hành chính về trật tự xã hội</v>
          </cell>
          <cell r="H478">
            <v>27453</v>
          </cell>
          <cell r="J478">
            <v>51</v>
          </cell>
          <cell r="K478" t="str">
            <v>080962978</v>
          </cell>
          <cell r="L478" t="str">
            <v>27/12/2008</v>
          </cell>
          <cell r="M478" t="str">
            <v>CA tỉnh Lạng Sơn</v>
          </cell>
          <cell r="N478" t="str">
            <v>Hòa Thắng, Hữu Lũng</v>
          </cell>
          <cell r="O478" t="str">
            <v>Hòa Thắng</v>
          </cell>
          <cell r="P478" t="str">
            <v>Huyện Hữu Lũng</v>
          </cell>
          <cell r="Q478" t="str">
            <v>Tỉnh Lạng Sơn</v>
          </cell>
          <cell r="R478" t="str">
            <v xml:space="preserve"> Số 50,Mỹ Sơn</v>
          </cell>
          <cell r="S478" t="str">
            <v>Phường Vĩnh Trại</v>
          </cell>
          <cell r="T478" t="str">
            <v>Thành phố Lạng Sơn</v>
          </cell>
          <cell r="U478" t="str">
            <v>Tỉnh Lạng Sơn</v>
          </cell>
          <cell r="V478" t="str">
            <v>Phường Vĩnh Trại, Thành phố Lạng Sơn, Tỉnh Lạng Sơn</v>
          </cell>
          <cell r="W478" t="str">
            <v>1/12/2008</v>
          </cell>
          <cell r="AA478" t="str">
            <v>Trưởng phòng</v>
          </cell>
          <cell r="AB478" t="e">
            <v>#N/A</v>
          </cell>
          <cell r="AC478" t="str">
            <v>CNTT</v>
          </cell>
          <cell r="AD478" t="str">
            <v>KP046</v>
          </cell>
          <cell r="AE478" t="str">
            <v>Viên chức</v>
          </cell>
          <cell r="AF478" t="str">
            <v>V.05.02.07</v>
          </cell>
          <cell r="AG478" t="str">
            <v>Công nghệ thông tin (hạng III)</v>
          </cell>
          <cell r="AH478">
            <v>4.32</v>
          </cell>
          <cell r="AI478">
            <v>7</v>
          </cell>
          <cell r="AJ478">
            <v>0</v>
          </cell>
          <cell r="AK478">
            <v>45809</v>
          </cell>
          <cell r="AL478" t="str">
            <v>Đại học</v>
          </cell>
          <cell r="AM478" t="str">
            <v>ThS CNTT</v>
          </cell>
          <cell r="AN478" t="str">
            <v>Tin học quản lý</v>
          </cell>
          <cell r="AO478" t="str">
            <v>ĐH Mở Hà Nội</v>
          </cell>
          <cell r="AP478">
            <v>2008</v>
          </cell>
          <cell r="AQ478" t="str">
            <v>12/12</v>
          </cell>
          <cell r="AR478" t="str">
            <v>Chuyên viên</v>
          </cell>
          <cell r="AS478" t="str">
            <v>QLBV</v>
          </cell>
          <cell r="AT478" t="str">
            <v>Trung cấp</v>
          </cell>
          <cell r="AU478" t="str">
            <v>B</v>
          </cell>
          <cell r="AV478">
            <v>0</v>
          </cell>
          <cell r="AW478" t="str">
            <v>Đại học</v>
          </cell>
          <cell r="AY478" t="str">
            <v>Kinh</v>
          </cell>
          <cell r="AZ478">
            <v>41089</v>
          </cell>
        </row>
        <row r="479">
          <cell r="A479" t="str">
            <v>BV0660</v>
          </cell>
          <cell r="B479">
            <v>473</v>
          </cell>
          <cell r="C479" t="str">
            <v>Hoàng Đình Dũng</v>
          </cell>
          <cell r="D479" t="str">
            <v>BV0660</v>
          </cell>
          <cell r="E479">
            <v>2010000129</v>
          </cell>
          <cell r="G479" t="str">
            <v>CCCD: 020082002600 
cấp ngày 29/04/2021  
Tại Cục cảnh sát quản lý hành chính về trật tự xã hội</v>
          </cell>
          <cell r="H479">
            <v>30188</v>
          </cell>
          <cell r="J479">
            <v>43</v>
          </cell>
          <cell r="K479" t="str">
            <v>080972902</v>
          </cell>
          <cell r="L479" t="str">
            <v>21/09/2000</v>
          </cell>
          <cell r="M479" t="str">
            <v>CA tỉnh Lạng Sơn</v>
          </cell>
          <cell r="N479" t="str">
            <v>Hưng Vũ, Bắc Sơn</v>
          </cell>
          <cell r="O479" t="str">
            <v>Xã Hưng Vũ</v>
          </cell>
          <cell r="P479" t="str">
            <v>Huyện Bắc Sơn</v>
          </cell>
          <cell r="Q479" t="str">
            <v>Tỉnh Lạng Sơn</v>
          </cell>
          <cell r="R479" t="str">
            <v>Xuân Giao</v>
          </cell>
          <cell r="S479" t="str">
            <v>Xã Hưng Vũ</v>
          </cell>
          <cell r="T479" t="str">
            <v>Huyện Bắc Sơn</v>
          </cell>
          <cell r="U479" t="str">
            <v>Tỉnh Lạng Sơn</v>
          </cell>
          <cell r="V479" t="str">
            <v>Xã Hưng Vũ, Huyện Bắc Sơn, Tỉnh Lạng Sơn</v>
          </cell>
          <cell r="W479" t="str">
            <v>15/1/2010</v>
          </cell>
          <cell r="AA479">
            <v>0</v>
          </cell>
          <cell r="AB479" t="str">
            <v>TĐ026</v>
          </cell>
          <cell r="AC479" t="str">
            <v>CNTT</v>
          </cell>
          <cell r="AD479" t="str">
            <v>KP046</v>
          </cell>
          <cell r="AE479" t="str">
            <v>Viên chức</v>
          </cell>
          <cell r="AF479" t="str">
            <v>V.05.02.07</v>
          </cell>
          <cell r="AG479" t="str">
            <v>Công nghệ thông tin (hạng III)</v>
          </cell>
          <cell r="AH479">
            <v>3.99</v>
          </cell>
          <cell r="AI479">
            <v>6</v>
          </cell>
          <cell r="AJ479">
            <v>0</v>
          </cell>
          <cell r="AK479">
            <v>45672</v>
          </cell>
          <cell r="AL479" t="str">
            <v>Đại học</v>
          </cell>
          <cell r="AM479" t="str">
            <v>ĐH CNTT</v>
          </cell>
          <cell r="AN479" t="str">
            <v>Công nghệ thông tin</v>
          </cell>
          <cell r="AO479" t="str">
            <v>ĐH Công nghệ thông tin Thái Nguyên</v>
          </cell>
          <cell r="AP479">
            <v>2007</v>
          </cell>
          <cell r="AQ479" t="str">
            <v>12/12</v>
          </cell>
          <cell r="AR479">
            <v>0</v>
          </cell>
          <cell r="AS479">
            <v>0</v>
          </cell>
          <cell r="AT479" t="str">
            <v>Sơ cấp</v>
          </cell>
          <cell r="AU479" t="str">
            <v>C</v>
          </cell>
          <cell r="AV479">
            <v>0</v>
          </cell>
          <cell r="AW479" t="str">
            <v>Đại học</v>
          </cell>
          <cell r="AY479" t="str">
            <v>Tày</v>
          </cell>
          <cell r="AZ479">
            <v>40012</v>
          </cell>
        </row>
        <row r="480">
          <cell r="A480" t="str">
            <v>BV0662</v>
          </cell>
          <cell r="B480">
            <v>474</v>
          </cell>
          <cell r="C480" t="str">
            <v>Nông Hoàng Phương</v>
          </cell>
          <cell r="D480" t="str">
            <v>BV0662</v>
          </cell>
          <cell r="E480">
            <v>2011000006</v>
          </cell>
          <cell r="G480" t="str">
            <v>CCCD: 020085000852 
cấp ngày 27/03/2021  
Tại Cục cảnh sát quản lý hành chính về trật tự xã hội</v>
          </cell>
          <cell r="H480">
            <v>31280</v>
          </cell>
          <cell r="J480">
            <v>40</v>
          </cell>
          <cell r="K480" t="str">
            <v>081016193</v>
          </cell>
          <cell r="L480" t="str">
            <v>10/12/2002</v>
          </cell>
          <cell r="M480" t="str">
            <v>CA tỉnh Lạng Sơn</v>
          </cell>
          <cell r="N480" t="str">
            <v>TT Đồng Mỏ, Chi Lăng</v>
          </cell>
          <cell r="O480" t="str">
            <v>Hoàng Việt</v>
          </cell>
          <cell r="P480" t="str">
            <v>Huyện Văng Lãng</v>
          </cell>
          <cell r="Q480" t="str">
            <v>Tỉnh Lạng Sơn</v>
          </cell>
          <cell r="R480" t="str">
            <v>Khu Thống Nhất</v>
          </cell>
          <cell r="S480" t="str">
            <v>TT Đồng Mỏ</v>
          </cell>
          <cell r="T480" t="str">
            <v>Huyện Chi Lăng</v>
          </cell>
          <cell r="U480" t="str">
            <v>Tỉnh Lạng Sơn</v>
          </cell>
          <cell r="V480" t="str">
            <v>TT Đồng Mỏ, Huyện Chi Lăng, Tỉnh Lạng Sơn</v>
          </cell>
          <cell r="W480" t="str">
            <v>1/12/2010</v>
          </cell>
          <cell r="AA480">
            <v>0</v>
          </cell>
          <cell r="AB480" t="str">
            <v>TĐ026</v>
          </cell>
          <cell r="AC480" t="str">
            <v>CNTT</v>
          </cell>
          <cell r="AD480" t="str">
            <v>KP046</v>
          </cell>
          <cell r="AE480" t="str">
            <v>Viên chức</v>
          </cell>
          <cell r="AF480" t="str">
            <v>V.05.02.07</v>
          </cell>
          <cell r="AG480" t="str">
            <v>Công nghệ thông tin (hạng III)</v>
          </cell>
          <cell r="AH480">
            <v>3.99</v>
          </cell>
          <cell r="AI480">
            <v>6</v>
          </cell>
          <cell r="AJ480">
            <v>0</v>
          </cell>
          <cell r="AK480">
            <v>45992</v>
          </cell>
          <cell r="AL480" t="str">
            <v>Đại học</v>
          </cell>
          <cell r="AM480" t="str">
            <v>ĐH CNTT</v>
          </cell>
          <cell r="AN480" t="str">
            <v>Công nghệ thông tin</v>
          </cell>
          <cell r="AO480" t="str">
            <v>ĐH Quốc gia TPHCM</v>
          </cell>
          <cell r="AP480">
            <v>2009</v>
          </cell>
          <cell r="AQ480" t="str">
            <v>12/12</v>
          </cell>
          <cell r="AR480">
            <v>0</v>
          </cell>
          <cell r="AS480">
            <v>0</v>
          </cell>
          <cell r="AT480" t="str">
            <v>Sơ cấp</v>
          </cell>
          <cell r="AU480" t="str">
            <v>B</v>
          </cell>
          <cell r="AV480">
            <v>0</v>
          </cell>
          <cell r="AW480" t="str">
            <v>Đại học</v>
          </cell>
          <cell r="AY480" t="str">
            <v>Tày</v>
          </cell>
        </row>
        <row r="481">
          <cell r="A481" t="str">
            <v>BV0663</v>
          </cell>
          <cell r="B481">
            <v>475</v>
          </cell>
          <cell r="C481" t="str">
            <v>Nguyễn Thiện An</v>
          </cell>
          <cell r="D481" t="str">
            <v>BV0663</v>
          </cell>
          <cell r="E481">
            <v>2011001575</v>
          </cell>
          <cell r="G481" t="str">
            <v xml:space="preserve">CCCD: 040084003273
Ngày cấp 31/03/2021 
Tại Cục cảnh sát quản lý hành chính về trật tự xã hội
 </v>
          </cell>
          <cell r="H481">
            <v>30792</v>
          </cell>
          <cell r="J481">
            <v>42</v>
          </cell>
          <cell r="K481" t="str">
            <v>086137560</v>
          </cell>
          <cell r="L481" t="str">
            <v>24/7/2013</v>
          </cell>
          <cell r="M481" t="str">
            <v>Nghệ An</v>
          </cell>
          <cell r="N481" t="str">
            <v>Kỳ Sơn, Tân Kỳ, Nghệ An</v>
          </cell>
          <cell r="O481" t="str">
            <v>Nam Cường</v>
          </cell>
          <cell r="P481" t="str">
            <v>Huyện Nam Đàn</v>
          </cell>
          <cell r="Q481" t="str">
            <v>Tỉnh Nghệ An</v>
          </cell>
          <cell r="R481" t="str">
            <v>27/1 Trần Quang Khải</v>
          </cell>
          <cell r="S481" t="str">
            <v>Phường Chi Lăng</v>
          </cell>
          <cell r="T481" t="str">
            <v>Thành phố Lạng Sơn</v>
          </cell>
          <cell r="U481" t="str">
            <v>Tỉnh Lạng Sơn</v>
          </cell>
          <cell r="V481" t="str">
            <v>Phường Chi Lăng, Thành phố Lạng Sơn, Tỉnh Lạng Sơn</v>
          </cell>
          <cell r="W481" t="str">
            <v>10/6/2013</v>
          </cell>
          <cell r="AA481" t="str">
            <v>Phó trưởng phòng</v>
          </cell>
          <cell r="AB481" t="e">
            <v>#N/A</v>
          </cell>
          <cell r="AC481" t="str">
            <v>CNTT</v>
          </cell>
          <cell r="AD481" t="str">
            <v>KP046</v>
          </cell>
          <cell r="AE481" t="str">
            <v>Viên chức</v>
          </cell>
          <cell r="AF481" t="str">
            <v>V.05.02.07</v>
          </cell>
          <cell r="AG481" t="str">
            <v>Công nghệ thông tin (hạng III)</v>
          </cell>
          <cell r="AH481">
            <v>3.66</v>
          </cell>
          <cell r="AI481">
            <v>5</v>
          </cell>
          <cell r="AJ481">
            <v>0</v>
          </cell>
          <cell r="AK481">
            <v>45265</v>
          </cell>
          <cell r="AL481" t="str">
            <v>Đại học</v>
          </cell>
          <cell r="AM481" t="str">
            <v>ThS CNTT</v>
          </cell>
          <cell r="AN481" t="str">
            <v>Công nghệ thông tin</v>
          </cell>
          <cell r="AO481" t="str">
            <v>ĐH Bách Khoa Nà Nẵng</v>
          </cell>
          <cell r="AP481">
            <v>2008</v>
          </cell>
          <cell r="AQ481" t="str">
            <v>12/12</v>
          </cell>
          <cell r="AR481">
            <v>0</v>
          </cell>
          <cell r="AS481" t="str">
            <v>x</v>
          </cell>
          <cell r="AT481" t="str">
            <v>Sơ cấp</v>
          </cell>
          <cell r="AU481" t="str">
            <v>A2</v>
          </cell>
          <cell r="AV481">
            <v>0</v>
          </cell>
          <cell r="AW481" t="str">
            <v>Đại học</v>
          </cell>
          <cell r="AY481" t="str">
            <v>Kinh</v>
          </cell>
        </row>
        <row r="482">
          <cell r="A482" t="str">
            <v>BV1066</v>
          </cell>
          <cell r="B482">
            <v>476</v>
          </cell>
          <cell r="C482" t="str">
            <v>Hoàng Thế Lâm</v>
          </cell>
          <cell r="D482" t="str">
            <v>BV1066</v>
          </cell>
          <cell r="E482" t="str">
            <v>2011001131</v>
          </cell>
          <cell r="G482" t="str">
            <v>CCCD: 025087001673
cấp ngày 29/04/2021  
Tại Cục cảnh sát quản lý hành chính về trật tự xã hội</v>
          </cell>
          <cell r="H482">
            <v>32014</v>
          </cell>
          <cell r="J482">
            <v>38</v>
          </cell>
          <cell r="K482" t="str">
            <v>081048684</v>
          </cell>
          <cell r="L482">
            <v>40324</v>
          </cell>
          <cell r="R482" t="str">
            <v>Tổ 2 khối 6</v>
          </cell>
          <cell r="S482" t="str">
            <v>Thị trấn Cao Lộc</v>
          </cell>
          <cell r="T482" t="str">
            <v>Cao Lộc</v>
          </cell>
          <cell r="U482" t="str">
            <v>Lạng sơn</v>
          </cell>
          <cell r="V482" t="str">
            <v>Thị trấn Cao Lộc, Cao Lộc, Lạng sơn</v>
          </cell>
          <cell r="W482">
            <v>42372</v>
          </cell>
          <cell r="AA482">
            <v>0</v>
          </cell>
          <cell r="AB482" t="str">
            <v>TĐ026</v>
          </cell>
          <cell r="AC482" t="str">
            <v>CNTT</v>
          </cell>
          <cell r="AD482" t="str">
            <v>KP046</v>
          </cell>
          <cell r="AE482" t="str">
            <v>Viên chức</v>
          </cell>
          <cell r="AF482" t="str">
            <v>V.05.02.07</v>
          </cell>
          <cell r="AG482" t="str">
            <v>Công nghệ thông tin (hạng III)</v>
          </cell>
          <cell r="AH482">
            <v>3.33</v>
          </cell>
          <cell r="AI482">
            <v>4</v>
          </cell>
          <cell r="AJ482">
            <v>0</v>
          </cell>
          <cell r="AK482">
            <v>45839</v>
          </cell>
          <cell r="AL482" t="str">
            <v>Đại học</v>
          </cell>
          <cell r="AM482" t="str">
            <v>ĐH CNTT</v>
          </cell>
          <cell r="AN482" t="str">
            <v>Công nghệ thông tin</v>
          </cell>
          <cell r="AR482">
            <v>0</v>
          </cell>
          <cell r="AS482">
            <v>0</v>
          </cell>
          <cell r="AT482">
            <v>0</v>
          </cell>
          <cell r="AU482" t="str">
            <v>B</v>
          </cell>
          <cell r="AV482">
            <v>0</v>
          </cell>
          <cell r="AW482" t="str">
            <v>Đại học</v>
          </cell>
          <cell r="AY482" t="str">
            <v>Tày</v>
          </cell>
          <cell r="AZ482">
            <v>43802</v>
          </cell>
        </row>
        <row r="483">
          <cell r="A483" t="str">
            <v>BV0665</v>
          </cell>
          <cell r="B483">
            <v>477</v>
          </cell>
          <cell r="C483" t="str">
            <v>Nguyễn Việt Hà</v>
          </cell>
          <cell r="D483" t="str">
            <v>BV0665</v>
          </cell>
          <cell r="E483">
            <v>2011001287</v>
          </cell>
          <cell r="G483" t="str">
            <v>CCCD: 020085002388
Ngày cấp 24/04/2021  
Tại Cục cảnh sát quản lý hành chính về trật tự xã hội</v>
          </cell>
          <cell r="H483">
            <v>31191</v>
          </cell>
          <cell r="J483">
            <v>41</v>
          </cell>
          <cell r="K483" t="str">
            <v>081064235</v>
          </cell>
          <cell r="L483" t="str">
            <v>05/04/2005</v>
          </cell>
          <cell r="M483" t="str">
            <v>CA tỉnh Lạng Sơn</v>
          </cell>
          <cell r="N483" t="str">
            <v>Yên Phúc, Văn Quan</v>
          </cell>
          <cell r="O483" t="str">
            <v>Xã Yên Phúc</v>
          </cell>
          <cell r="P483" t="str">
            <v>Huyện Văn Quan</v>
          </cell>
          <cell r="Q483" t="str">
            <v>Tỉnh Lạng Sơn</v>
          </cell>
          <cell r="R483" t="str">
            <v>Số 2/2K2 đường Lê Lợi</v>
          </cell>
          <cell r="S483" t="str">
            <v>Phường Vĩnh Trại</v>
          </cell>
          <cell r="T483" t="str">
            <v>Thành phố Lạng Sơn</v>
          </cell>
          <cell r="U483" t="str">
            <v>Tỉnh Lạng Sơn</v>
          </cell>
          <cell r="V483" t="str">
            <v>Phường Vĩnh Trại, Thành phố Lạng Sơn, Tỉnh Lạng Sơn</v>
          </cell>
          <cell r="W483" t="str">
            <v>01/01/2011</v>
          </cell>
          <cell r="AA483">
            <v>0</v>
          </cell>
          <cell r="AB483" t="str">
            <v>TĐ026</v>
          </cell>
          <cell r="AC483" t="str">
            <v>CNTT</v>
          </cell>
          <cell r="AD483" t="str">
            <v>KP046</v>
          </cell>
          <cell r="AE483" t="str">
            <v>Viên chức</v>
          </cell>
          <cell r="AF483" t="str">
            <v>01.004</v>
          </cell>
          <cell r="AG483" t="str">
            <v>Chuyên viên</v>
          </cell>
          <cell r="AH483">
            <v>3.66</v>
          </cell>
          <cell r="AI483">
            <v>5</v>
          </cell>
          <cell r="AJ483">
            <v>0</v>
          </cell>
          <cell r="AK483">
            <v>45778</v>
          </cell>
          <cell r="AL483" t="str">
            <v>Cao đẳng</v>
          </cell>
          <cell r="AM483" t="str">
            <v>ĐH CNTT</v>
          </cell>
          <cell r="AN483" t="str">
            <v>Công nghệ thông tin</v>
          </cell>
          <cell r="AO483" t="str">
            <v>ĐH Công nghệ Thông tin và Truyền thông</v>
          </cell>
          <cell r="AP483">
            <v>2012</v>
          </cell>
          <cell r="AQ483" t="str">
            <v>12/12</v>
          </cell>
          <cell r="AR483" t="str">
            <v>Chuyên viên</v>
          </cell>
          <cell r="AS483">
            <v>0</v>
          </cell>
          <cell r="AT483">
            <v>0</v>
          </cell>
          <cell r="AU483">
            <v>0</v>
          </cell>
          <cell r="AV483">
            <v>0</v>
          </cell>
          <cell r="AW483" t="str">
            <v>Đại học</v>
          </cell>
          <cell r="AY483" t="str">
            <v>Nùng</v>
          </cell>
          <cell r="AZ483">
            <v>42534</v>
          </cell>
        </row>
        <row r="484">
          <cell r="A484" t="str">
            <v>BV0853</v>
          </cell>
          <cell r="B484">
            <v>478</v>
          </cell>
          <cell r="C484" t="str">
            <v>Đặng Huy Đức</v>
          </cell>
          <cell r="D484" t="str">
            <v>BV0853</v>
          </cell>
          <cell r="E484" t="str">
            <v>2009001770</v>
          </cell>
          <cell r="G484" t="str">
            <v>CCCD: 020082008345 
cấp ngày 13/08/2021  
Tại Cục cảnh sát quản lý hành chính về trật tự xã hội</v>
          </cell>
          <cell r="H484" t="str">
            <v>25/4/1982</v>
          </cell>
          <cell r="J484">
            <v>44</v>
          </cell>
          <cell r="K484" t="str">
            <v>080986659</v>
          </cell>
          <cell r="L484" t="str">
            <v>14/07/2015</v>
          </cell>
          <cell r="M484" t="str">
            <v>CA tỉnh Lạng Sơn</v>
          </cell>
          <cell r="N484" t="str">
            <v>Thị trấn Cao Lộc</v>
          </cell>
          <cell r="R484" t="str">
            <v>Đường Lê lợi</v>
          </cell>
          <cell r="S484" t="str">
            <v>Phường Vĩnh Trại</v>
          </cell>
          <cell r="T484" t="str">
            <v>TP Lạng Sơn</v>
          </cell>
          <cell r="U484" t="str">
            <v>Lạng Sơn</v>
          </cell>
          <cell r="V484" t="str">
            <v>Phường Vĩnh Trại, Thành phố Lạng Sơn, Tỉnh Lạng Sơn</v>
          </cell>
          <cell r="W484" t="str">
            <v>10/06/2013</v>
          </cell>
          <cell r="X484" t="str">
            <v>12/11/2018</v>
          </cell>
          <cell r="AA484">
            <v>0</v>
          </cell>
          <cell r="AB484" t="str">
            <v>TĐ026</v>
          </cell>
          <cell r="AC484" t="str">
            <v>CNTT</v>
          </cell>
          <cell r="AD484" t="str">
            <v>KP046</v>
          </cell>
          <cell r="AE484" t="str">
            <v>Viên chức</v>
          </cell>
          <cell r="AF484" t="str">
            <v>V11.06.14</v>
          </cell>
          <cell r="AG484" t="str">
            <v>Công nghệ thông tin (hạng III)</v>
          </cell>
          <cell r="AH484">
            <v>3.66</v>
          </cell>
          <cell r="AI484">
            <v>5</v>
          </cell>
          <cell r="AJ484">
            <v>0</v>
          </cell>
          <cell r="AK484">
            <v>46001</v>
          </cell>
          <cell r="AL484" t="str">
            <v>Đại học</v>
          </cell>
          <cell r="AM484" t="str">
            <v>ĐH CNTT</v>
          </cell>
          <cell r="AN484" t="str">
            <v>Công nghệ thông tin</v>
          </cell>
          <cell r="AR484">
            <v>0</v>
          </cell>
          <cell r="AS484">
            <v>0</v>
          </cell>
          <cell r="AT484" t="str">
            <v>Sơ cấp</v>
          </cell>
          <cell r="AU484">
            <v>0</v>
          </cell>
          <cell r="AV484">
            <v>0</v>
          </cell>
          <cell r="AW484" t="str">
            <v>Đại học</v>
          </cell>
          <cell r="AY484" t="str">
            <v>Kinh</v>
          </cell>
        </row>
        <row r="485">
          <cell r="A485" t="str">
            <v>BV1160</v>
          </cell>
          <cell r="B485">
            <v>479</v>
          </cell>
          <cell r="C485" t="str">
            <v>Hoàng Thị Mai Trinh</v>
          </cell>
          <cell r="D485" t="str">
            <v>BV1160</v>
          </cell>
          <cell r="G485" t="str">
            <v>082100995, ngày cấp 20/9/2013, công an tỉnh lạng sơn</v>
          </cell>
          <cell r="I485" t="str">
            <v>01/05/1990</v>
          </cell>
          <cell r="J485">
            <v>36</v>
          </cell>
          <cell r="W485">
            <v>42744</v>
          </cell>
          <cell r="X485" t="str">
            <v>06/9/2021</v>
          </cell>
          <cell r="AA485">
            <v>0</v>
          </cell>
          <cell r="AB485" t="str">
            <v>TĐ005</v>
          </cell>
          <cell r="AC485" t="str">
            <v>Da liễu</v>
          </cell>
          <cell r="AD485" t="str">
            <v>KP019</v>
          </cell>
          <cell r="AE485" t="str">
            <v>Viên chức</v>
          </cell>
          <cell r="AF485" t="str">
            <v>V.08.01.03</v>
          </cell>
          <cell r="AG485" t="str">
            <v>Bác sĩ (hạng III)</v>
          </cell>
          <cell r="AH485">
            <v>3.33</v>
          </cell>
          <cell r="AI485">
            <v>4</v>
          </cell>
          <cell r="AJ485">
            <v>0</v>
          </cell>
          <cell r="AK485" t="str">
            <v>09/4/2026</v>
          </cell>
          <cell r="AL485" t="str">
            <v>Đại học</v>
          </cell>
          <cell r="AM485" t="str">
            <v>Bác sĩ</v>
          </cell>
          <cell r="AN485" t="str">
            <v>Đa khoa</v>
          </cell>
          <cell r="AY485" t="str">
            <v>Tày</v>
          </cell>
        </row>
        <row r="486">
          <cell r="A486" t="str">
            <v>BV1167</v>
          </cell>
          <cell r="B486">
            <v>480</v>
          </cell>
          <cell r="C486" t="str">
            <v>Nguyễn Thị Duyên</v>
          </cell>
          <cell r="D486" t="str">
            <v>BV1167</v>
          </cell>
          <cell r="G486" t="str">
            <v>082256136 cấp ngày 13/2/2010 công an tỉnh Lạng Sơn</v>
          </cell>
          <cell r="I486" t="str">
            <v>24/08/1993</v>
          </cell>
          <cell r="J486">
            <v>32</v>
          </cell>
          <cell r="W486">
            <v>43179</v>
          </cell>
          <cell r="X486" t="str">
            <v>08/11/2021</v>
          </cell>
          <cell r="AA486">
            <v>0</v>
          </cell>
          <cell r="AB486" t="str">
            <v>TĐ005</v>
          </cell>
          <cell r="AC486" t="str">
            <v>YHCT</v>
          </cell>
          <cell r="AD486" t="str">
            <v>KP020</v>
          </cell>
          <cell r="AE486" t="str">
            <v>Viên chức</v>
          </cell>
          <cell r="AF486" t="str">
            <v>V.08.01.03</v>
          </cell>
          <cell r="AG486" t="str">
            <v>Bác sĩ (hạng III)</v>
          </cell>
          <cell r="AH486">
            <v>3</v>
          </cell>
          <cell r="AI486">
            <v>3</v>
          </cell>
          <cell r="AJ486">
            <v>0</v>
          </cell>
          <cell r="AK486" t="str">
            <v>20/12/2024</v>
          </cell>
          <cell r="AL486" t="str">
            <v>Đại học</v>
          </cell>
          <cell r="AM486" t="str">
            <v>Bác sĩ</v>
          </cell>
          <cell r="AN486" t="str">
            <v>YHCT</v>
          </cell>
          <cell r="AY486" t="str">
            <v>Kinh</v>
          </cell>
        </row>
        <row r="487">
          <cell r="A487" t="str">
            <v>BV1161</v>
          </cell>
          <cell r="B487">
            <v>481</v>
          </cell>
          <cell r="C487" t="str">
            <v>Hoàng Thị Thu Hằng</v>
          </cell>
          <cell r="D487" t="str">
            <v>BV1161</v>
          </cell>
          <cell r="E487">
            <v>2016006486</v>
          </cell>
          <cell r="G487" t="str">
            <v>CCCD: 020192004172
Ngày cấp: 14/08/2021, nơi cấp: Cục cảnh sát quản lý hành chính và trật tự xã hội</v>
          </cell>
          <cell r="I487" t="str">
            <v>10/11/1992</v>
          </cell>
          <cell r="J487">
            <v>33</v>
          </cell>
          <cell r="W487">
            <v>42767</v>
          </cell>
          <cell r="X487" t="str">
            <v>10/9/2021</v>
          </cell>
          <cell r="AA487">
            <v>0</v>
          </cell>
          <cell r="AB487" t="str">
            <v>TĐ008</v>
          </cell>
          <cell r="AC487" t="str">
            <v>Dược</v>
          </cell>
          <cell r="AD487" t="str">
            <v>KP028</v>
          </cell>
          <cell r="AE487" t="str">
            <v>Viên chức</v>
          </cell>
          <cell r="AF487" t="str">
            <v>V.08.08.22</v>
          </cell>
          <cell r="AG487" t="str">
            <v>Dược sĩ (hạng III)</v>
          </cell>
          <cell r="AH487">
            <v>3</v>
          </cell>
          <cell r="AI487">
            <v>3</v>
          </cell>
          <cell r="AJ487">
            <v>0</v>
          </cell>
          <cell r="AK487">
            <v>45323</v>
          </cell>
          <cell r="AL487" t="str">
            <v>Đại học</v>
          </cell>
          <cell r="AM487" t="str">
            <v>Dược sỹ ĐH</v>
          </cell>
          <cell r="AY487" t="str">
            <v>Tày</v>
          </cell>
        </row>
        <row r="488">
          <cell r="A488" t="str">
            <v>BV1162</v>
          </cell>
          <cell r="B488">
            <v>482</v>
          </cell>
          <cell r="C488" t="str">
            <v>Trần Tuấn Hùng</v>
          </cell>
          <cell r="D488" t="str">
            <v>BV1162</v>
          </cell>
          <cell r="G488" t="str">
            <v>CCCD: 020092007670
Ngày cấp: 09/5/2021
Tại Cục cảnh sát quản lý hành chính về trật tự xã hội</v>
          </cell>
          <cell r="H488" t="str">
            <v>25/12/1992</v>
          </cell>
          <cell r="J488">
            <v>33</v>
          </cell>
          <cell r="W488">
            <v>44012</v>
          </cell>
          <cell r="X488" t="str">
            <v>20/10/2021</v>
          </cell>
          <cell r="AA488">
            <v>0</v>
          </cell>
          <cell r="AB488" t="e">
            <v>#N/A</v>
          </cell>
          <cell r="AC488" t="str">
            <v>TCKT</v>
          </cell>
          <cell r="AD488" t="str">
            <v>KP041</v>
          </cell>
          <cell r="AE488" t="str">
            <v>Viên chức</v>
          </cell>
          <cell r="AF488" t="str">
            <v>06.031</v>
          </cell>
          <cell r="AG488" t="str">
            <v>Kế toán viên</v>
          </cell>
          <cell r="AH488">
            <v>2.67</v>
          </cell>
          <cell r="AI488">
            <v>2</v>
          </cell>
          <cell r="AJ488">
            <v>0</v>
          </cell>
          <cell r="AK488">
            <v>45474</v>
          </cell>
          <cell r="AL488" t="str">
            <v>Đại học</v>
          </cell>
          <cell r="AM488" t="str">
            <v>ThS TCNH</v>
          </cell>
          <cell r="AN488" t="str">
            <v>TCNH</v>
          </cell>
          <cell r="AY488" t="str">
            <v>Nùng</v>
          </cell>
        </row>
        <row r="489">
          <cell r="A489" t="str">
            <v>BV1175</v>
          </cell>
          <cell r="B489">
            <v>483</v>
          </cell>
          <cell r="C489" t="str">
            <v>Ngô Hồng Lan</v>
          </cell>
          <cell r="D489" t="str">
            <v>BV1175</v>
          </cell>
          <cell r="G489" t="str">
            <v xml:space="preserve">082176127, ngày cấp: 23/6/2008; nơi cấp: Công an tỉnh Lạng Sơn </v>
          </cell>
          <cell r="I489">
            <v>34061</v>
          </cell>
          <cell r="J489">
            <v>33</v>
          </cell>
          <cell r="K489" t="str">
            <v>020193000489</v>
          </cell>
          <cell r="L489">
            <v>44282</v>
          </cell>
          <cell r="O489" t="str">
            <v>Bắc Thủy</v>
          </cell>
          <cell r="P489" t="str">
            <v>Chi Lăng</v>
          </cell>
          <cell r="Q489" t="str">
            <v>Lạng Sơn</v>
          </cell>
          <cell r="R489" t="str">
            <v>236 Lê Lợi</v>
          </cell>
          <cell r="S489" t="str">
            <v>Thị Trấn Chi Lăng</v>
          </cell>
          <cell r="T489" t="str">
            <v>Chi Lăng</v>
          </cell>
          <cell r="U489" t="str">
            <v>Lạng Sơn</v>
          </cell>
          <cell r="W489" t="str">
            <v>20/3/2018</v>
          </cell>
          <cell r="X489" t="str">
            <v>04/5/2022</v>
          </cell>
          <cell r="AA489">
            <v>0</v>
          </cell>
          <cell r="AC489" t="str">
            <v>GM-HS</v>
          </cell>
          <cell r="AD489" t="str">
            <v>KP025</v>
          </cell>
          <cell r="AE489" t="str">
            <v>Viên chức</v>
          </cell>
          <cell r="AF489" t="str">
            <v>V.08.05.13</v>
          </cell>
          <cell r="AG489" t="str">
            <v>Điều dưỡng (hạng IV)</v>
          </cell>
          <cell r="AH489">
            <v>2.72</v>
          </cell>
          <cell r="AI489">
            <v>3</v>
          </cell>
          <cell r="AJ489">
            <v>0</v>
          </cell>
          <cell r="AK489">
            <v>44927</v>
          </cell>
          <cell r="AL489" t="str">
            <v>Cao đẳng</v>
          </cell>
          <cell r="AM489" t="str">
            <v>Điều dưỡng CĐ</v>
          </cell>
          <cell r="AN489" t="str">
            <v>GMHS</v>
          </cell>
          <cell r="AU489" t="str">
            <v>Anh B</v>
          </cell>
          <cell r="AW489" t="str">
            <v>Tin B</v>
          </cell>
          <cell r="AY489" t="str">
            <v>Tày</v>
          </cell>
        </row>
        <row r="490">
          <cell r="A490" t="str">
            <v>BV1174</v>
          </cell>
          <cell r="B490">
            <v>484</v>
          </cell>
          <cell r="C490" t="str">
            <v>Nông Thị Bích Hà</v>
          </cell>
          <cell r="D490" t="str">
            <v>BV1174</v>
          </cell>
          <cell r="G490" t="str">
            <v>CCCD: 020187006850
ngày cấp 24/6/2021
Tại Cục cảnh sát quản lý hành chính về trật tự xã hội</v>
          </cell>
          <cell r="I490">
            <v>31947</v>
          </cell>
          <cell r="J490">
            <v>39</v>
          </cell>
          <cell r="K490" t="str">
            <v>082016680</v>
          </cell>
          <cell r="L490">
            <v>38062</v>
          </cell>
          <cell r="R490" t="str">
            <v>89 Minh Khai, TT Lộc Bình, huyện Lộc Bình, tỉnh Lạng Sơn</v>
          </cell>
          <cell r="W490">
            <v>40193</v>
          </cell>
          <cell r="X490">
            <v>44655</v>
          </cell>
          <cell r="AA490">
            <v>0</v>
          </cell>
          <cell r="AC490" t="str">
            <v>Khám bệnh</v>
          </cell>
          <cell r="AD490" t="str">
            <v>KP001</v>
          </cell>
          <cell r="AE490" t="str">
            <v>Viên chức</v>
          </cell>
          <cell r="AF490" t="str">
            <v>V.08.06.15</v>
          </cell>
          <cell r="AG490" t="str">
            <v>Hộ sinh (hạng III)</v>
          </cell>
          <cell r="AH490">
            <v>3.33</v>
          </cell>
          <cell r="AI490">
            <v>4</v>
          </cell>
          <cell r="AJ490">
            <v>0</v>
          </cell>
          <cell r="AK490" t="str">
            <v>15/7/2023</v>
          </cell>
          <cell r="AL490" t="str">
            <v>Đại học</v>
          </cell>
          <cell r="AM490" t="str">
            <v>Điều dưỡng ĐH</v>
          </cell>
          <cell r="AU490" t="str">
            <v>Anh A2</v>
          </cell>
          <cell r="AW490" t="str">
            <v>Cơ bản</v>
          </cell>
          <cell r="AY490" t="str">
            <v>Tày</v>
          </cell>
        </row>
        <row r="491">
          <cell r="A491" t="str">
            <v>BV1280</v>
          </cell>
          <cell r="B491">
            <v>485</v>
          </cell>
          <cell r="C491" t="str">
            <v>Linh Thị Diệu Hiền</v>
          </cell>
          <cell r="I491" t="str">
            <v>23/4/1995</v>
          </cell>
          <cell r="J491">
            <v>31</v>
          </cell>
          <cell r="K491" t="str">
            <v>020195001612</v>
          </cell>
          <cell r="L491" t="str">
            <v>24/8/2022</v>
          </cell>
          <cell r="AA491">
            <v>0</v>
          </cell>
          <cell r="AC491" t="str">
            <v>Tai mũi họng</v>
          </cell>
          <cell r="AE491" t="str">
            <v>Viên chức</v>
          </cell>
          <cell r="AH491" t="e">
            <v>#N/A</v>
          </cell>
          <cell r="AI491" t="e">
            <v>#N/A</v>
          </cell>
          <cell r="AK491" t="e">
            <v>#N/A</v>
          </cell>
          <cell r="AM491" t="str">
            <v>Bác sĩ</v>
          </cell>
        </row>
        <row r="492">
          <cell r="A492" t="str">
            <v>BV1246</v>
          </cell>
          <cell r="B492">
            <v>486</v>
          </cell>
          <cell r="C492" t="str">
            <v>Nông Thị Phượng</v>
          </cell>
          <cell r="D492" t="str">
            <v>BV1246</v>
          </cell>
          <cell r="H492">
            <v>0</v>
          </cell>
          <cell r="I492">
            <v>35783</v>
          </cell>
          <cell r="W492">
            <v>44562</v>
          </cell>
          <cell r="AA492">
            <v>0</v>
          </cell>
          <cell r="AC492" t="str">
            <v>UB-YHHN</v>
          </cell>
          <cell r="AE492" t="str">
            <v>Viên chức</v>
          </cell>
          <cell r="AF492" t="str">
            <v>V.08.01.03</v>
          </cell>
          <cell r="AG492" t="str">
            <v>Bác sĩ (hạng III)</v>
          </cell>
          <cell r="AH492" t="e">
            <v>#N/A</v>
          </cell>
          <cell r="AI492" t="e">
            <v>#N/A</v>
          </cell>
          <cell r="AK492" t="e">
            <v>#N/A</v>
          </cell>
          <cell r="AL492" t="str">
            <v>Đại học</v>
          </cell>
          <cell r="AM492" t="str">
            <v>Bác sĩ</v>
          </cell>
          <cell r="AU492" t="str">
            <v>Anh A2</v>
          </cell>
          <cell r="AW492" t="str">
            <v>Cơ bản</v>
          </cell>
          <cell r="AY492" t="str">
            <v>Tày</v>
          </cell>
        </row>
        <row r="493">
          <cell r="A493" t="str">
            <v>BV0725</v>
          </cell>
          <cell r="B493">
            <v>487</v>
          </cell>
          <cell r="C493" t="str">
            <v>Tô Thị Mơ</v>
          </cell>
          <cell r="D493" t="str">
            <v>BV0725</v>
          </cell>
          <cell r="I493">
            <v>33425</v>
          </cell>
          <cell r="J493">
            <v>35</v>
          </cell>
          <cell r="W493" t="str">
            <v>29/8/2016</v>
          </cell>
          <cell r="X493" t="str">
            <v>18/8/2023</v>
          </cell>
          <cell r="AA493">
            <v>0</v>
          </cell>
          <cell r="AC493" t="str">
            <v>Ngoại Thận - Tiết niệu</v>
          </cell>
          <cell r="AE493" t="str">
            <v>Viên chức</v>
          </cell>
          <cell r="AH493" t="e">
            <v>#N/A</v>
          </cell>
          <cell r="AI493" t="e">
            <v>#N/A</v>
          </cell>
          <cell r="AK493" t="e">
            <v>#N/A</v>
          </cell>
          <cell r="AL493" t="str">
            <v>Cao đẳng</v>
          </cell>
          <cell r="AM493" t="str">
            <v>Điều dưỡng CĐ</v>
          </cell>
          <cell r="AY493" t="str">
            <v>Tày</v>
          </cell>
        </row>
        <row r="494">
          <cell r="A494" t="str">
            <v>BV0610</v>
          </cell>
          <cell r="B494">
            <v>488</v>
          </cell>
          <cell r="C494" t="str">
            <v>Nông Chí Kiên</v>
          </cell>
          <cell r="D494" t="str">
            <v>BV0610</v>
          </cell>
          <cell r="E494">
            <v>1504002800</v>
          </cell>
          <cell r="H494">
            <v>24187</v>
          </cell>
          <cell r="J494">
            <v>60</v>
          </cell>
          <cell r="K494" t="str">
            <v>082061353</v>
          </cell>
          <cell r="L494" t="str">
            <v>03/10/2005</v>
          </cell>
          <cell r="M494" t="str">
            <v>CA tỉnh Lạng Sơn</v>
          </cell>
          <cell r="P494" t="str">
            <v>Huyện Tràng Định</v>
          </cell>
          <cell r="Q494" t="str">
            <v>Tỉnh Lạng Sơn</v>
          </cell>
          <cell r="S494" t="str">
            <v>Phường Tam Thanh</v>
          </cell>
          <cell r="T494" t="str">
            <v>Thành phố Lạng Sơn</v>
          </cell>
          <cell r="U494" t="str">
            <v>Tỉnh Lạng Sơn</v>
          </cell>
          <cell r="V494" t="str">
            <v>Phường Tam Thanh, Thành phố Lạng Sơn, Tỉnh Lạng Sơn</v>
          </cell>
          <cell r="W494" t="str">
            <v>1/11/2003</v>
          </cell>
          <cell r="AA494">
            <v>0</v>
          </cell>
          <cell r="AB494" t="str">
            <v>TĐ044</v>
          </cell>
          <cell r="AC494" t="str">
            <v>HCQT</v>
          </cell>
          <cell r="AD494" t="str">
            <v>HCQT</v>
          </cell>
          <cell r="AE494" t="str">
            <v>HĐ theo NĐ161</v>
          </cell>
          <cell r="AG494">
            <v>0</v>
          </cell>
          <cell r="AH494">
            <v>1.86</v>
          </cell>
          <cell r="AI494">
            <v>3</v>
          </cell>
          <cell r="AK494">
            <v>45689</v>
          </cell>
          <cell r="AM494" t="str">
            <v>Bảo vệ</v>
          </cell>
          <cell r="AQ494" t="str">
            <v>7/10</v>
          </cell>
          <cell r="AY494" t="str">
            <v>Tày</v>
          </cell>
        </row>
        <row r="495">
          <cell r="A495" t="str">
            <v>BV0609</v>
          </cell>
          <cell r="B495">
            <v>489</v>
          </cell>
          <cell r="C495" t="str">
            <v>Hoàng Văn Hưng</v>
          </cell>
          <cell r="D495" t="str">
            <v>BV0609</v>
          </cell>
          <cell r="E495">
            <v>1506001857</v>
          </cell>
          <cell r="H495">
            <v>25243</v>
          </cell>
          <cell r="J495">
            <v>57</v>
          </cell>
          <cell r="K495" t="str">
            <v>080981269</v>
          </cell>
          <cell r="L495" t="str">
            <v>21/02/1998</v>
          </cell>
          <cell r="M495" t="str">
            <v>CA tỉnh Lạng Sơn</v>
          </cell>
          <cell r="N495" t="str">
            <v>Bình phúc văn Quan</v>
          </cell>
          <cell r="O495" t="str">
            <v>Bình Phúc</v>
          </cell>
          <cell r="P495" t="str">
            <v>Huyện Văn Quan</v>
          </cell>
          <cell r="Q495" t="str">
            <v>Tỉnh Lạng Sơn</v>
          </cell>
          <cell r="R495" t="str">
            <v>170 đường Trần Quang Khải</v>
          </cell>
          <cell r="S495" t="str">
            <v>Phường Chi Lăng</v>
          </cell>
          <cell r="T495" t="str">
            <v>Thành phố Lạng Sơn</v>
          </cell>
          <cell r="U495" t="str">
            <v>Tỉnh Lạng Sơn</v>
          </cell>
          <cell r="V495" t="str">
            <v>Phường Chi Lăng, Thành phố Lạng Sơn, Tỉnh Lạng Sơn</v>
          </cell>
          <cell r="W495" t="str">
            <v>1/12/2005</v>
          </cell>
          <cell r="AA495">
            <v>0</v>
          </cell>
          <cell r="AB495" t="str">
            <v>TĐ048</v>
          </cell>
          <cell r="AC495" t="str">
            <v>HCQT</v>
          </cell>
          <cell r="AD495" t="str">
            <v>HCQT</v>
          </cell>
          <cell r="AE495" t="str">
            <v>HĐ theo NĐ161</v>
          </cell>
          <cell r="AG495">
            <v>0</v>
          </cell>
          <cell r="AH495" t="str">
            <v>1.90</v>
          </cell>
          <cell r="AI495">
            <v>6</v>
          </cell>
          <cell r="AK495">
            <v>45689</v>
          </cell>
          <cell r="AM495" t="str">
            <v>NVPV</v>
          </cell>
          <cell r="AQ495" t="str">
            <v>9/12</v>
          </cell>
          <cell r="AY495" t="str">
            <v>Tày</v>
          </cell>
          <cell r="AZ495">
            <v>35421</v>
          </cell>
        </row>
        <row r="496">
          <cell r="A496" t="str">
            <v>BV0204</v>
          </cell>
          <cell r="B496">
            <v>490</v>
          </cell>
          <cell r="C496" t="str">
            <v>Ngô Thị Lý</v>
          </cell>
          <cell r="D496" t="str">
            <v>BV0204</v>
          </cell>
          <cell r="E496">
            <v>1500002063</v>
          </cell>
          <cell r="I496">
            <v>26012</v>
          </cell>
          <cell r="J496">
            <v>55</v>
          </cell>
          <cell r="K496" t="str">
            <v>080953397</v>
          </cell>
          <cell r="L496" t="str">
            <v>10/04/2003</v>
          </cell>
          <cell r="M496" t="str">
            <v>CA tỉnh Lạng Sơn</v>
          </cell>
          <cell r="O496" t="str">
            <v>Xã Mai Pha</v>
          </cell>
          <cell r="P496" t="str">
            <v>Thành phố Lạng Sơn</v>
          </cell>
          <cell r="Q496" t="str">
            <v>Tỉnh Lạng Sơn</v>
          </cell>
          <cell r="S496" t="str">
            <v>Phường Tam Thanh</v>
          </cell>
          <cell r="T496" t="str">
            <v>Thành phố Lạng Sơn</v>
          </cell>
          <cell r="U496" t="str">
            <v>Tỉnh Lạng Sơn</v>
          </cell>
          <cell r="V496" t="str">
            <v>Phường Tam Thanh, Thành phố Lạng Sơn, Tỉnh Lạng Sơn</v>
          </cell>
          <cell r="W496" t="str">
            <v>8/11/1993</v>
          </cell>
          <cell r="AA496">
            <v>0</v>
          </cell>
          <cell r="AB496" t="str">
            <v>TĐ047</v>
          </cell>
          <cell r="AC496" t="str">
            <v>CĐHA</v>
          </cell>
          <cell r="AD496" t="str">
            <v>CĐHA</v>
          </cell>
          <cell r="AE496" t="str">
            <v>HĐ theo NĐ161</v>
          </cell>
          <cell r="AG496">
            <v>0</v>
          </cell>
          <cell r="AH496" t="e">
            <v>#N/A</v>
          </cell>
          <cell r="AI496" t="e">
            <v>#N/A</v>
          </cell>
          <cell r="AK496" t="e">
            <v>#N/A</v>
          </cell>
          <cell r="AL496" t="str">
            <v>Chứng chỉ</v>
          </cell>
          <cell r="AM496" t="str">
            <v>Hộ lý</v>
          </cell>
          <cell r="AQ496" t="str">
            <v>12/12</v>
          </cell>
          <cell r="AX496" t="str">
            <v>Nghiệp vụ hộ lý</v>
          </cell>
          <cell r="AY496" t="str">
            <v>Tày</v>
          </cell>
        </row>
        <row r="497">
          <cell r="A497" t="str">
            <v>BV0118</v>
          </cell>
          <cell r="B497">
            <v>491</v>
          </cell>
          <cell r="C497" t="str">
            <v>Vi Thị May</v>
          </cell>
          <cell r="D497" t="str">
            <v>BV0118</v>
          </cell>
          <cell r="E497">
            <v>1506002733</v>
          </cell>
          <cell r="I497">
            <v>30252</v>
          </cell>
          <cell r="J497">
            <v>43</v>
          </cell>
          <cell r="K497" t="str">
            <v>081016768</v>
          </cell>
          <cell r="L497" t="str">
            <v>11/03/2003</v>
          </cell>
          <cell r="M497" t="str">
            <v>CA tỉnh Lạng Sơn</v>
          </cell>
          <cell r="N497" t="str">
            <v>Xã Mai Sao, huyện Chi Lăng, tỉnh Lạng Sơn</v>
          </cell>
          <cell r="O497" t="str">
            <v>Xã Quang Lang</v>
          </cell>
          <cell r="P497" t="str">
            <v>Huyện Chi Lăng</v>
          </cell>
          <cell r="Q497" t="str">
            <v>Tỉnh Lạng Sơn</v>
          </cell>
          <cell r="S497" t="str">
            <v>Xã Quang Lang</v>
          </cell>
          <cell r="T497" t="str">
            <v>Huyện Chi Lăng</v>
          </cell>
          <cell r="U497" t="str">
            <v>Tỉnh Lạng Sơn</v>
          </cell>
          <cell r="V497" t="str">
            <v>Xã Quang Lang, Huyện Chi Lăng, Tỉnh Lạng Sơn</v>
          </cell>
          <cell r="W497" t="str">
            <v>15/6/2006</v>
          </cell>
          <cell r="AA497">
            <v>0</v>
          </cell>
          <cell r="AB497" t="str">
            <v>TĐ047</v>
          </cell>
          <cell r="AC497" t="str">
            <v>GM-HS</v>
          </cell>
          <cell r="AD497" t="str">
            <v>GM-HS</v>
          </cell>
          <cell r="AE497" t="str">
            <v>HĐ theo NĐ161</v>
          </cell>
          <cell r="AG497">
            <v>0</v>
          </cell>
          <cell r="AH497">
            <v>2.0099999999999998</v>
          </cell>
          <cell r="AI497">
            <v>3</v>
          </cell>
          <cell r="AK497">
            <v>45689</v>
          </cell>
          <cell r="AL497" t="str">
            <v>Chứng chỉ</v>
          </cell>
          <cell r="AM497" t="str">
            <v>Hộ lý</v>
          </cell>
          <cell r="AQ497" t="str">
            <v>12/12</v>
          </cell>
          <cell r="AX497" t="str">
            <v>Nghiệp vụ hộ lý</v>
          </cell>
          <cell r="AY497" t="str">
            <v>Tày</v>
          </cell>
        </row>
        <row r="498">
          <cell r="A498" t="str">
            <v>BV0203</v>
          </cell>
          <cell r="B498">
            <v>492</v>
          </cell>
          <cell r="C498" t="str">
            <v>Vi Thị Hà</v>
          </cell>
          <cell r="D498" t="str">
            <v>BV0203</v>
          </cell>
          <cell r="E498">
            <v>1503001568</v>
          </cell>
          <cell r="I498">
            <v>27153</v>
          </cell>
          <cell r="J498">
            <v>52</v>
          </cell>
          <cell r="K498" t="str">
            <v>081025803</v>
          </cell>
          <cell r="L498" t="str">
            <v>13/04/2001</v>
          </cell>
          <cell r="M498" t="str">
            <v>CA tỉnh Lạng Sơn</v>
          </cell>
          <cell r="N498" t="str">
            <v>Xã Đông Quan, huyện Lộc Bình, tỉnh Lạng Sơn</v>
          </cell>
          <cell r="O498" t="str">
            <v>Thị trấn Na Dương</v>
          </cell>
          <cell r="P498" t="str">
            <v>Huyện Lộc Bình</v>
          </cell>
          <cell r="Q498" t="str">
            <v>Tỉnh Lạng Sơn</v>
          </cell>
          <cell r="S498" t="str">
            <v>Phường Tam Thanh</v>
          </cell>
          <cell r="T498" t="str">
            <v>Thành phố Lạng Sơn</v>
          </cell>
          <cell r="U498" t="str">
            <v>Tỉnh Lạng Sơn</v>
          </cell>
          <cell r="V498" t="str">
            <v>Phường Tam Thanh, Thành phố Lạng Sơn, Tỉnh Lạng Sơn</v>
          </cell>
          <cell r="W498" t="str">
            <v>1/9/2006</v>
          </cell>
          <cell r="AA498">
            <v>0</v>
          </cell>
          <cell r="AB498" t="str">
            <v>TĐ047</v>
          </cell>
          <cell r="AC498" t="str">
            <v>GM-HS</v>
          </cell>
          <cell r="AD498" t="str">
            <v>GM-HS</v>
          </cell>
          <cell r="AE498" t="str">
            <v>HĐ theo NĐ161</v>
          </cell>
          <cell r="AG498">
            <v>0</v>
          </cell>
          <cell r="AH498">
            <v>2.0099999999999998</v>
          </cell>
          <cell r="AI498">
            <v>3</v>
          </cell>
          <cell r="AK498">
            <v>45689</v>
          </cell>
          <cell r="AL498" t="str">
            <v>Chứng chỉ</v>
          </cell>
          <cell r="AM498" t="str">
            <v>Hộ lý</v>
          </cell>
          <cell r="AQ498" t="str">
            <v>12/12</v>
          </cell>
          <cell r="AX498" t="str">
            <v>Nghiệp vụ hộ lý</v>
          </cell>
          <cell r="AY498" t="str">
            <v>Tày</v>
          </cell>
        </row>
        <row r="499">
          <cell r="A499" t="str">
            <v>BV0420</v>
          </cell>
          <cell r="B499">
            <v>493</v>
          </cell>
          <cell r="C499" t="str">
            <v>Hoàng Thị Phương</v>
          </cell>
          <cell r="D499" t="str">
            <v>BV0420</v>
          </cell>
          <cell r="E499">
            <v>1505002937</v>
          </cell>
          <cell r="I499">
            <v>27091</v>
          </cell>
          <cell r="J499">
            <v>52</v>
          </cell>
          <cell r="K499" t="str">
            <v>080944742</v>
          </cell>
          <cell r="L499" t="str">
            <v>07/02/2003</v>
          </cell>
          <cell r="M499" t="str">
            <v>CA tỉnh Lạng Sơn</v>
          </cell>
          <cell r="P499" t="str">
            <v>Huyện Văn Quan</v>
          </cell>
          <cell r="Q499" t="str">
            <v>Tỉnh Lạng Sơn</v>
          </cell>
          <cell r="S499" t="str">
            <v>Phường Vĩnh Trại</v>
          </cell>
          <cell r="T499" t="str">
            <v>Thành phố Lạng Sơn</v>
          </cell>
          <cell r="U499" t="str">
            <v>Tỉnh Lạng Sơn</v>
          </cell>
          <cell r="V499" t="str">
            <v>Phường Vĩnh Trại, Thành phố Lạng Sơn, Tỉnh Lạng Sơn</v>
          </cell>
          <cell r="W499" t="str">
            <v>1/2/2005</v>
          </cell>
          <cell r="AA499">
            <v>0</v>
          </cell>
          <cell r="AB499" t="str">
            <v>TĐ047</v>
          </cell>
          <cell r="AC499" t="str">
            <v>KSNK</v>
          </cell>
          <cell r="AD499" t="str">
            <v>KSNK</v>
          </cell>
          <cell r="AE499" t="str">
            <v>HĐ theo NĐ161</v>
          </cell>
          <cell r="AG499">
            <v>0</v>
          </cell>
          <cell r="AH499">
            <v>2.19</v>
          </cell>
          <cell r="AI499">
            <v>4</v>
          </cell>
          <cell r="AK499">
            <v>45689</v>
          </cell>
          <cell r="AL499" t="str">
            <v>Chứng chỉ</v>
          </cell>
          <cell r="AM499" t="str">
            <v>Hộ lý</v>
          </cell>
          <cell r="AY499" t="str">
            <v>Tày</v>
          </cell>
        </row>
        <row r="500">
          <cell r="A500" t="str">
            <v>BV0239</v>
          </cell>
          <cell r="B500">
            <v>494</v>
          </cell>
          <cell r="C500" t="str">
            <v>Nông Thị Đường</v>
          </cell>
          <cell r="D500" t="str">
            <v>BV0239</v>
          </cell>
          <cell r="E500">
            <v>1500002069</v>
          </cell>
          <cell r="I500">
            <v>26536</v>
          </cell>
          <cell r="J500">
            <v>53</v>
          </cell>
          <cell r="K500" t="str">
            <v>082001354</v>
          </cell>
          <cell r="L500" t="str">
            <v>21/11/2003</v>
          </cell>
          <cell r="M500" t="str">
            <v>CA tỉnh Lạng Sơn</v>
          </cell>
          <cell r="O500" t="str">
            <v>Xã Đại Đồng</v>
          </cell>
          <cell r="P500" t="str">
            <v>Huyện Tràng Định</v>
          </cell>
          <cell r="Q500" t="str">
            <v>Tỉnh Lạng Sơn</v>
          </cell>
          <cell r="S500" t="str">
            <v>Phường Đông Kinh</v>
          </cell>
          <cell r="T500" t="str">
            <v>Thành phố Lạng Sơn</v>
          </cell>
          <cell r="U500" t="str">
            <v>Tỉnh Lạng Sơn</v>
          </cell>
          <cell r="V500" t="str">
            <v>Phường Đông Kinh, Thành phố Lạng Sơn, Tỉnh Lạng Sơn</v>
          </cell>
          <cell r="W500" t="str">
            <v>10/5/1999</v>
          </cell>
          <cell r="AA500">
            <v>0</v>
          </cell>
          <cell r="AB500" t="str">
            <v>TĐ047</v>
          </cell>
          <cell r="AC500" t="str">
            <v>Mắt</v>
          </cell>
          <cell r="AD500" t="str">
            <v>Mắt</v>
          </cell>
          <cell r="AE500" t="str">
            <v>HĐ theo NĐ161</v>
          </cell>
          <cell r="AG500">
            <v>0</v>
          </cell>
          <cell r="AH500">
            <v>2.37</v>
          </cell>
          <cell r="AI500">
            <v>5</v>
          </cell>
          <cell r="AK500">
            <v>45689</v>
          </cell>
          <cell r="AL500" t="str">
            <v>Chứng chỉ</v>
          </cell>
          <cell r="AM500" t="str">
            <v>Hộ lý</v>
          </cell>
          <cell r="AY500" t="str">
            <v>Tày</v>
          </cell>
        </row>
        <row r="501">
          <cell r="A501" t="str">
            <v>BV0043</v>
          </cell>
          <cell r="B501">
            <v>495</v>
          </cell>
          <cell r="C501" t="str">
            <v>Hoàng Thị Hoa</v>
          </cell>
          <cell r="D501" t="str">
            <v>BV0043</v>
          </cell>
          <cell r="E501">
            <v>1500002064</v>
          </cell>
          <cell r="G501" t="str">
            <v>020187006390, ngày cấp 25/6/2021. Cục trưởng cục cảnh sát quản lý HC về TTXH</v>
          </cell>
          <cell r="I501">
            <v>25808</v>
          </cell>
          <cell r="J501">
            <v>55</v>
          </cell>
          <cell r="K501" t="str">
            <v>080916940</v>
          </cell>
          <cell r="L501" t="str">
            <v>25/12/1987</v>
          </cell>
          <cell r="M501" t="str">
            <v>CA tỉnh Lạng Sơn</v>
          </cell>
          <cell r="N501" t="str">
            <v>Xã Xuân Mai, huyện Văn Quan, tỉnh Lạng Sơn</v>
          </cell>
          <cell r="O501" t="str">
            <v>Thị trấn Văn Quan</v>
          </cell>
          <cell r="P501" t="str">
            <v>Huyện Văn Quan</v>
          </cell>
          <cell r="Q501" t="str">
            <v>Tỉnh Lạng Sơn</v>
          </cell>
          <cell r="S501" t="str">
            <v>Phường Hoàng Văn Thụ</v>
          </cell>
          <cell r="T501" t="str">
            <v>Thành phố Lạng Sơn</v>
          </cell>
          <cell r="U501" t="str">
            <v>Tỉnh Lạng Sơn</v>
          </cell>
          <cell r="V501" t="str">
            <v>Phường Hoàng Văn Thụ, Thành phố Lạng Sơn, Tỉnh Lạng Sơn</v>
          </cell>
          <cell r="W501" t="str">
            <v>1/4/1996</v>
          </cell>
          <cell r="AA501">
            <v>0</v>
          </cell>
          <cell r="AB501" t="str">
            <v>TĐ047</v>
          </cell>
          <cell r="AC501" t="str">
            <v>Khám bệnh</v>
          </cell>
          <cell r="AD501" t="str">
            <v>Khám bệnh</v>
          </cell>
          <cell r="AE501" t="str">
            <v>HĐ theo NĐ161</v>
          </cell>
          <cell r="AG501">
            <v>0</v>
          </cell>
          <cell r="AH501">
            <v>2.19</v>
          </cell>
          <cell r="AI501">
            <v>4</v>
          </cell>
          <cell r="AK501">
            <v>45689</v>
          </cell>
          <cell r="AL501" t="str">
            <v>Chứng chỉ</v>
          </cell>
          <cell r="AM501" t="str">
            <v>Hộ lý</v>
          </cell>
          <cell r="AQ501" t="str">
            <v>12/12</v>
          </cell>
          <cell r="AX501" t="str">
            <v>Nghiệp vụ hộ lý</v>
          </cell>
          <cell r="AY501" t="str">
            <v>Nùng</v>
          </cell>
          <cell r="BA501" t="e">
            <v>#REF!</v>
          </cell>
          <cell r="BB501" t="e">
            <v>#REF!</v>
          </cell>
        </row>
        <row r="502">
          <cell r="A502" t="str">
            <v>BV0562</v>
          </cell>
          <cell r="B502">
            <v>496</v>
          </cell>
          <cell r="C502" t="str">
            <v>Hoàng Thị Hồng Nhung</v>
          </cell>
          <cell r="D502" t="str">
            <v>BV0562</v>
          </cell>
          <cell r="E502">
            <v>1500002077</v>
          </cell>
          <cell r="I502">
            <v>26331</v>
          </cell>
          <cell r="J502">
            <v>54</v>
          </cell>
          <cell r="K502" t="str">
            <v>080992048</v>
          </cell>
          <cell r="L502" t="str">
            <v>19/6/1998</v>
          </cell>
          <cell r="M502" t="str">
            <v>CA tỉnh Lạng Sơn</v>
          </cell>
          <cell r="N502" t="str">
            <v>Tỉnh Lạng Sơn</v>
          </cell>
          <cell r="P502" t="str">
            <v>Huyện Văn Lãng</v>
          </cell>
          <cell r="Q502" t="str">
            <v>Tỉnh Lạng Sơn</v>
          </cell>
          <cell r="S502" t="str">
            <v>Phường Tam Thanh</v>
          </cell>
          <cell r="T502" t="str">
            <v>Thành phố Lạng Sơn</v>
          </cell>
          <cell r="U502" t="str">
            <v>Tỉnh Lạng Sơn</v>
          </cell>
          <cell r="V502" t="str">
            <v>Phường Tam Thanh, Thành phố Lạng Sơn, Tỉnh Lạng Sơn</v>
          </cell>
          <cell r="W502" t="str">
            <v>10/5/1999</v>
          </cell>
          <cell r="AA502">
            <v>0</v>
          </cell>
          <cell r="AB502" t="str">
            <v>TĐ047</v>
          </cell>
          <cell r="AC502" t="str">
            <v>TDCN</v>
          </cell>
          <cell r="AD502" t="str">
            <v>TDCN</v>
          </cell>
          <cell r="AE502" t="str">
            <v>HĐ theo NĐ161</v>
          </cell>
          <cell r="AG502">
            <v>0</v>
          </cell>
          <cell r="AH502">
            <v>2.37</v>
          </cell>
          <cell r="AI502">
            <v>5</v>
          </cell>
          <cell r="AK502">
            <v>45689</v>
          </cell>
          <cell r="AL502" t="str">
            <v>Chứng chỉ</v>
          </cell>
          <cell r="AM502" t="str">
            <v>Hộ lý</v>
          </cell>
          <cell r="AO502" t="str">
            <v>CĐ Y tế Lạng Sơn</v>
          </cell>
          <cell r="AP502">
            <v>2011</v>
          </cell>
          <cell r="AQ502" t="str">
            <v>12/12</v>
          </cell>
          <cell r="AY502" t="str">
            <v>Tày</v>
          </cell>
        </row>
        <row r="503">
          <cell r="A503" t="str">
            <v>BV0294</v>
          </cell>
          <cell r="B503">
            <v>497</v>
          </cell>
          <cell r="C503" t="str">
            <v>Lê Thị Biển</v>
          </cell>
          <cell r="D503" t="str">
            <v>BV0294</v>
          </cell>
          <cell r="E503">
            <v>1500002061</v>
          </cell>
          <cell r="I503">
            <v>28318</v>
          </cell>
          <cell r="J503">
            <v>48</v>
          </cell>
          <cell r="K503" t="str">
            <v>081025728</v>
          </cell>
          <cell r="L503" t="str">
            <v>30/3/2001</v>
          </cell>
          <cell r="M503" t="str">
            <v>CA tỉnh Lạng Sơn</v>
          </cell>
          <cell r="N503" t="str">
            <v>Tỉnh Lạng Sơn</v>
          </cell>
          <cell r="O503" t="str">
            <v>Xã Tân Tri</v>
          </cell>
          <cell r="P503" t="str">
            <v>Huyện Bắc Sơn</v>
          </cell>
          <cell r="Q503" t="str">
            <v>Tỉnh Lạng Sơn</v>
          </cell>
          <cell r="S503" t="str">
            <v>Phường Đông Kinh</v>
          </cell>
          <cell r="T503" t="str">
            <v>Thành phố Lạng Sơn</v>
          </cell>
          <cell r="U503" t="str">
            <v>Tỉnh Lạng Sơn</v>
          </cell>
          <cell r="V503" t="str">
            <v>Phường Đông Kinh, Thành phố Lạng Sơn, Tỉnh Lạng Sơn</v>
          </cell>
          <cell r="W503" t="str">
            <v>15/8/1998</v>
          </cell>
          <cell r="AA503">
            <v>0</v>
          </cell>
          <cell r="AB503" t="str">
            <v>TĐ047</v>
          </cell>
          <cell r="AC503" t="str">
            <v>Phụ sản</v>
          </cell>
          <cell r="AD503" t="str">
            <v>Phụ sản</v>
          </cell>
          <cell r="AE503" t="str">
            <v>HĐ theo NĐ161</v>
          </cell>
          <cell r="AG503">
            <v>0</v>
          </cell>
          <cell r="AH503">
            <v>2.19</v>
          </cell>
          <cell r="AI503">
            <v>4</v>
          </cell>
          <cell r="AK503">
            <v>45689</v>
          </cell>
          <cell r="AL503" t="str">
            <v>Chứng chỉ</v>
          </cell>
          <cell r="AM503" t="str">
            <v>Hộ lý</v>
          </cell>
          <cell r="AO503" t="str">
            <v>CĐ Y tế Lạng Sơn</v>
          </cell>
          <cell r="AP503">
            <v>2011</v>
          </cell>
          <cell r="AQ503" t="str">
            <v>9/10</v>
          </cell>
          <cell r="AW503" t="str">
            <v>A</v>
          </cell>
          <cell r="AX503" t="str">
            <v>Dược tá; Chứng chỉ Hộ lý</v>
          </cell>
          <cell r="AY503" t="str">
            <v>Tày</v>
          </cell>
          <cell r="BC503" t="str">
            <v>10/4/2018</v>
          </cell>
        </row>
        <row r="504">
          <cell r="A504" t="str">
            <v>BV0452</v>
          </cell>
          <cell r="B504">
            <v>498</v>
          </cell>
          <cell r="C504" t="str">
            <v>Vi Thị Đông</v>
          </cell>
          <cell r="D504" t="str">
            <v>BV0452</v>
          </cell>
          <cell r="E504">
            <v>1500002071</v>
          </cell>
          <cell r="I504">
            <v>26725</v>
          </cell>
          <cell r="J504">
            <v>53</v>
          </cell>
          <cell r="K504" t="str">
            <v>080829649</v>
          </cell>
          <cell r="L504" t="str">
            <v>17/03/2010</v>
          </cell>
          <cell r="M504" t="str">
            <v>CA tỉnh Lạng Sơn</v>
          </cell>
          <cell r="P504" t="str">
            <v>Huyện Văn Quan</v>
          </cell>
          <cell r="Q504" t="str">
            <v>Tỉnh Lạng Sơn</v>
          </cell>
          <cell r="S504" t="str">
            <v>Phường Đông Kinh</v>
          </cell>
          <cell r="T504" t="str">
            <v>Thành phố Lạng Sơn</v>
          </cell>
          <cell r="U504" t="str">
            <v>Tỉnh Lạng Sơn</v>
          </cell>
          <cell r="V504" t="str">
            <v>Phường Đông Kinh, Thành phố Lạng Sơn, Tỉnh Lạng Sơn</v>
          </cell>
          <cell r="W504" t="str">
            <v>10/5/1999</v>
          </cell>
          <cell r="AA504">
            <v>0</v>
          </cell>
          <cell r="AB504" t="str">
            <v>TĐ047</v>
          </cell>
          <cell r="AC504" t="str">
            <v>HS-VS</v>
          </cell>
          <cell r="AD504" t="str">
            <v>HS-VS</v>
          </cell>
          <cell r="AE504" t="str">
            <v>HĐ theo NĐ161</v>
          </cell>
          <cell r="AG504">
            <v>0</v>
          </cell>
          <cell r="AH504">
            <v>2.19</v>
          </cell>
          <cell r="AI504">
            <v>4</v>
          </cell>
          <cell r="AK504">
            <v>45689</v>
          </cell>
          <cell r="AL504" t="str">
            <v>Chứng chỉ</v>
          </cell>
          <cell r="AM504" t="str">
            <v>Hộ lý</v>
          </cell>
          <cell r="AY504" t="str">
            <v>Tày</v>
          </cell>
        </row>
        <row r="505">
          <cell r="A505" t="str">
            <v>BV0602</v>
          </cell>
          <cell r="B505">
            <v>499</v>
          </cell>
          <cell r="C505" t="str">
            <v>Trần Nam Trung</v>
          </cell>
          <cell r="D505" t="str">
            <v>BV0602</v>
          </cell>
          <cell r="E505">
            <v>1505002936</v>
          </cell>
          <cell r="H505">
            <v>26882</v>
          </cell>
          <cell r="J505">
            <v>52</v>
          </cell>
          <cell r="K505" t="str">
            <v>080979678</v>
          </cell>
          <cell r="L505" t="str">
            <v>04/03/2011</v>
          </cell>
          <cell r="M505" t="str">
            <v>CA tỉnh Lạng Sơn</v>
          </cell>
          <cell r="O505" t="str">
            <v>Phường Vĩnh Trại</v>
          </cell>
          <cell r="P505" t="str">
            <v>Thành phố Lạng Sơn</v>
          </cell>
          <cell r="Q505" t="str">
            <v>Tỉnh Lạng Sơn</v>
          </cell>
          <cell r="S505" t="str">
            <v>Phường Vĩnh Trại</v>
          </cell>
          <cell r="T505" t="str">
            <v>Thành phố Lạng Sơn</v>
          </cell>
          <cell r="U505" t="str">
            <v>Tỉnh Lạng Sơn</v>
          </cell>
          <cell r="V505" t="str">
            <v>Phường Vĩnh Trại, Thành phố Lạng Sơn, Tỉnh Lạng Sơn</v>
          </cell>
          <cell r="W505" t="str">
            <v>15/4/2005</v>
          </cell>
          <cell r="AA505">
            <v>0</v>
          </cell>
          <cell r="AB505" t="str">
            <v>TĐ043</v>
          </cell>
          <cell r="AC505" t="str">
            <v>HCQT</v>
          </cell>
          <cell r="AD505" t="str">
            <v>HCQT</v>
          </cell>
          <cell r="AE505" t="str">
            <v>HĐ theo NĐ161</v>
          </cell>
          <cell r="AG505">
            <v>0</v>
          </cell>
          <cell r="AH505">
            <v>2.23</v>
          </cell>
          <cell r="AI505">
            <v>2</v>
          </cell>
          <cell r="AK505">
            <v>45689</v>
          </cell>
          <cell r="AM505" t="str">
            <v>Lái xe</v>
          </cell>
          <cell r="AQ505" t="str">
            <v>12/12</v>
          </cell>
          <cell r="AY505" t="str">
            <v>Kinh</v>
          </cell>
        </row>
        <row r="506">
          <cell r="A506" t="str">
            <v>BV0603</v>
          </cell>
          <cell r="B506">
            <v>500</v>
          </cell>
          <cell r="C506" t="str">
            <v>Dương Công Đức</v>
          </cell>
          <cell r="D506" t="str">
            <v>BV0603</v>
          </cell>
          <cell r="E506">
            <v>2009001179</v>
          </cell>
          <cell r="H506">
            <v>31871</v>
          </cell>
          <cell r="J506">
            <v>39</v>
          </cell>
          <cell r="K506" t="str">
            <v>082048876</v>
          </cell>
          <cell r="L506" t="str">
            <v>21/04/2005</v>
          </cell>
          <cell r="M506" t="str">
            <v>CA tỉnh Lạng Sơn</v>
          </cell>
          <cell r="N506" t="str">
            <v>Hưng Vuc, Bắc Sơn</v>
          </cell>
          <cell r="O506" t="str">
            <v>Xã Hưng Vũ</v>
          </cell>
          <cell r="P506" t="str">
            <v>Huyện Bắc Sơn</v>
          </cell>
          <cell r="Q506" t="str">
            <v>Tỉnh Lạng Sơn</v>
          </cell>
          <cell r="R506" t="str">
            <v>Số 96 đường Bến Bắc</v>
          </cell>
          <cell r="S506" t="str">
            <v>Phường Tam Thanh</v>
          </cell>
          <cell r="T506" t="str">
            <v>Thành phố Lạng Sơn</v>
          </cell>
          <cell r="U506" t="str">
            <v>Tỉnh Lạng Sơn</v>
          </cell>
          <cell r="V506" t="str">
            <v>Phường Tam Thanh, Thành phố Lạng Sơn, Tỉnh Lạng Sơn</v>
          </cell>
          <cell r="W506" t="str">
            <v>5/5/2009</v>
          </cell>
          <cell r="AA506">
            <v>0</v>
          </cell>
          <cell r="AB506" t="str">
            <v>TĐ043</v>
          </cell>
          <cell r="AC506" t="str">
            <v>HCQT</v>
          </cell>
          <cell r="AD506" t="str">
            <v>HCQT</v>
          </cell>
          <cell r="AE506" t="str">
            <v>HĐ theo NĐ161</v>
          </cell>
          <cell r="AG506">
            <v>0</v>
          </cell>
          <cell r="AH506">
            <v>2.0499999999999998</v>
          </cell>
          <cell r="AI506">
            <v>1</v>
          </cell>
          <cell r="AK506">
            <v>45689</v>
          </cell>
          <cell r="AM506" t="str">
            <v>Lái xe</v>
          </cell>
          <cell r="AY506" t="str">
            <v>Tày</v>
          </cell>
        </row>
        <row r="507">
          <cell r="A507" t="str">
            <v>BV0604</v>
          </cell>
          <cell r="B507">
            <v>501</v>
          </cell>
          <cell r="C507" t="str">
            <v>Lê Trọng Lựu</v>
          </cell>
          <cell r="D507" t="str">
            <v>BV0604</v>
          </cell>
          <cell r="E507">
            <v>1505002850</v>
          </cell>
          <cell r="H507">
            <v>28025</v>
          </cell>
          <cell r="J507">
            <v>49</v>
          </cell>
          <cell r="K507" t="str">
            <v>082021125</v>
          </cell>
          <cell r="L507" t="str">
            <v>06/04/2004</v>
          </cell>
          <cell r="M507" t="str">
            <v>CA tỉnh Lạng Sơn</v>
          </cell>
          <cell r="N507" t="str">
            <v>Quốc Việt, Tràng Định</v>
          </cell>
          <cell r="O507" t="str">
            <v>Xã Quốc Việt</v>
          </cell>
          <cell r="P507" t="str">
            <v>Huyện Tràng Định</v>
          </cell>
          <cell r="Q507" t="str">
            <v>Tỉnh Lạng Sơn</v>
          </cell>
          <cell r="R507" t="str">
            <v>Nặm Thoỏng</v>
          </cell>
          <cell r="S507" t="str">
            <v>Xã Hoàng Đồng</v>
          </cell>
          <cell r="T507" t="str">
            <v>Thành phố Lạng Sơn</v>
          </cell>
          <cell r="U507" t="str">
            <v>Tỉnh Lạng Sơn</v>
          </cell>
          <cell r="V507" t="str">
            <v>Xã Hoàng Đồng, Thành phố Lạng Sơn, Tỉnh Lạng Sơn</v>
          </cell>
          <cell r="W507" t="str">
            <v>3/6/2008</v>
          </cell>
          <cell r="AA507">
            <v>0</v>
          </cell>
          <cell r="AB507" t="str">
            <v>TĐ043</v>
          </cell>
          <cell r="AC507" t="str">
            <v>HCQT</v>
          </cell>
          <cell r="AD507" t="str">
            <v>HCQT</v>
          </cell>
          <cell r="AE507" t="str">
            <v>HĐ theo NĐ161</v>
          </cell>
          <cell r="AG507">
            <v>0</v>
          </cell>
          <cell r="AH507">
            <v>2.23</v>
          </cell>
          <cell r="AI507">
            <v>2</v>
          </cell>
          <cell r="AK507">
            <v>45689</v>
          </cell>
          <cell r="AM507" t="str">
            <v>Lái xe</v>
          </cell>
          <cell r="AQ507" t="str">
            <v>11/12</v>
          </cell>
          <cell r="AY507" t="str">
            <v>Tày</v>
          </cell>
        </row>
        <row r="508">
          <cell r="A508" t="str">
            <v>BV0605</v>
          </cell>
          <cell r="B508">
            <v>502</v>
          </cell>
          <cell r="C508" t="str">
            <v>Đinh Phúc Thịnh</v>
          </cell>
          <cell r="D508" t="str">
            <v>BV0605</v>
          </cell>
          <cell r="E508">
            <v>2009000949</v>
          </cell>
          <cell r="H508">
            <v>28875</v>
          </cell>
          <cell r="J508">
            <v>47</v>
          </cell>
          <cell r="K508" t="str">
            <v>080982391</v>
          </cell>
          <cell r="L508" t="str">
            <v>20/03/1999</v>
          </cell>
          <cell r="M508" t="str">
            <v>CA tỉnh Lạng Sơn</v>
          </cell>
          <cell r="N508" t="str">
            <v>Xã Mai Pha</v>
          </cell>
          <cell r="O508" t="str">
            <v>Xã Mai Pha</v>
          </cell>
          <cell r="P508" t="str">
            <v>Thành phố Lạng Sơn</v>
          </cell>
          <cell r="Q508" t="str">
            <v>Tỉnh Lạng Sơn</v>
          </cell>
          <cell r="S508" t="str">
            <v>Xã Mai Pha</v>
          </cell>
          <cell r="T508" t="str">
            <v>Thành phố Lạng Sơn</v>
          </cell>
          <cell r="U508" t="str">
            <v>Tỉnh Lạng Sơn</v>
          </cell>
          <cell r="V508" t="str">
            <v>Xã Mai Pha, Thành phố Lạng Sơn, Tỉnh Lạng Sơn</v>
          </cell>
          <cell r="W508" t="str">
            <v>1/12/2008</v>
          </cell>
          <cell r="AA508">
            <v>0</v>
          </cell>
          <cell r="AB508" t="str">
            <v>TĐ043</v>
          </cell>
          <cell r="AC508" t="str">
            <v>HCQT</v>
          </cell>
          <cell r="AD508" t="str">
            <v>HCQT</v>
          </cell>
          <cell r="AE508" t="str">
            <v>HĐ theo NĐ161</v>
          </cell>
          <cell r="AG508">
            <v>0</v>
          </cell>
          <cell r="AH508">
            <v>2.0499999999999998</v>
          </cell>
          <cell r="AI508">
            <v>1</v>
          </cell>
          <cell r="AK508">
            <v>45689</v>
          </cell>
          <cell r="AM508" t="str">
            <v>Lái xe</v>
          </cell>
          <cell r="AY508" t="str">
            <v>Tày</v>
          </cell>
        </row>
        <row r="509">
          <cell r="A509" t="str">
            <v>BV0606</v>
          </cell>
          <cell r="B509">
            <v>503</v>
          </cell>
          <cell r="C509" t="str">
            <v>Hà Văn Hàm</v>
          </cell>
          <cell r="D509" t="str">
            <v>BV0606</v>
          </cell>
          <cell r="E509">
            <v>2013003423</v>
          </cell>
          <cell r="H509">
            <v>32070</v>
          </cell>
          <cell r="J509">
            <v>38</v>
          </cell>
          <cell r="K509" t="str">
            <v>081030324</v>
          </cell>
          <cell r="L509" t="str">
            <v>27/06/2003</v>
          </cell>
          <cell r="M509" t="str">
            <v>CA tỉnh Lạng Sơn</v>
          </cell>
          <cell r="N509" t="str">
            <v>Quốc Việt, Tràng Định</v>
          </cell>
          <cell r="O509" t="str">
            <v>Xã Quốc Việt</v>
          </cell>
          <cell r="P509" t="str">
            <v>Huyện Tràng Định</v>
          </cell>
          <cell r="Q509" t="str">
            <v>Tỉnh Lạng Sơn</v>
          </cell>
          <cell r="R509" t="str">
            <v>136 đường Nhị Thanh</v>
          </cell>
          <cell r="S509" t="str">
            <v>Xã Quốc Việt</v>
          </cell>
          <cell r="T509" t="str">
            <v>Huyện Tràng Định</v>
          </cell>
          <cell r="U509" t="str">
            <v>Tỉnh Lạng Sơn</v>
          </cell>
          <cell r="V509" t="str">
            <v>Xã Quốc Việt, Huyện Tràng Định, Tỉnh Lạng Sơn</v>
          </cell>
          <cell r="W509" t="str">
            <v>07/11/2013</v>
          </cell>
          <cell r="AA509">
            <v>0</v>
          </cell>
          <cell r="AB509" t="str">
            <v>TĐ043</v>
          </cell>
          <cell r="AC509" t="str">
            <v>HCQT</v>
          </cell>
          <cell r="AD509" t="str">
            <v>HCQT</v>
          </cell>
          <cell r="AE509" t="str">
            <v>HĐ theo NĐ161</v>
          </cell>
          <cell r="AG509">
            <v>0</v>
          </cell>
          <cell r="AH509">
            <v>2.0499999999999998</v>
          </cell>
          <cell r="AI509">
            <v>1</v>
          </cell>
          <cell r="AK509">
            <v>45689</v>
          </cell>
          <cell r="AM509" t="str">
            <v>Lái xe</v>
          </cell>
          <cell r="AQ509" t="str">
            <v>12/12</v>
          </cell>
          <cell r="AX509" t="str">
            <v>Giấy phép lái xe</v>
          </cell>
          <cell r="AY509" t="str">
            <v>Tày</v>
          </cell>
        </row>
        <row r="510">
          <cell r="A510" t="str">
            <v>BV0629</v>
          </cell>
          <cell r="B510">
            <v>504</v>
          </cell>
          <cell r="C510" t="str">
            <v>Vy Mạnh Hùng</v>
          </cell>
          <cell r="D510" t="str">
            <v>BV0629</v>
          </cell>
          <cell r="E510">
            <v>2015003319</v>
          </cell>
          <cell r="H510" t="str">
            <v>14/02/1990</v>
          </cell>
          <cell r="J510">
            <v>36</v>
          </cell>
          <cell r="K510" t="str">
            <v>082181351</v>
          </cell>
          <cell r="L510" t="str">
            <v>24/11/2008</v>
          </cell>
          <cell r="M510" t="str">
            <v>CA tỉnh Lạng Sơn</v>
          </cell>
          <cell r="N510" t="str">
            <v>TT Lộc Bình</v>
          </cell>
          <cell r="O510" t="str">
            <v>TT Lộc Bình</v>
          </cell>
          <cell r="P510" t="str">
            <v>Lộc Bình</v>
          </cell>
          <cell r="Q510" t="str">
            <v>Tỉnh Lạng Sơn</v>
          </cell>
          <cell r="R510" t="str">
            <v>TT Lộc Bình</v>
          </cell>
          <cell r="S510" t="str">
            <v>TT Lộc Bình</v>
          </cell>
          <cell r="T510" t="str">
            <v>Lộc Bình</v>
          </cell>
          <cell r="U510" t="str">
            <v>Tỉnh Lạng Sơn</v>
          </cell>
          <cell r="V510" t="str">
            <v>Thị trấn Lộc Bình, huyện Lộc Bình, tỉnh Lạng Sơn</v>
          </cell>
          <cell r="W510" t="str">
            <v>03/01/2017</v>
          </cell>
          <cell r="AA510">
            <v>0</v>
          </cell>
          <cell r="AB510" t="str">
            <v>TĐ043</v>
          </cell>
          <cell r="AC510" t="str">
            <v>HCQT</v>
          </cell>
          <cell r="AD510" t="str">
            <v>HCQT</v>
          </cell>
          <cell r="AE510" t="str">
            <v>HĐ theo NĐ161</v>
          </cell>
          <cell r="AG510">
            <v>0</v>
          </cell>
          <cell r="AH510">
            <v>2.0499999999999998</v>
          </cell>
          <cell r="AI510">
            <v>1</v>
          </cell>
          <cell r="AK510">
            <v>45689</v>
          </cell>
          <cell r="AM510" t="str">
            <v>Lái xe</v>
          </cell>
          <cell r="AQ510" t="str">
            <v>12/12</v>
          </cell>
          <cell r="AY510" t="str">
            <v>Tày</v>
          </cell>
        </row>
        <row r="511">
          <cell r="A511" t="str">
            <v>BV0615</v>
          </cell>
          <cell r="B511">
            <v>505</v>
          </cell>
          <cell r="C511" t="str">
            <v>Nguyễn Đức Long</v>
          </cell>
          <cell r="D511" t="str">
            <v>BV0615</v>
          </cell>
          <cell r="E511">
            <v>1505002505</v>
          </cell>
          <cell r="G511" t="str">
            <v>CCCD: 020081007165
Ngày cấp: 14/8/2021
Tại Cục cảnh sát quản lý hành chính về trật tự xã hội</v>
          </cell>
          <cell r="H511">
            <v>29731</v>
          </cell>
          <cell r="J511">
            <v>45</v>
          </cell>
          <cell r="K511" t="str">
            <v>080982269</v>
          </cell>
          <cell r="L511" t="str">
            <v>14/07/2009</v>
          </cell>
          <cell r="M511" t="str">
            <v>CA tỉnh Lạng Sơn</v>
          </cell>
          <cell r="N511" t="str">
            <v>Hà Kỳ, Tứ Kỳ</v>
          </cell>
          <cell r="O511" t="str">
            <v>Hà Kỳ</v>
          </cell>
          <cell r="P511" t="str">
            <v>Huyện Tứ Kỳ</v>
          </cell>
          <cell r="Q511" t="str">
            <v>Tỉnh Hải Dương</v>
          </cell>
          <cell r="R511" t="str">
            <v>41 Ngõ 2 Đèo Giang</v>
          </cell>
          <cell r="S511" t="str">
            <v>Phường Chi Lăng</v>
          </cell>
          <cell r="T511" t="str">
            <v>Thành phố Lạng Sơn</v>
          </cell>
          <cell r="U511" t="str">
            <v>Tỉnh Lạng Sơn</v>
          </cell>
          <cell r="V511" t="str">
            <v>Phường Chi Lăng, Thành phố Lạng Sơn, Tỉnh Lạng Sơn</v>
          </cell>
          <cell r="W511" t="str">
            <v>1/8/2004</v>
          </cell>
          <cell r="AA511">
            <v>0</v>
          </cell>
          <cell r="AB511" t="str">
            <v>TĐ046</v>
          </cell>
          <cell r="AC511" t="str">
            <v>HCQT</v>
          </cell>
          <cell r="AD511" t="str">
            <v>HCQT</v>
          </cell>
          <cell r="AE511" t="str">
            <v>HĐ theo NĐ161</v>
          </cell>
          <cell r="AG511">
            <v>0</v>
          </cell>
          <cell r="AH511">
            <v>1.83</v>
          </cell>
          <cell r="AI511">
            <v>2</v>
          </cell>
          <cell r="AK511">
            <v>45689</v>
          </cell>
          <cell r="AL511" t="str">
            <v>Bằng nghề</v>
          </cell>
          <cell r="AM511" t="str">
            <v>NVKT</v>
          </cell>
          <cell r="AO511" t="str">
            <v>Trung học CN cơ Điện</v>
          </cell>
          <cell r="AP511">
            <v>2003</v>
          </cell>
          <cell r="AQ511" t="str">
            <v>12/12</v>
          </cell>
          <cell r="AW511" t="str">
            <v>A</v>
          </cell>
          <cell r="AY511" t="str">
            <v>Tày</v>
          </cell>
        </row>
        <row r="512">
          <cell r="A512" t="str">
            <v>BV0616</v>
          </cell>
          <cell r="B512">
            <v>506</v>
          </cell>
          <cell r="C512" t="str">
            <v>Nguyễn Minh Tùng</v>
          </cell>
          <cell r="D512" t="str">
            <v>BV0616</v>
          </cell>
          <cell r="E512">
            <v>2010000197</v>
          </cell>
          <cell r="G512" t="str">
            <v>CCCD: 020084002682
Ngày cấp: 29/4/2021
Tại Cục cảnh sát quản lý hành chính về trật tự xã hội</v>
          </cell>
          <cell r="H512">
            <v>30754</v>
          </cell>
          <cell r="J512">
            <v>42</v>
          </cell>
          <cell r="K512" t="str">
            <v>081042250</v>
          </cell>
          <cell r="L512" t="str">
            <v>11/11/2014</v>
          </cell>
          <cell r="M512" t="str">
            <v>CA tỉnh Lạng Sơn</v>
          </cell>
          <cell r="N512" t="str">
            <v>Đề Thám, Tràng Định</v>
          </cell>
          <cell r="O512" t="str">
            <v>Đề Thám</v>
          </cell>
          <cell r="P512" t="str">
            <v>Huyện Tràng Định</v>
          </cell>
          <cell r="Q512" t="str">
            <v>Tỉnh Lạng Sơn</v>
          </cell>
          <cell r="S512" t="str">
            <v>Phường Hoàng Văn Thụ</v>
          </cell>
          <cell r="T512" t="str">
            <v>Thành phố Lạng Sơn</v>
          </cell>
          <cell r="U512" t="str">
            <v>Tỉnh Lạng Sơn</v>
          </cell>
          <cell r="V512" t="str">
            <v>Phường Hoàng Văn Thụ, Thành phố Lạng Sơn, Tỉnh Lạng Sơn</v>
          </cell>
          <cell r="W512" t="str">
            <v>1/7/2009</v>
          </cell>
          <cell r="AA512">
            <v>0</v>
          </cell>
          <cell r="AB512" t="str">
            <v>TĐ046</v>
          </cell>
          <cell r="AC512" t="str">
            <v>HCQT</v>
          </cell>
          <cell r="AD512" t="str">
            <v>HCQT</v>
          </cell>
          <cell r="AE512" t="str">
            <v>HĐ theo NĐ161</v>
          </cell>
          <cell r="AG512">
            <v>0</v>
          </cell>
          <cell r="AH512">
            <v>1.65</v>
          </cell>
          <cell r="AI512">
            <v>1</v>
          </cell>
          <cell r="AK512">
            <v>45689</v>
          </cell>
          <cell r="AL512" t="str">
            <v>Bằng nghề</v>
          </cell>
          <cell r="AM512" t="str">
            <v>NVKT</v>
          </cell>
          <cell r="AO512" t="str">
            <v>CĐ Công nghiệp Sao đỏ</v>
          </cell>
          <cell r="AP512">
            <v>2007</v>
          </cell>
          <cell r="AQ512" t="str">
            <v>12/12</v>
          </cell>
          <cell r="AY512" t="str">
            <v>Tày</v>
          </cell>
          <cell r="AZ512">
            <v>38523</v>
          </cell>
        </row>
        <row r="513">
          <cell r="A513" t="str">
            <v>BV0582</v>
          </cell>
          <cell r="B513">
            <v>507</v>
          </cell>
          <cell r="C513" t="str">
            <v>Trịnh Tuấn Hùng</v>
          </cell>
          <cell r="D513" t="str">
            <v>BV0582</v>
          </cell>
          <cell r="E513">
            <v>1504000564</v>
          </cell>
          <cell r="H513">
            <v>26740</v>
          </cell>
          <cell r="J513">
            <v>53</v>
          </cell>
          <cell r="K513" t="str">
            <v>080812860</v>
          </cell>
          <cell r="L513" t="str">
            <v>22/07/1992</v>
          </cell>
          <cell r="M513" t="str">
            <v>CA tỉnh Lạng Sơn</v>
          </cell>
          <cell r="N513" t="str">
            <v>TP Lạng Sơn</v>
          </cell>
          <cell r="O513" t="str">
            <v xml:space="preserve">Phúc Yên </v>
          </cell>
          <cell r="P513" t="str">
            <v>Mê Linh</v>
          </cell>
          <cell r="Q513" t="str">
            <v>Tỉnh Lạng Sơn</v>
          </cell>
          <cell r="R513" t="str">
            <v>13 Đường Hùng Vương</v>
          </cell>
          <cell r="S513" t="str">
            <v>Phường Chi Lăng</v>
          </cell>
          <cell r="T513" t="str">
            <v>Thành phố Lạng Sơn</v>
          </cell>
          <cell r="U513" t="str">
            <v>Tỉnh Lạng Sơn</v>
          </cell>
          <cell r="V513" t="str">
            <v>Phường Chi Lăng, Thành phố Lạng Sơn, Tỉnh Lạng Sơn</v>
          </cell>
          <cell r="W513" t="str">
            <v>17/2/2003</v>
          </cell>
          <cell r="AA513">
            <v>0</v>
          </cell>
          <cell r="AB513" t="str">
            <v>TĐ046</v>
          </cell>
          <cell r="AC513" t="str">
            <v>VT-TTBYT</v>
          </cell>
          <cell r="AD513" t="str">
            <v>VT-TTBYT</v>
          </cell>
          <cell r="AE513" t="str">
            <v>HĐ theo NĐ161</v>
          </cell>
          <cell r="AG513">
            <v>0</v>
          </cell>
          <cell r="AH513">
            <v>1.83</v>
          </cell>
          <cell r="AI513">
            <v>2</v>
          </cell>
          <cell r="AK513">
            <v>45689</v>
          </cell>
          <cell r="AL513" t="str">
            <v>Bằng nghề</v>
          </cell>
          <cell r="AM513" t="str">
            <v>NVKT</v>
          </cell>
          <cell r="AO513" t="str">
            <v>Bằng Nghề Kỹ thuật thiết bị y tế</v>
          </cell>
          <cell r="AP513">
            <v>1999</v>
          </cell>
          <cell r="AQ513" t="str">
            <v>12/12</v>
          </cell>
          <cell r="AW513" t="str">
            <v>A</v>
          </cell>
          <cell r="AX513" t="str">
            <v>Quản lý, giám sát chất lượng nước RO dùng cho kỹ thuật chạy thận nhân tạo theo quy định mới của BYT</v>
          </cell>
          <cell r="AY513" t="str">
            <v>Kinh</v>
          </cell>
        </row>
        <row r="514">
          <cell r="A514" t="str">
            <v>BV0585</v>
          </cell>
          <cell r="B514">
            <v>508</v>
          </cell>
          <cell r="C514" t="str">
            <v>Lưu Đức Anh</v>
          </cell>
          <cell r="D514" t="str">
            <v>BV0585</v>
          </cell>
          <cell r="E514">
            <v>2009000950</v>
          </cell>
          <cell r="H514">
            <v>32455</v>
          </cell>
          <cell r="J514">
            <v>37</v>
          </cell>
          <cell r="K514" t="str">
            <v>082061729</v>
          </cell>
          <cell r="L514" t="str">
            <v>02/12/2005</v>
          </cell>
          <cell r="M514" t="str">
            <v>CA tỉnh Lạng Sơn</v>
          </cell>
          <cell r="N514" t="str">
            <v>Kim Động</v>
          </cell>
          <cell r="O514" t="str">
            <v>Hưng Yên</v>
          </cell>
          <cell r="P514" t="str">
            <v>Huyện Kim Động</v>
          </cell>
          <cell r="Q514" t="str">
            <v>Tỉnh Hưng Yên</v>
          </cell>
          <cell r="R514" t="str">
            <v>số 14 ngõ I Nguyễn Du</v>
          </cell>
          <cell r="S514" t="str">
            <v>Phường Vĩnh Trại</v>
          </cell>
          <cell r="T514" t="str">
            <v>Thành phố Lạng Sơn</v>
          </cell>
          <cell r="U514" t="str">
            <v>Tỉnh Lạng Sơn</v>
          </cell>
          <cell r="V514" t="str">
            <v>Phường Vĩnh Trại, Thành phố Lạng Sơn, Tỉnh Lạng Sơn</v>
          </cell>
          <cell r="W514" t="str">
            <v>1/12/2008</v>
          </cell>
          <cell r="AA514">
            <v>0</v>
          </cell>
          <cell r="AB514" t="str">
            <v>TĐ046</v>
          </cell>
          <cell r="AC514" t="str">
            <v>VT-TTBYT</v>
          </cell>
          <cell r="AD514" t="str">
            <v>VT-TTBYT</v>
          </cell>
          <cell r="AE514" t="str">
            <v>HĐ theo NĐ161</v>
          </cell>
          <cell r="AG514">
            <v>0</v>
          </cell>
          <cell r="AH514" t="str">
            <v>3.03</v>
          </cell>
          <cell r="AI514">
            <v>4</v>
          </cell>
          <cell r="AK514">
            <v>45261</v>
          </cell>
          <cell r="AL514" t="str">
            <v>Bằng nghề</v>
          </cell>
          <cell r="AM514" t="str">
            <v>NVKT</v>
          </cell>
          <cell r="AO514" t="str">
            <v xml:space="preserve">CĐ Nghề Thiế bị y tế </v>
          </cell>
          <cell r="AP514">
            <v>2008</v>
          </cell>
          <cell r="AQ514" t="str">
            <v>12/12</v>
          </cell>
          <cell r="AW514" t="str">
            <v>B</v>
          </cell>
          <cell r="AY514" t="str">
            <v>Kinh</v>
          </cell>
        </row>
        <row r="515">
          <cell r="A515" t="str">
            <v>BV0533</v>
          </cell>
          <cell r="B515">
            <v>509</v>
          </cell>
          <cell r="C515" t="str">
            <v>Hoàng Thị Lan</v>
          </cell>
          <cell r="D515" t="str">
            <v>BV0533</v>
          </cell>
          <cell r="E515">
            <v>1507000017</v>
          </cell>
          <cell r="I515">
            <v>30269</v>
          </cell>
          <cell r="J515">
            <v>43</v>
          </cell>
          <cell r="K515" t="str">
            <v>081057648</v>
          </cell>
          <cell r="L515" t="str">
            <v>20/04/2000</v>
          </cell>
          <cell r="M515" t="str">
            <v>CA tỉnh Lạng Sơn</v>
          </cell>
          <cell r="O515" t="str">
            <v>Xã Mai Pha</v>
          </cell>
          <cell r="P515" t="str">
            <v>Thành phố Lạng Sơn</v>
          </cell>
          <cell r="Q515" t="str">
            <v>Tỉnh Lạng Sơn</v>
          </cell>
          <cell r="S515" t="str">
            <v>Xã Mai Pha</v>
          </cell>
          <cell r="T515" t="str">
            <v>Thành phố Lạng Sơn</v>
          </cell>
          <cell r="U515" t="str">
            <v>Tỉnh Lạng Sơn</v>
          </cell>
          <cell r="V515" t="str">
            <v>Xã Mai Pha, Thành phố Lạng Sơn, Tỉnh Lạng Sơn</v>
          </cell>
          <cell r="W515" t="str">
            <v>1/12/2006</v>
          </cell>
          <cell r="AA515">
            <v>0</v>
          </cell>
          <cell r="AB515" t="str">
            <v>TĐ047</v>
          </cell>
          <cell r="AC515" t="str">
            <v>Cấp Cứu</v>
          </cell>
          <cell r="AD515" t="str">
            <v>Cấp Cứu</v>
          </cell>
          <cell r="AE515" t="str">
            <v>HĐ theo NĐ161</v>
          </cell>
          <cell r="AG515">
            <v>0</v>
          </cell>
          <cell r="AH515">
            <v>1.83</v>
          </cell>
          <cell r="AI515">
            <v>2</v>
          </cell>
          <cell r="AK515">
            <v>45689</v>
          </cell>
          <cell r="AL515" t="str">
            <v>Chứng chỉ</v>
          </cell>
          <cell r="AM515" t="str">
            <v>Hộ Lý</v>
          </cell>
          <cell r="AY515" t="str">
            <v>Tày</v>
          </cell>
        </row>
        <row r="516">
          <cell r="A516" t="str">
            <v>BV0144</v>
          </cell>
          <cell r="B516">
            <v>510</v>
          </cell>
          <cell r="C516" t="str">
            <v>Hà Thị Kim</v>
          </cell>
          <cell r="D516" t="str">
            <v>BV0144</v>
          </cell>
          <cell r="E516">
            <v>2009001784</v>
          </cell>
          <cell r="I516">
            <v>27956</v>
          </cell>
          <cell r="J516">
            <v>49</v>
          </cell>
          <cell r="K516" t="str">
            <v>080963182</v>
          </cell>
          <cell r="L516" t="str">
            <v>17/06/2011</v>
          </cell>
          <cell r="M516" t="str">
            <v>CA tỉnh Lạng Sơn</v>
          </cell>
          <cell r="P516" t="str">
            <v>Huyện Lộc Bình</v>
          </cell>
          <cell r="Q516" t="str">
            <v>Tỉnh Lạng Sơn</v>
          </cell>
          <cell r="S516" t="str">
            <v>Phường Tam Thanh</v>
          </cell>
          <cell r="T516" t="str">
            <v>Thành phố Lạng Sơn</v>
          </cell>
          <cell r="U516" t="str">
            <v>Tỉnh Lạng Sơn</v>
          </cell>
          <cell r="V516" t="str">
            <v>Phường Tam Thanh, Thành phố Lạng Sơn, Tỉnh Lạng Sơn</v>
          </cell>
          <cell r="W516" t="str">
            <v>5/3/2012</v>
          </cell>
          <cell r="AA516">
            <v>0</v>
          </cell>
          <cell r="AB516" t="str">
            <v>TĐ047</v>
          </cell>
          <cell r="AC516" t="str">
            <v>GPB</v>
          </cell>
          <cell r="AD516" t="str">
            <v>GPB</v>
          </cell>
          <cell r="AE516" t="str">
            <v>HĐ theo NĐ161</v>
          </cell>
          <cell r="AG516">
            <v>0</v>
          </cell>
          <cell r="AH516">
            <v>1.83</v>
          </cell>
          <cell r="AI516">
            <v>2</v>
          </cell>
          <cell r="AK516">
            <v>45689</v>
          </cell>
          <cell r="AL516" t="str">
            <v>Chứng chỉ</v>
          </cell>
          <cell r="AM516" t="str">
            <v>Hộ Lý</v>
          </cell>
          <cell r="AY516" t="str">
            <v>Tày</v>
          </cell>
        </row>
        <row r="517">
          <cell r="A517" t="str">
            <v>BV0454</v>
          </cell>
          <cell r="B517">
            <v>511</v>
          </cell>
          <cell r="C517" t="str">
            <v>La Thị Hiền</v>
          </cell>
          <cell r="D517" t="str">
            <v>BV0454</v>
          </cell>
          <cell r="E517">
            <v>1505002504</v>
          </cell>
          <cell r="I517">
            <v>29953</v>
          </cell>
          <cell r="J517">
            <v>44</v>
          </cell>
          <cell r="K517" t="str">
            <v>081057189</v>
          </cell>
          <cell r="L517" t="str">
            <v>21/03/2000</v>
          </cell>
          <cell r="M517" t="str">
            <v>CA tỉnh Lạng Sơn</v>
          </cell>
          <cell r="P517" t="str">
            <v>Huyện Cao Lộc</v>
          </cell>
          <cell r="Q517" t="str">
            <v>Tỉnh Lạng Sơn</v>
          </cell>
          <cell r="S517" t="str">
            <v>Phường Tam Thanh</v>
          </cell>
          <cell r="T517" t="str">
            <v>Thành phố Lạng Sơn</v>
          </cell>
          <cell r="U517" t="str">
            <v>Tỉnh Lạng Sơn</v>
          </cell>
          <cell r="V517" t="str">
            <v>Phường Tam Thanh, Thành phố Lạng Sơn, Tỉnh Lạng Sơn</v>
          </cell>
          <cell r="W517" t="str">
            <v>1/11/2004</v>
          </cell>
          <cell r="AA517">
            <v>0</v>
          </cell>
          <cell r="AB517" t="str">
            <v>TĐ047</v>
          </cell>
          <cell r="AC517" t="str">
            <v>HH-TM</v>
          </cell>
          <cell r="AD517" t="str">
            <v>HH-TM</v>
          </cell>
          <cell r="AE517" t="str">
            <v>HĐ theo NĐ161</v>
          </cell>
          <cell r="AG517">
            <v>0</v>
          </cell>
          <cell r="AH517">
            <v>1.83</v>
          </cell>
          <cell r="AI517">
            <v>2</v>
          </cell>
          <cell r="AK517">
            <v>45689</v>
          </cell>
          <cell r="AL517" t="str">
            <v>Chứng chỉ</v>
          </cell>
          <cell r="AM517" t="str">
            <v>Hộ Lý</v>
          </cell>
          <cell r="AY517" t="str">
            <v>Tày</v>
          </cell>
        </row>
        <row r="518">
          <cell r="A518" t="str">
            <v>BV0566</v>
          </cell>
          <cell r="B518">
            <v>512</v>
          </cell>
          <cell r="C518" t="str">
            <v>Linh Chí Thiệu</v>
          </cell>
          <cell r="D518" t="str">
            <v>BV0566</v>
          </cell>
          <cell r="E518">
            <v>1596008820</v>
          </cell>
          <cell r="H518">
            <v>27303</v>
          </cell>
          <cell r="J518">
            <v>51</v>
          </cell>
          <cell r="K518" t="str">
            <v>080952863</v>
          </cell>
          <cell r="L518" t="str">
            <v>25/04/2014</v>
          </cell>
          <cell r="M518" t="str">
            <v>CA tỉnh Lạng Sơn</v>
          </cell>
          <cell r="Q518" t="str">
            <v>Tỉnh Lạng Sơn</v>
          </cell>
          <cell r="R518" t="str">
            <v>Bản Pè</v>
          </cell>
          <cell r="S518" t="str">
            <v>Xã Hoàng Đồng</v>
          </cell>
          <cell r="T518" t="str">
            <v>Thành phố Lạng Sơn</v>
          </cell>
          <cell r="U518" t="str">
            <v>Tỉnh Lạng Sơn</v>
          </cell>
          <cell r="V518" t="str">
            <v>Xã Hoàng Đồng, Thành phố Lạng Sơn, Tỉnh Lạng Sơn</v>
          </cell>
          <cell r="W518" t="str">
            <v>1/4/2010</v>
          </cell>
          <cell r="AA518">
            <v>0</v>
          </cell>
          <cell r="AB518" t="str">
            <v>TĐ048</v>
          </cell>
          <cell r="AC518" t="str">
            <v>KSNK</v>
          </cell>
          <cell r="AD518" t="str">
            <v>KSNK</v>
          </cell>
          <cell r="AE518" t="str">
            <v>HĐ theo NĐ161</v>
          </cell>
          <cell r="AG518">
            <v>0</v>
          </cell>
          <cell r="AH518" t="str">
            <v>1.90</v>
          </cell>
          <cell r="AI518">
            <v>6</v>
          </cell>
          <cell r="AK518">
            <v>45689</v>
          </cell>
          <cell r="AM518" t="str">
            <v>NVPV</v>
          </cell>
          <cell r="AY518" t="str">
            <v>Tày</v>
          </cell>
          <cell r="AZ518">
            <v>34684</v>
          </cell>
        </row>
        <row r="519">
          <cell r="A519" t="str">
            <v>BV0567</v>
          </cell>
          <cell r="B519">
            <v>513</v>
          </cell>
          <cell r="C519" t="str">
            <v>Triệu Văn Hải</v>
          </cell>
          <cell r="D519" t="str">
            <v>BV0567</v>
          </cell>
          <cell r="E519">
            <v>2010001138</v>
          </cell>
          <cell r="H519">
            <v>28347</v>
          </cell>
          <cell r="J519">
            <v>48</v>
          </cell>
          <cell r="K519" t="str">
            <v>080814786</v>
          </cell>
          <cell r="L519" t="str">
            <v>14/07/2003</v>
          </cell>
          <cell r="M519" t="str">
            <v>CA tỉnh Lạng Sơn</v>
          </cell>
          <cell r="Q519" t="str">
            <v>Tỉnh Lạng Sơn</v>
          </cell>
          <cell r="S519" t="str">
            <v>Phường Chi Lăng</v>
          </cell>
          <cell r="T519" t="str">
            <v>Thành phố Lạng Sơn</v>
          </cell>
          <cell r="U519" t="str">
            <v>Tỉnh Lạng Sơn</v>
          </cell>
          <cell r="V519" t="str">
            <v>Phường Chi Lăng, Thành phố Lạng Sơn, Tỉnh Lạng Sơn</v>
          </cell>
          <cell r="W519" t="str">
            <v>1/4/2010</v>
          </cell>
          <cell r="AA519">
            <v>0</v>
          </cell>
          <cell r="AB519" t="str">
            <v>TĐ048</v>
          </cell>
          <cell r="AC519" t="str">
            <v>KSNK</v>
          </cell>
          <cell r="AD519" t="str">
            <v>KSNK</v>
          </cell>
          <cell r="AE519" t="str">
            <v>HĐ theo NĐ161</v>
          </cell>
          <cell r="AG519">
            <v>0</v>
          </cell>
          <cell r="AH519" t="str">
            <v>1.90</v>
          </cell>
          <cell r="AI519">
            <v>6</v>
          </cell>
          <cell r="AK519">
            <v>45689</v>
          </cell>
          <cell r="AM519" t="str">
            <v>NVPV</v>
          </cell>
          <cell r="AY519" t="str">
            <v>Tày</v>
          </cell>
        </row>
        <row r="520">
          <cell r="A520" t="str">
            <v>BV0390</v>
          </cell>
          <cell r="B520">
            <v>514</v>
          </cell>
          <cell r="C520" t="str">
            <v>Lương Thị Yêu</v>
          </cell>
          <cell r="D520" t="str">
            <v>BV0390</v>
          </cell>
          <cell r="E520">
            <v>1506001850</v>
          </cell>
          <cell r="I520">
            <v>27895</v>
          </cell>
          <cell r="J520">
            <v>50</v>
          </cell>
          <cell r="K520" t="str">
            <v>081056673</v>
          </cell>
          <cell r="L520" t="str">
            <v>29/03/2013</v>
          </cell>
          <cell r="M520" t="str">
            <v>CA tỉnh Lạng Sơn</v>
          </cell>
          <cell r="P520" t="str">
            <v>Huyện Văn Quan</v>
          </cell>
          <cell r="Q520" t="str">
            <v>Tỉnh Lạng Sơn</v>
          </cell>
          <cell r="S520" t="str">
            <v>Thị trấn Cao Lộc</v>
          </cell>
          <cell r="T520" t="str">
            <v>Huyện Cao Lộc</v>
          </cell>
          <cell r="U520" t="str">
            <v>Tỉnh Lạng Sơn</v>
          </cell>
          <cell r="V520" t="str">
            <v>Thị trấn Cao Lộc, Huyện Cao Lộc, Tỉnh Lạng Sơn</v>
          </cell>
          <cell r="W520" t="str">
            <v>1/9/2005</v>
          </cell>
          <cell r="AA520">
            <v>0</v>
          </cell>
          <cell r="AB520" t="str">
            <v>TĐ047</v>
          </cell>
          <cell r="AC520" t="str">
            <v>Tai mũi họng</v>
          </cell>
          <cell r="AD520" t="str">
            <v>Tai mũi họng</v>
          </cell>
          <cell r="AE520" t="str">
            <v>HĐ theo NĐ161</v>
          </cell>
          <cell r="AG520">
            <v>0</v>
          </cell>
          <cell r="AH520">
            <v>1.83</v>
          </cell>
          <cell r="AI520">
            <v>2</v>
          </cell>
          <cell r="AK520">
            <v>45689</v>
          </cell>
          <cell r="AL520" t="str">
            <v>Chứng chỉ</v>
          </cell>
          <cell r="AM520" t="str">
            <v>Hộ lý</v>
          </cell>
          <cell r="AX520" t="str">
            <v>CN Nghiệp vụ hộ lý BV</v>
          </cell>
          <cell r="AY520" t="str">
            <v>Tày</v>
          </cell>
        </row>
        <row r="521">
          <cell r="A521" t="str">
            <v>BV0929</v>
          </cell>
          <cell r="B521">
            <v>515</v>
          </cell>
          <cell r="C521" t="str">
            <v>Triệu Thị Hạ</v>
          </cell>
          <cell r="D521" t="str">
            <v>BV0929</v>
          </cell>
          <cell r="E521" t="str">
            <v>2020574214</v>
          </cell>
          <cell r="G521" t="str">
            <v>CCCD: 020193002215, 
Ngày cấp 29/04/2021, 
Tại Cục cảnh sát quản lý hành chính về trật tự xã hội</v>
          </cell>
          <cell r="I521" t="str">
            <v>10/3/1993</v>
          </cell>
          <cell r="J521">
            <v>33</v>
          </cell>
          <cell r="K521" t="str">
            <v>082256915</v>
          </cell>
          <cell r="L521" t="str">
            <v>22/3/2011</v>
          </cell>
          <cell r="M521" t="str">
            <v>Công an tỉnh Lạng Sơn</v>
          </cell>
          <cell r="N521" t="str">
            <v>Xã Gia Lộc, huyện Chi Lăng, tỉnh Lạng Sơn</v>
          </cell>
          <cell r="O521" t="str">
            <v>Xã Gia Lộc, huyện Chi Lăng, tỉnh Lạng Sơn</v>
          </cell>
          <cell r="S521" t="str">
            <v>Xã Gia Lộc, huyện Chi Lăng, tỉnh Lạng Sơn</v>
          </cell>
          <cell r="V521" t="str">
            <v>xã Gia Lộc, huyện Chi Lăng, tỉnh Lạng Sơn</v>
          </cell>
          <cell r="W521" t="str">
            <v>19/8/2019</v>
          </cell>
          <cell r="AA521">
            <v>0</v>
          </cell>
          <cell r="AB521" t="str">
            <v>TĐ005</v>
          </cell>
          <cell r="AC521" t="str">
            <v>Cấp cứu</v>
          </cell>
          <cell r="AD521" t="str">
            <v>Cấp cứu</v>
          </cell>
          <cell r="AE521" t="str">
            <v>Viên chức</v>
          </cell>
          <cell r="AG521">
            <v>0</v>
          </cell>
          <cell r="AH521" t="str">
            <v>2.67</v>
          </cell>
          <cell r="AI521">
            <v>2</v>
          </cell>
          <cell r="AK521">
            <v>45065</v>
          </cell>
          <cell r="AL521" t="str">
            <v>Đại học</v>
          </cell>
          <cell r="AM521" t="str">
            <v>Bác sĩ</v>
          </cell>
          <cell r="AN521" t="str">
            <v>Đa khoa</v>
          </cell>
          <cell r="AO521" t="str">
            <v>ĐH Y Dược TN</v>
          </cell>
          <cell r="AX521" t="str">
            <v>Kỹ thuật siêu âm ổ bụng tổng quát; Kỹ thuật ghi và đọc điện tâm đồ cơ bản</v>
          </cell>
          <cell r="AY521" t="str">
            <v>Nùng</v>
          </cell>
        </row>
        <row r="522">
          <cell r="A522" t="str">
            <v>BV0959</v>
          </cell>
          <cell r="B522">
            <v>516</v>
          </cell>
          <cell r="C522" t="str">
            <v>Liễu Thị Ngân</v>
          </cell>
          <cell r="D522" t="str">
            <v>BV0959</v>
          </cell>
          <cell r="E522" t="str">
            <v>2020238822</v>
          </cell>
          <cell r="G522" t="str">
            <v>CCCD: 020194010077, 
Ngày cấp 25/06/2021, 
Tại Cục cảnh sát quản lý hành chính về trật tự xã hội</v>
          </cell>
          <cell r="I522" t="str">
            <v>12/3/1994</v>
          </cell>
          <cell r="J522">
            <v>32</v>
          </cell>
          <cell r="K522" t="str">
            <v>082190533</v>
          </cell>
          <cell r="L522" t="str">
            <v>09/3/2012</v>
          </cell>
          <cell r="M522" t="str">
            <v>Công an tỉnh Lạng Sơn</v>
          </cell>
          <cell r="O522" t="str">
            <v>Xã Tân Mỹ, huyện Văn Lãng, tỉnh Lạng Sơn</v>
          </cell>
          <cell r="V522" t="str">
            <v>Xã Tân Mỹ, huyện Văn Lãng, tỉnh Lạng Sơn</v>
          </cell>
          <cell r="W522" t="str">
            <v>10/12/2019</v>
          </cell>
          <cell r="AA522">
            <v>0</v>
          </cell>
          <cell r="AB522" t="str">
            <v>TĐ005</v>
          </cell>
          <cell r="AC522" t="str">
            <v>Cấp cứu</v>
          </cell>
          <cell r="AD522" t="str">
            <v>Cấp cứu</v>
          </cell>
          <cell r="AE522" t="str">
            <v>Viên chức</v>
          </cell>
          <cell r="AG522">
            <v>0</v>
          </cell>
          <cell r="AH522" t="str">
            <v>2.67</v>
          </cell>
          <cell r="AI522">
            <v>2</v>
          </cell>
          <cell r="AK522">
            <v>45179</v>
          </cell>
          <cell r="AL522" t="str">
            <v>Đại học</v>
          </cell>
          <cell r="AM522" t="str">
            <v>Bác sĩ</v>
          </cell>
          <cell r="AN522" t="str">
            <v>Đa khoa</v>
          </cell>
          <cell r="AO522" t="str">
            <v>Đại học Y dược Thái Nguyên</v>
          </cell>
          <cell r="AP522" t="str">
            <v>2012 - 2018</v>
          </cell>
          <cell r="AY522" t="str">
            <v>Nùng</v>
          </cell>
        </row>
        <row r="523">
          <cell r="A523" t="str">
            <v>BV0773</v>
          </cell>
          <cell r="B523">
            <v>517</v>
          </cell>
          <cell r="C523" t="str">
            <v>Dương Tuấn Minh</v>
          </cell>
          <cell r="D523" t="str">
            <v>BV0773</v>
          </cell>
          <cell r="E523">
            <v>2020451563</v>
          </cell>
          <cell r="F523">
            <v>2099854413</v>
          </cell>
          <cell r="G523" t="str">
            <v xml:space="preserve">CCCD: 020092002148; ngày cấp 29/04/2021; Nơi cấp: Cục trưởng cục cảnh sát quản lý hành chính về trật tự xã hội </v>
          </cell>
          <cell r="H523" t="str">
            <v>20/10/1992</v>
          </cell>
          <cell r="J523">
            <v>33</v>
          </cell>
          <cell r="K523" t="str">
            <v>082230041</v>
          </cell>
          <cell r="L523" t="str">
            <v>08/09/2013</v>
          </cell>
          <cell r="M523" t="str">
            <v>CA tỉnh Lạng Sơn</v>
          </cell>
          <cell r="O523" t="str">
            <v>Chiêu Vũ</v>
          </cell>
          <cell r="P523" t="str">
            <v>Bắc Sơn</v>
          </cell>
          <cell r="Q523" t="str">
            <v>Lạng Sơn</v>
          </cell>
          <cell r="S523" t="str">
            <v>Bắc Sơn</v>
          </cell>
          <cell r="T523" t="str">
            <v>Bắc Sơn</v>
          </cell>
          <cell r="U523" t="str">
            <v>Lạng Sơn</v>
          </cell>
          <cell r="V523" t="str">
            <v>Bắc Sơn, Bắc Sơn, Lạng Sơn</v>
          </cell>
          <cell r="W523" t="str">
            <v xml:space="preserve"> 01/9/2017</v>
          </cell>
          <cell r="AA523">
            <v>0</v>
          </cell>
          <cell r="AB523" t="str">
            <v>TĐ003</v>
          </cell>
          <cell r="AC523" t="str">
            <v>HSTC-CĐ</v>
          </cell>
          <cell r="AD523" t="str">
            <v>HSTC-CĐ</v>
          </cell>
          <cell r="AE523" t="str">
            <v>Viên chức</v>
          </cell>
          <cell r="AG523">
            <v>0</v>
          </cell>
          <cell r="AH523" t="str">
            <v>3.00</v>
          </cell>
          <cell r="AI523">
            <v>3</v>
          </cell>
          <cell r="AK523">
            <v>45419</v>
          </cell>
          <cell r="AL523" t="str">
            <v>Đại học</v>
          </cell>
          <cell r="AM523" t="str">
            <v>BSCKI</v>
          </cell>
          <cell r="AN523" t="str">
            <v>Đa khoa</v>
          </cell>
          <cell r="AO523" t="str">
            <v>ĐH Y Dược Thái Nguyên</v>
          </cell>
          <cell r="AP523">
            <v>2017</v>
          </cell>
          <cell r="AQ523" t="str">
            <v>12/12</v>
          </cell>
          <cell r="AU523" t="str">
            <v>IC3</v>
          </cell>
          <cell r="AW523" t="str">
            <v>IC3</v>
          </cell>
          <cell r="AY523" t="str">
            <v>Tày</v>
          </cell>
        </row>
        <row r="524">
          <cell r="A524" t="str">
            <v>BV0931</v>
          </cell>
          <cell r="B524">
            <v>518</v>
          </cell>
          <cell r="C524" t="str">
            <v>Đinh Thu Hoài</v>
          </cell>
          <cell r="D524" t="str">
            <v>BV0931</v>
          </cell>
          <cell r="E524" t="str">
            <v>2020872819</v>
          </cell>
          <cell r="G524" t="str">
            <v xml:space="preserve">CCCD: 020195001623; Ngày cấp 20/04/2021; Nơi cấp: Cục trưởng cục cảnh sát quản lý hành chính về trật tự xã hội </v>
          </cell>
          <cell r="I524" t="str">
            <v>26/3/1995</v>
          </cell>
          <cell r="J524">
            <v>31</v>
          </cell>
          <cell r="K524" t="str">
            <v>082190971</v>
          </cell>
          <cell r="L524" t="str">
            <v>08/4/2014</v>
          </cell>
          <cell r="M524" t="str">
            <v>Công an tỉnh Lạng Sơn</v>
          </cell>
          <cell r="N524" t="str">
            <v>Khối I, phường Tam Thanh, TP Lạng Sơn, tỉnh Lạng Sơn</v>
          </cell>
          <cell r="O524" t="str">
            <v>Khối I, phường Tam Thanh, TP Lạng Sơn, tỉnh Lạng Sơn</v>
          </cell>
          <cell r="S524" t="str">
            <v>Khối I, phường Tam Thanh, TP Lạng Sơn, tỉnh Lạng Sơn</v>
          </cell>
          <cell r="V524" t="str">
            <v>Khối I, phường Tam Thanh, thành phố Lạng Sơn, tỉnh Lạng Sơn</v>
          </cell>
          <cell r="W524" t="str">
            <v>19/8/2019</v>
          </cell>
          <cell r="AA524">
            <v>0</v>
          </cell>
          <cell r="AB524" t="str">
            <v>TĐ005</v>
          </cell>
          <cell r="AC524" t="str">
            <v>Truyền nhiễm</v>
          </cell>
          <cell r="AD524" t="str">
            <v>Truyền nhiễm</v>
          </cell>
          <cell r="AE524" t="str">
            <v>Viên chức</v>
          </cell>
          <cell r="AG524">
            <v>0</v>
          </cell>
          <cell r="AH524" t="str">
            <v>2.67</v>
          </cell>
          <cell r="AI524">
            <v>2</v>
          </cell>
          <cell r="AK524">
            <v>45065</v>
          </cell>
          <cell r="AL524" t="str">
            <v>Đại học</v>
          </cell>
          <cell r="AM524" t="str">
            <v>Bác sĩ</v>
          </cell>
          <cell r="AN524" t="str">
            <v>Bác sĩ đa khoa</v>
          </cell>
          <cell r="AO524" t="str">
            <v>ĐH Y Hà Nội</v>
          </cell>
          <cell r="AY524" t="str">
            <v>Tày</v>
          </cell>
        </row>
        <row r="525">
          <cell r="A525" t="str">
            <v>BV0960</v>
          </cell>
          <cell r="B525">
            <v>519</v>
          </cell>
          <cell r="C525" t="str">
            <v>Đào Thị Hồng Nhung</v>
          </cell>
          <cell r="D525" t="str">
            <v>BV0960</v>
          </cell>
          <cell r="E525" t="str">
            <v>2020025483</v>
          </cell>
          <cell r="G525" t="str">
            <v xml:space="preserve">CCCD: 020194000469; ngày cấp 08/04/2021; Nơi cấp: Cục trưởng cục cảnh sát quản lý hành chính về trật tự xã hội </v>
          </cell>
          <cell r="I525" t="str">
            <v>15/4/1994</v>
          </cell>
          <cell r="J525">
            <v>32</v>
          </cell>
          <cell r="K525" t="str">
            <v>082207692</v>
          </cell>
          <cell r="L525" t="str">
            <v>28/7/2009</v>
          </cell>
          <cell r="M525" t="str">
            <v>Công an tỉnh Lạng Sơn</v>
          </cell>
          <cell r="O525" t="str">
            <v>Huyện Ninh Giang, tỉnh Hải Dương</v>
          </cell>
          <cell r="V525" t="str">
            <v>Xã Hoàng Đồng, thành phố Lạng Sơn, tỉnh Lạng Sơn</v>
          </cell>
          <cell r="W525" t="str">
            <v>02/12/2019</v>
          </cell>
          <cell r="AA525">
            <v>0</v>
          </cell>
          <cell r="AB525" t="str">
            <v>TĐ005</v>
          </cell>
          <cell r="AC525" t="str">
            <v>HSTC-CĐ</v>
          </cell>
          <cell r="AD525" t="str">
            <v>HSTC-CĐ</v>
          </cell>
          <cell r="AE525" t="str">
            <v>Viên chức</v>
          </cell>
          <cell r="AG525">
            <v>0</v>
          </cell>
          <cell r="AH525" t="str">
            <v>3.00</v>
          </cell>
          <cell r="AI525">
            <v>3</v>
          </cell>
          <cell r="AK525">
            <v>46083</v>
          </cell>
          <cell r="AL525" t="str">
            <v>Đại học</v>
          </cell>
          <cell r="AM525" t="str">
            <v>Bác sĩ</v>
          </cell>
          <cell r="AN525" t="str">
            <v>Đa khoa</v>
          </cell>
          <cell r="AY525" t="str">
            <v>Kinh</v>
          </cell>
        </row>
        <row r="526">
          <cell r="A526" t="str">
            <v>BV0936</v>
          </cell>
          <cell r="B526">
            <v>520</v>
          </cell>
          <cell r="C526" t="str">
            <v>Lăng Thị Thảo</v>
          </cell>
          <cell r="D526" t="str">
            <v>BV0936</v>
          </cell>
          <cell r="E526" t="str">
            <v>2020606068</v>
          </cell>
          <cell r="G526" t="str">
            <v>CMT: 082296455, 
Ngày cấp 02/02/2013, 
CA tỉnh Lạng Sơn</v>
          </cell>
          <cell r="I526" t="str">
            <v>12/5/1995</v>
          </cell>
          <cell r="J526">
            <v>31</v>
          </cell>
          <cell r="K526" t="str">
            <v>082296455</v>
          </cell>
          <cell r="L526" t="str">
            <v>02/02/2013</v>
          </cell>
          <cell r="M526" t="str">
            <v>Công an tỉnh Lạng Sơn</v>
          </cell>
          <cell r="N526" t="str">
            <v>Tồng Cút, xã Bắc Thủy, huyện Chi Lăng, tỉnh Lạng Sơn</v>
          </cell>
          <cell r="O526" t="str">
            <v>Tồng Cút, xã Bắc Thủy, huyện Chi Lăng, tỉnh Lạng Sơn</v>
          </cell>
          <cell r="S526" t="str">
            <v>Tồng Cút, xã Bắc Thủy, huyện Chi Lăng, tỉnh Lạng Sơn</v>
          </cell>
          <cell r="V526" t="str">
            <v>Tồng Cút, xã Bắc Thủy, huyện Chi Lăng, tỉnh Lạng Sơn</v>
          </cell>
          <cell r="W526" t="str">
            <v>15/8/2019</v>
          </cell>
          <cell r="AA526">
            <v>0</v>
          </cell>
          <cell r="AB526" t="str">
            <v>TĐ005</v>
          </cell>
          <cell r="AC526" t="str">
            <v>Nội Tiêu hóa</v>
          </cell>
          <cell r="AD526" t="str">
            <v>Nội Tiêu hóa</v>
          </cell>
          <cell r="AE526" t="str">
            <v>Viên chức</v>
          </cell>
          <cell r="AG526">
            <v>0</v>
          </cell>
          <cell r="AH526" t="str">
            <v>2.67</v>
          </cell>
          <cell r="AI526">
            <v>2</v>
          </cell>
          <cell r="AK526">
            <v>45061</v>
          </cell>
          <cell r="AL526" t="str">
            <v>Đại học</v>
          </cell>
          <cell r="AM526" t="str">
            <v>Bác sĩ</v>
          </cell>
          <cell r="AN526" t="str">
            <v>Đa khoa</v>
          </cell>
          <cell r="AO526" t="str">
            <v>ĐH Y Dược TN</v>
          </cell>
          <cell r="AY526" t="str">
            <v>Nùng</v>
          </cell>
        </row>
        <row r="527">
          <cell r="A527" t="str">
            <v>BV1039</v>
          </cell>
          <cell r="B527">
            <v>521</v>
          </cell>
          <cell r="C527" t="str">
            <v>Hoàng Thị Thêm</v>
          </cell>
          <cell r="D527" t="str">
            <v>BV1039</v>
          </cell>
          <cell r="E527" t="str">
            <v>2020681048</v>
          </cell>
          <cell r="G527" t="str">
            <v>CCCD: 020195001872, 
ngày cấp 29/4/2021, 
Tại Cục cảnh sát quản lý hành chính về trật tự xã hội</v>
          </cell>
          <cell r="I527" t="str">
            <v>08/9/1995</v>
          </cell>
          <cell r="J527">
            <v>30</v>
          </cell>
          <cell r="K527" t="str">
            <v>082258043</v>
          </cell>
          <cell r="L527" t="str">
            <v>27/10/2010</v>
          </cell>
          <cell r="M527" t="str">
            <v>0372033987</v>
          </cell>
          <cell r="V527" t="str">
            <v>thôn Tồng Nộc, xã Thiện Long, huyện Bình Gia, tỉnh Lạng Sơn</v>
          </cell>
          <cell r="W527" t="str">
            <v>13/7/2020</v>
          </cell>
          <cell r="AA527">
            <v>0</v>
          </cell>
          <cell r="AB527" t="str">
            <v>TĐ005</v>
          </cell>
          <cell r="AC527" t="str">
            <v>Nội Tiêu hóa</v>
          </cell>
          <cell r="AD527" t="str">
            <v>Nội Tiêu hóa</v>
          </cell>
          <cell r="AE527" t="str">
            <v>Viên chức</v>
          </cell>
          <cell r="AG527">
            <v>0</v>
          </cell>
          <cell r="AH527" t="str">
            <v>2.67</v>
          </cell>
          <cell r="AI527">
            <v>2</v>
          </cell>
          <cell r="AK527">
            <v>45395</v>
          </cell>
          <cell r="AL527" t="str">
            <v>Đại học</v>
          </cell>
          <cell r="AM527" t="str">
            <v>Bác sĩ</v>
          </cell>
          <cell r="AN527" t="str">
            <v>Đa khoa</v>
          </cell>
          <cell r="AY527" t="str">
            <v>Tày</v>
          </cell>
        </row>
        <row r="528">
          <cell r="A528" t="str">
            <v>BV1025</v>
          </cell>
          <cell r="B528">
            <v>522</v>
          </cell>
          <cell r="C528" t="str">
            <v>Trương Trung Nghĩa</v>
          </cell>
          <cell r="D528" t="str">
            <v>BV1025</v>
          </cell>
          <cell r="E528" t="str">
            <v>2020863594</v>
          </cell>
          <cell r="G528" t="str">
            <v xml:space="preserve">020093001249, cấp ngày 25/4/2021, tại cục CSQLHC về TTXH </v>
          </cell>
          <cell r="H528" t="str">
            <v>04/8/1993</v>
          </cell>
          <cell r="J528">
            <v>32</v>
          </cell>
          <cell r="K528" t="str">
            <v>082238348</v>
          </cell>
          <cell r="L528">
            <v>40345</v>
          </cell>
          <cell r="M528" t="str">
            <v>Công an tỉnh Lạng Sơn</v>
          </cell>
          <cell r="V528" t="str">
            <v>Xã Mai Sao, huyện Chi Lăng, tỉnh Lạng Sơn</v>
          </cell>
          <cell r="W528" t="str">
            <v>04/5/2020</v>
          </cell>
          <cell r="AA528">
            <v>0</v>
          </cell>
          <cell r="AB528" t="str">
            <v>TĐ005</v>
          </cell>
          <cell r="AC528" t="str">
            <v>Nội TM</v>
          </cell>
          <cell r="AD528" t="str">
            <v>Nội TM</v>
          </cell>
          <cell r="AE528" t="str">
            <v>HĐ có thời hạn</v>
          </cell>
          <cell r="AG528">
            <v>0</v>
          </cell>
          <cell r="AH528" t="str">
            <v>2.67</v>
          </cell>
          <cell r="AI528">
            <v>2</v>
          </cell>
          <cell r="AK528">
            <v>45326</v>
          </cell>
          <cell r="AL528" t="str">
            <v>Đại học</v>
          </cell>
          <cell r="AM528" t="str">
            <v>Bác sĩ</v>
          </cell>
          <cell r="AN528" t="str">
            <v>Y đa khoa</v>
          </cell>
          <cell r="AO528" t="str">
            <v>ĐH Y - Dược Thái Nguyên</v>
          </cell>
          <cell r="AQ528" t="str">
            <v>12/12</v>
          </cell>
          <cell r="AY528" t="str">
            <v>Tày</v>
          </cell>
        </row>
        <row r="529">
          <cell r="A529" t="str">
            <v>BV0932</v>
          </cell>
          <cell r="B529">
            <v>523</v>
          </cell>
          <cell r="C529" t="str">
            <v>Hứa Minh Huyền</v>
          </cell>
          <cell r="D529" t="str">
            <v>BV0932</v>
          </cell>
          <cell r="E529" t="str">
            <v>2020017106</v>
          </cell>
          <cell r="G529" t="str">
            <v xml:space="preserve">020195005088, cấp ngày 25/6/2021, tại cục CSQLHC về TTXH </v>
          </cell>
          <cell r="I529" t="str">
            <v>02/8/1995</v>
          </cell>
          <cell r="J529">
            <v>30</v>
          </cell>
          <cell r="K529" t="str">
            <v>082242515</v>
          </cell>
          <cell r="L529" t="str">
            <v>16/8/2010</v>
          </cell>
          <cell r="M529" t="str">
            <v>Công an tỉnh Lạng Sơn</v>
          </cell>
          <cell r="N529" t="str">
            <v>472B Bà Triệu, phường Đông Kinh, TP Lạng Sơn, tỉnh Lạng Sơn</v>
          </cell>
          <cell r="O529" t="str">
            <v>472B Bà Triệu, phường Đông Kinh, TP Lạng Sơn, tỉnh Lạng Sơn</v>
          </cell>
          <cell r="S529" t="str">
            <v>472B Bà Triệu, phường Đông Kinh, TP Lạng Sơn, tỉnh Lạng Sơn</v>
          </cell>
          <cell r="V529" t="str">
            <v>664 Bà Triệu, phường Đông Kinh, thành phố Lạng Sơn, tỉnh Lạng Sơn</v>
          </cell>
          <cell r="W529" t="str">
            <v>19/8/2019</v>
          </cell>
          <cell r="AA529">
            <v>0</v>
          </cell>
          <cell r="AB529" t="str">
            <v>TĐ005</v>
          </cell>
          <cell r="AC529" t="str">
            <v>Nội TM</v>
          </cell>
          <cell r="AD529" t="str">
            <v>Nội TM</v>
          </cell>
          <cell r="AE529" t="str">
            <v>Viên chức</v>
          </cell>
          <cell r="AG529">
            <v>0</v>
          </cell>
          <cell r="AH529" t="str">
            <v>2.67</v>
          </cell>
          <cell r="AI529">
            <v>2</v>
          </cell>
          <cell r="AK529">
            <v>45157</v>
          </cell>
          <cell r="AL529" t="str">
            <v>Đại học</v>
          </cell>
          <cell r="AM529" t="str">
            <v>Bác sĩ</v>
          </cell>
          <cell r="AN529" t="str">
            <v>Đa khoa</v>
          </cell>
          <cell r="AO529" t="str">
            <v>ĐH Y Hà Nội</v>
          </cell>
          <cell r="AY529" t="str">
            <v>Nùng</v>
          </cell>
        </row>
        <row r="530">
          <cell r="A530" t="str">
            <v>BV0957</v>
          </cell>
          <cell r="B530">
            <v>524</v>
          </cell>
          <cell r="C530" t="str">
            <v>Phương Thanh Tâm</v>
          </cell>
          <cell r="D530" t="str">
            <v>BV0957</v>
          </cell>
          <cell r="E530" t="str">
            <v>2020234682</v>
          </cell>
          <cell r="G530" t="str">
            <v>CCCD: 02019302197 
cấp ngày 29/4/2021.
Tại Cục cảnh sát quản lý hành chính về trật tự xã hội</v>
          </cell>
          <cell r="I530" t="str">
            <v>29/9/1993</v>
          </cell>
          <cell r="J530">
            <v>32</v>
          </cell>
          <cell r="K530" t="str">
            <v>082200203</v>
          </cell>
          <cell r="L530" t="str">
            <v>26/2/2009</v>
          </cell>
          <cell r="M530" t="str">
            <v>Công an tỉnh Lạng Sơn</v>
          </cell>
          <cell r="O530" t="str">
            <v>Xã Hồng Thái, huyện Văn Lãng, tỉnh Lạng Sơn</v>
          </cell>
          <cell r="V530" t="str">
            <v>Xã Tân Thanh, huyện Văn Lãng, tỉnh Lạng Sơn</v>
          </cell>
          <cell r="W530" t="str">
            <v>10/12/2019</v>
          </cell>
          <cell r="AA530">
            <v>0</v>
          </cell>
          <cell r="AB530" t="str">
            <v>TĐ005</v>
          </cell>
          <cell r="AC530" t="str">
            <v>Nội Tổng hợp</v>
          </cell>
          <cell r="AD530" t="str">
            <v>Nội Tổng hợp</v>
          </cell>
          <cell r="AE530" t="str">
            <v>HĐ có thời hạn</v>
          </cell>
          <cell r="AG530">
            <v>0</v>
          </cell>
          <cell r="AH530" t="str">
            <v>2.67</v>
          </cell>
          <cell r="AI530">
            <v>2</v>
          </cell>
          <cell r="AK530">
            <v>45179</v>
          </cell>
          <cell r="AL530" t="str">
            <v>Đại học</v>
          </cell>
          <cell r="AM530" t="str">
            <v>Bác sĩ</v>
          </cell>
          <cell r="AN530" t="str">
            <v>Y đa khoa</v>
          </cell>
          <cell r="AO530" t="str">
            <v>Đại học Y dược Thái Nguyên</v>
          </cell>
          <cell r="AP530" t="str">
            <v>2012 - 2018</v>
          </cell>
          <cell r="AY530" t="str">
            <v>Nùng</v>
          </cell>
        </row>
        <row r="531">
          <cell r="A531" t="str">
            <v>BV1063</v>
          </cell>
          <cell r="B531">
            <v>525</v>
          </cell>
          <cell r="C531" t="str">
            <v>Phạm Thị Trang</v>
          </cell>
          <cell r="D531" t="str">
            <v>BV1063</v>
          </cell>
          <cell r="E531" t="str">
            <v>2020256389</v>
          </cell>
          <cell r="G531" t="str">
            <v>CCCD: 020195008464
cấp ngày 09/05/2021 
Tại Cục cảnh sát quản lý hành chính về trật tự xã hội</v>
          </cell>
          <cell r="I531">
            <v>34926</v>
          </cell>
          <cell r="J531">
            <v>30</v>
          </cell>
          <cell r="K531" t="str">
            <v>082233522</v>
          </cell>
          <cell r="L531">
            <v>40269</v>
          </cell>
          <cell r="V531" t="str">
            <v>Xã Gia Cát, Huyện Cao Lộc, Tỉnh Lạng Sơn</v>
          </cell>
          <cell r="W531" t="str">
            <v xml:space="preserve">11/8/2020 </v>
          </cell>
          <cell r="AA531">
            <v>0</v>
          </cell>
          <cell r="AB531" t="str">
            <v>TĐ005</v>
          </cell>
          <cell r="AC531" t="str">
            <v>Phụ sản</v>
          </cell>
          <cell r="AD531" t="str">
            <v>Phụ sản</v>
          </cell>
          <cell r="AE531" t="str">
            <v>Viên chức</v>
          </cell>
          <cell r="AG531">
            <v>0</v>
          </cell>
          <cell r="AH531" t="str">
            <v>2.67</v>
          </cell>
          <cell r="AI531">
            <v>2</v>
          </cell>
          <cell r="AK531">
            <v>45423</v>
          </cell>
          <cell r="AL531" t="str">
            <v>Đại học</v>
          </cell>
          <cell r="AM531" t="str">
            <v>Bác sĩ</v>
          </cell>
          <cell r="AN531" t="str">
            <v>Đa khoa</v>
          </cell>
          <cell r="AY531" t="str">
            <v>Tày</v>
          </cell>
        </row>
        <row r="532">
          <cell r="A532" t="str">
            <v>BV0938</v>
          </cell>
          <cell r="B532">
            <v>526</v>
          </cell>
          <cell r="C532" t="str">
            <v>Hoàng Thị Phương Linh</v>
          </cell>
          <cell r="D532" t="str">
            <v>BV0938</v>
          </cell>
          <cell r="E532" t="str">
            <v>2020863588</v>
          </cell>
          <cell r="G532" t="str">
            <v>020194000253 cấp ngày 25/3/2021, nơi cấp: Cục cảnh sát quản lý hành chính và trật tự xã hội</v>
          </cell>
          <cell r="I532" t="str">
            <v>26/11/1994</v>
          </cell>
          <cell r="J532">
            <v>31</v>
          </cell>
          <cell r="K532" t="str">
            <v>082207888</v>
          </cell>
          <cell r="L532" t="str">
            <v>02/8/2017</v>
          </cell>
          <cell r="M532" t="str">
            <v>Công an tỉnh Lạng Sơn</v>
          </cell>
          <cell r="N532" t="str">
            <v>Huyện Cao Lộc, tỉnh Lạng Sơn</v>
          </cell>
          <cell r="O532" t="str">
            <v>Huyện Cao Lộc, tỉnh Lạng Sơn</v>
          </cell>
          <cell r="S532" t="str">
            <v>Ngõ 242 Ngô Quyền, TP Lạng Sơn, tỉnh Lạng Sơn</v>
          </cell>
          <cell r="V532" t="str">
            <v>Ngõ 242 Ngô Quyền, thành phố Lạng Sơn, tỉnh Lạng Sơn</v>
          </cell>
          <cell r="W532" t="str">
            <v>15/8/2019</v>
          </cell>
          <cell r="AA532">
            <v>0</v>
          </cell>
          <cell r="AB532" t="str">
            <v>TĐ005</v>
          </cell>
          <cell r="AC532" t="str">
            <v>Nội Thận-TN-LM</v>
          </cell>
          <cell r="AD532" t="str">
            <v>Nội Thận-TN-LM</v>
          </cell>
          <cell r="AE532" t="str">
            <v>Viên chức</v>
          </cell>
          <cell r="AG532">
            <v>0</v>
          </cell>
          <cell r="AH532" t="str">
            <v>2.67</v>
          </cell>
          <cell r="AI532">
            <v>2</v>
          </cell>
          <cell r="AK532">
            <v>45061</v>
          </cell>
          <cell r="AL532" t="str">
            <v>Đại học</v>
          </cell>
          <cell r="AM532" t="str">
            <v>Bác sĩ</v>
          </cell>
          <cell r="AN532" t="str">
            <v>Bác sĩ đa khoa</v>
          </cell>
          <cell r="AO532" t="str">
            <v>ĐH Y Dược TN</v>
          </cell>
          <cell r="AY532" t="str">
            <v>Tày</v>
          </cell>
          <cell r="BC532" t="str">
            <v>29/12/2017</v>
          </cell>
        </row>
        <row r="533">
          <cell r="A533" t="str">
            <v>BV1036</v>
          </cell>
          <cell r="B533">
            <v>527</v>
          </cell>
          <cell r="C533" t="str">
            <v>Chu Việt Dũng</v>
          </cell>
          <cell r="D533" t="str">
            <v>BV1036</v>
          </cell>
          <cell r="E533" t="str">
            <v>2020010220</v>
          </cell>
          <cell r="G533" t="str">
            <v>CCCD: 020094004565
ngày cấp 25/06/2021
Tại Cục cảnh sát quản lý hành chính về trật tự xã hội</v>
          </cell>
          <cell r="H533" t="str">
            <v>08/8/1994</v>
          </cell>
          <cell r="J533">
            <v>31</v>
          </cell>
          <cell r="K533" t="str">
            <v>082222151</v>
          </cell>
          <cell r="L533" t="str">
            <v>22/09/2009</v>
          </cell>
          <cell r="M533" t="str">
            <v>0343656628</v>
          </cell>
          <cell r="V533" t="str">
            <v>Phường Vĩnh Trại, Thành phố Lạng Sơn, Tỉnh Lạng Sơn</v>
          </cell>
          <cell r="W533" t="str">
            <v>13/7/2020</v>
          </cell>
          <cell r="AA533">
            <v>0</v>
          </cell>
          <cell r="AB533" t="str">
            <v>TĐ005</v>
          </cell>
          <cell r="AC533" t="str">
            <v>Chấn thương - Bỏng</v>
          </cell>
          <cell r="AD533" t="str">
            <v>Chấn thương - Bỏng</v>
          </cell>
          <cell r="AE533" t="str">
            <v>HĐ có thời hạn</v>
          </cell>
          <cell r="AG533">
            <v>0</v>
          </cell>
          <cell r="AH533" t="str">
            <v>2.67</v>
          </cell>
          <cell r="AI533">
            <v>2</v>
          </cell>
          <cell r="AK533">
            <v>45395</v>
          </cell>
          <cell r="AL533" t="str">
            <v>Đại học</v>
          </cell>
          <cell r="AM533" t="str">
            <v>Bác sĩ</v>
          </cell>
          <cell r="AN533" t="str">
            <v>Đa khoa</v>
          </cell>
          <cell r="AY533" t="str">
            <v>Tày</v>
          </cell>
        </row>
        <row r="534">
          <cell r="A534" t="str">
            <v>BV0944</v>
          </cell>
          <cell r="B534">
            <v>528</v>
          </cell>
          <cell r="C534" t="str">
            <v>Hoàng Minh Trang</v>
          </cell>
          <cell r="D534" t="str">
            <v>BV0944</v>
          </cell>
          <cell r="E534" t="str">
            <v>2020083242</v>
          </cell>
          <cell r="G534" t="str">
            <v>020195010519, cấp ngày 4/3/2022, nơi cấp cục trưởng cục cảnh sát</v>
          </cell>
          <cell r="I534" t="str">
            <v>27/8/1995</v>
          </cell>
          <cell r="J534">
            <v>30</v>
          </cell>
          <cell r="K534" t="str">
            <v>082283032</v>
          </cell>
          <cell r="L534" t="str">
            <v>11/5/2012</v>
          </cell>
          <cell r="M534" t="str">
            <v>Công an tỉnh Lạng Sơn</v>
          </cell>
          <cell r="N534" t="str">
            <v>Thôn Lũng Phầy, Xã Chí Minh, huyện Tràng Định, tỉnh Lạng Sơn</v>
          </cell>
          <cell r="O534" t="str">
            <v>Thôn Lũng Phầy, Xã Chí Minh, huyện Tràng Định, tỉnh Lạng Sơn</v>
          </cell>
          <cell r="S534" t="str">
            <v>Thôn Lũng Phầy, Xã Chí Minh, huyện Tràng Định, tỉnh Lạng Sơn</v>
          </cell>
          <cell r="V534" t="str">
            <v>Thôn Lũng Phầy, Xã Chí Minh, huyện Tràng Định, tỉnh Lạng Sơn</v>
          </cell>
          <cell r="W534" t="str">
            <v>15/8/2019</v>
          </cell>
          <cell r="AA534">
            <v>0</v>
          </cell>
          <cell r="AB534" t="str">
            <v>TĐ005</v>
          </cell>
          <cell r="AC534" t="str">
            <v>Ngoại Thận - Tiết niệu</v>
          </cell>
          <cell r="AD534" t="str">
            <v>Ngoại Thận - Tiết niệu</v>
          </cell>
          <cell r="AE534" t="str">
            <v>Viên chức</v>
          </cell>
          <cell r="AG534">
            <v>0</v>
          </cell>
          <cell r="AH534" t="str">
            <v>2.67</v>
          </cell>
          <cell r="AI534">
            <v>2</v>
          </cell>
          <cell r="AK534">
            <v>45061</v>
          </cell>
          <cell r="AL534" t="str">
            <v>Đại học</v>
          </cell>
          <cell r="AM534" t="str">
            <v>Bác sĩ</v>
          </cell>
          <cell r="AN534" t="str">
            <v>Bác sĩ đa khoa</v>
          </cell>
          <cell r="AO534" t="str">
            <v>ĐH Y Dược TN</v>
          </cell>
          <cell r="AY534" t="str">
            <v>Nùng</v>
          </cell>
        </row>
        <row r="535">
          <cell r="A535" t="str">
            <v>BV0943</v>
          </cell>
          <cell r="B535">
            <v>529</v>
          </cell>
          <cell r="C535" t="str">
            <v>Hoàng Thị Mỹ Linh</v>
          </cell>
          <cell r="D535" t="str">
            <v>BV0943</v>
          </cell>
          <cell r="E535" t="str">
            <v>2020948301</v>
          </cell>
          <cell r="G535" t="str">
            <v>CMND 070951415 Ngày cấp 24/9/2014. Nơi cấp CA tỉnh Tuyên Quang</v>
          </cell>
          <cell r="I535" t="str">
            <v>01/9/1993</v>
          </cell>
          <cell r="J535">
            <v>32</v>
          </cell>
          <cell r="K535" t="str">
            <v>070951415</v>
          </cell>
          <cell r="L535" t="str">
            <v>24/9/2014</v>
          </cell>
          <cell r="M535" t="str">
            <v>Công an tỉnh Lạng Sơn</v>
          </cell>
          <cell r="N535" t="str">
            <v>Số 98 tổ dân phố Bắc Mục, thị trấn Tân Yên, huyện Hàm Yên, tỉnh Tuyên Quang</v>
          </cell>
          <cell r="O535" t="str">
            <v>Số 98 tổ dân phố Bắc Mục, thị trấn Tân Yên, huyện Hàm Yên, tỉnh Tuyên Quang</v>
          </cell>
          <cell r="S535" t="str">
            <v>Thôn Bầm, xã Quyết Thắng, huyện Hữu Lũng, tỉnh Lạng Sơn</v>
          </cell>
          <cell r="V535" t="str">
            <v>Thôn Bầm, xã Quyết Thắng, huyện Hữu Lũng, tỉnh Lạng Sơn</v>
          </cell>
          <cell r="W535" t="str">
            <v>26/8/2019</v>
          </cell>
          <cell r="AA535">
            <v>0</v>
          </cell>
          <cell r="AB535" t="str">
            <v>TĐ005</v>
          </cell>
          <cell r="AC535" t="str">
            <v>TDCN</v>
          </cell>
          <cell r="AD535" t="str">
            <v>TDCN</v>
          </cell>
          <cell r="AE535" t="str">
            <v>HĐ có thời hạn</v>
          </cell>
          <cell r="AG535">
            <v>0</v>
          </cell>
          <cell r="AH535" t="str">
            <v>2.67</v>
          </cell>
          <cell r="AI535">
            <v>2</v>
          </cell>
          <cell r="AK535">
            <v>45225</v>
          </cell>
          <cell r="AL535" t="str">
            <v>Đại học</v>
          </cell>
          <cell r="AM535" t="str">
            <v>Bác sĩ</v>
          </cell>
          <cell r="AN535" t="str">
            <v>Bác sĩ đa khoa</v>
          </cell>
          <cell r="AO535" t="str">
            <v>ĐH Y Dược TN</v>
          </cell>
          <cell r="AY535" t="str">
            <v>Tày</v>
          </cell>
        </row>
        <row r="536">
          <cell r="A536" t="str">
            <v>BV1035</v>
          </cell>
          <cell r="B536">
            <v>530</v>
          </cell>
          <cell r="C536" t="str">
            <v>Hoàng Phan Hùng</v>
          </cell>
          <cell r="D536" t="str">
            <v>BV1035</v>
          </cell>
          <cell r="E536" t="str">
            <v>2020863585</v>
          </cell>
          <cell r="G536" t="str">
            <v>CCCD: 020094008069
Ngày cấp: 25/6/2021, nơi cấp: Cục cảnh sát quản lý hành chính và trật tự xã hội</v>
          </cell>
          <cell r="H536" t="str">
            <v>09/7/1994</v>
          </cell>
          <cell r="J536">
            <v>31</v>
          </cell>
          <cell r="K536" t="str">
            <v>082222042</v>
          </cell>
          <cell r="L536" t="str">
            <v>16/12/2019</v>
          </cell>
          <cell r="M536" t="str">
            <v>0398916994</v>
          </cell>
          <cell r="V536" t="str">
            <v>Xã Mai Pha, Thành phố Lạng Sơn, Tỉnh Lạng Sơn</v>
          </cell>
          <cell r="W536" t="str">
            <v>01/7/2020</v>
          </cell>
          <cell r="AA536">
            <v>0</v>
          </cell>
          <cell r="AB536" t="str">
            <v>TĐ005</v>
          </cell>
          <cell r="AC536" t="str">
            <v>Ngoại Tiêu hóa</v>
          </cell>
          <cell r="AD536" t="str">
            <v>Ngoại Tiêu hóa</v>
          </cell>
          <cell r="AE536" t="str">
            <v>Viên chức</v>
          </cell>
          <cell r="AG536">
            <v>0</v>
          </cell>
          <cell r="AH536" t="str">
            <v>2.67</v>
          </cell>
          <cell r="AI536">
            <v>2</v>
          </cell>
          <cell r="AK536">
            <v>45383</v>
          </cell>
          <cell r="AL536" t="str">
            <v>Đại học</v>
          </cell>
          <cell r="AM536" t="str">
            <v>Bác sĩ</v>
          </cell>
          <cell r="AN536" t="str">
            <v>Đa khoa</v>
          </cell>
          <cell r="AY536" t="str">
            <v>Tày</v>
          </cell>
        </row>
        <row r="537">
          <cell r="A537" t="str">
            <v>BV1068</v>
          </cell>
          <cell r="B537">
            <v>531</v>
          </cell>
          <cell r="C537" t="str">
            <v>Nguyễn Độ Vỹ</v>
          </cell>
          <cell r="D537" t="str">
            <v>BV1068</v>
          </cell>
          <cell r="E537" t="str">
            <v>2020380908</v>
          </cell>
          <cell r="G537" t="str">
            <v>CCCD: 020095001785
Ngày cấp: 29/4/2021, nơi cấp: Cục cảnh sát quản lý hành chính và trật tự xã hội</v>
          </cell>
          <cell r="H537">
            <v>35030</v>
          </cell>
          <cell r="J537">
            <v>30</v>
          </cell>
          <cell r="K537" t="str">
            <v>082284358</v>
          </cell>
          <cell r="L537">
            <v>41059</v>
          </cell>
          <cell r="S537" t="str">
            <v>Hưng Vũ</v>
          </cell>
          <cell r="T537" t="str">
            <v>Bắc Sơn</v>
          </cell>
          <cell r="U537" t="str">
            <v>Lạng Sơn</v>
          </cell>
          <cell r="V537" t="str">
            <v>Xã Hưng Vũ, huyên Bắc Sơn, tỉnh Lạng Sơn</v>
          </cell>
          <cell r="W537">
            <v>44105</v>
          </cell>
          <cell r="AA537">
            <v>0</v>
          </cell>
          <cell r="AB537" t="str">
            <v>TĐ005</v>
          </cell>
          <cell r="AC537" t="str">
            <v>Ngoại Tiêu hóa</v>
          </cell>
          <cell r="AD537" t="str">
            <v>Ngoại Tiêu hóa</v>
          </cell>
          <cell r="AE537" t="str">
            <v>HĐ có thời hạn</v>
          </cell>
          <cell r="AG537">
            <v>0</v>
          </cell>
          <cell r="AH537" t="str">
            <v>2.67</v>
          </cell>
          <cell r="AI537">
            <v>2</v>
          </cell>
          <cell r="AK537">
            <v>45474</v>
          </cell>
          <cell r="AL537" t="str">
            <v>Đại học</v>
          </cell>
          <cell r="AM537" t="str">
            <v>Bác sĩ</v>
          </cell>
          <cell r="AN537" t="str">
            <v>Đa khoa</v>
          </cell>
          <cell r="AY537" t="str">
            <v>Kinh</v>
          </cell>
        </row>
        <row r="538">
          <cell r="A538" t="str">
            <v>BV1061</v>
          </cell>
          <cell r="B538">
            <v>532</v>
          </cell>
          <cell r="C538" t="str">
            <v>Chu Hà Thành</v>
          </cell>
          <cell r="D538" t="str">
            <v>BV1061</v>
          </cell>
          <cell r="E538" t="str">
            <v>2020030850</v>
          </cell>
          <cell r="G538" t="str">
            <v>020094000666, ngày cấp 31/3/2021, cục cảnh sát QLHCVTTXH</v>
          </cell>
          <cell r="H538">
            <v>34337</v>
          </cell>
          <cell r="J538">
            <v>32</v>
          </cell>
          <cell r="K538" t="str">
            <v>082219818</v>
          </cell>
          <cell r="L538">
            <v>40515</v>
          </cell>
          <cell r="V538" t="str">
            <v>Số 9 ngõ Phan Huy Chú, phường Chi Lăng, thành phố Lạng Sơn, tỉnh Lạng Sơn</v>
          </cell>
          <cell r="W538" t="str">
            <v>28/7/2020</v>
          </cell>
          <cell r="AA538">
            <v>0</v>
          </cell>
          <cell r="AB538" t="str">
            <v>TĐ005</v>
          </cell>
          <cell r="AC538" t="str">
            <v>Ngoại TK-LN</v>
          </cell>
          <cell r="AD538" t="str">
            <v>Ngoại TK-LN</v>
          </cell>
          <cell r="AE538" t="str">
            <v>HĐ có thời hạn</v>
          </cell>
          <cell r="AG538">
            <v>0</v>
          </cell>
          <cell r="AH538" t="str">
            <v>2.67</v>
          </cell>
          <cell r="AI538">
            <v>2</v>
          </cell>
          <cell r="AK538">
            <v>45410</v>
          </cell>
          <cell r="AL538" t="str">
            <v>Đại học</v>
          </cell>
          <cell r="AM538" t="str">
            <v>Bác sĩ</v>
          </cell>
          <cell r="AN538" t="str">
            <v>Đa khoa</v>
          </cell>
          <cell r="AY538" t="str">
            <v>Tày</v>
          </cell>
        </row>
        <row r="539">
          <cell r="A539" t="str">
            <v>BV0946</v>
          </cell>
          <cell r="B539">
            <v>533</v>
          </cell>
          <cell r="C539" t="str">
            <v>Vy Thị Như Quỳnh</v>
          </cell>
          <cell r="D539" t="str">
            <v>BV0946</v>
          </cell>
          <cell r="E539" t="str">
            <v>2020444974</v>
          </cell>
          <cell r="G539" t="str">
            <v>020194008613,
Ngày cấp 25/06/2021, nơi cấp: Cục cảnh sát quản lý hành chính và trật tự xã hội</v>
          </cell>
          <cell r="I539" t="str">
            <v>07/9/1994</v>
          </cell>
          <cell r="J539">
            <v>31</v>
          </cell>
          <cell r="K539" t="str">
            <v>082230413</v>
          </cell>
          <cell r="L539" t="str">
            <v>09/3/2010</v>
          </cell>
          <cell r="M539" t="str">
            <v>Công an tỉnh Lạng Sơn</v>
          </cell>
          <cell r="N539" t="str">
            <v>Thôn Pác Yếng, xã Đồng Ý, huyện Bắc Sơn, tỉnh Lạng Sơn</v>
          </cell>
          <cell r="O539" t="str">
            <v>Thôn Pác Yếng, xã Đồng Ý, huyện Bắc Sơn, tỉnh Lạng Sơn</v>
          </cell>
          <cell r="S539" t="str">
            <v>Thôn Pác Yếng, xã Đồng Ý, huyện Bắc Sơn, tỉnh Lạng Sơn</v>
          </cell>
          <cell r="V539" t="str">
            <v>Thôn Hợp Thành, xã Đồng Ý, huyện Bắc Sơn, tỉnh Lạng Sơn</v>
          </cell>
          <cell r="W539" t="str">
            <v>15/8/2019</v>
          </cell>
          <cell r="AA539">
            <v>0</v>
          </cell>
          <cell r="AB539" t="str">
            <v>TĐ005</v>
          </cell>
          <cell r="AC539" t="str">
            <v>Nhi</v>
          </cell>
          <cell r="AD539" t="str">
            <v>Nhi</v>
          </cell>
          <cell r="AE539" t="str">
            <v>Viên chức</v>
          </cell>
          <cell r="AG539">
            <v>0</v>
          </cell>
          <cell r="AH539" t="str">
            <v>3.00</v>
          </cell>
          <cell r="AI539">
            <v>3</v>
          </cell>
          <cell r="AK539">
            <v>45976</v>
          </cell>
          <cell r="AL539" t="str">
            <v>Đại học</v>
          </cell>
          <cell r="AM539" t="str">
            <v>Bác sĩ</v>
          </cell>
          <cell r="AN539" t="str">
            <v>Bác sĩ đa khoa</v>
          </cell>
          <cell r="AO539" t="str">
            <v>ĐH Y Dược TN</v>
          </cell>
          <cell r="AY539" t="str">
            <v>Tày</v>
          </cell>
        </row>
        <row r="540">
          <cell r="A540" t="str">
            <v>BV0796</v>
          </cell>
          <cell r="B540">
            <v>534</v>
          </cell>
          <cell r="C540" t="str">
            <v>Hoàng Hồng Nguyên</v>
          </cell>
          <cell r="D540" t="str">
            <v>BV0796</v>
          </cell>
          <cell r="E540">
            <v>2020895225</v>
          </cell>
          <cell r="G540" t="str">
            <v>020093001129, ngày cấp 29/4/2021, nơi cấp: Cục trưởng cục cảnh sát quản lý HC về TTXH</v>
          </cell>
          <cell r="H540">
            <v>34095</v>
          </cell>
          <cell r="J540">
            <v>33</v>
          </cell>
          <cell r="K540" t="str">
            <v>082190427</v>
          </cell>
          <cell r="L540" t="str">
            <v>27/12/2009</v>
          </cell>
          <cell r="M540" t="str">
            <v>CA tỉnh Lạng Sơn</v>
          </cell>
          <cell r="O540" t="str">
            <v>Lục Thôn</v>
          </cell>
          <cell r="P540" t="str">
            <v>Lộc Bình</v>
          </cell>
          <cell r="Q540" t="str">
            <v>Lạng Sơn</v>
          </cell>
          <cell r="S540" t="str">
            <v>TT Lộc Bình</v>
          </cell>
          <cell r="T540" t="str">
            <v>Lộc Bình</v>
          </cell>
          <cell r="U540" t="str">
            <v>Lạng Sơn</v>
          </cell>
          <cell r="V540" t="str">
            <v>TT Lộc Bình, Lộc Bình, Lạng Sơn</v>
          </cell>
          <cell r="W540" t="str">
            <v xml:space="preserve"> 02/10/2017</v>
          </cell>
          <cell r="AA540">
            <v>0</v>
          </cell>
          <cell r="AB540" t="str">
            <v>TĐ005</v>
          </cell>
          <cell r="AC540" t="str">
            <v>Răng Hàm Mặt</v>
          </cell>
          <cell r="AD540" t="str">
            <v>Răng Hàm Mặt</v>
          </cell>
          <cell r="AE540" t="str">
            <v>Viên chức</v>
          </cell>
          <cell r="AG540">
            <v>0</v>
          </cell>
          <cell r="AH540" t="str">
            <v>3.00</v>
          </cell>
          <cell r="AI540">
            <v>3</v>
          </cell>
          <cell r="AK540">
            <v>45475</v>
          </cell>
          <cell r="AL540" t="str">
            <v>Đại học</v>
          </cell>
          <cell r="AM540" t="str">
            <v>Bác sĩ</v>
          </cell>
          <cell r="AN540" t="str">
            <v>RHM</v>
          </cell>
          <cell r="AO540" t="str">
            <v>ĐH Y Dược Thái Nguyên</v>
          </cell>
          <cell r="AP540">
            <v>2017</v>
          </cell>
          <cell r="AQ540" t="str">
            <v>12/12</v>
          </cell>
          <cell r="AU540" t="str">
            <v>B</v>
          </cell>
          <cell r="AW540" t="str">
            <v>UDCNTTCB</v>
          </cell>
          <cell r="AY540" t="str">
            <v>Tày</v>
          </cell>
        </row>
        <row r="541">
          <cell r="A541" t="str">
            <v>BV0963</v>
          </cell>
          <cell r="B541">
            <v>535</v>
          </cell>
          <cell r="C541" t="str">
            <v>Trương Thanh Trì</v>
          </cell>
          <cell r="D541" t="str">
            <v>BV0963</v>
          </cell>
          <cell r="E541" t="str">
            <v>2020529695</v>
          </cell>
          <cell r="G541" t="str">
            <v>020095001786 cấp ngày 29/4/2021, nơi cấp: Cục trưởng cục cảnh sát quản lý HC về TTXH</v>
          </cell>
          <cell r="H541" t="str">
            <v>07/01/1995</v>
          </cell>
          <cell r="J541">
            <v>31</v>
          </cell>
          <cell r="K541" t="str">
            <v>082288813</v>
          </cell>
          <cell r="L541" t="str">
            <v>26/10/2012</v>
          </cell>
          <cell r="M541" t="str">
            <v>Công an tỉnh Lạng Sơn</v>
          </cell>
          <cell r="O541" t="str">
            <v>Xã Trung Hóa, huyện Minh Hóa, tỉnh Quảng Bình</v>
          </cell>
          <cell r="V541" t="str">
            <v>Xã Hòa Lạc, huyện Hữu Lũng, tỉnh Lạng Sơn</v>
          </cell>
          <cell r="W541" t="str">
            <v>02/12/2019</v>
          </cell>
          <cell r="AA541">
            <v>0</v>
          </cell>
          <cell r="AB541" t="str">
            <v>TĐ005</v>
          </cell>
          <cell r="AC541" t="str">
            <v>Răng Hàm Mặt</v>
          </cell>
          <cell r="AD541" t="str">
            <v>Răng Hàm Mặt</v>
          </cell>
          <cell r="AE541" t="str">
            <v>Viên chức</v>
          </cell>
          <cell r="AG541">
            <v>0</v>
          </cell>
          <cell r="AH541" t="str">
            <v>2.67</v>
          </cell>
          <cell r="AI541">
            <v>2</v>
          </cell>
          <cell r="AK541">
            <v>45171</v>
          </cell>
          <cell r="AL541" t="str">
            <v>Đại học</v>
          </cell>
          <cell r="AM541" t="str">
            <v>Bác sĩ</v>
          </cell>
          <cell r="AN541" t="str">
            <v>RHM</v>
          </cell>
          <cell r="AO541" t="str">
            <v>Đại học Y dược Hải Phòng</v>
          </cell>
          <cell r="AP541" t="str">
            <v>2013 - 2019</v>
          </cell>
          <cell r="AY541" t="str">
            <v>Kinh</v>
          </cell>
          <cell r="AZ541">
            <v>43550</v>
          </cell>
        </row>
        <row r="542">
          <cell r="A542" t="str">
            <v>BV0949</v>
          </cell>
          <cell r="B542">
            <v>536</v>
          </cell>
          <cell r="C542" t="str">
            <v>Đinh Quang Hưng</v>
          </cell>
          <cell r="D542" t="str">
            <v>BV0949</v>
          </cell>
          <cell r="E542" t="str">
            <v>2020075131</v>
          </cell>
          <cell r="G542" t="str">
            <v>20093002101, ngày cấp 29/4/2021, Cục cảnh sát quản lý hành chính về trật tự xã hội</v>
          </cell>
          <cell r="H542" t="str">
            <v>23/2/1993</v>
          </cell>
          <cell r="J542">
            <v>33</v>
          </cell>
          <cell r="K542" t="str">
            <v>082190450</v>
          </cell>
          <cell r="L542" t="str">
            <v>27/12/2009</v>
          </cell>
          <cell r="M542" t="str">
            <v>Công an tỉnh Lạng Sơn</v>
          </cell>
          <cell r="N542" t="str">
            <v>Đường Nhị Thanh, phường Tam Thanh, TP Lạng Sơn, tỉnh Lạng Sơn</v>
          </cell>
          <cell r="O542" t="str">
            <v>Đường Nhị Thanh, phường Tam Thanh, TP Lạng Sơn, tỉnh Lạng Sơn</v>
          </cell>
          <cell r="S542" t="str">
            <v>Đường Nhị Thanh, phường Tam Thanh, TP Lạng Sơn, tỉnh Lạng Sơn</v>
          </cell>
          <cell r="V542" t="str">
            <v>Đường Nhị Thanh, phường Tam Thanh, thành phố Lạng Sơn, tỉnh Lạng Sơn</v>
          </cell>
          <cell r="W542" t="str">
            <v>15/8/2019</v>
          </cell>
          <cell r="AA542">
            <v>0</v>
          </cell>
          <cell r="AB542" t="str">
            <v>TĐ005</v>
          </cell>
          <cell r="AC542" t="str">
            <v>Tai mũi họng</v>
          </cell>
          <cell r="AD542" t="str">
            <v>Tai mũi họng</v>
          </cell>
          <cell r="AE542" t="str">
            <v>Viên chức</v>
          </cell>
          <cell r="AG542">
            <v>0</v>
          </cell>
          <cell r="AH542" t="str">
            <v>2.67</v>
          </cell>
          <cell r="AI542">
            <v>2</v>
          </cell>
          <cell r="AK542">
            <v>45061</v>
          </cell>
          <cell r="AL542" t="str">
            <v>Đại học</v>
          </cell>
          <cell r="AM542" t="str">
            <v>Bác sĩ</v>
          </cell>
          <cell r="AN542" t="str">
            <v>RHM</v>
          </cell>
          <cell r="AO542" t="str">
            <v>ĐH Y Dược TN</v>
          </cell>
          <cell r="AY542" t="str">
            <v>Tày</v>
          </cell>
        </row>
        <row r="543">
          <cell r="A543" t="str">
            <v>BV1111</v>
          </cell>
          <cell r="B543">
            <v>537</v>
          </cell>
          <cell r="C543" t="str">
            <v>Triệu Đoàn Thùy Linh</v>
          </cell>
          <cell r="D543" t="str">
            <v>BV1111</v>
          </cell>
          <cell r="E543" t="str">
            <v>2020861660</v>
          </cell>
          <cell r="G543" t="str">
            <v>020196005109, ngày cấp 24/6/2021,  nơi cấp cục cảnh sát quản lý hành chính về trật tự xã hội</v>
          </cell>
          <cell r="I543">
            <v>35318</v>
          </cell>
          <cell r="J543">
            <v>29</v>
          </cell>
          <cell r="K543" t="str">
            <v>082265371</v>
          </cell>
          <cell r="L543" t="str">
            <v>16/5/2015</v>
          </cell>
          <cell r="S543" t="str">
            <v>Vĩnh Trại</v>
          </cell>
          <cell r="T543" t="str">
            <v>TP Lạng Sơn</v>
          </cell>
          <cell r="U543" t="str">
            <v>Lạng Sơn</v>
          </cell>
          <cell r="V543" t="str">
            <v>Số 10/143 đường Chu Văn An, phường Vĩnh Trại, thành phố Lạng Sơn</v>
          </cell>
          <cell r="W543" t="str">
            <v>25/1/2021</v>
          </cell>
          <cell r="AA543">
            <v>0</v>
          </cell>
          <cell r="AC543" t="str">
            <v>Tâm thần - Thần kinh</v>
          </cell>
          <cell r="AD543" t="str">
            <v>Tâm thần - Thần kinh</v>
          </cell>
          <cell r="AE543" t="str">
            <v>Viên chức</v>
          </cell>
          <cell r="AG543">
            <v>0</v>
          </cell>
          <cell r="AH543" t="str">
            <v>2.67</v>
          </cell>
          <cell r="AI543">
            <v>2</v>
          </cell>
          <cell r="AK543">
            <v>45590</v>
          </cell>
          <cell r="AL543" t="str">
            <v>Đại học</v>
          </cell>
          <cell r="AM543" t="str">
            <v>Bác sĩ</v>
          </cell>
          <cell r="AN543" t="str">
            <v>Đa khoa</v>
          </cell>
          <cell r="AY543" t="str">
            <v>Tày</v>
          </cell>
        </row>
        <row r="544">
          <cell r="A544" t="str">
            <v>BV1097</v>
          </cell>
          <cell r="B544">
            <v>538</v>
          </cell>
          <cell r="C544" t="str">
            <v>Nguyễn Tuấn Anh</v>
          </cell>
          <cell r="D544" t="str">
            <v>BV1097</v>
          </cell>
          <cell r="E544" t="str">
            <v>2020263616</v>
          </cell>
          <cell r="H544" t="str">
            <v>21/12/1995</v>
          </cell>
          <cell r="J544">
            <v>30</v>
          </cell>
          <cell r="V544" t="str">
            <v>Số 149 tổ 4, khối 5, xã Hợp Thành, huyện Cao Lộc, tỉnh Lạng Sơn</v>
          </cell>
          <cell r="W544" t="str">
            <v>02/12/2020</v>
          </cell>
          <cell r="AA544">
            <v>0</v>
          </cell>
          <cell r="AB544" t="str">
            <v>TĐ044</v>
          </cell>
          <cell r="AC544" t="str">
            <v>HCQT</v>
          </cell>
          <cell r="AD544" t="str">
            <v>HCQT</v>
          </cell>
          <cell r="AE544" t="str">
            <v>HĐ có thời hạn</v>
          </cell>
          <cell r="AG544">
            <v>0</v>
          </cell>
          <cell r="AH544">
            <v>1.68</v>
          </cell>
          <cell r="AI544">
            <v>2</v>
          </cell>
          <cell r="AK544">
            <v>45689</v>
          </cell>
          <cell r="AM544" t="str">
            <v>Bảo vệ</v>
          </cell>
          <cell r="AY544" t="str">
            <v>Kinh</v>
          </cell>
        </row>
        <row r="545">
          <cell r="A545" t="str">
            <v>BV1101</v>
          </cell>
          <cell r="B545">
            <v>539</v>
          </cell>
          <cell r="C545" t="str">
            <v>Lăng Văn Được</v>
          </cell>
          <cell r="D545" t="str">
            <v>BV1101</v>
          </cell>
          <cell r="E545" t="str">
            <v>2020250815</v>
          </cell>
          <cell r="H545" t="str">
            <v>09/09/1973</v>
          </cell>
          <cell r="J545">
            <v>52</v>
          </cell>
          <cell r="V545" t="str">
            <v>Xã Yên Trạch, huyện Cao Lộc, tỉnh Lạng Sơn</v>
          </cell>
          <cell r="W545" t="str">
            <v>02/12/2020</v>
          </cell>
          <cell r="AA545">
            <v>0</v>
          </cell>
          <cell r="AB545" t="str">
            <v>TĐ044</v>
          </cell>
          <cell r="AC545" t="str">
            <v>HCQT</v>
          </cell>
          <cell r="AD545" t="str">
            <v>HCQT</v>
          </cell>
          <cell r="AE545" t="str">
            <v>HĐ có thời hạn</v>
          </cell>
          <cell r="AG545">
            <v>0</v>
          </cell>
          <cell r="AH545">
            <v>1.68</v>
          </cell>
          <cell r="AI545">
            <v>2</v>
          </cell>
          <cell r="AK545">
            <v>45689</v>
          </cell>
          <cell r="AM545" t="str">
            <v>Bảo vệ</v>
          </cell>
          <cell r="AY545" t="str">
            <v>Tày</v>
          </cell>
        </row>
        <row r="546">
          <cell r="A546" t="str">
            <v>BV1103</v>
          </cell>
          <cell r="B546">
            <v>540</v>
          </cell>
          <cell r="C546" t="str">
            <v>Nguyễn Văn Kiện</v>
          </cell>
          <cell r="D546" t="str">
            <v>BV1103</v>
          </cell>
          <cell r="E546" t="str">
            <v>1506002209</v>
          </cell>
          <cell r="H546" t="str">
            <v>20/12/1966</v>
          </cell>
          <cell r="J546">
            <v>59</v>
          </cell>
          <cell r="V546" t="str">
            <v>Tổ 5 khối 8, phường Vĩnh Trại, thành phố Lạng Sơn, tỉnh Lạng Sơn</v>
          </cell>
          <cell r="W546" t="str">
            <v>02/12/2020</v>
          </cell>
          <cell r="AA546">
            <v>0</v>
          </cell>
          <cell r="AB546" t="str">
            <v>TĐ044</v>
          </cell>
          <cell r="AC546" t="str">
            <v>HCQT</v>
          </cell>
          <cell r="AD546" t="str">
            <v>HCQT</v>
          </cell>
          <cell r="AE546" t="str">
            <v>HĐ có thời hạn</v>
          </cell>
          <cell r="AG546">
            <v>0</v>
          </cell>
          <cell r="AH546">
            <v>1.68</v>
          </cell>
          <cell r="AI546">
            <v>2</v>
          </cell>
          <cell r="AK546">
            <v>45689</v>
          </cell>
          <cell r="AM546" t="str">
            <v>Bảo vệ</v>
          </cell>
          <cell r="AY546" t="str">
            <v>Kinh</v>
          </cell>
        </row>
        <row r="547">
          <cell r="A547" t="str">
            <v>BV1107</v>
          </cell>
          <cell r="B547">
            <v>541</v>
          </cell>
          <cell r="C547" t="str">
            <v>Hoàng Văn Thái</v>
          </cell>
          <cell r="D547" t="str">
            <v>BV1107</v>
          </cell>
          <cell r="E547" t="str">
            <v>2015003661</v>
          </cell>
          <cell r="G547" t="str">
            <v>CCCD: 020099003648
Ngày cấp: 25/6/2021
Tại Cục cảnh sát quản lý hành chính về trật tự xã hội</v>
          </cell>
          <cell r="H547" t="str">
            <v>07/09/1988</v>
          </cell>
          <cell r="J547">
            <v>37</v>
          </cell>
          <cell r="V547" t="str">
            <v>Số 15/66 Đèo Giang, phường Chi Lăng, thành phố Lạng Sơn, tỉnh Lạng Sơn</v>
          </cell>
          <cell r="W547" t="str">
            <v>02/12/2020</v>
          </cell>
          <cell r="AA547">
            <v>0</v>
          </cell>
          <cell r="AB547" t="str">
            <v>TĐ044</v>
          </cell>
          <cell r="AC547" t="str">
            <v>HCQT</v>
          </cell>
          <cell r="AD547" t="str">
            <v>HCQT</v>
          </cell>
          <cell r="AE547" t="str">
            <v>HĐ có thời hạn</v>
          </cell>
          <cell r="AG547">
            <v>0</v>
          </cell>
          <cell r="AH547">
            <v>1.68</v>
          </cell>
          <cell r="AI547">
            <v>2</v>
          </cell>
          <cell r="AK547">
            <v>45689</v>
          </cell>
          <cell r="AM547" t="str">
            <v>Bảo vệ</v>
          </cell>
          <cell r="AY547" t="str">
            <v>Tày</v>
          </cell>
        </row>
        <row r="548">
          <cell r="A548" t="str">
            <v>BV1116</v>
          </cell>
          <cell r="B548">
            <v>542</v>
          </cell>
          <cell r="C548" t="str">
            <v>Nguyễn Ngọc Anh</v>
          </cell>
          <cell r="D548" t="str">
            <v>BV1116</v>
          </cell>
          <cell r="E548" t="str">
            <v>2020949077</v>
          </cell>
          <cell r="G548" t="str">
            <v>CCCD: 020195005716; 
Ngày cấp 25/6/2021
Tại Cục cảnh sát quản lý hành chính về trật tự xã hội</v>
          </cell>
          <cell r="I548">
            <v>34714</v>
          </cell>
          <cell r="J548">
            <v>31</v>
          </cell>
          <cell r="K548" t="str">
            <v>082242858</v>
          </cell>
          <cell r="L548">
            <v>40469</v>
          </cell>
          <cell r="S548" t="str">
            <v>Vĩnh Trại</v>
          </cell>
          <cell r="T548" t="str">
            <v>TP Lạng Sơn</v>
          </cell>
          <cell r="U548" t="str">
            <v>Lạng Sơn</v>
          </cell>
          <cell r="V548" t="str">
            <v>30b/2 Chu Văn An, phường Vĩnh Trại, thành phố Lạng Sơn, tỉnh Lạng Sơn</v>
          </cell>
          <cell r="W548" t="str">
            <v>04/3/2021</v>
          </cell>
          <cell r="AA548">
            <v>0</v>
          </cell>
          <cell r="AC548" t="str">
            <v>TCCB</v>
          </cell>
          <cell r="AD548" t="str">
            <v>TCCB</v>
          </cell>
          <cell r="AE548" t="str">
            <v>Viên chức</v>
          </cell>
          <cell r="AG548">
            <v>0</v>
          </cell>
          <cell r="AH548" t="str">
            <v>2.67</v>
          </cell>
          <cell r="AI548">
            <v>2</v>
          </cell>
          <cell r="AK548">
            <v>45718</v>
          </cell>
          <cell r="AL548" t="str">
            <v>Đại học</v>
          </cell>
          <cell r="AM548" t="str">
            <v>Cử nhân BH</v>
          </cell>
          <cell r="AY548" t="str">
            <v>Tày</v>
          </cell>
        </row>
        <row r="549">
          <cell r="A549" t="str">
            <v>BV0995</v>
          </cell>
          <cell r="B549">
            <v>543</v>
          </cell>
          <cell r="C549" t="str">
            <v>Phạm Bạch Trúc Linh</v>
          </cell>
          <cell r="D549" t="str">
            <v>BV0995</v>
          </cell>
          <cell r="E549" t="str">
            <v>0126405651</v>
          </cell>
          <cell r="G549" t="str">
            <v>CCCD: 02019600295; 
Cấp ngày 07/4/2021
Tại Cục cảnh sát quản lý hành chính về trật tự xã hội</v>
          </cell>
          <cell r="I549">
            <v>35245</v>
          </cell>
          <cell r="J549">
            <v>30</v>
          </cell>
          <cell r="K549" t="str">
            <v>082308886</v>
          </cell>
          <cell r="L549">
            <v>41712</v>
          </cell>
          <cell r="V549" t="str">
            <v>Phường Hoàng Văn Thụ, thành phố Lạng Sơn, tỉnh Lạng Sơn</v>
          </cell>
          <cell r="W549" t="str">
            <v>18/12/2019</v>
          </cell>
          <cell r="AA549">
            <v>0</v>
          </cell>
          <cell r="AB549" t="e">
            <v>#N/A</v>
          </cell>
          <cell r="AC549" t="str">
            <v>TCCB</v>
          </cell>
          <cell r="AD549" t="str">
            <v>TCCB</v>
          </cell>
          <cell r="AE549" t="str">
            <v>Viên chức</v>
          </cell>
          <cell r="AG549">
            <v>0</v>
          </cell>
          <cell r="AH549" t="str">
            <v>2.67</v>
          </cell>
          <cell r="AI549">
            <v>2</v>
          </cell>
          <cell r="AK549" t="str">
            <v>20/12/2023</v>
          </cell>
          <cell r="AL549" t="str">
            <v>Đại học</v>
          </cell>
          <cell r="AM549" t="str">
            <v>Cử nhân CTH</v>
          </cell>
          <cell r="AQ549" t="str">
            <v>12/12</v>
          </cell>
          <cell r="AY549" t="str">
            <v>Kinh</v>
          </cell>
          <cell r="AZ549">
            <v>43804</v>
          </cell>
        </row>
        <row r="550">
          <cell r="A550" t="str">
            <v>BV0798</v>
          </cell>
          <cell r="B550">
            <v>544</v>
          </cell>
          <cell r="C550" t="str">
            <v>Trần Thị Lan</v>
          </cell>
          <cell r="D550" t="str">
            <v>BV0798</v>
          </cell>
          <cell r="E550">
            <v>2016005887</v>
          </cell>
          <cell r="G550" t="str">
            <v>CCCD: 020192010818; 
Cấp ngày 25/6/2021
Tại Cục cảnh sát quản lý hành chính về trật tự xã hội</v>
          </cell>
          <cell r="I550">
            <v>33947</v>
          </cell>
          <cell r="J550">
            <v>33</v>
          </cell>
          <cell r="K550" t="str">
            <v>082122609</v>
          </cell>
          <cell r="L550" t="str">
            <v>06/12/2007</v>
          </cell>
          <cell r="M550" t="str">
            <v>CA tỉnh Lạng Sơn</v>
          </cell>
          <cell r="O550" t="str">
            <v>Lương Năng</v>
          </cell>
          <cell r="P550" t="str">
            <v>Văn Quan</v>
          </cell>
          <cell r="Q550" t="str">
            <v>Lạng Sơn</v>
          </cell>
          <cell r="S550" t="str">
            <v>Lương Năng</v>
          </cell>
          <cell r="T550" t="str">
            <v>Văn Quan</v>
          </cell>
          <cell r="U550" t="str">
            <v>Lạng Sơn</v>
          </cell>
          <cell r="V550" t="str">
            <v>Khối 8, phường Đông Kinh, thành phố Lạng Sơn</v>
          </cell>
          <cell r="W550" t="str">
            <v>22/5/2017</v>
          </cell>
          <cell r="AA550">
            <v>0</v>
          </cell>
          <cell r="AB550" t="e">
            <v>#N/A</v>
          </cell>
          <cell r="AC550" t="str">
            <v>TCCB</v>
          </cell>
          <cell r="AD550" t="str">
            <v>TCCB</v>
          </cell>
          <cell r="AE550" t="str">
            <v>Viên chức</v>
          </cell>
          <cell r="AG550">
            <v>0</v>
          </cell>
          <cell r="AH550" t="str">
            <v>3.00</v>
          </cell>
          <cell r="AI550">
            <v>3</v>
          </cell>
          <cell r="AK550">
            <v>45434</v>
          </cell>
          <cell r="AL550" t="str">
            <v>Đại học</v>
          </cell>
          <cell r="AM550" t="str">
            <v>ThS Luật</v>
          </cell>
          <cell r="AN550" t="str">
            <v>Luật Kinh tế</v>
          </cell>
          <cell r="AO550" t="str">
            <v>ĐH Luật Hà Nội</v>
          </cell>
          <cell r="AP550">
            <v>2015</v>
          </cell>
          <cell r="AQ550" t="str">
            <v>12/12</v>
          </cell>
          <cell r="AT550" t="str">
            <v>Sơ cấp</v>
          </cell>
          <cell r="AU550" t="str">
            <v>Anh C</v>
          </cell>
          <cell r="AW550" t="str">
            <v>B</v>
          </cell>
          <cell r="AY550" t="str">
            <v>Tày</v>
          </cell>
        </row>
        <row r="551">
          <cell r="A551" t="str">
            <v>BV0693</v>
          </cell>
          <cell r="B551">
            <v>545</v>
          </cell>
          <cell r="C551" t="str">
            <v>Phương Nhật Anh</v>
          </cell>
          <cell r="D551" t="str">
            <v>BV0693</v>
          </cell>
          <cell r="E551">
            <v>2016001049</v>
          </cell>
          <cell r="G551" t="str">
            <v>CCCD: 020193004449
Ngày cấp: 12/4/2021
Tại Cục cảnh sát quản lý hành chính về trật tự xã hội</v>
          </cell>
          <cell r="I551">
            <v>34095</v>
          </cell>
          <cell r="J551">
            <v>33</v>
          </cell>
          <cell r="K551" t="str">
            <v>082190436</v>
          </cell>
          <cell r="L551" t="str">
            <v>27/12/2009</v>
          </cell>
          <cell r="M551" t="str">
            <v>CA tỉnh Lạng Sơn</v>
          </cell>
          <cell r="O551" t="str">
            <v>Chi Lăng</v>
          </cell>
          <cell r="P551" t="str">
            <v>Chi Lăng</v>
          </cell>
          <cell r="Q551" t="str">
            <v>Lạng Sơn</v>
          </cell>
          <cell r="S551" t="str">
            <v xml:space="preserve">Vĩnh Trại </v>
          </cell>
          <cell r="T551" t="str">
            <v>TP Lạng Sơn</v>
          </cell>
          <cell r="U551" t="str">
            <v>Lạng Sơn</v>
          </cell>
          <cell r="V551" t="str">
            <v>Vĩnh Trại , thành phố Lạng Sơn, Lạng Sơn</v>
          </cell>
          <cell r="W551" t="str">
            <v xml:space="preserve"> 01/4/2016</v>
          </cell>
          <cell r="AA551">
            <v>0</v>
          </cell>
          <cell r="AB551" t="str">
            <v>TĐ024</v>
          </cell>
          <cell r="AC551" t="str">
            <v>TCKT</v>
          </cell>
          <cell r="AD551" t="str">
            <v>TCKT</v>
          </cell>
          <cell r="AE551" t="str">
            <v>Viên chức</v>
          </cell>
          <cell r="AG551">
            <v>0</v>
          </cell>
          <cell r="AH551" t="str">
            <v>3.00</v>
          </cell>
          <cell r="AI551">
            <v>3</v>
          </cell>
          <cell r="AK551">
            <v>45017</v>
          </cell>
          <cell r="AL551" t="str">
            <v>Đại học</v>
          </cell>
          <cell r="AM551" t="str">
            <v>Cử nhân QTKD</v>
          </cell>
          <cell r="AO551" t="str">
            <v>ĐH Kinh tế QD</v>
          </cell>
          <cell r="AP551">
            <v>2015</v>
          </cell>
          <cell r="AQ551" t="str">
            <v>12/12</v>
          </cell>
          <cell r="AU551" t="str">
            <v>B</v>
          </cell>
          <cell r="AW551" t="str">
            <v>B</v>
          </cell>
          <cell r="AX551" t="str">
            <v>CC Kế Toán tổng hợp</v>
          </cell>
          <cell r="AY551" t="str">
            <v>Nùng</v>
          </cell>
          <cell r="AZ551">
            <v>42209</v>
          </cell>
        </row>
        <row r="552">
          <cell r="A552" t="str">
            <v>BV0881</v>
          </cell>
          <cell r="B552">
            <v>546</v>
          </cell>
          <cell r="C552" t="str">
            <v>Nguyễn Hương Giang</v>
          </cell>
          <cell r="D552" t="str">
            <v>BV0881</v>
          </cell>
          <cell r="E552" t="str">
            <v>2020929732</v>
          </cell>
          <cell r="G552" t="str">
            <v>CCCD: 020196000289
Ngày cấp: 08/4/2021
Tại Cục cảnh sát quản lý hành chính về trật tự xã hội</v>
          </cell>
          <cell r="I552" t="str">
            <v>11/05/1996</v>
          </cell>
          <cell r="J552">
            <v>30</v>
          </cell>
          <cell r="K552" t="str">
            <v>082316081</v>
          </cell>
          <cell r="L552" t="str">
            <v>11/03/2014</v>
          </cell>
          <cell r="M552" t="str">
            <v>CA tỉnh Lạng Sơn</v>
          </cell>
          <cell r="V552" t="str">
            <v>Số 27 Đường Phan Huy Chú, Khối Cửa Nam, Phường Chi Lăng, thành phố Lạng Sơn, Tỉnh Lạng Sơn</v>
          </cell>
          <cell r="W552" t="str">
            <v>02/01/2019</v>
          </cell>
          <cell r="X552" t="str">
            <v>02/01/2019</v>
          </cell>
          <cell r="AA552">
            <v>0</v>
          </cell>
          <cell r="AB552" t="str">
            <v>TĐ024</v>
          </cell>
          <cell r="AC552" t="str">
            <v>TCKT</v>
          </cell>
          <cell r="AD552" t="str">
            <v>TCKT</v>
          </cell>
          <cell r="AE552" t="str">
            <v>Viên chức</v>
          </cell>
          <cell r="AG552">
            <v>0</v>
          </cell>
          <cell r="AH552" t="str">
            <v>2.67</v>
          </cell>
          <cell r="AI552">
            <v>2</v>
          </cell>
          <cell r="AK552">
            <v>44928</v>
          </cell>
          <cell r="AL552" t="str">
            <v>Đại học</v>
          </cell>
          <cell r="AM552" t="str">
            <v>Cử nhân QTKD</v>
          </cell>
          <cell r="AQ552" t="str">
            <v>12/12</v>
          </cell>
          <cell r="AY552" t="str">
            <v>Kinh</v>
          </cell>
        </row>
        <row r="553">
          <cell r="A553" t="str">
            <v>BV0482</v>
          </cell>
          <cell r="B553">
            <v>547</v>
          </cell>
          <cell r="C553" t="str">
            <v>Hoàng Thị Vân</v>
          </cell>
          <cell r="D553" t="str">
            <v>BV0482</v>
          </cell>
          <cell r="E553">
            <v>2010000195</v>
          </cell>
          <cell r="G553" t="str">
            <v>CCCD: 020186010366
Ngày cấp: 8/5/2021,nơi cấp: Cục cảnh sát quản lý hành chính và trật tự xã hội</v>
          </cell>
          <cell r="I553">
            <v>31681</v>
          </cell>
          <cell r="J553">
            <v>39</v>
          </cell>
          <cell r="K553" t="str">
            <v>082013537</v>
          </cell>
          <cell r="L553" t="str">
            <v>06/04/2004</v>
          </cell>
          <cell r="M553" t="str">
            <v>CA tỉnh Lạng Sơn</v>
          </cell>
          <cell r="P553" t="str">
            <v>Huyện Chi Lăng</v>
          </cell>
          <cell r="Q553" t="str">
            <v>Tỉnh Lạng Sơn</v>
          </cell>
          <cell r="S553" t="str">
            <v>Phường Tam Thanh</v>
          </cell>
          <cell r="T553" t="str">
            <v>Thành phố Lạng Sơn</v>
          </cell>
          <cell r="U553" t="str">
            <v>Tỉnh Lạng Sơn</v>
          </cell>
          <cell r="V553" t="str">
            <v>27 ngõ máy kéo, khu thống nhất 2, thị trấn Đồng Mỏ, huyện Chi Lăng, Lạng Sơn</v>
          </cell>
          <cell r="W553" t="str">
            <v>01/10/2013</v>
          </cell>
          <cell r="AA553">
            <v>0</v>
          </cell>
          <cell r="AB553" t="str">
            <v>TĐ009</v>
          </cell>
          <cell r="AC553" t="str">
            <v>Dược</v>
          </cell>
          <cell r="AD553" t="str">
            <v>Dược</v>
          </cell>
          <cell r="AE553" t="str">
            <v>Viên chức</v>
          </cell>
          <cell r="AG553">
            <v>0</v>
          </cell>
          <cell r="AH553" t="str">
            <v>2.72</v>
          </cell>
          <cell r="AI553">
            <v>3</v>
          </cell>
          <cell r="AK553" t="str">
            <v>01/2/2026</v>
          </cell>
          <cell r="AL553" t="str">
            <v>Cao đẳng</v>
          </cell>
          <cell r="AM553" t="str">
            <v>Dược sỹ CĐ</v>
          </cell>
          <cell r="AW553" t="str">
            <v>A</v>
          </cell>
          <cell r="AY553" t="str">
            <v>Nùng</v>
          </cell>
          <cell r="AZ553">
            <v>43010</v>
          </cell>
        </row>
        <row r="554">
          <cell r="A554" t="str">
            <v>BV1000</v>
          </cell>
          <cell r="B554">
            <v>548</v>
          </cell>
          <cell r="C554" t="str">
            <v>Nguyễn Diệu Quỳnh</v>
          </cell>
          <cell r="D554" t="str">
            <v>BV1000</v>
          </cell>
          <cell r="E554" t="str">
            <v>2020559936</v>
          </cell>
          <cell r="G554" t="str">
            <v>CCCD: 020197000358
Ngày cấp: 3/4/2021, nơi cấp: Cục cảnh sát quản lý hành chính và trật tự xã hội</v>
          </cell>
          <cell r="I554" t="str">
            <v>02/10/1997</v>
          </cell>
          <cell r="J554">
            <v>28</v>
          </cell>
          <cell r="M554" t="str">
            <v>Công an tỉnh Lạng Sơn</v>
          </cell>
          <cell r="V554" t="str">
            <v>Thị trấn Hữu Lũng, huyện Hữu Lũng, tỉnh Lạng Sơn</v>
          </cell>
          <cell r="W554" t="str">
            <v>09/3/2020</v>
          </cell>
          <cell r="AA554">
            <v>0</v>
          </cell>
          <cell r="AB554" t="str">
            <v>TĐ009</v>
          </cell>
          <cell r="AC554" t="str">
            <v>Dược</v>
          </cell>
          <cell r="AD554" t="str">
            <v>Dược</v>
          </cell>
          <cell r="AE554" t="str">
            <v>Viên chức</v>
          </cell>
          <cell r="AG554">
            <v>0</v>
          </cell>
          <cell r="AH554" t="str">
            <v>2.41</v>
          </cell>
          <cell r="AI554">
            <v>2</v>
          </cell>
          <cell r="AK554">
            <v>45269</v>
          </cell>
          <cell r="AL554" t="str">
            <v>Cao đẳng</v>
          </cell>
          <cell r="AM554" t="str">
            <v>Dược sỹ CĐ</v>
          </cell>
          <cell r="AO554" t="str">
            <v>CĐ Y tế TN</v>
          </cell>
          <cell r="AQ554" t="str">
            <v>12/12</v>
          </cell>
          <cell r="AY554" t="str">
            <v>Kinh</v>
          </cell>
        </row>
        <row r="555">
          <cell r="A555" t="str">
            <v>BV1110</v>
          </cell>
          <cell r="B555">
            <v>549</v>
          </cell>
          <cell r="C555" t="str">
            <v>Nguyễn Thị Huệ</v>
          </cell>
          <cell r="D555" t="str">
            <v>BV1110</v>
          </cell>
          <cell r="E555" t="str">
            <v>2020118574</v>
          </cell>
          <cell r="G555" t="str">
            <v>CCCD: 020197001190
Ngày cấp: 29/4/2021, nơi cấp: Cục cảnh sát quản lý hành chính và trật tự xã hội</v>
          </cell>
          <cell r="H555">
            <v>35465</v>
          </cell>
          <cell r="J555">
            <v>29</v>
          </cell>
          <cell r="K555" t="str">
            <v>082260199</v>
          </cell>
          <cell r="L555">
            <v>42138</v>
          </cell>
          <cell r="N555" t="str">
            <v>Xã Tân Tiến, huyện Tràng Định, tỉnh Lạng Sơn</v>
          </cell>
          <cell r="O555" t="str">
            <v>Tân Tiến</v>
          </cell>
          <cell r="P555" t="str">
            <v>Tràng Định</v>
          </cell>
          <cell r="Q555" t="str">
            <v>Lạng Sơn</v>
          </cell>
          <cell r="S555" t="str">
            <v>Tân Tiến</v>
          </cell>
          <cell r="T555" t="str">
            <v>Tràng Định</v>
          </cell>
          <cell r="U555" t="str">
            <v>Lạng Sơn</v>
          </cell>
          <cell r="V555" t="str">
            <v>Xã Tân Tiến, huyện Tràng Định, tỉnh Lạng Sơn</v>
          </cell>
          <cell r="W555" t="str">
            <v xml:space="preserve">01/02/2021 </v>
          </cell>
          <cell r="AA555">
            <v>0</v>
          </cell>
          <cell r="AC555" t="str">
            <v>Dược</v>
          </cell>
          <cell r="AD555" t="str">
            <v>Dược</v>
          </cell>
          <cell r="AE555" t="str">
            <v>HĐ có thời hạn</v>
          </cell>
          <cell r="AG555">
            <v>0</v>
          </cell>
          <cell r="AH555" t="str">
            <v>2.41</v>
          </cell>
          <cell r="AI555">
            <v>2</v>
          </cell>
          <cell r="AK555">
            <v>45585</v>
          </cell>
          <cell r="AL555" t="str">
            <v>Cao đẳng</v>
          </cell>
          <cell r="AM555" t="str">
            <v>Dược sỹ CĐ</v>
          </cell>
          <cell r="AY555" t="str">
            <v>Kinh</v>
          </cell>
        </row>
        <row r="556">
          <cell r="A556" t="str">
            <v>BV0446</v>
          </cell>
          <cell r="B556">
            <v>550</v>
          </cell>
          <cell r="C556" t="str">
            <v>Nguyễn Thị Huế</v>
          </cell>
          <cell r="D556" t="str">
            <v>BV0446</v>
          </cell>
          <cell r="E556">
            <v>1504001248</v>
          </cell>
          <cell r="G556" t="str">
            <v>CCCD: 015183000846, 
Ngày cấp: 07/04/2021. 
Tại Cục cảnh sát quản lý hành chính về trật tự xã hội</v>
          </cell>
          <cell r="I556">
            <v>30553</v>
          </cell>
          <cell r="J556">
            <v>42</v>
          </cell>
          <cell r="K556" t="str">
            <v>060719209</v>
          </cell>
          <cell r="L556" t="str">
            <v>10/06/2001</v>
          </cell>
          <cell r="M556" t="str">
            <v>CA tỉnh Lạng Sơn</v>
          </cell>
          <cell r="P556" t="str">
            <v>Huyện Lý Nhân</v>
          </cell>
          <cell r="Q556" t="str">
            <v>Tỉnh Hà Nam</v>
          </cell>
          <cell r="S556" t="str">
            <v>Phường Chi Lăng</v>
          </cell>
          <cell r="T556" t="str">
            <v>Thành phố Lạng Sơn</v>
          </cell>
          <cell r="U556" t="str">
            <v>Tỉnh Lạng Sơn</v>
          </cell>
          <cell r="V556" t="str">
            <v>Phường Vĩnh Trại, Thành phố Lạng Sơn, Tỉnh Lạng Sơn</v>
          </cell>
          <cell r="W556" t="str">
            <v>1/3/2005</v>
          </cell>
          <cell r="AA556">
            <v>0</v>
          </cell>
          <cell r="AB556" t="str">
            <v>TĐ009</v>
          </cell>
          <cell r="AC556" t="str">
            <v>VT-TTBYT</v>
          </cell>
          <cell r="AD556" t="str">
            <v>VT-TTBYT</v>
          </cell>
          <cell r="AE556" t="str">
            <v>Viên chức</v>
          </cell>
          <cell r="AG556">
            <v>0</v>
          </cell>
          <cell r="AH556" t="str">
            <v>2.72</v>
          </cell>
          <cell r="AI556">
            <v>3</v>
          </cell>
          <cell r="AK556">
            <v>45931</v>
          </cell>
          <cell r="AL556" t="str">
            <v>Cao đẳng</v>
          </cell>
          <cell r="AM556" t="str">
            <v>Dược sỹ CĐ</v>
          </cell>
          <cell r="AY556" t="str">
            <v>Kinh</v>
          </cell>
        </row>
        <row r="557">
          <cell r="A557" t="str">
            <v>BV0998</v>
          </cell>
          <cell r="B557">
            <v>551</v>
          </cell>
          <cell r="C557" t="str">
            <v>Ngô Thị Yến</v>
          </cell>
          <cell r="D557" t="str">
            <v>BV0998</v>
          </cell>
          <cell r="E557" t="str">
            <v>0130891784</v>
          </cell>
          <cell r="G557" t="str">
            <v>CCCD: 027192000403
Ngày cấp: 10/7/2021, nơi cấp: Cục cảnh sát quản lý hành chính và trật tự xã hội</v>
          </cell>
          <cell r="I557" t="str">
            <v>22/12/1992</v>
          </cell>
          <cell r="J557">
            <v>33</v>
          </cell>
          <cell r="M557" t="str">
            <v>Công an tỉnh Lạng Sơn</v>
          </cell>
          <cell r="V557" t="str">
            <v>B27 khu N16, thị trấn Cao Lộc, thành phồ LẠng Sơn</v>
          </cell>
          <cell r="W557" t="str">
            <v>09/3/2020</v>
          </cell>
          <cell r="AA557">
            <v>0</v>
          </cell>
          <cell r="AB557" t="str">
            <v>TĐ008</v>
          </cell>
          <cell r="AC557" t="str">
            <v>Dược</v>
          </cell>
          <cell r="AD557" t="str">
            <v>Dược</v>
          </cell>
          <cell r="AE557" t="str">
            <v>Viên chức</v>
          </cell>
          <cell r="AG557">
            <v>0</v>
          </cell>
          <cell r="AH557" t="str">
            <v>2.67</v>
          </cell>
          <cell r="AI557">
            <v>2</v>
          </cell>
          <cell r="AK557">
            <v>45360</v>
          </cell>
          <cell r="AL557" t="str">
            <v>Đại học</v>
          </cell>
          <cell r="AM557" t="str">
            <v>Dược sỹ ĐH</v>
          </cell>
          <cell r="AO557" t="str">
            <v>ĐH Thành đô</v>
          </cell>
          <cell r="AQ557" t="str">
            <v>12/12</v>
          </cell>
          <cell r="AY557" t="str">
            <v>Tày</v>
          </cell>
        </row>
        <row r="558">
          <cell r="A558" t="str">
            <v>BV0999</v>
          </cell>
          <cell r="B558">
            <v>552</v>
          </cell>
          <cell r="C558" t="str">
            <v>Nguyễn Thị Thu Thúy</v>
          </cell>
          <cell r="D558" t="str">
            <v>BV0999</v>
          </cell>
          <cell r="E558" t="str">
            <v>1520038970</v>
          </cell>
          <cell r="G558" t="str">
            <v>CCCD: 015193011146
Ngày cấp: 4/9/2021, nơi cấp: Cục cảnh sát quản lý hành chính và trật tự xã hội</v>
          </cell>
          <cell r="I558" t="str">
            <v>10/01/1993</v>
          </cell>
          <cell r="J558">
            <v>33</v>
          </cell>
          <cell r="M558" t="str">
            <v>Công an tỉnh Lạng Sơn</v>
          </cell>
          <cell r="V558" t="str">
            <v>Xã Điềm He, huyện Văn quan, tỉnh Lạng Sơn</v>
          </cell>
          <cell r="W558" t="str">
            <v>09/3/2020</v>
          </cell>
          <cell r="AA558">
            <v>0</v>
          </cell>
          <cell r="AB558" t="str">
            <v>TĐ008</v>
          </cell>
          <cell r="AC558" t="str">
            <v>Dược</v>
          </cell>
          <cell r="AD558" t="str">
            <v>Dược</v>
          </cell>
          <cell r="AE558" t="str">
            <v>Viên chức</v>
          </cell>
          <cell r="AG558">
            <v>0</v>
          </cell>
          <cell r="AH558" t="str">
            <v>2.67</v>
          </cell>
          <cell r="AI558">
            <v>2</v>
          </cell>
          <cell r="AK558">
            <v>45360</v>
          </cell>
          <cell r="AL558" t="str">
            <v>Đại học</v>
          </cell>
          <cell r="AM558" t="str">
            <v>Dược sỹ ĐH</v>
          </cell>
          <cell r="AO558" t="str">
            <v>ĐH Y dược TN</v>
          </cell>
          <cell r="AQ558" t="str">
            <v>12/12</v>
          </cell>
          <cell r="AY558" t="str">
            <v>Kinh</v>
          </cell>
        </row>
        <row r="559">
          <cell r="A559" t="str">
            <v>BV0863</v>
          </cell>
          <cell r="B559">
            <v>553</v>
          </cell>
          <cell r="C559" t="str">
            <v>Hứa Thanh Thùy</v>
          </cell>
          <cell r="D559" t="str">
            <v>BV0863</v>
          </cell>
          <cell r="E559" t="str">
            <v>2016006759</v>
          </cell>
          <cell r="G559" t="str">
            <v>CCCD: 020192008865, 
Ngày cấp 25/06/2021, 
Tại Cục cảnh sát quản lý hành chính về trật tự xã hội</v>
          </cell>
          <cell r="I559">
            <v>33678</v>
          </cell>
          <cell r="J559">
            <v>34</v>
          </cell>
          <cell r="K559" t="str">
            <v>082220375</v>
          </cell>
          <cell r="L559" t="str">
            <v>06/10/2009</v>
          </cell>
          <cell r="M559" t="str">
            <v>CA tỉnh Lạng Sơn</v>
          </cell>
          <cell r="O559" t="str">
            <v>Đại An</v>
          </cell>
          <cell r="P559" t="str">
            <v xml:space="preserve">Văn Quan </v>
          </cell>
          <cell r="Q559" t="str">
            <v>Lạng Sơn</v>
          </cell>
          <cell r="U559" t="str">
            <v>Lạng Sơn</v>
          </cell>
          <cell r="V559" t="str">
            <v>Thôn Quảng Liên III, xã Quảng Lạc, TP. Lạng Sơn</v>
          </cell>
          <cell r="W559" t="str">
            <v>12/11/2018</v>
          </cell>
          <cell r="X559" t="str">
            <v>01/11/2018</v>
          </cell>
          <cell r="AA559">
            <v>0</v>
          </cell>
          <cell r="AB559" t="str">
            <v>TĐ012</v>
          </cell>
          <cell r="AC559" t="str">
            <v>Cấp cứu</v>
          </cell>
          <cell r="AD559" t="str">
            <v>Cấp cứu</v>
          </cell>
          <cell r="AE559" t="str">
            <v>Viên chức</v>
          </cell>
          <cell r="AG559">
            <v>0</v>
          </cell>
          <cell r="AH559" t="str">
            <v>2.72</v>
          </cell>
          <cell r="AI559">
            <v>3</v>
          </cell>
          <cell r="AK559">
            <v>45870</v>
          </cell>
          <cell r="AL559" t="str">
            <v>Cao đẳng</v>
          </cell>
          <cell r="AM559" t="str">
            <v>Điều dưỡng CĐ</v>
          </cell>
          <cell r="AO559" t="str">
            <v>CĐ Y tế Lạng Sơn</v>
          </cell>
          <cell r="AP559">
            <v>2014</v>
          </cell>
          <cell r="AQ559" t="str">
            <v>12/12</v>
          </cell>
          <cell r="AY559" t="str">
            <v>Nùng</v>
          </cell>
          <cell r="BA559" t="e">
            <v>#REF!</v>
          </cell>
          <cell r="BB559" t="e">
            <v>#REF!</v>
          </cell>
        </row>
        <row r="560">
          <cell r="A560" t="str">
            <v>BV0870</v>
          </cell>
          <cell r="B560">
            <v>554</v>
          </cell>
          <cell r="C560" t="str">
            <v>Chu Thị Hoa</v>
          </cell>
          <cell r="D560" t="str">
            <v>BV0870</v>
          </cell>
          <cell r="E560" t="str">
            <v>2414030026</v>
          </cell>
          <cell r="G560" t="str">
            <v>CCCD: 020193009231, 
Ngày cấp 25/06/2021,
Tại Cục cảnh sát quản lý hành chính về trật tự xã hội</v>
          </cell>
          <cell r="I560">
            <v>34133</v>
          </cell>
          <cell r="J560">
            <v>33</v>
          </cell>
          <cell r="K560" t="str">
            <v>082200223</v>
          </cell>
          <cell r="L560" t="str">
            <v>26/02/2009</v>
          </cell>
          <cell r="M560" t="str">
            <v>CA tỉnh Lạng Sơn</v>
          </cell>
          <cell r="O560" t="str">
            <v>Hoàng Việt</v>
          </cell>
          <cell r="P560" t="str">
            <v>Văn Lãng</v>
          </cell>
          <cell r="Q560" t="str">
            <v>Lạng Sơn</v>
          </cell>
          <cell r="V560" t="str">
            <v>Thôn Nà Quan, xã Hoàng Việt, huyện Văn Lãng, tỉnh Lạng Sơn</v>
          </cell>
          <cell r="W560" t="str">
            <v>01/11/2018</v>
          </cell>
          <cell r="X560" t="str">
            <v>01/11/2018</v>
          </cell>
          <cell r="AA560">
            <v>0</v>
          </cell>
          <cell r="AB560" t="str">
            <v>TĐ012</v>
          </cell>
          <cell r="AC560" t="str">
            <v>Cấp cứu</v>
          </cell>
          <cell r="AD560" t="str">
            <v>Cấp cứu</v>
          </cell>
          <cell r="AE560" t="str">
            <v>Viên chức</v>
          </cell>
          <cell r="AG560">
            <v>0</v>
          </cell>
          <cell r="AH560" t="str">
            <v>2.72</v>
          </cell>
          <cell r="AI560">
            <v>3</v>
          </cell>
          <cell r="AK560">
            <v>45870</v>
          </cell>
          <cell r="AL560" t="str">
            <v>Cao đẳng</v>
          </cell>
          <cell r="AM560" t="str">
            <v>Điều dưỡng CĐ</v>
          </cell>
          <cell r="AO560" t="str">
            <v>CĐ Y tế Lạng Sơn</v>
          </cell>
          <cell r="AP560">
            <v>2014</v>
          </cell>
          <cell r="AQ560" t="str">
            <v>12/12</v>
          </cell>
          <cell r="AY560" t="str">
            <v>Nùng</v>
          </cell>
        </row>
        <row r="561">
          <cell r="A561" t="str">
            <v>BV0872</v>
          </cell>
          <cell r="B561">
            <v>555</v>
          </cell>
          <cell r="C561" t="str">
            <v>Dương Thị Thời</v>
          </cell>
          <cell r="D561" t="str">
            <v>BV0872</v>
          </cell>
          <cell r="E561" t="str">
            <v>2020782090</v>
          </cell>
          <cell r="G561" t="str">
            <v>CCCD: 020191002308, 
Ngày cấp 20/04/2021,
Tại Cục cảnh sát quản lý hành chính về trật tự xã hội</v>
          </cell>
          <cell r="I561">
            <v>33486</v>
          </cell>
          <cell r="J561">
            <v>34</v>
          </cell>
          <cell r="K561" t="str">
            <v>082199452</v>
          </cell>
          <cell r="L561" t="str">
            <v>10/3/2009</v>
          </cell>
          <cell r="M561" t="str">
            <v>CA tỉnh Lạng Sơn</v>
          </cell>
          <cell r="O561" t="str">
            <v>Vũ Sơn</v>
          </cell>
          <cell r="P561" t="str">
            <v>Bắc Sơn</v>
          </cell>
          <cell r="Q561" t="str">
            <v>Lạng Sơn</v>
          </cell>
          <cell r="V561" t="str">
            <v>Phòng 503 D2 khu nhà ở xã hội, phường Đông Kinh, TP. Lạng Sơn</v>
          </cell>
          <cell r="W561" t="str">
            <v>01/11/2018</v>
          </cell>
          <cell r="X561" t="str">
            <v>01/11/2018</v>
          </cell>
          <cell r="AA561">
            <v>0</v>
          </cell>
          <cell r="AB561" t="str">
            <v>TĐ012</v>
          </cell>
          <cell r="AC561" t="str">
            <v>Cấp cứu</v>
          </cell>
          <cell r="AD561" t="str">
            <v>Cấp cứu</v>
          </cell>
          <cell r="AE561" t="str">
            <v>Viên chức</v>
          </cell>
          <cell r="AG561">
            <v>0</v>
          </cell>
          <cell r="AH561" t="str">
            <v>2.72</v>
          </cell>
          <cell r="AI561">
            <v>3</v>
          </cell>
          <cell r="AK561">
            <v>45870</v>
          </cell>
          <cell r="AL561" t="str">
            <v>Cao đẳng</v>
          </cell>
          <cell r="AM561" t="str">
            <v>Điều dưỡng CĐ</v>
          </cell>
          <cell r="AO561" t="str">
            <v>CĐ Y tế Lạng Sơn</v>
          </cell>
          <cell r="AP561">
            <v>2013</v>
          </cell>
          <cell r="AQ561" t="str">
            <v>12/12</v>
          </cell>
          <cell r="AU561" t="str">
            <v>B</v>
          </cell>
          <cell r="AW561" t="str">
            <v>B</v>
          </cell>
          <cell r="AY561" t="str">
            <v>Tày</v>
          </cell>
        </row>
        <row r="562">
          <cell r="A562" t="str">
            <v>BV0721</v>
          </cell>
          <cell r="B562">
            <v>556</v>
          </cell>
          <cell r="C562" t="str">
            <v>Phương Trung Hữu</v>
          </cell>
          <cell r="D562" t="str">
            <v>BV0721</v>
          </cell>
          <cell r="E562">
            <v>2020195617</v>
          </cell>
          <cell r="F562">
            <v>2099972196</v>
          </cell>
          <cell r="G562" t="str">
            <v>CCCD: 020091002267, 
Ngày cấp 29/04/2021, 
Tại Cục cảnh sát quản lý hành chính về trật tự xã hội</v>
          </cell>
          <cell r="H562" t="str">
            <v>04/6/1991</v>
          </cell>
          <cell r="J562">
            <v>35</v>
          </cell>
          <cell r="K562" t="str">
            <v>082140071</v>
          </cell>
          <cell r="L562" t="str">
            <v>24/4/2008</v>
          </cell>
          <cell r="M562" t="str">
            <v>CA tỉnh Lạng Sơn</v>
          </cell>
          <cell r="O562" t="str">
            <v>Hội Hoan</v>
          </cell>
          <cell r="P562" t="str">
            <v>Văn Lãng</v>
          </cell>
          <cell r="Q562" t="str">
            <v>Lạng Sơn</v>
          </cell>
          <cell r="S562" t="str">
            <v>Hội Hoan</v>
          </cell>
          <cell r="T562" t="str">
            <v>Văn Lãng</v>
          </cell>
          <cell r="U562" t="str">
            <v>Lạng Sơn</v>
          </cell>
          <cell r="V562" t="str">
            <v>Hội Hoan, Văn Lãng, Lạng Sơn</v>
          </cell>
          <cell r="W562" t="str">
            <v xml:space="preserve"> 29/8/2016</v>
          </cell>
          <cell r="AA562">
            <v>0</v>
          </cell>
          <cell r="AB562" t="str">
            <v>TĐ012</v>
          </cell>
          <cell r="AC562" t="str">
            <v>Cấp cứu</v>
          </cell>
          <cell r="AD562" t="str">
            <v>Cấp cứu</v>
          </cell>
          <cell r="AE562" t="str">
            <v>Viên chức</v>
          </cell>
          <cell r="AG562">
            <v>0</v>
          </cell>
          <cell r="AH562" t="str">
            <v>2.72</v>
          </cell>
          <cell r="AI562">
            <v>3</v>
          </cell>
          <cell r="AK562">
            <v>45075</v>
          </cell>
          <cell r="AL562" t="str">
            <v>Cao đẳng</v>
          </cell>
          <cell r="AM562" t="str">
            <v>Điều dưỡng CĐ</v>
          </cell>
          <cell r="AO562" t="str">
            <v>CĐ Y tế Lạng Sơn</v>
          </cell>
          <cell r="AP562">
            <v>2012</v>
          </cell>
          <cell r="AQ562" t="str">
            <v>12/12</v>
          </cell>
          <cell r="AT562" t="str">
            <v>Sơ cấp</v>
          </cell>
          <cell r="AY562" t="str">
            <v>Nùng</v>
          </cell>
          <cell r="BA562" t="e">
            <v>#REF!</v>
          </cell>
          <cell r="BB562" t="e">
            <v>#REF!</v>
          </cell>
          <cell r="BC562" t="str">
            <v>18/07/2016</v>
          </cell>
        </row>
        <row r="563">
          <cell r="A563" t="str">
            <v>BV0899</v>
          </cell>
          <cell r="B563">
            <v>557</v>
          </cell>
          <cell r="C563" t="str">
            <v>Lăng Thị Lỷ</v>
          </cell>
          <cell r="D563" t="str">
            <v>BV0899</v>
          </cell>
          <cell r="E563" t="str">
            <v>2020255600</v>
          </cell>
          <cell r="G563" t="str">
            <v>CCCD: 020197001175, 
Ngày cấp 29/04/2021, 
Tại Cục cảnh sát quản lý hành chính về trật tự xã hội</v>
          </cell>
          <cell r="I563" t="str">
            <v>04/10/1997</v>
          </cell>
          <cell r="J563">
            <v>28</v>
          </cell>
          <cell r="K563" t="str">
            <v>082276537</v>
          </cell>
          <cell r="L563" t="str">
            <v>03/9/2014</v>
          </cell>
          <cell r="M563" t="str">
            <v>CA tỉnh Lạng Sơn</v>
          </cell>
          <cell r="O563" t="str">
            <v>Xã Thanh Lòa, huyện Cao Lộc, tỉnh Lạng Sơn</v>
          </cell>
          <cell r="S563" t="str">
            <v>Xã Thanh Lòa, huyện Cao Lộc, tỉnh Lạng Sơn</v>
          </cell>
          <cell r="V563" t="str">
            <v>Xã Thanh Lòa, huyện Cao Lộc, tỉnh Lạng Sơn</v>
          </cell>
          <cell r="W563" t="str">
            <v>17/4/2019</v>
          </cell>
          <cell r="AA563">
            <v>0</v>
          </cell>
          <cell r="AB563" t="str">
            <v>TĐ012</v>
          </cell>
          <cell r="AC563" t="str">
            <v>Cấp cứu</v>
          </cell>
          <cell r="AD563" t="str">
            <v>Cấp cứu</v>
          </cell>
          <cell r="AE563" t="str">
            <v>Viên chức</v>
          </cell>
          <cell r="AG563">
            <v>0</v>
          </cell>
          <cell r="AH563" t="str">
            <v>2.41</v>
          </cell>
          <cell r="AI563">
            <v>2</v>
          </cell>
          <cell r="AK563">
            <v>44943</v>
          </cell>
          <cell r="AL563" t="str">
            <v>Cao đẳng</v>
          </cell>
          <cell r="AM563" t="str">
            <v>Điều dưỡng CĐ</v>
          </cell>
          <cell r="AO563" t="str">
            <v>CĐ y tế Lạng Sơn</v>
          </cell>
          <cell r="AQ563" t="str">
            <v>12/12</v>
          </cell>
          <cell r="AY563" t="str">
            <v>Tày</v>
          </cell>
          <cell r="BC563" t="str">
            <v>24/06/2013</v>
          </cell>
        </row>
        <row r="564">
          <cell r="A564" t="str">
            <v>BV1057</v>
          </cell>
          <cell r="B564">
            <v>558</v>
          </cell>
          <cell r="C564" t="str">
            <v>Phạm Thị Thảo Uyên</v>
          </cell>
          <cell r="D564" t="str">
            <v>BV1057</v>
          </cell>
          <cell r="E564" t="str">
            <v>2020585209</v>
          </cell>
          <cell r="G564" t="str">
            <v>CCCD: 020196001335, 
Ngày cấp 29/04/2021, 
Tại Cục cảnh sát quản lý hành chính về trật tự xã hội</v>
          </cell>
          <cell r="I564" t="str">
            <v>19/01/1996</v>
          </cell>
          <cell r="J564">
            <v>30</v>
          </cell>
          <cell r="K564" t="str">
            <v>082278273</v>
          </cell>
          <cell r="L564" t="str">
            <v>13/9/2014</v>
          </cell>
          <cell r="M564" t="str">
            <v>0859089691</v>
          </cell>
          <cell r="V564" t="str">
            <v>Thôn Đồng Đĩnh, xã Chi Lăng, huyện Chi Lăng, tỉnh Lạng Sơn</v>
          </cell>
          <cell r="W564" t="str">
            <v>13/7/2020</v>
          </cell>
          <cell r="AA564">
            <v>0</v>
          </cell>
          <cell r="AB564" t="str">
            <v>TĐ012</v>
          </cell>
          <cell r="AC564" t="str">
            <v>Cấp cứu</v>
          </cell>
          <cell r="AD564" t="str">
            <v>Cấp cứu</v>
          </cell>
          <cell r="AE564" t="str">
            <v>Viên chức</v>
          </cell>
          <cell r="AG564">
            <v>0</v>
          </cell>
          <cell r="AH564" t="str">
            <v>2.41</v>
          </cell>
          <cell r="AI564">
            <v>2</v>
          </cell>
          <cell r="AK564">
            <v>45395</v>
          </cell>
          <cell r="AL564" t="str">
            <v>Cao đẳng</v>
          </cell>
          <cell r="AM564" t="str">
            <v>Điều dưỡng CĐ</v>
          </cell>
          <cell r="AY564" t="str">
            <v>Tày</v>
          </cell>
          <cell r="BC564" t="str">
            <v>17/08/2018</v>
          </cell>
        </row>
        <row r="565">
          <cell r="A565" t="str">
            <v>BV1058</v>
          </cell>
          <cell r="B565">
            <v>559</v>
          </cell>
          <cell r="C565" t="str">
            <v>Nguyễn Thị Linh</v>
          </cell>
          <cell r="D565" t="str">
            <v>BV1058</v>
          </cell>
          <cell r="E565" t="str">
            <v>2020073563</v>
          </cell>
          <cell r="G565" t="str">
            <v>CCCD: 020198000229, 
Ngày cấp 08/04/2021, 
Tại Cục cảnh sát quản lý hành chính về trật tự xã hội</v>
          </cell>
          <cell r="I565" t="str">
            <v>09/3/1998</v>
          </cell>
          <cell r="J565">
            <v>28</v>
          </cell>
          <cell r="K565" t="str">
            <v>082308176</v>
          </cell>
          <cell r="L565" t="str">
            <v>22/8/2013</v>
          </cell>
          <cell r="M565" t="str">
            <v>0981298907</v>
          </cell>
          <cell r="V565" t="str">
            <v>Xã Hoàng Đồng, Thành phố Lạng Sơn, Tỉnh Lạng Sơn</v>
          </cell>
          <cell r="W565" t="str">
            <v>13/7/2020</v>
          </cell>
          <cell r="AA565">
            <v>0</v>
          </cell>
          <cell r="AB565" t="str">
            <v>TĐ012</v>
          </cell>
          <cell r="AC565" t="str">
            <v>Cấp cứu</v>
          </cell>
          <cell r="AD565" t="str">
            <v>Cấp cứu</v>
          </cell>
          <cell r="AE565" t="str">
            <v>Viên chức</v>
          </cell>
          <cell r="AG565">
            <v>0</v>
          </cell>
          <cell r="AH565" t="str">
            <v>2.41</v>
          </cell>
          <cell r="AI565">
            <v>2</v>
          </cell>
          <cell r="AK565">
            <v>45395</v>
          </cell>
          <cell r="AL565" t="str">
            <v>Cao đẳng</v>
          </cell>
          <cell r="AM565" t="str">
            <v>Điều dưỡng CĐ</v>
          </cell>
          <cell r="AY565" t="str">
            <v>Tày</v>
          </cell>
        </row>
        <row r="566">
          <cell r="A566" t="str">
            <v>BV1073</v>
          </cell>
          <cell r="B566">
            <v>560</v>
          </cell>
          <cell r="C566" t="str">
            <v>Hà Mạnh Chí</v>
          </cell>
          <cell r="D566" t="str">
            <v>BV1073</v>
          </cell>
          <cell r="E566" t="str">
            <v>2020219756</v>
          </cell>
          <cell r="G566" t="str">
            <v>CCCD: 020099001007, 
Ngày cấp 29/04/2021,
Tại Cục cảnh sát quản lý hành chính về trật tự xã hội</v>
          </cell>
          <cell r="H566" t="str">
            <v>09/10/1999</v>
          </cell>
          <cell r="J566">
            <v>26</v>
          </cell>
          <cell r="K566" t="str">
            <v>082344321</v>
          </cell>
          <cell r="L566" t="str">
            <v>06/11/2015</v>
          </cell>
          <cell r="V566" t="str">
            <v>Xã Bắc La, huyện Văn Lãng, tỉnh Lạng Sơn</v>
          </cell>
          <cell r="W566" t="str">
            <v>03/11/2020</v>
          </cell>
          <cell r="AA566">
            <v>0</v>
          </cell>
          <cell r="AB566" t="str">
            <v>TĐ012</v>
          </cell>
          <cell r="AC566" t="str">
            <v>Cấp cứu</v>
          </cell>
          <cell r="AD566" t="str">
            <v>Cấp cứu</v>
          </cell>
          <cell r="AE566" t="str">
            <v>Viên chức</v>
          </cell>
          <cell r="AG566">
            <v>0</v>
          </cell>
          <cell r="AH566" t="str">
            <v>2.41</v>
          </cell>
          <cell r="AI566">
            <v>2</v>
          </cell>
          <cell r="AK566">
            <v>45507</v>
          </cell>
          <cell r="AL566" t="str">
            <v>Cao đẳng</v>
          </cell>
          <cell r="AM566" t="str">
            <v>Điều dưỡng CĐ</v>
          </cell>
          <cell r="AO566" t="str">
            <v>CĐ Y tế LS</v>
          </cell>
          <cell r="AP566">
            <v>2020</v>
          </cell>
          <cell r="AY566" t="str">
            <v>Nùng</v>
          </cell>
        </row>
        <row r="567">
          <cell r="A567" t="str">
            <v>BV1074</v>
          </cell>
          <cell r="B567">
            <v>561</v>
          </cell>
          <cell r="C567" t="str">
            <v>Nông Thị Điệp</v>
          </cell>
          <cell r="D567" t="str">
            <v>BV1074</v>
          </cell>
          <cell r="E567" t="str">
            <v>2020134944</v>
          </cell>
          <cell r="G567" t="str">
            <v>CCCD: 020199007305,
 Ngày cấp 25/06/2021,
Tại Cục cảnh sát quản lý hành chính về trật tự xã hội</v>
          </cell>
          <cell r="I567" t="str">
            <v>15/5/1999</v>
          </cell>
          <cell r="J567">
            <v>27</v>
          </cell>
          <cell r="K567" t="str">
            <v>082333547</v>
          </cell>
          <cell r="L567" t="str">
            <v>10/6/2015</v>
          </cell>
          <cell r="V567" t="str">
            <v>Xã Tri Phương, huyện Tràng Định, tỉnh Lạng Sơn</v>
          </cell>
          <cell r="W567" t="str">
            <v>03/11/2020</v>
          </cell>
          <cell r="AA567">
            <v>0</v>
          </cell>
          <cell r="AB567" t="str">
            <v>TĐ012</v>
          </cell>
          <cell r="AC567" t="str">
            <v>Cấp cứu</v>
          </cell>
          <cell r="AD567" t="str">
            <v>Cấp cứu</v>
          </cell>
          <cell r="AE567" t="str">
            <v>HĐ có thời hạn</v>
          </cell>
          <cell r="AG567">
            <v>0</v>
          </cell>
          <cell r="AH567" t="str">
            <v>2.41</v>
          </cell>
          <cell r="AI567">
            <v>2</v>
          </cell>
          <cell r="AK567">
            <v>45507</v>
          </cell>
          <cell r="AL567" t="str">
            <v>Cao đẳng</v>
          </cell>
          <cell r="AM567" t="str">
            <v>Điều dưỡng CĐ</v>
          </cell>
          <cell r="AO567" t="str">
            <v>CĐ Y tế LS</v>
          </cell>
          <cell r="AP567">
            <v>2020</v>
          </cell>
          <cell r="AY567" t="str">
            <v>Tày</v>
          </cell>
        </row>
        <row r="568">
          <cell r="A568" t="str">
            <v>BV1076</v>
          </cell>
          <cell r="B568">
            <v>562</v>
          </cell>
          <cell r="C568" t="str">
            <v>Phùng Trung Đức</v>
          </cell>
          <cell r="D568" t="str">
            <v>BV1076</v>
          </cell>
          <cell r="E568" t="str">
            <v>2020324286</v>
          </cell>
          <cell r="G568" t="str">
            <v>CCCD: 020099001207, 
Ngày cấp 29/04/2021, 
Tại Cục cảnh sát quản lý hành chính về trật tự xã hội</v>
          </cell>
          <cell r="H568" t="str">
            <v>16/3/1999</v>
          </cell>
          <cell r="J568">
            <v>27</v>
          </cell>
          <cell r="K568" t="str">
            <v>082347296</v>
          </cell>
          <cell r="L568" t="str">
            <v>17/9/2016</v>
          </cell>
          <cell r="V568" t="str">
            <v>Xã An Sơn, huyện Văn Quan, tỉnh Lạng Sơn</v>
          </cell>
          <cell r="W568" t="str">
            <v>03/11/2020</v>
          </cell>
          <cell r="AA568">
            <v>0</v>
          </cell>
          <cell r="AB568" t="str">
            <v>TĐ012</v>
          </cell>
          <cell r="AC568" t="str">
            <v>Cấp cứu</v>
          </cell>
          <cell r="AD568" t="str">
            <v>Cấp cứu</v>
          </cell>
          <cell r="AE568" t="str">
            <v>HĐ có thời hạn</v>
          </cell>
          <cell r="AG568">
            <v>0</v>
          </cell>
          <cell r="AH568" t="str">
            <v>2.41</v>
          </cell>
          <cell r="AI568">
            <v>2</v>
          </cell>
          <cell r="AK568">
            <v>45507</v>
          </cell>
          <cell r="AL568" t="str">
            <v>Cao đẳng</v>
          </cell>
          <cell r="AM568" t="str">
            <v>Điều dưỡng CĐ</v>
          </cell>
          <cell r="AO568" t="str">
            <v>CĐ Y tế LS</v>
          </cell>
          <cell r="AP568">
            <v>2020</v>
          </cell>
          <cell r="AY568" t="str">
            <v>Nùng</v>
          </cell>
          <cell r="BC568" t="str">
            <v>24/06/2013</v>
          </cell>
        </row>
        <row r="569">
          <cell r="A569" t="str">
            <v>BV0714</v>
          </cell>
          <cell r="B569">
            <v>563</v>
          </cell>
          <cell r="C569" t="str">
            <v>Lương Thị Ly</v>
          </cell>
          <cell r="D569" t="str">
            <v>BV0714</v>
          </cell>
          <cell r="E569">
            <v>2020289288</v>
          </cell>
          <cell r="F569">
            <v>2099872902</v>
          </cell>
          <cell r="G569" t="str">
            <v xml:space="preserve">CCCD: 020194004104; Ngày cấp: 12/08/2021; Nơi cấp: Cục trưởng cục cảnh sát quản lý hành chính về trật tự xã hội </v>
          </cell>
          <cell r="I569" t="str">
            <v>18/12/1994</v>
          </cell>
          <cell r="J569">
            <v>31</v>
          </cell>
          <cell r="K569" t="str">
            <v>082198780</v>
          </cell>
          <cell r="L569" t="str">
            <v>27/7/2013</v>
          </cell>
          <cell r="M569" t="str">
            <v>CA tỉnh Lạng Sơn</v>
          </cell>
          <cell r="O569" t="str">
            <v>Bình Gia</v>
          </cell>
          <cell r="P569" t="str">
            <v>Bình Gia</v>
          </cell>
          <cell r="Q569" t="str">
            <v>Lạng Sơn</v>
          </cell>
          <cell r="S569" t="str">
            <v>Bình Gia</v>
          </cell>
          <cell r="T569" t="str">
            <v>Cao Lộc</v>
          </cell>
          <cell r="U569" t="str">
            <v>Lạng Sơn</v>
          </cell>
          <cell r="V569" t="str">
            <v>TT Đồng Đăng Cao Lộc, Lạng Sơn</v>
          </cell>
          <cell r="W569" t="str">
            <v xml:space="preserve"> 29/8/2016</v>
          </cell>
          <cell r="AA569">
            <v>0</v>
          </cell>
          <cell r="AB569" t="str">
            <v>TĐ012</v>
          </cell>
          <cell r="AC569" t="str">
            <v>HSTC-CĐ</v>
          </cell>
          <cell r="AD569" t="str">
            <v>HSTC-CĐ</v>
          </cell>
          <cell r="AE569" t="str">
            <v>Viên chức</v>
          </cell>
          <cell r="AG569">
            <v>0</v>
          </cell>
          <cell r="AH569" t="str">
            <v>3.03</v>
          </cell>
          <cell r="AI569">
            <v>4</v>
          </cell>
          <cell r="AK569">
            <v>45990</v>
          </cell>
          <cell r="AL569" t="str">
            <v>Cao đẳng</v>
          </cell>
          <cell r="AM569" t="str">
            <v>Điều dưỡng CĐ</v>
          </cell>
          <cell r="AO569" t="str">
            <v>CĐ Y tế Lạng Sơn</v>
          </cell>
          <cell r="AP569">
            <v>2015</v>
          </cell>
          <cell r="AQ569" t="str">
            <v>12/12</v>
          </cell>
          <cell r="AT569" t="str">
            <v>Sơ cấp</v>
          </cell>
          <cell r="AU569" t="str">
            <v>Anh C</v>
          </cell>
          <cell r="AW569" t="str">
            <v>B</v>
          </cell>
          <cell r="AY569" t="str">
            <v>Tày</v>
          </cell>
          <cell r="BA569" t="e">
            <v>#REF!</v>
          </cell>
          <cell r="BB569" t="e">
            <v>#REF!</v>
          </cell>
        </row>
        <row r="570">
          <cell r="A570" t="str">
            <v>BV0715</v>
          </cell>
          <cell r="B570">
            <v>564</v>
          </cell>
          <cell r="C570" t="str">
            <v>Đoàn Thanh Thủy</v>
          </cell>
          <cell r="D570" t="str">
            <v>BV0715</v>
          </cell>
          <cell r="E570">
            <v>2020014024</v>
          </cell>
          <cell r="F570">
            <v>2099890271</v>
          </cell>
          <cell r="G570" t="str">
            <v xml:space="preserve">CCCD: 020188005717; Ngày cấp 10/06/2021; Nơi cấp: Cục trưởng cục cảnh sát quản lý hành chính về trật tự xã hội </v>
          </cell>
          <cell r="I570" t="str">
            <v>25/11/1988</v>
          </cell>
          <cell r="J570">
            <v>37</v>
          </cell>
          <cell r="K570" t="str">
            <v>082091339</v>
          </cell>
          <cell r="L570" t="str">
            <v>24/8/2006</v>
          </cell>
          <cell r="M570" t="str">
            <v>CA tỉnh Lạng Sơn</v>
          </cell>
          <cell r="O570" t="str">
            <v>Quảng Lạc</v>
          </cell>
          <cell r="P570" t="str">
            <v>Lạng Sơn</v>
          </cell>
          <cell r="Q570" t="str">
            <v>Lạng Sơn</v>
          </cell>
          <cell r="S570" t="str">
            <v>Quảng Lạc</v>
          </cell>
          <cell r="T570" t="str">
            <v>Lạng Sơn</v>
          </cell>
          <cell r="U570" t="str">
            <v>Lạng Sơn</v>
          </cell>
          <cell r="V570" t="str">
            <v>Quảng Lạc, Lạng Sơn, Lạng Sơn</v>
          </cell>
          <cell r="W570" t="str">
            <v xml:space="preserve"> 29/8/2016</v>
          </cell>
          <cell r="AA570">
            <v>0</v>
          </cell>
          <cell r="AB570" t="str">
            <v>TĐ012</v>
          </cell>
          <cell r="AC570" t="str">
            <v>HSTC-CĐ</v>
          </cell>
          <cell r="AD570" t="str">
            <v>HSTC-CĐ</v>
          </cell>
          <cell r="AE570" t="str">
            <v>Viên chức</v>
          </cell>
          <cell r="AG570">
            <v>0</v>
          </cell>
          <cell r="AH570" t="str">
            <v>2.72</v>
          </cell>
          <cell r="AI570">
            <v>3</v>
          </cell>
          <cell r="AK570">
            <v>45075</v>
          </cell>
          <cell r="AL570" t="str">
            <v>Cao đẳng</v>
          </cell>
          <cell r="AM570" t="str">
            <v>Điều dưỡng CĐ</v>
          </cell>
          <cell r="AO570" t="str">
            <v>CĐ Y tế Lạng Sơn</v>
          </cell>
          <cell r="AP570">
            <v>2010</v>
          </cell>
          <cell r="AQ570" t="str">
            <v>12/12</v>
          </cell>
          <cell r="AU570" t="str">
            <v>Anh B</v>
          </cell>
          <cell r="AW570" t="str">
            <v>B</v>
          </cell>
          <cell r="AY570" t="str">
            <v>Tày</v>
          </cell>
          <cell r="BA570" t="e">
            <v>#REF!</v>
          </cell>
          <cell r="BB570" t="e">
            <v>#REF!</v>
          </cell>
        </row>
        <row r="571">
          <cell r="A571" t="str">
            <v>BV0717</v>
          </cell>
          <cell r="B571">
            <v>565</v>
          </cell>
          <cell r="C571" t="str">
            <v>Nguyễn Tiến Hưng</v>
          </cell>
          <cell r="D571" t="str">
            <v>BV0717</v>
          </cell>
          <cell r="E571">
            <v>2020073160</v>
          </cell>
          <cell r="F571">
            <v>2099911135</v>
          </cell>
          <cell r="G571" t="str">
            <v xml:space="preserve">CCCD: 0200933002103; Ngày cấp 29/04/2021; Nơi cấp: Cục trưởng cục cảnh sát quản lý hành chính về trật tự xã hội </v>
          </cell>
          <cell r="H571" t="str">
            <v>06/7/1993</v>
          </cell>
          <cell r="J571">
            <v>32</v>
          </cell>
          <cell r="K571" t="str">
            <v>082222780</v>
          </cell>
          <cell r="L571" t="str">
            <v>27/7/2015</v>
          </cell>
          <cell r="M571" t="str">
            <v>CA tỉnh Lạng Sơn</v>
          </cell>
          <cell r="Q571" t="str">
            <v>Lạng Sơn</v>
          </cell>
          <cell r="S571" t="str">
            <v>Tam Thanh</v>
          </cell>
          <cell r="T571" t="str">
            <v>TP Lạng Sơn</v>
          </cell>
          <cell r="U571" t="str">
            <v>Lạng Sơn</v>
          </cell>
          <cell r="V571" t="str">
            <v>Tam Thanh, thành phố Lạng Sơn, Lạng Sơn</v>
          </cell>
          <cell r="W571" t="str">
            <v xml:space="preserve"> 29/8/2016</v>
          </cell>
          <cell r="AA571">
            <v>0</v>
          </cell>
          <cell r="AB571" t="str">
            <v>TĐ012</v>
          </cell>
          <cell r="AC571" t="str">
            <v>HSTC-CĐ</v>
          </cell>
          <cell r="AD571" t="str">
            <v>HSTC-CĐ</v>
          </cell>
          <cell r="AE571" t="str">
            <v>Viên chức</v>
          </cell>
          <cell r="AG571">
            <v>0</v>
          </cell>
          <cell r="AH571" t="str">
            <v>3.03</v>
          </cell>
          <cell r="AI571">
            <v>4</v>
          </cell>
          <cell r="AK571">
            <v>45806</v>
          </cell>
          <cell r="AL571" t="str">
            <v>Cao đẳng</v>
          </cell>
          <cell r="AM571" t="str">
            <v>Điều dưỡng CĐ</v>
          </cell>
          <cell r="AO571" t="str">
            <v>CĐ Y tế Lạng Sơn</v>
          </cell>
          <cell r="AP571">
            <v>2015</v>
          </cell>
          <cell r="AQ571" t="str">
            <v>12/12</v>
          </cell>
          <cell r="AT571" t="str">
            <v>Sơ cấp</v>
          </cell>
          <cell r="AU571" t="str">
            <v>Anh B</v>
          </cell>
          <cell r="AW571" t="str">
            <v>B</v>
          </cell>
          <cell r="AY571" t="str">
            <v>Tày</v>
          </cell>
          <cell r="BA571" t="e">
            <v>#REF!</v>
          </cell>
          <cell r="BB571" t="e">
            <v>#REF!</v>
          </cell>
        </row>
        <row r="572">
          <cell r="A572" t="str">
            <v>BV0859</v>
          </cell>
          <cell r="B572">
            <v>566</v>
          </cell>
          <cell r="C572" t="str">
            <v>Trần Nhật Lê</v>
          </cell>
          <cell r="D572" t="str">
            <v>BV0859</v>
          </cell>
          <cell r="E572" t="str">
            <v>0116220780</v>
          </cell>
          <cell r="G572" t="str">
            <v xml:space="preserve">CCCD: 020194000642; ngày cấp 29/03/2021; Nơi cấp: Cục trưởng cục cảnh sát quản lý hành chính về trật tự xã hội </v>
          </cell>
          <cell r="I572">
            <v>34490</v>
          </cell>
          <cell r="J572">
            <v>32</v>
          </cell>
          <cell r="K572" t="str">
            <v>082209112</v>
          </cell>
          <cell r="L572" t="str">
            <v>29/6/2009</v>
          </cell>
          <cell r="M572" t="str">
            <v>CA tỉnh Lạng Sơn</v>
          </cell>
          <cell r="O572" t="str">
            <v>Châu Sơn</v>
          </cell>
          <cell r="P572" t="str">
            <v>Đình Lập</v>
          </cell>
          <cell r="Q572" t="str">
            <v>Lạng Sơn</v>
          </cell>
          <cell r="V572" t="str">
            <v>Thôn Khe Mạ, xã Đình Lập, huyện Đình lập, tỉnh Lạng Sơn</v>
          </cell>
          <cell r="W572" t="str">
            <v>01/11/2018</v>
          </cell>
          <cell r="X572" t="str">
            <v>01/11/2018</v>
          </cell>
          <cell r="AA572">
            <v>0</v>
          </cell>
          <cell r="AB572" t="str">
            <v>TĐ012</v>
          </cell>
          <cell r="AC572" t="str">
            <v>HSTC-CĐ</v>
          </cell>
          <cell r="AD572" t="str">
            <v>HSTC-CĐ</v>
          </cell>
          <cell r="AE572" t="str">
            <v>Viên chức</v>
          </cell>
          <cell r="AG572">
            <v>0</v>
          </cell>
          <cell r="AH572" t="str">
            <v>2.72</v>
          </cell>
          <cell r="AI572">
            <v>3</v>
          </cell>
          <cell r="AK572">
            <v>45870</v>
          </cell>
          <cell r="AL572" t="str">
            <v>Cao đẳng</v>
          </cell>
          <cell r="AM572" t="str">
            <v>Điều dưỡng CĐ</v>
          </cell>
          <cell r="AO572" t="str">
            <v>CĐ Y tế Phú Thọ</v>
          </cell>
          <cell r="AP572">
            <v>2015</v>
          </cell>
          <cell r="AQ572" t="str">
            <v>12/12</v>
          </cell>
          <cell r="AU572" t="str">
            <v>B</v>
          </cell>
          <cell r="AW572" t="str">
            <v>B</v>
          </cell>
          <cell r="AY572" t="str">
            <v>Tày</v>
          </cell>
        </row>
        <row r="573">
          <cell r="A573" t="str">
            <v>BV0860</v>
          </cell>
          <cell r="B573">
            <v>567</v>
          </cell>
          <cell r="C573" t="str">
            <v>Hoàng Quang Thụy</v>
          </cell>
          <cell r="D573" t="str">
            <v>BV0860</v>
          </cell>
          <cell r="E573" t="str">
            <v>2716066056</v>
          </cell>
          <cell r="G573" t="str">
            <v xml:space="preserve">CCCD: 020091001605; Ngày cấp 25/04/2021; Nơi cấp: Cục trưởng cục cảnh sát quản lý hành chính về trật tự xã hội </v>
          </cell>
          <cell r="H573">
            <v>33449</v>
          </cell>
          <cell r="J573">
            <v>34</v>
          </cell>
          <cell r="K573" t="str">
            <v>082097904</v>
          </cell>
          <cell r="L573" t="str">
            <v>05/12/2006</v>
          </cell>
          <cell r="M573" t="str">
            <v>CA tỉnh Lạng Sơn</v>
          </cell>
          <cell r="N573" t="str">
            <v>Văn Quan, Lạng Sơn</v>
          </cell>
          <cell r="P573" t="str">
            <v xml:space="preserve">Văn Quan </v>
          </cell>
          <cell r="Q573" t="str">
            <v>Lạng Sơn</v>
          </cell>
          <cell r="V573" t="str">
            <v>Xã Điềm He, huyện Văn Quan, tỉnh Lạng Sơn</v>
          </cell>
          <cell r="W573" t="str">
            <v>01/11/2018</v>
          </cell>
          <cell r="X573" t="str">
            <v>01/11/2018</v>
          </cell>
          <cell r="AA573">
            <v>0</v>
          </cell>
          <cell r="AB573" t="str">
            <v>TĐ012</v>
          </cell>
          <cell r="AC573" t="str">
            <v>HSTC-CĐ</v>
          </cell>
          <cell r="AD573" t="str">
            <v>HSTC-CĐ</v>
          </cell>
          <cell r="AE573" t="str">
            <v>Viên chức</v>
          </cell>
          <cell r="AG573">
            <v>0</v>
          </cell>
          <cell r="AH573" t="str">
            <v>2.72</v>
          </cell>
          <cell r="AI573">
            <v>3</v>
          </cell>
          <cell r="AK573">
            <v>45870</v>
          </cell>
          <cell r="AL573" t="str">
            <v>Cao đẳng</v>
          </cell>
          <cell r="AM573" t="str">
            <v>Điều dưỡng CĐ</v>
          </cell>
          <cell r="AO573" t="str">
            <v>CĐ Y tế Lạng Sơn</v>
          </cell>
          <cell r="AP573">
            <v>2015</v>
          </cell>
          <cell r="AQ573" t="str">
            <v>12/12</v>
          </cell>
          <cell r="AT573" t="str">
            <v>Sơ cấp</v>
          </cell>
          <cell r="AW573" t="str">
            <v>03/2014</v>
          </cell>
          <cell r="AX573" t="str">
            <v>CN Chăm sóc người bệnh cấp cúu</v>
          </cell>
          <cell r="AY573" t="str">
            <v>Tày</v>
          </cell>
          <cell r="BA573" t="e">
            <v>#REF!</v>
          </cell>
          <cell r="BB573" t="e">
            <v>#REF!</v>
          </cell>
        </row>
        <row r="574">
          <cell r="A574" t="str">
            <v>BV0967</v>
          </cell>
          <cell r="B574">
            <v>568</v>
          </cell>
          <cell r="C574" t="str">
            <v>Đàm Quốc Huỳnh</v>
          </cell>
          <cell r="D574" t="str">
            <v>BV0967</v>
          </cell>
          <cell r="E574" t="str">
            <v>2020325569</v>
          </cell>
          <cell r="G574" t="str">
            <v xml:space="preserve">CCCD: 020097004944; Ngày cấp 25/06/2021 Nơi cấp: Cục trưởng cục cảnh sát quản lý hành chính về trật tự xã hội </v>
          </cell>
          <cell r="H574" t="str">
            <v>01/3/1997</v>
          </cell>
          <cell r="J574">
            <v>29</v>
          </cell>
          <cell r="K574" t="str">
            <v>082319155</v>
          </cell>
          <cell r="L574" t="str">
            <v>26/11/2013</v>
          </cell>
          <cell r="M574" t="str">
            <v>Công an tỉnh Lạng Sơn</v>
          </cell>
          <cell r="O574" t="str">
            <v>Xã Văn An, huyện VĂn Quan, tỉnh Lạng Sơn</v>
          </cell>
          <cell r="V574" t="str">
            <v>Xã Văn An, huyện Văn Quan, tỉnh Lạng Sơn</v>
          </cell>
          <cell r="W574" t="str">
            <v>02/12/2019</v>
          </cell>
          <cell r="AA574">
            <v>0</v>
          </cell>
          <cell r="AB574" t="str">
            <v>TĐ012</v>
          </cell>
          <cell r="AC574" t="str">
            <v>HSTC-CĐ</v>
          </cell>
          <cell r="AD574" t="str">
            <v>HSTC-CĐ</v>
          </cell>
          <cell r="AE574" t="str">
            <v>Viên chức</v>
          </cell>
          <cell r="AG574">
            <v>0</v>
          </cell>
          <cell r="AH574" t="str">
            <v>2.41</v>
          </cell>
          <cell r="AI574">
            <v>2</v>
          </cell>
          <cell r="AK574">
            <v>45171</v>
          </cell>
          <cell r="AL574" t="str">
            <v>Cao đẳng</v>
          </cell>
          <cell r="AM574" t="str">
            <v>Điều dưỡng CĐ</v>
          </cell>
          <cell r="AN574" t="str">
            <v>Điều dưỡng cao đẳng</v>
          </cell>
          <cell r="AY574" t="str">
            <v>Nùng</v>
          </cell>
        </row>
        <row r="575">
          <cell r="A575" t="str">
            <v>BV1052</v>
          </cell>
          <cell r="B575">
            <v>569</v>
          </cell>
          <cell r="C575" t="str">
            <v>Hoàng Thị Sao</v>
          </cell>
          <cell r="D575" t="str">
            <v>BV1052</v>
          </cell>
          <cell r="E575" t="str">
            <v>2020194673</v>
          </cell>
          <cell r="G575" t="str">
            <v xml:space="preserve">CCCD: 020197001186; Ngày cấp 29/04/2021; Nơi cấp: Cục trưởng cục cảnh sát quản lý hành chính về trật tự xã hội </v>
          </cell>
          <cell r="I575" t="str">
            <v>11/06/1997</v>
          </cell>
          <cell r="J575">
            <v>29</v>
          </cell>
          <cell r="K575" t="str">
            <v>082313101</v>
          </cell>
          <cell r="L575" t="str">
            <v>08/4/2014</v>
          </cell>
          <cell r="M575" t="str">
            <v>0936924458</v>
          </cell>
          <cell r="V575" t="str">
            <v>Xã Thiện Thuật, huyện Bình Gia, tỉnh Lạng Sơn</v>
          </cell>
          <cell r="W575" t="str">
            <v>13/7/2020</v>
          </cell>
          <cell r="AA575">
            <v>0</v>
          </cell>
          <cell r="AB575" t="str">
            <v>TĐ012</v>
          </cell>
          <cell r="AC575" t="str">
            <v>HSTC-CĐ</v>
          </cell>
          <cell r="AD575" t="str">
            <v>HSTC-CĐ</v>
          </cell>
          <cell r="AE575" t="str">
            <v>Viên chức</v>
          </cell>
          <cell r="AG575">
            <v>0</v>
          </cell>
          <cell r="AH575" t="str">
            <v>2.41</v>
          </cell>
          <cell r="AI575">
            <v>2</v>
          </cell>
          <cell r="AK575">
            <v>45402</v>
          </cell>
          <cell r="AL575" t="str">
            <v>Cao đẳng</v>
          </cell>
          <cell r="AM575" t="str">
            <v>Điều dưỡng CĐ</v>
          </cell>
          <cell r="AY575" t="str">
            <v>Nùng</v>
          </cell>
        </row>
        <row r="576">
          <cell r="A576" t="str">
            <v>BV1053</v>
          </cell>
          <cell r="B576">
            <v>570</v>
          </cell>
          <cell r="C576" t="str">
            <v>Đỗ Thị Lan Hương</v>
          </cell>
          <cell r="D576" t="str">
            <v>BV1053</v>
          </cell>
          <cell r="E576" t="str">
            <v>2020058075</v>
          </cell>
          <cell r="G576" t="str">
            <v xml:space="preserve">CCCD: 020194001872; Ngày cấp 29/04/2021; Nơi cấp: Cục trưởng cục cảnh sát quản lý hành chính về trật tự xã hội </v>
          </cell>
          <cell r="I576" t="str">
            <v>14/12/1994</v>
          </cell>
          <cell r="J576">
            <v>31</v>
          </cell>
          <cell r="K576" t="str">
            <v>082236704</v>
          </cell>
          <cell r="L576" t="str">
            <v>23/6/2010</v>
          </cell>
          <cell r="M576" t="str">
            <v>0392895536</v>
          </cell>
          <cell r="V576" t="str">
            <v>Phường Vĩnh Trại, thành phố Lạng Sơn, tỉnh Lạng Sơn</v>
          </cell>
          <cell r="W576" t="str">
            <v>13/7/2020</v>
          </cell>
          <cell r="AA576">
            <v>0</v>
          </cell>
          <cell r="AB576" t="str">
            <v>TĐ012</v>
          </cell>
          <cell r="AC576" t="str">
            <v>HSTC-CĐ</v>
          </cell>
          <cell r="AD576" t="str">
            <v>HSTC-CĐ</v>
          </cell>
          <cell r="AE576" t="str">
            <v>Viên chức</v>
          </cell>
          <cell r="AG576">
            <v>0</v>
          </cell>
          <cell r="AH576" t="str">
            <v>2.41</v>
          </cell>
          <cell r="AI576">
            <v>2</v>
          </cell>
          <cell r="AK576">
            <v>45395</v>
          </cell>
          <cell r="AL576" t="str">
            <v>Cao đẳng</v>
          </cell>
          <cell r="AM576" t="str">
            <v>Điều dưỡng CĐ</v>
          </cell>
          <cell r="AY576" t="str">
            <v>Kinh</v>
          </cell>
        </row>
        <row r="577">
          <cell r="A577" t="str">
            <v>BV1077</v>
          </cell>
          <cell r="B577">
            <v>571</v>
          </cell>
          <cell r="C577" t="str">
            <v>Hoàng Ngọc Châm</v>
          </cell>
          <cell r="D577" t="str">
            <v>BV1077</v>
          </cell>
          <cell r="E577" t="str">
            <v>2020003841</v>
          </cell>
          <cell r="G577" t="str">
            <v xml:space="preserve">CCCD: 020199000909; Ngày cấp 29/04/2021; Nơi cấp: Cục trưởng cục cảnh sát quản lý hành chính về trật tự xã hội </v>
          </cell>
          <cell r="I577" t="str">
            <v>22/10/1999</v>
          </cell>
          <cell r="J577">
            <v>26</v>
          </cell>
          <cell r="K577" t="str">
            <v>082331150</v>
          </cell>
          <cell r="L577" t="str">
            <v>23/12/2014</v>
          </cell>
          <cell r="V577" t="str">
            <v>Xã Mai Pha, thành phố Lạng Sơn, tỉnh Lạng Sơn</v>
          </cell>
          <cell r="W577" t="str">
            <v>03/11/2020</v>
          </cell>
          <cell r="AA577">
            <v>0</v>
          </cell>
          <cell r="AB577" t="str">
            <v>TĐ012</v>
          </cell>
          <cell r="AC577" t="str">
            <v>HSTC-CĐ</v>
          </cell>
          <cell r="AD577" t="str">
            <v>HSTC-CĐ</v>
          </cell>
          <cell r="AE577" t="str">
            <v>Viên chức</v>
          </cell>
          <cell r="AG577">
            <v>0</v>
          </cell>
          <cell r="AH577" t="str">
            <v>2.41</v>
          </cell>
          <cell r="AI577">
            <v>2</v>
          </cell>
          <cell r="AK577">
            <v>45507</v>
          </cell>
          <cell r="AL577" t="str">
            <v>Cao đẳng</v>
          </cell>
          <cell r="AM577" t="str">
            <v>Điều dưỡng CĐ</v>
          </cell>
          <cell r="AO577" t="str">
            <v>CĐ Y tế LS</v>
          </cell>
          <cell r="AP577">
            <v>2020</v>
          </cell>
          <cell r="AY577" t="str">
            <v>Tày</v>
          </cell>
        </row>
        <row r="578">
          <cell r="A578" t="str">
            <v>BV0720</v>
          </cell>
          <cell r="B578">
            <v>572</v>
          </cell>
          <cell r="C578" t="str">
            <v>Hoàng Ánh Dương</v>
          </cell>
          <cell r="D578" t="str">
            <v>BV0720</v>
          </cell>
          <cell r="E578">
            <v>2020586332</v>
          </cell>
          <cell r="F578">
            <v>2099897686</v>
          </cell>
          <cell r="G578" t="str">
            <v xml:space="preserve">      020094001059, ngày cấp: 25/4/2021, nơi cấp: Cục cảnh sát quản lý hành chính và trật tự xã hội</v>
          </cell>
          <cell r="H578" t="str">
            <v>08/6/1994</v>
          </cell>
          <cell r="J578">
            <v>32</v>
          </cell>
          <cell r="K578" t="str">
            <v>082176278</v>
          </cell>
          <cell r="L578" t="str">
            <v>25/6/2008</v>
          </cell>
          <cell r="M578" t="str">
            <v>CA tỉnh Lạng Sơn</v>
          </cell>
          <cell r="O578" t="str">
            <v>Bắc Thủy</v>
          </cell>
          <cell r="P578" t="str">
            <v>Chi Lăng</v>
          </cell>
          <cell r="Q578" t="str">
            <v>Lạng Sơn</v>
          </cell>
          <cell r="S578" t="str">
            <v>Bắc Thủy</v>
          </cell>
          <cell r="T578" t="str">
            <v>Chi Lăng</v>
          </cell>
          <cell r="U578" t="str">
            <v>Lạng Sơn</v>
          </cell>
          <cell r="V578" t="str">
            <v>Bắc Thủy, Chi Lăng, Lạng Sơn</v>
          </cell>
          <cell r="W578" t="str">
            <v xml:space="preserve"> 29/8/2016</v>
          </cell>
          <cell r="AA578">
            <v>0</v>
          </cell>
          <cell r="AB578" t="str">
            <v>TĐ012</v>
          </cell>
          <cell r="AC578" t="str">
            <v>KSNK</v>
          </cell>
          <cell r="AD578" t="str">
            <v>KSNK</v>
          </cell>
          <cell r="AE578" t="str">
            <v>Viên chức</v>
          </cell>
          <cell r="AG578">
            <v>0</v>
          </cell>
          <cell r="AH578" t="str">
            <v>3.03</v>
          </cell>
          <cell r="AI578">
            <v>4</v>
          </cell>
          <cell r="AK578">
            <v>45990</v>
          </cell>
          <cell r="AL578" t="str">
            <v>Cao đẳng</v>
          </cell>
          <cell r="AM578" t="str">
            <v>Điều dưỡng CĐ</v>
          </cell>
          <cell r="AO578" t="str">
            <v>CĐ y tế Lạng Sơn</v>
          </cell>
          <cell r="AP578">
            <v>2015</v>
          </cell>
          <cell r="AQ578" t="str">
            <v>12/12</v>
          </cell>
          <cell r="AU578" t="str">
            <v>Anh B</v>
          </cell>
          <cell r="AW578" t="str">
            <v>B</v>
          </cell>
          <cell r="AY578" t="str">
            <v>Nùng</v>
          </cell>
          <cell r="BA578" t="e">
            <v>#REF!</v>
          </cell>
          <cell r="BB578" t="e">
            <v>#REF!</v>
          </cell>
        </row>
        <row r="579">
          <cell r="A579" t="str">
            <v>BV0864</v>
          </cell>
          <cell r="B579">
            <v>573</v>
          </cell>
          <cell r="C579" t="str">
            <v>Nông Thu Phương</v>
          </cell>
          <cell r="D579" t="str">
            <v>BV0864</v>
          </cell>
          <cell r="E579" t="str">
            <v>2016006750</v>
          </cell>
          <cell r="G579" t="str">
            <v>020195001880
ngày cấp 29/04/2021, nơi cấp: Cục cảnh sát quản lý hành chính và trật tự xã hội</v>
          </cell>
          <cell r="I579">
            <v>34873</v>
          </cell>
          <cell r="J579">
            <v>31</v>
          </cell>
          <cell r="K579" t="str">
            <v>082396397</v>
          </cell>
          <cell r="L579" t="str">
            <v>04/01/2013</v>
          </cell>
          <cell r="M579" t="str">
            <v>CA tỉnh Lạng Sơn</v>
          </cell>
          <cell r="O579" t="str">
            <v>Mai Sao</v>
          </cell>
          <cell r="P579" t="str">
            <v>Chi Lăng</v>
          </cell>
          <cell r="Q579" t="str">
            <v>Lạng Sơn</v>
          </cell>
          <cell r="V579" t="str">
            <v>Thị trấn Cao Lộc, huyện Cao Lộc, tỉnh Lạng Sơn, Thị trấn Cao Lộc, huyện Cao Lộc, tỉnh Lạng Sơn</v>
          </cell>
          <cell r="W579" t="str">
            <v>12/11/2018</v>
          </cell>
          <cell r="X579" t="str">
            <v>01/11/2018</v>
          </cell>
          <cell r="AA579">
            <v>0</v>
          </cell>
          <cell r="AB579" t="str">
            <v>TĐ012</v>
          </cell>
          <cell r="AC579" t="str">
            <v>Khám bệnh</v>
          </cell>
          <cell r="AD579" t="str">
            <v>Khám bệnh</v>
          </cell>
          <cell r="AE579" t="str">
            <v>Viên chức</v>
          </cell>
          <cell r="AG579">
            <v>0</v>
          </cell>
          <cell r="AH579" t="str">
            <v>2.72</v>
          </cell>
          <cell r="AI579">
            <v>3</v>
          </cell>
          <cell r="AK579">
            <v>45871</v>
          </cell>
          <cell r="AL579" t="str">
            <v>Cao đẳng</v>
          </cell>
          <cell r="AM579" t="str">
            <v>Điều dưỡng CĐ</v>
          </cell>
          <cell r="AO579" t="str">
            <v>CĐ Y tế Lạng Sơn</v>
          </cell>
          <cell r="AP579">
            <v>2016</v>
          </cell>
          <cell r="AQ579" t="str">
            <v>12/12</v>
          </cell>
          <cell r="AX579" t="str">
            <v>CN Chăm sóc người bệnh cấp cúu</v>
          </cell>
          <cell r="AY579" t="str">
            <v>Tày</v>
          </cell>
          <cell r="BA579" t="e">
            <v>#REF!</v>
          </cell>
          <cell r="BB579" t="e">
            <v>#REF!</v>
          </cell>
          <cell r="BC579" t="str">
            <v>24/06/2013</v>
          </cell>
        </row>
        <row r="580">
          <cell r="A580" t="str">
            <v>BV0898</v>
          </cell>
          <cell r="B580">
            <v>574</v>
          </cell>
          <cell r="C580" t="str">
            <v>Lương Thị Huế</v>
          </cell>
          <cell r="D580" t="str">
            <v>BV0898</v>
          </cell>
          <cell r="E580" t="str">
            <v>2020102534</v>
          </cell>
          <cell r="G580" t="str">
            <v>082279524
ngày cấp 25/06/2021, nơi cấp: Cục cảnh sát quản lý hành chính và trật tự xã hội</v>
          </cell>
          <cell r="I580" t="str">
            <v>12/01/1996</v>
          </cell>
          <cell r="J580">
            <v>30</v>
          </cell>
          <cell r="K580" t="str">
            <v>082279524</v>
          </cell>
          <cell r="L580" t="str">
            <v>07/01/2014</v>
          </cell>
          <cell r="M580" t="str">
            <v>CA tỉnh Lạng Sơn</v>
          </cell>
          <cell r="O580" t="str">
            <v>Xã Kháng Chiến, huyện Tràng Định, tỉnh Lạng Sơn</v>
          </cell>
          <cell r="S580" t="str">
            <v>Xã Kháng Chiến, huyện Tràng Định, tỉnh Lạng Sơn</v>
          </cell>
          <cell r="V580" t="str">
            <v>Xã Kháng Chiến, huyện Tràng Định, tỉnh Lạng Sơn</v>
          </cell>
          <cell r="W580" t="str">
            <v>17/4/2019</v>
          </cell>
          <cell r="AA580">
            <v>0</v>
          </cell>
          <cell r="AB580" t="str">
            <v>TĐ012</v>
          </cell>
          <cell r="AC580" t="str">
            <v>Khám bệnh</v>
          </cell>
          <cell r="AD580" t="str">
            <v>Khám bệnh</v>
          </cell>
          <cell r="AE580" t="str">
            <v>Viên chức</v>
          </cell>
          <cell r="AG580">
            <v>0</v>
          </cell>
          <cell r="AH580" t="str">
            <v>2.41</v>
          </cell>
          <cell r="AI580">
            <v>2</v>
          </cell>
          <cell r="AK580">
            <v>44943</v>
          </cell>
          <cell r="AL580" t="str">
            <v>Cao đẳng</v>
          </cell>
          <cell r="AM580" t="str">
            <v>Điều dưỡng CĐ</v>
          </cell>
          <cell r="AO580" t="str">
            <v>CĐ y tế Lạng Sơn</v>
          </cell>
          <cell r="AQ580" t="str">
            <v>12/12</v>
          </cell>
          <cell r="AY580" t="str">
            <v>Tày</v>
          </cell>
        </row>
        <row r="581">
          <cell r="A581" t="str">
            <v>BV1081</v>
          </cell>
          <cell r="B581">
            <v>575</v>
          </cell>
          <cell r="C581" t="str">
            <v>Vy Thị Sinh</v>
          </cell>
          <cell r="D581" t="str">
            <v>BV1081</v>
          </cell>
          <cell r="E581" t="str">
            <v>2020280816</v>
          </cell>
          <cell r="G581" t="str">
            <v>020197009637
ngày cấp 05/07/2021, nơi cấp: Cục cảnh sát quản lý hành chính và trật tự xã hội</v>
          </cell>
          <cell r="I581" t="str">
            <v>24/7/1997</v>
          </cell>
          <cell r="J581">
            <v>28</v>
          </cell>
          <cell r="K581" t="str">
            <v>082276108</v>
          </cell>
          <cell r="L581" t="str">
            <v>16/7/2014</v>
          </cell>
          <cell r="V581" t="str">
            <v>Xã Bình Trung, huyện Cao Lộc, tỉnh Lạng Sơn</v>
          </cell>
          <cell r="W581" t="str">
            <v>03/11/2020</v>
          </cell>
          <cell r="AA581">
            <v>0</v>
          </cell>
          <cell r="AB581" t="str">
            <v>TĐ012</v>
          </cell>
          <cell r="AC581" t="str">
            <v>Khám bệnh</v>
          </cell>
          <cell r="AD581" t="str">
            <v>Khám bệnh</v>
          </cell>
          <cell r="AE581" t="str">
            <v>Viên chức</v>
          </cell>
          <cell r="AG581">
            <v>0</v>
          </cell>
          <cell r="AH581" t="str">
            <v>2.41</v>
          </cell>
          <cell r="AI581">
            <v>2</v>
          </cell>
          <cell r="AK581">
            <v>45507</v>
          </cell>
          <cell r="AL581" t="str">
            <v>Cao đẳng</v>
          </cell>
          <cell r="AM581" t="str">
            <v>Điều dưỡng CĐ</v>
          </cell>
          <cell r="AO581" t="str">
            <v>CĐ Y tế LS</v>
          </cell>
          <cell r="AP581">
            <v>2019</v>
          </cell>
          <cell r="AY581" t="str">
            <v>Nùng</v>
          </cell>
          <cell r="BC581" t="str">
            <v>24/06/2013</v>
          </cell>
        </row>
        <row r="582">
          <cell r="A582" t="str">
            <v>BV0716</v>
          </cell>
          <cell r="B582">
            <v>576</v>
          </cell>
          <cell r="C582" t="str">
            <v>Hoàng Thị Thao</v>
          </cell>
          <cell r="D582" t="str">
            <v>BV0716</v>
          </cell>
          <cell r="E582">
            <v>2020181761</v>
          </cell>
          <cell r="F582">
            <v>2099974296</v>
          </cell>
          <cell r="G582" t="str">
            <v>CCCD: 020193011101, ngày cấp: 16/8/2021
Tại Cục cảnh sát quản lý hành chính về trật tự xã hội</v>
          </cell>
          <cell r="I582" t="str">
            <v>29/5/1993</v>
          </cell>
          <cell r="J582">
            <v>33</v>
          </cell>
          <cell r="K582" t="str">
            <v>08226431</v>
          </cell>
          <cell r="L582" t="str">
            <v>10/11/2009</v>
          </cell>
          <cell r="M582" t="str">
            <v>CA tỉnh Lạng Sơn</v>
          </cell>
          <cell r="O582" t="str">
            <v>Tô Hiệu</v>
          </cell>
          <cell r="P582" t="str">
            <v>Bình Gia</v>
          </cell>
          <cell r="Q582" t="str">
            <v>Lạng Sơn</v>
          </cell>
          <cell r="S582" t="str">
            <v>Tô Hiệu</v>
          </cell>
          <cell r="T582" t="str">
            <v>Bình Gía</v>
          </cell>
          <cell r="U582" t="str">
            <v>Lạng Sơn</v>
          </cell>
          <cell r="V582" t="str">
            <v>Tô Hiệu, Bình Gía, Lạng Sơn</v>
          </cell>
          <cell r="W582" t="str">
            <v xml:space="preserve"> 29/8/2016</v>
          </cell>
          <cell r="AA582">
            <v>0</v>
          </cell>
          <cell r="AB582" t="str">
            <v>TĐ012</v>
          </cell>
          <cell r="AC582" t="str">
            <v>Lão - CXK</v>
          </cell>
          <cell r="AD582" t="str">
            <v>Lão - CXK</v>
          </cell>
          <cell r="AE582" t="str">
            <v>Viên chức</v>
          </cell>
          <cell r="AG582">
            <v>0</v>
          </cell>
          <cell r="AH582" t="str">
            <v>2.72</v>
          </cell>
          <cell r="AI582">
            <v>3</v>
          </cell>
          <cell r="AK582">
            <v>45075</v>
          </cell>
          <cell r="AL582" t="str">
            <v>Cao đẳng</v>
          </cell>
          <cell r="AM582" t="str">
            <v>Điều dưỡng CĐ</v>
          </cell>
          <cell r="AO582" t="str">
            <v>CĐ Y tế Lạng Sơn</v>
          </cell>
          <cell r="AP582">
            <v>2015</v>
          </cell>
          <cell r="AQ582" t="str">
            <v>12/12</v>
          </cell>
          <cell r="AU582" t="str">
            <v>Anh B</v>
          </cell>
          <cell r="AW582" t="str">
            <v>B</v>
          </cell>
          <cell r="AY582" t="str">
            <v>Tày</v>
          </cell>
        </row>
        <row r="583">
          <cell r="A583" t="str">
            <v>BV0974</v>
          </cell>
          <cell r="B583">
            <v>577</v>
          </cell>
          <cell r="C583" t="str">
            <v>Nông Văn Bảo</v>
          </cell>
          <cell r="D583" t="str">
            <v>BV0974</v>
          </cell>
          <cell r="E583" t="str">
            <v>2020692818</v>
          </cell>
          <cell r="G583" t="str">
            <v>CCCD: 020096005488, ngày cấp: 25/6/2021
Tại Cục cảnh sát quản lý hành chính về trật tự xã hội</v>
          </cell>
          <cell r="H583" t="str">
            <v>10/4/1996</v>
          </cell>
          <cell r="J583">
            <v>30</v>
          </cell>
          <cell r="K583" t="str">
            <v>082302093</v>
          </cell>
          <cell r="L583" t="str">
            <v>10/4/2013</v>
          </cell>
          <cell r="M583" t="str">
            <v>Công an tỉnh Lạng Sơn</v>
          </cell>
          <cell r="O583" t="str">
            <v>Xã Khuất Xá, huyện  Lộc Bình, tỉnh Lạng Sơn</v>
          </cell>
          <cell r="V583" t="str">
            <v>Xã Khuất Xá, huyện Lộc Bình, tỉnh Lạng Sơn</v>
          </cell>
          <cell r="W583" t="str">
            <v>02/12/2019</v>
          </cell>
          <cell r="AA583">
            <v>0</v>
          </cell>
          <cell r="AB583" t="str">
            <v>TĐ012</v>
          </cell>
          <cell r="AC583" t="str">
            <v>Chấn thương - Bỏng</v>
          </cell>
          <cell r="AD583" t="str">
            <v>Chấn thương - Bỏng</v>
          </cell>
          <cell r="AE583" t="str">
            <v>Viên chức</v>
          </cell>
          <cell r="AG583">
            <v>0</v>
          </cell>
          <cell r="AH583" t="str">
            <v>2.72</v>
          </cell>
          <cell r="AI583">
            <v>3</v>
          </cell>
          <cell r="AK583">
            <v>45902</v>
          </cell>
          <cell r="AL583" t="str">
            <v>Cao đẳng</v>
          </cell>
          <cell r="AM583" t="str">
            <v>Điều dưỡng CĐ</v>
          </cell>
          <cell r="AN583" t="str">
            <v>Điều dưỡng cao đẳng</v>
          </cell>
          <cell r="AY583" t="str">
            <v>Nùng</v>
          </cell>
        </row>
        <row r="584">
          <cell r="A584" t="str">
            <v>BV0723</v>
          </cell>
          <cell r="B584">
            <v>578</v>
          </cell>
          <cell r="C584" t="str">
            <v>Hoàng Thị Mai Hồng</v>
          </cell>
          <cell r="D584" t="str">
            <v>BV0723</v>
          </cell>
          <cell r="E584">
            <v>2020625024</v>
          </cell>
          <cell r="F584">
            <v>2099983646</v>
          </cell>
          <cell r="G584" t="str">
            <v>CCCD: 020193006895
ngày cấp 05/07/2021
Tại Cục cảnh sát quản lý hành chính về trật tự xã hội</v>
          </cell>
          <cell r="I584" t="str">
            <v>14/8/1993</v>
          </cell>
          <cell r="J584">
            <v>32</v>
          </cell>
          <cell r="K584" t="str">
            <v>082165043</v>
          </cell>
          <cell r="L584" t="str">
            <v>21/4/2008</v>
          </cell>
          <cell r="M584" t="str">
            <v>CA tỉnh Lạng Sơn</v>
          </cell>
          <cell r="O584" t="str">
            <v>Nhân Lý</v>
          </cell>
          <cell r="P584" t="str">
            <v>Chi Lăng</v>
          </cell>
          <cell r="Q584" t="str">
            <v>Lạng Sơn</v>
          </cell>
          <cell r="S584" t="str">
            <v>Nhân Lý</v>
          </cell>
          <cell r="T584" t="str">
            <v>Chi Lăng</v>
          </cell>
          <cell r="U584" t="str">
            <v>Lạng Sơn</v>
          </cell>
          <cell r="V584" t="str">
            <v>Thôn Phú Nhuận, Xã Điềm He, H Văn Quan, Tỉnh Lạng Sơn</v>
          </cell>
          <cell r="W584" t="str">
            <v xml:space="preserve"> 29/8/2016</v>
          </cell>
          <cell r="AA584">
            <v>0</v>
          </cell>
          <cell r="AB584" t="str">
            <v>TĐ012</v>
          </cell>
          <cell r="AC584" t="str">
            <v>Nội Tiêu hóa</v>
          </cell>
          <cell r="AD584" t="str">
            <v>Nội Tiêu hóa</v>
          </cell>
          <cell r="AE584" t="str">
            <v>Viên chức</v>
          </cell>
          <cell r="AG584">
            <v>0</v>
          </cell>
          <cell r="AH584" t="str">
            <v>2.72</v>
          </cell>
          <cell r="AI584">
            <v>3</v>
          </cell>
          <cell r="AK584">
            <v>45075</v>
          </cell>
          <cell r="AL584" t="str">
            <v>Cao đẳng</v>
          </cell>
          <cell r="AM584" t="str">
            <v>Điều dưỡng CĐ</v>
          </cell>
          <cell r="AO584" t="str">
            <v>CĐ Y tế Lạng Sơn</v>
          </cell>
          <cell r="AP584">
            <v>2015</v>
          </cell>
          <cell r="AQ584" t="str">
            <v>12/12</v>
          </cell>
          <cell r="AY584" t="str">
            <v>Nùng</v>
          </cell>
        </row>
        <row r="585">
          <cell r="A585" t="str">
            <v>BV0782</v>
          </cell>
          <cell r="B585">
            <v>579</v>
          </cell>
          <cell r="C585" t="str">
            <v>Chu Thị Phượng</v>
          </cell>
          <cell r="D585" t="str">
            <v>BV0782</v>
          </cell>
          <cell r="E585">
            <v>2020692244</v>
          </cell>
          <cell r="F585">
            <v>2099865375</v>
          </cell>
          <cell r="G585" t="str">
            <v>CCCD: 020194007387
ngày cấp 25/6/2021
Tại Cục cảnh sát quản lý hành chính về trật tự xã hội</v>
          </cell>
          <cell r="I585" t="str">
            <v>14/11/1994</v>
          </cell>
          <cell r="J585">
            <v>31</v>
          </cell>
          <cell r="K585" t="str">
            <v>082197558</v>
          </cell>
          <cell r="L585" t="str">
            <v>14/3/2009</v>
          </cell>
          <cell r="M585" t="str">
            <v>CA tỉnh Lạng Sơn</v>
          </cell>
          <cell r="O585" t="str">
            <v>TT Na Dương</v>
          </cell>
          <cell r="P585" t="str">
            <v>Lộc Bình</v>
          </cell>
          <cell r="Q585" t="str">
            <v>Lạng Sơn</v>
          </cell>
          <cell r="S585" t="str">
            <v>Na Dương</v>
          </cell>
          <cell r="T585" t="str">
            <v>Lộc Bình</v>
          </cell>
          <cell r="U585" t="str">
            <v>Lạng Sơn</v>
          </cell>
          <cell r="V585" t="str">
            <v>Na Dương, Lộc Bình, Lạng Sơn</v>
          </cell>
          <cell r="W585" t="str">
            <v xml:space="preserve"> 02/10/2017</v>
          </cell>
          <cell r="AA585">
            <v>0</v>
          </cell>
          <cell r="AB585" t="str">
            <v>TĐ012</v>
          </cell>
          <cell r="AC585" t="str">
            <v>Nội Tổng hợp</v>
          </cell>
          <cell r="AD585" t="str">
            <v>Nội Tổng hợp</v>
          </cell>
          <cell r="AE585" t="str">
            <v>Viên chức</v>
          </cell>
          <cell r="AG585">
            <v>0</v>
          </cell>
          <cell r="AH585" t="str">
            <v>2.72</v>
          </cell>
          <cell r="AI585">
            <v>3</v>
          </cell>
          <cell r="AK585">
            <v>45475</v>
          </cell>
          <cell r="AL585" t="str">
            <v>Cao đẳng</v>
          </cell>
          <cell r="AM585" t="str">
            <v>Điều dưỡng CĐ</v>
          </cell>
          <cell r="AO585" t="str">
            <v>CĐ Y tế Lạng Sơn</v>
          </cell>
          <cell r="AP585">
            <v>2015</v>
          </cell>
          <cell r="AQ585" t="str">
            <v>12/12</v>
          </cell>
          <cell r="AU585" t="str">
            <v>C</v>
          </cell>
          <cell r="AY585" t="str">
            <v>Tày</v>
          </cell>
          <cell r="BA585" t="str">
            <v>003377/LS-CCHN</v>
          </cell>
          <cell r="BB585" t="str">
            <v>Thông tư 26/2015/TTLT-BYT-BNV ngày 07/10/2015</v>
          </cell>
        </row>
        <row r="586">
          <cell r="A586" t="str">
            <v>BV0783</v>
          </cell>
          <cell r="B586">
            <v>580</v>
          </cell>
          <cell r="C586" t="str">
            <v>Lý Thị Hoài</v>
          </cell>
          <cell r="D586" t="str">
            <v>BV0783</v>
          </cell>
          <cell r="E586">
            <v>2020135977</v>
          </cell>
          <cell r="F586">
            <v>2099958518</v>
          </cell>
          <cell r="G586" t="str">
            <v>CCCD: 020192008430
ngày cấp 12/8/2021
Tại Cục cảnh sát quản lý hành chính về trật tự xã hội</v>
          </cell>
          <cell r="I586" t="str">
            <v>28/5/1992</v>
          </cell>
          <cell r="J586">
            <v>34</v>
          </cell>
          <cell r="K586" t="str">
            <v>082195700</v>
          </cell>
          <cell r="L586" t="str">
            <v>04/08/2009</v>
          </cell>
          <cell r="M586" t="str">
            <v>CA tỉnh Lạng Sơn</v>
          </cell>
          <cell r="O586" t="str">
            <v>Tri Phương</v>
          </cell>
          <cell r="P586" t="str">
            <v>Tràng Định</v>
          </cell>
          <cell r="Q586" t="str">
            <v>Lạng Sơn</v>
          </cell>
          <cell r="S586" t="str">
            <v>Tri Phương</v>
          </cell>
          <cell r="T586" t="str">
            <v>Tràng Định</v>
          </cell>
          <cell r="U586" t="str">
            <v>Lạng Sơn</v>
          </cell>
          <cell r="V586" t="str">
            <v>Tri Phương, Tràng Định, Lạng Sơn</v>
          </cell>
          <cell r="W586" t="str">
            <v xml:space="preserve"> 02/10/2017</v>
          </cell>
          <cell r="AA586">
            <v>0</v>
          </cell>
          <cell r="AB586" t="str">
            <v>TĐ012</v>
          </cell>
          <cell r="AC586" t="str">
            <v>Ngoại Tiêu hóa</v>
          </cell>
          <cell r="AD586" t="str">
            <v>Ngoại Tiêu hóa</v>
          </cell>
          <cell r="AE586" t="str">
            <v>Viên chức</v>
          </cell>
          <cell r="AG586">
            <v>0</v>
          </cell>
          <cell r="AH586" t="e">
            <v>#N/A</v>
          </cell>
          <cell r="AI586" t="e">
            <v>#N/A</v>
          </cell>
          <cell r="AK586" t="e">
            <v>#N/A</v>
          </cell>
          <cell r="AL586" t="str">
            <v>Cao đẳng</v>
          </cell>
          <cell r="AM586" t="str">
            <v>Điều dưỡng CĐ</v>
          </cell>
          <cell r="AO586" t="str">
            <v>CĐ Y tế Lạng Sơn</v>
          </cell>
          <cell r="AP586">
            <v>2014</v>
          </cell>
          <cell r="AQ586" t="str">
            <v>12/12</v>
          </cell>
          <cell r="AY586" t="str">
            <v>Nùng</v>
          </cell>
        </row>
        <row r="587">
          <cell r="A587" t="str">
            <v>BV0902</v>
          </cell>
          <cell r="B587">
            <v>581</v>
          </cell>
          <cell r="C587" t="str">
            <v>Vi Ngọc Anh</v>
          </cell>
          <cell r="D587" t="str">
            <v>BV0902</v>
          </cell>
          <cell r="E587" t="str">
            <v>2020055024</v>
          </cell>
          <cell r="G587" t="str">
            <v>082207208, ngày cấp16/12/2019, cục cảnh sát QLHCVTTXH</v>
          </cell>
          <cell r="I587" t="str">
            <v>22/01/1994</v>
          </cell>
          <cell r="J587">
            <v>32</v>
          </cell>
          <cell r="K587" t="str">
            <v>082207208</v>
          </cell>
          <cell r="L587" t="str">
            <v>15/06/2009</v>
          </cell>
          <cell r="M587" t="str">
            <v>CA tỉnh Lạng Sơn</v>
          </cell>
          <cell r="O587" t="str">
            <v xml:space="preserve"> Phường Tam Thanh, TP. Lạng Sơn</v>
          </cell>
          <cell r="S587" t="str">
            <v xml:space="preserve"> Phường Tam Thanh, TP. Lạng Sơn</v>
          </cell>
          <cell r="V587" t="str">
            <v>Phường Tam Thanh, TP. Lạng Sơn</v>
          </cell>
          <cell r="W587" t="str">
            <v>17/4/2019</v>
          </cell>
          <cell r="AA587">
            <v>0</v>
          </cell>
          <cell r="AB587" t="str">
            <v>TĐ012</v>
          </cell>
          <cell r="AC587" t="str">
            <v>Nội Tiêu hóa</v>
          </cell>
          <cell r="AD587" t="str">
            <v>Nội Tiêu hóa</v>
          </cell>
          <cell r="AE587" t="str">
            <v>Viên chức</v>
          </cell>
          <cell r="AG587">
            <v>0</v>
          </cell>
          <cell r="AH587" t="str">
            <v>2.41</v>
          </cell>
          <cell r="AI587">
            <v>2</v>
          </cell>
          <cell r="AK587">
            <v>44943</v>
          </cell>
          <cell r="AL587" t="str">
            <v>Cao đẳng</v>
          </cell>
          <cell r="AM587" t="str">
            <v>Điều dưỡng CĐ</v>
          </cell>
          <cell r="AO587" t="str">
            <v>CĐ y tế Lạng Sơn</v>
          </cell>
          <cell r="AQ587" t="str">
            <v>12/12</v>
          </cell>
          <cell r="AY587" t="str">
            <v>Tày</v>
          </cell>
          <cell r="AZ587">
            <v>42533</v>
          </cell>
        </row>
        <row r="588">
          <cell r="A588" t="str">
            <v>BV0903</v>
          </cell>
          <cell r="B588">
            <v>582</v>
          </cell>
          <cell r="C588" t="str">
            <v>Chu Văn Thưởng</v>
          </cell>
          <cell r="D588" t="str">
            <v>BV0903</v>
          </cell>
          <cell r="E588" t="str">
            <v>2020285074</v>
          </cell>
          <cell r="G588" t="str">
            <v>CCCD: 020096009521
ngày cấp 21/3/2021
Tại Cục cảnh sát quản lý hành chính về trật tự xã hội</v>
          </cell>
          <cell r="H588" t="str">
            <v>28/01/1996</v>
          </cell>
          <cell r="J588">
            <v>30</v>
          </cell>
          <cell r="K588" t="str">
            <v>082326244</v>
          </cell>
          <cell r="L588" t="str">
            <v>27/9/2014</v>
          </cell>
          <cell r="M588" t="str">
            <v>CA tỉnh Lạng Sơn</v>
          </cell>
          <cell r="O588" t="str">
            <v>Xã Thạch Đạn, huyện Cao Lộc, tỉnh Lạng Sơn</v>
          </cell>
          <cell r="S588" t="str">
            <v>Xã Thạch Đạn, huyện Cao Lộc, tỉnh Lạng Sơn</v>
          </cell>
          <cell r="V588" t="str">
            <v>Xã Thạch Đạn, huyện Cao Lộc, tỉnh Lạng Sơn</v>
          </cell>
          <cell r="W588" t="str">
            <v>17/4/2019</v>
          </cell>
          <cell r="AA588">
            <v>0</v>
          </cell>
          <cell r="AB588" t="str">
            <v>TĐ012</v>
          </cell>
          <cell r="AC588" t="str">
            <v>Nội Tiêu hóa</v>
          </cell>
          <cell r="AD588" t="str">
            <v>Nội Tiêu hóa</v>
          </cell>
          <cell r="AE588" t="str">
            <v>Viên chức</v>
          </cell>
          <cell r="AG588">
            <v>0</v>
          </cell>
          <cell r="AH588" t="str">
            <v>2.72</v>
          </cell>
          <cell r="AI588">
            <v>3</v>
          </cell>
          <cell r="AK588">
            <v>45674</v>
          </cell>
          <cell r="AL588" t="str">
            <v>Cao đẳng</v>
          </cell>
          <cell r="AM588" t="str">
            <v>Điều dưỡng CĐ</v>
          </cell>
          <cell r="AO588" t="str">
            <v>CĐ y tế Lạng Sơn</v>
          </cell>
          <cell r="AQ588" t="str">
            <v>12/12</v>
          </cell>
          <cell r="AY588" t="str">
            <v>Tày</v>
          </cell>
        </row>
        <row r="589">
          <cell r="A589" t="str">
            <v>BV0904</v>
          </cell>
          <cell r="B589">
            <v>583</v>
          </cell>
          <cell r="C589" t="str">
            <v>Vy Thị Nga</v>
          </cell>
          <cell r="D589" t="str">
            <v>BV0904</v>
          </cell>
          <cell r="E589" t="str">
            <v>2020635676</v>
          </cell>
          <cell r="G589" t="str">
            <v>CCCD: 020197007885,
ngày cấp 25/6/2021
Tại Cục cảnh sát quản lý hành chính về trật tự xã hội</v>
          </cell>
          <cell r="I589" t="str">
            <v>20/05/1997</v>
          </cell>
          <cell r="J589">
            <v>29</v>
          </cell>
          <cell r="K589" t="str">
            <v>082287949</v>
          </cell>
          <cell r="L589" t="str">
            <v>12/10/2012</v>
          </cell>
          <cell r="M589" t="str">
            <v>CA tỉnh Lạng Sơn</v>
          </cell>
          <cell r="O589" t="str">
            <v>Xã Quang Sang, huyện Chi Lăng, tỉnh Lạng Sơn</v>
          </cell>
          <cell r="S589" t="str">
            <v>Xã Quang Sang, huyện Chi Lăng, tỉnh Lạng Sơn</v>
          </cell>
          <cell r="V589" t="str">
            <v>Thôn Áng Nộc, Xã Chiêu Vũ, H Bắc Sơn, T Lạng Sơn</v>
          </cell>
          <cell r="W589" t="str">
            <v>17/4/2019</v>
          </cell>
          <cell r="AA589">
            <v>0</v>
          </cell>
          <cell r="AB589" t="str">
            <v>TĐ012</v>
          </cell>
          <cell r="AC589" t="str">
            <v>Nội Tiêu hóa</v>
          </cell>
          <cell r="AD589" t="str">
            <v>Nội Tiêu hóa</v>
          </cell>
          <cell r="AE589" t="str">
            <v>Viên chức</v>
          </cell>
          <cell r="AG589">
            <v>0</v>
          </cell>
          <cell r="AH589" t="str">
            <v>2.41</v>
          </cell>
          <cell r="AI589">
            <v>2</v>
          </cell>
          <cell r="AK589">
            <v>45002</v>
          </cell>
          <cell r="AL589" t="str">
            <v>Cao đẳng</v>
          </cell>
          <cell r="AM589" t="str">
            <v>Điều dưỡng CĐ</v>
          </cell>
          <cell r="AO589" t="str">
            <v>CĐ y tế Lạng Sơn</v>
          </cell>
          <cell r="AQ589" t="str">
            <v>12/12</v>
          </cell>
          <cell r="AY589" t="str">
            <v>Tày</v>
          </cell>
        </row>
        <row r="590">
          <cell r="A590" t="str">
            <v>BV0905</v>
          </cell>
          <cell r="B590">
            <v>584</v>
          </cell>
          <cell r="C590" t="str">
            <v>Ngô Thế Vinh</v>
          </cell>
          <cell r="D590" t="str">
            <v>BV0905</v>
          </cell>
          <cell r="E590" t="str">
            <v>2020940357</v>
          </cell>
          <cell r="G590" t="str">
            <v>CCCD: 020090002779
ngày cấp 29/4/2021
Tại Cục cảnh sát quản lý hành chính về trật tự xã hội</v>
          </cell>
          <cell r="H590" t="str">
            <v>31/07/1990</v>
          </cell>
          <cell r="J590">
            <v>35</v>
          </cell>
          <cell r="K590" t="str">
            <v>082119286</v>
          </cell>
          <cell r="L590" t="str">
            <v>16/04/2018</v>
          </cell>
          <cell r="M590" t="str">
            <v>CA tỉnh Lạng Sơn</v>
          </cell>
          <cell r="O590" t="str">
            <v>Xã Tân Mỹ, huyện Văn Lãng, tỉnh Lạng Sơn</v>
          </cell>
          <cell r="S590" t="str">
            <v>Xã Tân Mỹ, huyện Văn Lãng, tỉnh Lạng Sơn</v>
          </cell>
          <cell r="V590" t="str">
            <v>Xã Tân Mỹ, huyện Văn Lãng, tỉnh Lạng Sơn</v>
          </cell>
          <cell r="W590" t="str">
            <v>17/4/2019</v>
          </cell>
          <cell r="AA590">
            <v>0</v>
          </cell>
          <cell r="AB590" t="str">
            <v>TĐ012</v>
          </cell>
          <cell r="AC590" t="str">
            <v>Ngoại Tiêu hóa</v>
          </cell>
          <cell r="AD590" t="str">
            <v>Ngoại Tiêu hóa</v>
          </cell>
          <cell r="AE590" t="str">
            <v>Viên chức</v>
          </cell>
          <cell r="AG590">
            <v>0</v>
          </cell>
          <cell r="AH590" t="str">
            <v>2.41</v>
          </cell>
          <cell r="AI590">
            <v>2</v>
          </cell>
          <cell r="AK590">
            <v>44943</v>
          </cell>
          <cell r="AL590" t="str">
            <v>Cao đẳng</v>
          </cell>
          <cell r="AM590" t="str">
            <v>Điều dưỡng CĐ</v>
          </cell>
          <cell r="AO590" t="str">
            <v>CĐ y tế Lạng Sơn</v>
          </cell>
          <cell r="AQ590" t="str">
            <v>12/12</v>
          </cell>
          <cell r="AY590" t="str">
            <v>Tày</v>
          </cell>
        </row>
        <row r="591">
          <cell r="A591" t="str">
            <v>BV0980</v>
          </cell>
          <cell r="B591">
            <v>585</v>
          </cell>
          <cell r="C591" t="str">
            <v>Chu Đức Thịnh</v>
          </cell>
          <cell r="D591" t="str">
            <v>BV0980</v>
          </cell>
          <cell r="E591" t="str">
            <v>2020021173</v>
          </cell>
          <cell r="G591" t="str">
            <v>CCCD: 020097001294
ngày cấp 29/4/2021
Tại Cục cảnh sát quản lý hành chính về trật tự xã hội</v>
          </cell>
          <cell r="H591" t="str">
            <v>23/2/1997</v>
          </cell>
          <cell r="J591">
            <v>29</v>
          </cell>
          <cell r="K591" t="str">
            <v>082280953</v>
          </cell>
          <cell r="L591" t="str">
            <v>31/10/2012</v>
          </cell>
          <cell r="M591" t="str">
            <v>Công an tỉnh Lạng Sơn</v>
          </cell>
          <cell r="O591" t="str">
            <v>Xã Khánh Khê, huyện Văn Quan, tỉnh Lạng Sơn</v>
          </cell>
          <cell r="V591" t="str">
            <v>Xã Hoàng Đồng, thành phố Lạng Sơn, tỉnh Lạng Sơn</v>
          </cell>
          <cell r="W591" t="str">
            <v>02/12/2019</v>
          </cell>
          <cell r="AA591">
            <v>0</v>
          </cell>
          <cell r="AB591" t="str">
            <v>TĐ012</v>
          </cell>
          <cell r="AC591" t="str">
            <v>Nội Tổng hợp</v>
          </cell>
          <cell r="AD591" t="str">
            <v>Nội Tổng hợp</v>
          </cell>
          <cell r="AE591" t="str">
            <v>Viên chức</v>
          </cell>
          <cell r="AG591">
            <v>0</v>
          </cell>
          <cell r="AH591" t="str">
            <v>2.41</v>
          </cell>
          <cell r="AI591">
            <v>2</v>
          </cell>
          <cell r="AK591">
            <v>45171</v>
          </cell>
          <cell r="AL591" t="str">
            <v>Cao đẳng</v>
          </cell>
          <cell r="AM591" t="str">
            <v>Điều dưỡng CĐ</v>
          </cell>
          <cell r="AN591" t="str">
            <v>Điều dưỡng cao đẳng</v>
          </cell>
          <cell r="AO591" t="str">
            <v>Cao đẳng Y tế Lạng Sơn</v>
          </cell>
          <cell r="AP591" t="str">
            <v>2015 - 2018</v>
          </cell>
          <cell r="AY591" t="str">
            <v>Nùng</v>
          </cell>
        </row>
        <row r="592">
          <cell r="A592" t="str">
            <v>BV0780</v>
          </cell>
          <cell r="B592">
            <v>586</v>
          </cell>
          <cell r="C592" t="str">
            <v>Nguyễn Thị Hường</v>
          </cell>
          <cell r="D592" t="str">
            <v>BV0780</v>
          </cell>
          <cell r="E592">
            <v>1914826143</v>
          </cell>
          <cell r="F592">
            <v>2099889309</v>
          </cell>
          <cell r="G592" t="str">
            <v xml:space="preserve">020193000513, cấp ngày 08/4/2021, tại cục CSQLHC về TTXH </v>
          </cell>
          <cell r="I592" t="str">
            <v>28/8/1993</v>
          </cell>
          <cell r="J592">
            <v>32</v>
          </cell>
          <cell r="K592" t="str">
            <v>082215545</v>
          </cell>
          <cell r="L592" t="str">
            <v>12/02/2009</v>
          </cell>
          <cell r="M592" t="str">
            <v>CA tỉnh Lạng Sơn</v>
          </cell>
          <cell r="O592" t="str">
            <v>Chi Lăng</v>
          </cell>
          <cell r="P592" t="str">
            <v>Chi Lăng</v>
          </cell>
          <cell r="Q592" t="str">
            <v>Lạng Sơn</v>
          </cell>
          <cell r="S592" t="str">
            <v>Chi Lăng</v>
          </cell>
          <cell r="T592" t="str">
            <v>Chi Lăng</v>
          </cell>
          <cell r="U592" t="str">
            <v>Lạng Sơn</v>
          </cell>
          <cell r="V592" t="str">
            <v>Chi Lăng, Chi Lăng, Lạng Sơn</v>
          </cell>
          <cell r="W592" t="str">
            <v xml:space="preserve"> 02/10/2017</v>
          </cell>
          <cell r="AA592">
            <v>0</v>
          </cell>
          <cell r="AB592" t="str">
            <v>TĐ012</v>
          </cell>
          <cell r="AC592" t="str">
            <v>Nội TM</v>
          </cell>
          <cell r="AD592" t="str">
            <v>Nội TM</v>
          </cell>
          <cell r="AE592" t="str">
            <v>Viên chức</v>
          </cell>
          <cell r="AG592">
            <v>0</v>
          </cell>
          <cell r="AH592" t="str">
            <v>2.72</v>
          </cell>
          <cell r="AI592">
            <v>3</v>
          </cell>
          <cell r="AK592">
            <v>45475</v>
          </cell>
          <cell r="AL592" t="str">
            <v>Cao đẳng</v>
          </cell>
          <cell r="AM592" t="str">
            <v>Điều dưỡng CĐ</v>
          </cell>
          <cell r="AO592" t="str">
            <v>CĐ Y tế Thái Nguyên</v>
          </cell>
          <cell r="AP592">
            <v>2014</v>
          </cell>
          <cell r="AQ592" t="str">
            <v>12/12</v>
          </cell>
          <cell r="AY592" t="str">
            <v>Kinh</v>
          </cell>
          <cell r="BA592" t="e">
            <v>#REF!</v>
          </cell>
          <cell r="BB592" t="e">
            <v>#REF!</v>
          </cell>
        </row>
        <row r="593">
          <cell r="A593" t="str">
            <v>BV0873</v>
          </cell>
          <cell r="B593">
            <v>587</v>
          </cell>
          <cell r="C593" t="str">
            <v>Triệu Thị Xuân</v>
          </cell>
          <cell r="D593" t="str">
            <v>BV0873</v>
          </cell>
          <cell r="E593" t="str">
            <v>2020132152</v>
          </cell>
          <cell r="G593" t="str">
            <v xml:space="preserve">020197007773, cấp ngày 25/6/2021, tại cục CSQLHC về TTXH </v>
          </cell>
          <cell r="I593">
            <v>35765</v>
          </cell>
          <cell r="J593">
            <v>28</v>
          </cell>
          <cell r="K593" t="str">
            <v>082318112</v>
          </cell>
          <cell r="L593" t="str">
            <v>29/11/2013</v>
          </cell>
          <cell r="M593" t="str">
            <v>CA tỉnh Lạng Sơn</v>
          </cell>
          <cell r="O593" t="str">
            <v>Vĩnh Tiên</v>
          </cell>
          <cell r="P593" t="str">
            <v>Tràng Định</v>
          </cell>
          <cell r="Q593" t="str">
            <v>Lạng Sơn</v>
          </cell>
          <cell r="V593" t="str">
            <v>Thôn Thôn Khòn Búm, xã Bắc Hùng, huyện Văn Lãng, tỉnh Lạng Sơn</v>
          </cell>
          <cell r="W593" t="str">
            <v>01/11/2018</v>
          </cell>
          <cell r="X593" t="str">
            <v>01/11/2018</v>
          </cell>
          <cell r="AA593">
            <v>0</v>
          </cell>
          <cell r="AB593" t="str">
            <v>TĐ012</v>
          </cell>
          <cell r="AC593" t="str">
            <v>Nội TM</v>
          </cell>
          <cell r="AD593" t="str">
            <v>Nội TM</v>
          </cell>
          <cell r="AE593" t="str">
            <v>Viên chức</v>
          </cell>
          <cell r="AG593">
            <v>0</v>
          </cell>
          <cell r="AH593" t="str">
            <v>2.72</v>
          </cell>
          <cell r="AI593">
            <v>3</v>
          </cell>
          <cell r="AK593">
            <v>45870</v>
          </cell>
          <cell r="AL593" t="str">
            <v>Cao đẳng</v>
          </cell>
          <cell r="AM593" t="str">
            <v>Điều dưỡng CĐ</v>
          </cell>
          <cell r="AO593" t="str">
            <v>CĐ Y tế Lạng Sơn</v>
          </cell>
          <cell r="AP593">
            <v>2018</v>
          </cell>
          <cell r="AQ593" t="str">
            <v>12/12</v>
          </cell>
          <cell r="AY593" t="str">
            <v>dao</v>
          </cell>
        </row>
        <row r="594">
          <cell r="A594" t="str">
            <v>BV0710</v>
          </cell>
          <cell r="B594">
            <v>588</v>
          </cell>
          <cell r="C594" t="str">
            <v>Đàm Thị Ánh</v>
          </cell>
          <cell r="D594" t="str">
            <v>BV0710</v>
          </cell>
          <cell r="E594">
            <v>2020812941</v>
          </cell>
          <cell r="F594">
            <v>2099793688</v>
          </cell>
          <cell r="G594" t="str">
            <v xml:space="preserve">020193011019, cấp ngày 26/8/2021, tại cục CSQLHC về TTXH </v>
          </cell>
          <cell r="I594" t="str">
            <v>16/3/1993</v>
          </cell>
          <cell r="J594">
            <v>33</v>
          </cell>
          <cell r="K594" t="str">
            <v>082215015</v>
          </cell>
          <cell r="L594" t="str">
            <v>19/10/2009</v>
          </cell>
          <cell r="M594" t="str">
            <v>CA tỉnh Lạng Sơn</v>
          </cell>
          <cell r="O594" t="str">
            <v>TT Chi Lăng</v>
          </cell>
          <cell r="P594" t="str">
            <v>Chi Lăng</v>
          </cell>
          <cell r="Q594" t="str">
            <v>Lạng Sơn</v>
          </cell>
          <cell r="S594" t="str">
            <v>Chi Lăng</v>
          </cell>
          <cell r="T594" t="str">
            <v>Chi Lăng</v>
          </cell>
          <cell r="U594" t="str">
            <v>Lạng Sơn</v>
          </cell>
          <cell r="V594" t="str">
            <v>Số 6 ngõ 85 đường Phố Muối, phường Tam Thanh, TP.Lạng Sơn</v>
          </cell>
          <cell r="W594" t="str">
            <v xml:space="preserve"> 29/8/2016</v>
          </cell>
          <cell r="AA594">
            <v>0</v>
          </cell>
          <cell r="AB594" t="str">
            <v>TĐ012</v>
          </cell>
          <cell r="AC594" t="str">
            <v>Nội TM</v>
          </cell>
          <cell r="AD594" t="str">
            <v>Nội TM</v>
          </cell>
          <cell r="AE594" t="str">
            <v>Viên chức</v>
          </cell>
          <cell r="AG594">
            <v>0</v>
          </cell>
          <cell r="AH594" t="str">
            <v>2.72</v>
          </cell>
          <cell r="AI594">
            <v>3</v>
          </cell>
          <cell r="AK594">
            <v>45075</v>
          </cell>
          <cell r="AL594" t="str">
            <v>Cao đẳng</v>
          </cell>
          <cell r="AM594" t="str">
            <v>Điều dưỡng CĐ</v>
          </cell>
          <cell r="AO594" t="str">
            <v>CĐ Y tế Thái Nguyên</v>
          </cell>
          <cell r="AP594">
            <v>2014</v>
          </cell>
          <cell r="AQ594" t="str">
            <v>12/12</v>
          </cell>
          <cell r="AU594" t="str">
            <v>Anh B</v>
          </cell>
          <cell r="AW594" t="str">
            <v>B</v>
          </cell>
          <cell r="AY594" t="str">
            <v>Nùng</v>
          </cell>
          <cell r="BA594" t="e">
            <v>#REF!</v>
          </cell>
          <cell r="BB594" t="e">
            <v>#REF!</v>
          </cell>
        </row>
        <row r="595">
          <cell r="A595" t="str">
            <v>BV0908</v>
          </cell>
          <cell r="B595">
            <v>589</v>
          </cell>
          <cell r="C595" t="str">
            <v>Vi Thị Mĩ Linh</v>
          </cell>
          <cell r="D595" t="str">
            <v>BV0908</v>
          </cell>
          <cell r="E595" t="str">
            <v>2020275691</v>
          </cell>
          <cell r="G595" t="str">
            <v xml:space="preserve">020196008799, cấp ngày 25/6/2021, tại cục CSQLHC về TTXH </v>
          </cell>
          <cell r="I595" t="str">
            <v>18/10/1996</v>
          </cell>
          <cell r="J595">
            <v>29</v>
          </cell>
          <cell r="K595" t="str">
            <v>082293837</v>
          </cell>
          <cell r="L595" t="str">
            <v>10/4/2013</v>
          </cell>
          <cell r="M595" t="str">
            <v>CA tỉnh Lạng Sơn</v>
          </cell>
          <cell r="O595" t="str">
            <v>Xã Xuân Long, huyện cao Lộc, tỉnh Lạng Sơn</v>
          </cell>
          <cell r="S595" t="str">
            <v>Xã Xuân Long, huyện cao Lộc, tỉnh Lạng Sơn</v>
          </cell>
          <cell r="V595" t="str">
            <v>Thôn Bản Lành, xã Hoà Cư, Cao Lộc, tỉnh Lạng Sơn</v>
          </cell>
          <cell r="W595" t="str">
            <v>17/4/2019</v>
          </cell>
          <cell r="AA595">
            <v>0</v>
          </cell>
          <cell r="AB595" t="str">
            <v>TĐ012</v>
          </cell>
          <cell r="AC595" t="str">
            <v>Nội TM</v>
          </cell>
          <cell r="AD595" t="str">
            <v>Nội TM</v>
          </cell>
          <cell r="AE595" t="str">
            <v>Viên chức</v>
          </cell>
          <cell r="AG595">
            <v>0</v>
          </cell>
          <cell r="AH595" t="str">
            <v>2.41</v>
          </cell>
          <cell r="AI595">
            <v>2</v>
          </cell>
          <cell r="AK595">
            <v>44943</v>
          </cell>
          <cell r="AL595" t="str">
            <v>Cao đẳng</v>
          </cell>
          <cell r="AM595" t="str">
            <v>Điều dưỡng CĐ</v>
          </cell>
          <cell r="AO595" t="str">
            <v>CĐ y tế Lạng Sơn</v>
          </cell>
          <cell r="AQ595" t="str">
            <v>12/12</v>
          </cell>
          <cell r="AY595" t="str">
            <v>Tày</v>
          </cell>
        </row>
        <row r="596">
          <cell r="A596" t="str">
            <v>BV0915</v>
          </cell>
          <cell r="B596">
            <v>590</v>
          </cell>
          <cell r="C596" t="str">
            <v>Chu Mạnh Dũng</v>
          </cell>
          <cell r="D596" t="str">
            <v>BV0915</v>
          </cell>
          <cell r="E596" t="str">
            <v>2020220169</v>
          </cell>
          <cell r="G596" t="str">
            <v xml:space="preserve">020092002324, cấp ngày 29/4/2021, tại cục CSQLHC về TTXH </v>
          </cell>
          <cell r="H596" t="str">
            <v>09/07/1992</v>
          </cell>
          <cell r="J596">
            <v>33</v>
          </cell>
          <cell r="K596" t="str">
            <v>082200561</v>
          </cell>
          <cell r="L596" t="str">
            <v>06/6/2017</v>
          </cell>
          <cell r="M596" t="str">
            <v>CA tỉnh Lạng Sơn</v>
          </cell>
          <cell r="O596" t="str">
            <v>Xã Hoàng Văn Thụ, huyện Văn lãng, tỉnh Lạng Sơn</v>
          </cell>
          <cell r="S596" t="str">
            <v>Xã Hoàng Văn Thụ, huyện Văn lãng, tỉnh Lạng Sơn</v>
          </cell>
          <cell r="V596" t="str">
            <v>Xã Hoàng Văn Thụ, huyện Văn lãng, tỉnh Lạng Sơn</v>
          </cell>
          <cell r="W596" t="str">
            <v>17/4/2019</v>
          </cell>
          <cell r="AA596">
            <v>0</v>
          </cell>
          <cell r="AB596" t="str">
            <v>TĐ012</v>
          </cell>
          <cell r="AC596" t="str">
            <v>Nội TM</v>
          </cell>
          <cell r="AD596" t="str">
            <v>Nội TM</v>
          </cell>
          <cell r="AE596" t="str">
            <v>Viên chức</v>
          </cell>
          <cell r="AG596">
            <v>0</v>
          </cell>
          <cell r="AH596" t="str">
            <v>2.72</v>
          </cell>
          <cell r="AI596">
            <v>3</v>
          </cell>
          <cell r="AK596">
            <v>45674</v>
          </cell>
          <cell r="AL596" t="str">
            <v>Cao đẳng</v>
          </cell>
          <cell r="AM596" t="str">
            <v>Điều dưỡng CĐ</v>
          </cell>
          <cell r="AO596" t="str">
            <v>CĐ y tế Lạng Sơn</v>
          </cell>
          <cell r="AQ596" t="str">
            <v>12/12</v>
          </cell>
          <cell r="AY596" t="str">
            <v>Tày</v>
          </cell>
        </row>
        <row r="597">
          <cell r="A597" t="str">
            <v>BV0984</v>
          </cell>
          <cell r="B597">
            <v>591</v>
          </cell>
          <cell r="C597" t="str">
            <v>Dương Thị Yên</v>
          </cell>
          <cell r="D597" t="str">
            <v>BV0984</v>
          </cell>
          <cell r="E597" t="str">
            <v>2020276523</v>
          </cell>
          <cell r="G597" t="str">
            <v xml:space="preserve">020198006758, cấp ngày 24/6/2021, tại cục CSQLHC về TTXH </v>
          </cell>
          <cell r="I597" t="str">
            <v>18/9/1998</v>
          </cell>
          <cell r="J597">
            <v>27</v>
          </cell>
          <cell r="K597" t="str">
            <v>082326954</v>
          </cell>
          <cell r="L597" t="str">
            <v>24/6/2015</v>
          </cell>
          <cell r="M597" t="str">
            <v>Công an tỉnh Lạng Sơn</v>
          </cell>
          <cell r="O597" t="str">
            <v>Xã Tân Yên, huyện Cao Lộc, tinh Lạng Sơn</v>
          </cell>
          <cell r="V597" t="str">
            <v>Thôn Pò Đứa - Pò Mỏ, xã Mai Pha, thành phố Lạng Sơn</v>
          </cell>
          <cell r="W597" t="str">
            <v>02/12/2019</v>
          </cell>
          <cell r="AA597">
            <v>0</v>
          </cell>
          <cell r="AB597" t="str">
            <v>TĐ012</v>
          </cell>
          <cell r="AC597" t="str">
            <v>Nội TM</v>
          </cell>
          <cell r="AD597" t="str">
            <v>Nội TM</v>
          </cell>
          <cell r="AE597" t="str">
            <v>Viên chức</v>
          </cell>
          <cell r="AG597">
            <v>0</v>
          </cell>
          <cell r="AH597" t="str">
            <v>2.41</v>
          </cell>
          <cell r="AI597">
            <v>2</v>
          </cell>
          <cell r="AK597">
            <v>45171</v>
          </cell>
          <cell r="AL597" t="str">
            <v>Cao đẳng</v>
          </cell>
          <cell r="AM597" t="str">
            <v>Điều dưỡng CĐ</v>
          </cell>
          <cell r="AN597" t="str">
            <v>Điều dưỡng cao đẳng</v>
          </cell>
          <cell r="AO597" t="str">
            <v>Cao đẳng Y tế Lạng Sơn</v>
          </cell>
          <cell r="AP597" t="str">
            <v>2016 - 2019</v>
          </cell>
          <cell r="AY597" t="str">
            <v>Tày</v>
          </cell>
        </row>
        <row r="598">
          <cell r="A598" t="str">
            <v>BV1080</v>
          </cell>
          <cell r="B598">
            <v>592</v>
          </cell>
          <cell r="C598" t="str">
            <v>Lăng Thị Ly</v>
          </cell>
          <cell r="D598" t="str">
            <v>BV1080</v>
          </cell>
          <cell r="E598" t="str">
            <v>2020023620</v>
          </cell>
          <cell r="G598" t="str">
            <v xml:space="preserve">020192001966, cấp ngày 20/4/2021, tại cục CSQLHC về TTXH </v>
          </cell>
          <cell r="I598" t="str">
            <v>15/5/1992</v>
          </cell>
          <cell r="J598">
            <v>34</v>
          </cell>
          <cell r="K598" t="str">
            <v>082207881</v>
          </cell>
          <cell r="L598" t="str">
            <v>14/8/2009</v>
          </cell>
          <cell r="V598" t="str">
            <v>Phường Tam Thanh, thành phố Lạng Sơn, tỉnh Lạng Sơn</v>
          </cell>
          <cell r="W598" t="str">
            <v>03/11/2020</v>
          </cell>
          <cell r="AA598">
            <v>0</v>
          </cell>
          <cell r="AB598" t="str">
            <v>TĐ012</v>
          </cell>
          <cell r="AC598" t="str">
            <v>Nội TM</v>
          </cell>
          <cell r="AD598" t="str">
            <v>Nội TM</v>
          </cell>
          <cell r="AE598" t="str">
            <v>Viên chức</v>
          </cell>
          <cell r="AG598">
            <v>0</v>
          </cell>
          <cell r="AH598" t="str">
            <v>2.41</v>
          </cell>
          <cell r="AI598">
            <v>2</v>
          </cell>
          <cell r="AK598">
            <v>45507</v>
          </cell>
          <cell r="AL598" t="str">
            <v>Cao đẳng</v>
          </cell>
          <cell r="AM598" t="str">
            <v>Điều dưỡng CĐ</v>
          </cell>
          <cell r="AO598" t="str">
            <v>CĐ Y tế LS</v>
          </cell>
          <cell r="AP598">
            <v>2020</v>
          </cell>
          <cell r="AY598" t="str">
            <v>Nùng</v>
          </cell>
        </row>
        <row r="599">
          <cell r="A599" t="str">
            <v>BV0977</v>
          </cell>
          <cell r="B599">
            <v>593</v>
          </cell>
          <cell r="C599" t="str">
            <v>Hoàng Kim Tuyến</v>
          </cell>
          <cell r="D599" t="str">
            <v>BV0977</v>
          </cell>
          <cell r="E599" t="str">
            <v>2020043141</v>
          </cell>
          <cell r="G599" t="str">
            <v>CCCD: 020197005550 
cấp ngày 25/8/2021 
Tại Cục cảnh sát quản lý hành chính về trật tự xã hội</v>
          </cell>
          <cell r="I599" t="str">
            <v>07/09/1997</v>
          </cell>
          <cell r="J599">
            <v>28</v>
          </cell>
          <cell r="K599" t="str">
            <v>082343125</v>
          </cell>
          <cell r="L599" t="str">
            <v>24/08/2015</v>
          </cell>
          <cell r="M599" t="str">
            <v>Công an tỉnh Lạng Sơn</v>
          </cell>
          <cell r="O599" t="str">
            <v>Xã Mai Pha, tỉnh Lạng Sơn</v>
          </cell>
          <cell r="V599" t="str">
            <v>Thôn Rọ Phải, xã Mai Pha, thành phố Lạng Sơn</v>
          </cell>
          <cell r="W599" t="str">
            <v>02/12/2019</v>
          </cell>
          <cell r="AA599">
            <v>0</v>
          </cell>
          <cell r="AB599" t="str">
            <v>TĐ012</v>
          </cell>
          <cell r="AC599" t="str">
            <v>Nội Tổng hợp</v>
          </cell>
          <cell r="AD599" t="str">
            <v>Nội Tổng hợp</v>
          </cell>
          <cell r="AE599" t="str">
            <v>HĐ có thời hạn</v>
          </cell>
          <cell r="AG599">
            <v>0</v>
          </cell>
          <cell r="AH599" t="str">
            <v>2.41</v>
          </cell>
          <cell r="AI599">
            <v>2</v>
          </cell>
          <cell r="AK599">
            <v>45171</v>
          </cell>
          <cell r="AL599" t="str">
            <v>Cao đẳng</v>
          </cell>
          <cell r="AM599" t="str">
            <v>Điều dưỡng CĐ</v>
          </cell>
          <cell r="AN599" t="str">
            <v>Điều dưỡng cao đẳng</v>
          </cell>
          <cell r="AO599" t="str">
            <v>Cao đẳng Y tế Lạng Sơn</v>
          </cell>
          <cell r="AP599" t="str">
            <v>2016 - 2019</v>
          </cell>
          <cell r="AY599" t="str">
            <v>Nùng</v>
          </cell>
        </row>
        <row r="600">
          <cell r="A600" t="str">
            <v>BV0784</v>
          </cell>
          <cell r="B600">
            <v>594</v>
          </cell>
          <cell r="C600" t="str">
            <v>Phạm Thu Thùy</v>
          </cell>
          <cell r="D600" t="str">
            <v>BV0784</v>
          </cell>
          <cell r="E600">
            <v>2020391985</v>
          </cell>
          <cell r="F600">
            <v>2099964976</v>
          </cell>
          <cell r="G600" t="str">
            <v>020193002544 cấp ngày 29/4/2021, nơi cấp: Cục cảnh sát quản lý hành chính và trật tự xã hội</v>
          </cell>
          <cell r="I600" t="str">
            <v>20/8/1993</v>
          </cell>
          <cell r="J600">
            <v>32</v>
          </cell>
          <cell r="K600" t="str">
            <v>082199216</v>
          </cell>
          <cell r="L600" t="str">
            <v>03/03/2009</v>
          </cell>
          <cell r="M600" t="str">
            <v>CA tỉnh Lạng Sơn</v>
          </cell>
          <cell r="O600" t="str">
            <v>Vũ Lễ</v>
          </cell>
          <cell r="P600" t="str">
            <v>Bắc Sơn</v>
          </cell>
          <cell r="Q600" t="str">
            <v>Lạng Sơn</v>
          </cell>
          <cell r="S600" t="str">
            <v>Vũ Lễ</v>
          </cell>
          <cell r="T600" t="str">
            <v>Bắc Sơn</v>
          </cell>
          <cell r="U600" t="str">
            <v>Lạng Sơn</v>
          </cell>
          <cell r="V600" t="str">
            <v>Vũ Lễ, Bắc Sơn, Lạng Sơn</v>
          </cell>
          <cell r="W600" t="str">
            <v xml:space="preserve"> 02/10/2017</v>
          </cell>
          <cell r="AA600">
            <v>0</v>
          </cell>
          <cell r="AB600" t="str">
            <v>TĐ012</v>
          </cell>
          <cell r="AC600" t="str">
            <v>Nội Thận-TN-LM</v>
          </cell>
          <cell r="AD600" t="str">
            <v>Nội Thận-TN-LM</v>
          </cell>
          <cell r="AE600" t="str">
            <v>Viên chức</v>
          </cell>
          <cell r="AG600">
            <v>0</v>
          </cell>
          <cell r="AH600" t="str">
            <v>2.72</v>
          </cell>
          <cell r="AI600">
            <v>3</v>
          </cell>
          <cell r="AK600">
            <v>45413</v>
          </cell>
          <cell r="AL600" t="str">
            <v>Cao đẳng</v>
          </cell>
          <cell r="AM600" t="str">
            <v>Điều dưỡng CĐ</v>
          </cell>
          <cell r="AO600" t="str">
            <v>CĐ Y tế Lạng Sơn</v>
          </cell>
          <cell r="AP600">
            <v>2014</v>
          </cell>
          <cell r="AQ600" t="str">
            <v>12/12</v>
          </cell>
          <cell r="AX600" t="str">
            <v>CC điều dưỡng RHM, CC GDQPAN, GD Thể chất</v>
          </cell>
          <cell r="AY600" t="str">
            <v>Kinh</v>
          </cell>
          <cell r="BA600" t="e">
            <v>#REF!</v>
          </cell>
          <cell r="BB600" t="e">
            <v>#REF!</v>
          </cell>
        </row>
        <row r="601">
          <cell r="A601" t="str">
            <v>BV0906</v>
          </cell>
          <cell r="B601">
            <v>595</v>
          </cell>
          <cell r="C601" t="str">
            <v>Đinh Việt Nghĩa</v>
          </cell>
          <cell r="D601" t="str">
            <v>BV0906</v>
          </cell>
          <cell r="E601" t="str">
            <v>2015002426</v>
          </cell>
          <cell r="G601" t="str">
            <v>020093009760 cấp ngày 25/6/2021, nơi cấp: Cục cảnh sát quản lý hành chính và trật tự xã hội</v>
          </cell>
          <cell r="H601" t="str">
            <v>07/04/1993</v>
          </cell>
          <cell r="J601">
            <v>33</v>
          </cell>
          <cell r="K601" t="str">
            <v>082250244</v>
          </cell>
          <cell r="L601" t="str">
            <v>06/12/2010</v>
          </cell>
          <cell r="M601" t="str">
            <v>CA tỉnh Lạng Sơn</v>
          </cell>
          <cell r="O601" t="str">
            <v>Xã Hoàng Đồng, TP Lạng Sơn, tỉnh Lạng Sơn</v>
          </cell>
          <cell r="S601" t="str">
            <v>Xã Hoàng Đồng, TP Lạng Sơn, tỉnh Lạng Sơn</v>
          </cell>
          <cell r="V601" t="str">
            <v>Xã Hoàng Đồng, thành phố Lạng Sơn, tỉnh Lạng Sơn</v>
          </cell>
          <cell r="W601" t="str">
            <v>17/4/2019</v>
          </cell>
          <cell r="AA601">
            <v>0</v>
          </cell>
          <cell r="AB601" t="str">
            <v>TĐ012</v>
          </cell>
          <cell r="AC601" t="str">
            <v>Nội Thận-TN-LM</v>
          </cell>
          <cell r="AD601" t="str">
            <v>Nội Thận-TN-LM</v>
          </cell>
          <cell r="AE601" t="str">
            <v>HĐ có thời hạn</v>
          </cell>
          <cell r="AG601">
            <v>0</v>
          </cell>
          <cell r="AH601" t="str">
            <v>2.41</v>
          </cell>
          <cell r="AI601">
            <v>2</v>
          </cell>
          <cell r="AK601">
            <v>44943</v>
          </cell>
          <cell r="AL601" t="str">
            <v>Cao đẳng</v>
          </cell>
          <cell r="AM601" t="str">
            <v>Điều dưỡng CĐ</v>
          </cell>
          <cell r="AO601" t="str">
            <v>CĐ y tế Lạng Sơn</v>
          </cell>
          <cell r="AQ601" t="str">
            <v>12/12</v>
          </cell>
          <cell r="AY601" t="str">
            <v>Tày</v>
          </cell>
        </row>
        <row r="602">
          <cell r="A602" t="str">
            <v>BV0907</v>
          </cell>
          <cell r="B602">
            <v>596</v>
          </cell>
          <cell r="C602" t="str">
            <v>Hoàng Tuấn Hưởng</v>
          </cell>
          <cell r="D602" t="str">
            <v>BV0907</v>
          </cell>
          <cell r="E602" t="str">
            <v>2717073178</v>
          </cell>
          <cell r="G602" t="str">
            <v>0200994011125 cấp ngày 9/1/2022, nơi cấp: Cục cảnh sát quản lý hành chính và trật tự xã hội</v>
          </cell>
          <cell r="H602" t="str">
            <v>15/11/1994</v>
          </cell>
          <cell r="J602">
            <v>31</v>
          </cell>
          <cell r="K602" t="str">
            <v>082237129</v>
          </cell>
          <cell r="L602" t="str">
            <v>18/05/2010</v>
          </cell>
          <cell r="M602" t="str">
            <v>CA tỉnh Lạng Sơn</v>
          </cell>
          <cell r="O602" t="str">
            <v>Xã Vân Mộng, huyện Văn Quan, tỉnh Lạng Sơn</v>
          </cell>
          <cell r="S602" t="str">
            <v>Xã Vân Mộng, huyện Văn Quan, tỉnh Lạng Sơn</v>
          </cell>
          <cell r="V602" t="str">
            <v>Xã Liên Hội, huyện Văn Quan, tỉnh Lạng Sơn</v>
          </cell>
          <cell r="W602" t="str">
            <v>17/4/2019</v>
          </cell>
          <cell r="AA602">
            <v>0</v>
          </cell>
          <cell r="AB602" t="str">
            <v>TĐ012</v>
          </cell>
          <cell r="AC602" t="str">
            <v>Nội Thận-TN-LM</v>
          </cell>
          <cell r="AD602" t="str">
            <v>Nội Thận-TN-LM</v>
          </cell>
          <cell r="AE602" t="str">
            <v>Viên chức</v>
          </cell>
          <cell r="AG602">
            <v>0</v>
          </cell>
          <cell r="AH602" t="str">
            <v>2.72</v>
          </cell>
          <cell r="AI602">
            <v>3</v>
          </cell>
          <cell r="AK602">
            <v>45674</v>
          </cell>
          <cell r="AL602" t="str">
            <v>Cao đẳng</v>
          </cell>
          <cell r="AM602" t="str">
            <v>Điều dưỡng CĐ</v>
          </cell>
          <cell r="AO602" t="str">
            <v>CĐ y tế Lạng Sơn</v>
          </cell>
          <cell r="AQ602" t="str">
            <v>12/12</v>
          </cell>
          <cell r="AY602" t="str">
            <v>Tày</v>
          </cell>
        </row>
        <row r="603">
          <cell r="A603" t="str">
            <v>BV0981</v>
          </cell>
          <cell r="B603">
            <v>597</v>
          </cell>
          <cell r="C603" t="str">
            <v>Vi Thị Duyên</v>
          </cell>
          <cell r="D603" t="str">
            <v>BV0981</v>
          </cell>
          <cell r="E603" t="str">
            <v>2020316938</v>
          </cell>
          <cell r="G603" t="str">
            <v>082326154 cấp ngày 30/4/2018, nơi cấp: Công an tỉnh Lạng Sơn</v>
          </cell>
          <cell r="I603" t="str">
            <v>16/11/1997</v>
          </cell>
          <cell r="J603">
            <v>28</v>
          </cell>
          <cell r="K603" t="str">
            <v>082326154</v>
          </cell>
          <cell r="L603" t="str">
            <v>30/8/2014</v>
          </cell>
          <cell r="M603" t="str">
            <v>Công an tỉnh Lạng Sơn</v>
          </cell>
          <cell r="O603" t="str">
            <v>Xã Xuất Lễ, huyện Cao Lộc, tỉnh Lạng Sơn</v>
          </cell>
          <cell r="V603" t="str">
            <v>Xã Đồng Ý, Huyện Bắc Sơn, tỉnh Lạng Sơn</v>
          </cell>
          <cell r="W603" t="str">
            <v>02/12/2019</v>
          </cell>
          <cell r="AA603">
            <v>0</v>
          </cell>
          <cell r="AB603" t="str">
            <v>TĐ012</v>
          </cell>
          <cell r="AC603" t="str">
            <v>Nội Thận-TN-LM</v>
          </cell>
          <cell r="AD603" t="str">
            <v>Nội Thận-TN-LM</v>
          </cell>
          <cell r="AE603" t="str">
            <v>HĐ có thời hạn</v>
          </cell>
          <cell r="AG603">
            <v>0</v>
          </cell>
          <cell r="AH603" t="str">
            <v>2.41</v>
          </cell>
          <cell r="AI603">
            <v>2</v>
          </cell>
          <cell r="AK603">
            <v>45171</v>
          </cell>
          <cell r="AL603" t="str">
            <v>Cao đẳng</v>
          </cell>
          <cell r="AM603" t="str">
            <v>Điều dưỡng CĐ</v>
          </cell>
          <cell r="AN603" t="str">
            <v>Điều dưỡng cao đẳng</v>
          </cell>
          <cell r="AO603" t="str">
            <v>Cao đẳng Y tế Lạng Sơn</v>
          </cell>
          <cell r="AP603" t="str">
            <v>2015 - 2018</v>
          </cell>
          <cell r="AY603" t="str">
            <v>Nùng</v>
          </cell>
        </row>
        <row r="604">
          <cell r="A604" t="str">
            <v>BV1054</v>
          </cell>
          <cell r="B604">
            <v>598</v>
          </cell>
          <cell r="C604" t="str">
            <v>Lâm Thị Hằng</v>
          </cell>
          <cell r="D604" t="str">
            <v>BV1054</v>
          </cell>
          <cell r="E604" t="str">
            <v>2020303998</v>
          </cell>
          <cell r="G604" t="str">
            <v>20196007845 cấp ngày 22/11/2021, nơi cấp: Cục cảnh sát quản lý hành chính và trật tự xã hội</v>
          </cell>
          <cell r="I604" t="str">
            <v>01/6/1996</v>
          </cell>
          <cell r="J604">
            <v>30</v>
          </cell>
          <cell r="K604" t="str">
            <v>082274555</v>
          </cell>
          <cell r="L604" t="str">
            <v>15/3/2012</v>
          </cell>
          <cell r="M604" t="str">
            <v>0385714497</v>
          </cell>
          <cell r="V604" t="str">
            <v>Xã Thống Nhất, huyện Lộc Bình.</v>
          </cell>
          <cell r="W604" t="str">
            <v>13/7/2020</v>
          </cell>
          <cell r="AA604">
            <v>0</v>
          </cell>
          <cell r="AB604" t="str">
            <v>TĐ012</v>
          </cell>
          <cell r="AC604" t="str">
            <v>Nội Thận-TN-LM</v>
          </cell>
          <cell r="AD604" t="str">
            <v>Nội Thận-TN-LM</v>
          </cell>
          <cell r="AE604" t="str">
            <v>HĐ có thời hạn</v>
          </cell>
          <cell r="AG604">
            <v>0</v>
          </cell>
          <cell r="AH604" t="str">
            <v>2.41</v>
          </cell>
          <cell r="AI604">
            <v>2</v>
          </cell>
          <cell r="AK604">
            <v>45395</v>
          </cell>
          <cell r="AL604" t="str">
            <v>Cao đẳng</v>
          </cell>
          <cell r="AM604" t="str">
            <v>Điều dưỡng CĐ</v>
          </cell>
          <cell r="AY604" t="str">
            <v>Nùng</v>
          </cell>
        </row>
        <row r="605">
          <cell r="A605" t="str">
            <v>BV1082</v>
          </cell>
          <cell r="B605">
            <v>599</v>
          </cell>
          <cell r="C605" t="str">
            <v>Hoàng Thị Vinh</v>
          </cell>
          <cell r="D605" t="str">
            <v>BV1082</v>
          </cell>
          <cell r="E605" t="str">
            <v>2717100881</v>
          </cell>
          <cell r="G605" t="str">
            <v>020195000999 cấp ngày 16/4/2021, nơi cấp: Cục cảnh sát quản lý hành chính và trật tự xã hội</v>
          </cell>
          <cell r="I605" t="str">
            <v>09/3/1995</v>
          </cell>
          <cell r="J605">
            <v>31</v>
          </cell>
          <cell r="K605" t="str">
            <v>082267146</v>
          </cell>
          <cell r="L605" t="str">
            <v>29/3/2011</v>
          </cell>
          <cell r="V605" t="str">
            <v>Nà Song, Xã Yên Trạch, huyện Cao Lộc, tỉnh Lạng Sơn</v>
          </cell>
          <cell r="W605" t="str">
            <v>09/11/2020</v>
          </cell>
          <cell r="AA605">
            <v>0</v>
          </cell>
          <cell r="AB605" t="str">
            <v>TĐ012</v>
          </cell>
          <cell r="AC605" t="str">
            <v>Nội Tiêu hóa</v>
          </cell>
          <cell r="AD605" t="str">
            <v>Nội Tiêu hóa</v>
          </cell>
          <cell r="AE605" t="str">
            <v>Viên chức</v>
          </cell>
          <cell r="AG605">
            <v>0</v>
          </cell>
          <cell r="AH605" t="str">
            <v>2.41</v>
          </cell>
          <cell r="AI605">
            <v>2</v>
          </cell>
          <cell r="AK605">
            <v>45507</v>
          </cell>
          <cell r="AL605" t="str">
            <v>Cao đẳng</v>
          </cell>
          <cell r="AM605" t="str">
            <v>Điều dưỡng CĐ</v>
          </cell>
          <cell r="AO605" t="str">
            <v>CĐ Y tế LS</v>
          </cell>
          <cell r="AP605">
            <v>2015</v>
          </cell>
          <cell r="AY605" t="str">
            <v>Tày</v>
          </cell>
        </row>
        <row r="606">
          <cell r="A606" t="str">
            <v>BV1083</v>
          </cell>
          <cell r="B606">
            <v>600</v>
          </cell>
          <cell r="C606" t="str">
            <v>Lục Thị Mì</v>
          </cell>
          <cell r="D606" t="str">
            <v>BV1083</v>
          </cell>
          <cell r="E606" t="str">
            <v>2715061351</v>
          </cell>
          <cell r="G606" t="str">
            <v>020193005692 cấp ngày 9/5/2021, nơi cấp: Cục cảnh sát quản lý hành chính và trật tự xã hội</v>
          </cell>
          <cell r="I606" t="str">
            <v>08/01/1993</v>
          </cell>
          <cell r="J606">
            <v>33</v>
          </cell>
          <cell r="K606" t="str">
            <v>082175705</v>
          </cell>
          <cell r="L606" t="str">
            <v>02/12/2008</v>
          </cell>
          <cell r="V606" t="str">
            <v>Xã Lợi Bác, huyện Lộc Bình, tỉnh Lạng Sơn</v>
          </cell>
          <cell r="W606" t="str">
            <v>03/11/2020</v>
          </cell>
          <cell r="AA606">
            <v>0</v>
          </cell>
          <cell r="AB606" t="str">
            <v>TĐ012</v>
          </cell>
          <cell r="AC606" t="str">
            <v>Nội Thận-TN-LM</v>
          </cell>
          <cell r="AD606" t="str">
            <v>Nội Thận-TN-LM</v>
          </cell>
          <cell r="AE606" t="str">
            <v>Viên chức</v>
          </cell>
          <cell r="AG606">
            <v>0</v>
          </cell>
          <cell r="AH606" t="str">
            <v>2.41</v>
          </cell>
          <cell r="AI606">
            <v>2</v>
          </cell>
          <cell r="AK606">
            <v>45507</v>
          </cell>
          <cell r="AL606" t="str">
            <v>Cao đẳng</v>
          </cell>
          <cell r="AM606" t="str">
            <v>Điều dưỡng CĐ</v>
          </cell>
          <cell r="AO606" t="str">
            <v>CĐ Y tế Phú thọ</v>
          </cell>
          <cell r="AP606">
            <v>2014</v>
          </cell>
          <cell r="AY606" t="str">
            <v>Nùng</v>
          </cell>
        </row>
        <row r="607">
          <cell r="A607" t="str">
            <v>BV1044</v>
          </cell>
          <cell r="B607">
            <v>601</v>
          </cell>
          <cell r="C607" t="str">
            <v>Hoàng Thị Chuyên</v>
          </cell>
          <cell r="D607" t="str">
            <v>BV1044</v>
          </cell>
          <cell r="E607" t="str">
            <v>2020071594</v>
          </cell>
          <cell r="I607" t="str">
            <v>09/10/1994</v>
          </cell>
          <cell r="J607">
            <v>31</v>
          </cell>
          <cell r="K607" t="str">
            <v>082207667</v>
          </cell>
          <cell r="L607" t="str">
            <v>27/7/2009</v>
          </cell>
          <cell r="M607" t="str">
            <v>0364026171</v>
          </cell>
          <cell r="V607" t="str">
            <v>Xã Hoàng Đồng, Thành phố Lạng Sơn, Tỉnh Lạng Sơn</v>
          </cell>
          <cell r="W607" t="str">
            <v>13/7/2020</v>
          </cell>
          <cell r="AA607">
            <v>0</v>
          </cell>
          <cell r="AB607" t="str">
            <v>TĐ012</v>
          </cell>
          <cell r="AC607" t="str">
            <v>Chấn thương - Bỏng</v>
          </cell>
          <cell r="AD607" t="str">
            <v>Chấn thương - Bỏng</v>
          </cell>
          <cell r="AE607" t="str">
            <v>Viên chức</v>
          </cell>
          <cell r="AG607">
            <v>0</v>
          </cell>
          <cell r="AH607">
            <v>1.65</v>
          </cell>
          <cell r="AI607">
            <v>1</v>
          </cell>
          <cell r="AK607">
            <v>45689</v>
          </cell>
          <cell r="AL607" t="str">
            <v>Cao đẳng</v>
          </cell>
          <cell r="AM607" t="str">
            <v>Điều dưỡng CĐ</v>
          </cell>
          <cell r="AY607" t="str">
            <v>Tày</v>
          </cell>
        </row>
        <row r="608">
          <cell r="A608" t="str">
            <v>BV0866</v>
          </cell>
          <cell r="B608">
            <v>602</v>
          </cell>
          <cell r="C608" t="str">
            <v>Hoàng Minh Tuệ</v>
          </cell>
          <cell r="D608" t="str">
            <v>BV0866</v>
          </cell>
          <cell r="E608" t="str">
            <v>2020068031</v>
          </cell>
          <cell r="G608" t="str">
            <v>CCCD: 020097001291
ngày cấp:
Tại Cục cảnh sát quản lý hành chính về trật tự xã hội</v>
          </cell>
          <cell r="H608">
            <v>35610</v>
          </cell>
          <cell r="J608">
            <v>29</v>
          </cell>
          <cell r="K608" t="str">
            <v>082298863</v>
          </cell>
          <cell r="L608" t="str">
            <v>03/7/2013</v>
          </cell>
          <cell r="M608" t="str">
            <v>CA tỉnh Lạng Sơn</v>
          </cell>
          <cell r="O608" t="str">
            <v>Mai Pha</v>
          </cell>
          <cell r="P608" t="str">
            <v>TP Lạng Sơn</v>
          </cell>
          <cell r="Q608" t="str">
            <v>Lạng Sơn</v>
          </cell>
          <cell r="V608" t="str">
            <v>Thôn Khòn Pát, xã Mai Pha, TP. Lạng Sơn</v>
          </cell>
          <cell r="W608" t="str">
            <v>01/11/2018</v>
          </cell>
          <cell r="X608" t="str">
            <v>01/11/2018</v>
          </cell>
          <cell r="AA608">
            <v>0</v>
          </cell>
          <cell r="AB608" t="str">
            <v>TĐ012</v>
          </cell>
          <cell r="AC608" t="str">
            <v>Chấn thương - Bỏng</v>
          </cell>
          <cell r="AD608" t="str">
            <v>Chấn thương - Bỏng</v>
          </cell>
          <cell r="AE608" t="str">
            <v>HĐ có thời hạn</v>
          </cell>
          <cell r="AG608">
            <v>0</v>
          </cell>
          <cell r="AH608" t="str">
            <v>2.72</v>
          </cell>
          <cell r="AI608">
            <v>3</v>
          </cell>
          <cell r="AK608">
            <v>45870</v>
          </cell>
          <cell r="AL608" t="str">
            <v>Cao đẳng</v>
          </cell>
          <cell r="AM608" t="str">
            <v>Điều dưỡng CĐ</v>
          </cell>
          <cell r="AO608" t="str">
            <v>CĐ Y tế Lạng Sơn</v>
          </cell>
          <cell r="AP608">
            <v>2018</v>
          </cell>
          <cell r="AQ608" t="str">
            <v>12/12</v>
          </cell>
          <cell r="AY608" t="str">
            <v>Tày</v>
          </cell>
        </row>
        <row r="609">
          <cell r="A609" t="str">
            <v>BV0718</v>
          </cell>
          <cell r="B609">
            <v>603</v>
          </cell>
          <cell r="C609" t="str">
            <v>Lâm Thị Phượng</v>
          </cell>
          <cell r="D609" t="str">
            <v>BV0718</v>
          </cell>
          <cell r="E609">
            <v>2020530331</v>
          </cell>
          <cell r="F609">
            <v>2099848026</v>
          </cell>
          <cell r="G609" t="str">
            <v>CCCD: 020194005623
 ngày cấp: 25/06/2021
Tại Cục cảnh sát quản lý hành chính về trật tự xã hội</v>
          </cell>
          <cell r="I609" t="str">
            <v>29/7/1994</v>
          </cell>
          <cell r="J609">
            <v>31</v>
          </cell>
          <cell r="K609" t="str">
            <v>082189927</v>
          </cell>
          <cell r="L609" t="str">
            <v>17/11/2008</v>
          </cell>
          <cell r="M609" t="str">
            <v>CA tỉnh Lạng Sơn</v>
          </cell>
          <cell r="O609" t="str">
            <v>Minh Hòa</v>
          </cell>
          <cell r="P609" t="str">
            <v>Hữu Lũng</v>
          </cell>
          <cell r="Q609" t="str">
            <v>Lạng Sơn</v>
          </cell>
          <cell r="S609" t="str">
            <v>Minh Hòa</v>
          </cell>
          <cell r="T609" t="str">
            <v>Hữu Lũng</v>
          </cell>
          <cell r="U609" t="str">
            <v>Lạng Sơn</v>
          </cell>
          <cell r="V609" t="str">
            <v>Minh Hòa, Hữu Lũng, Lạng Sơn</v>
          </cell>
          <cell r="W609" t="str">
            <v xml:space="preserve"> 29/8/2016</v>
          </cell>
          <cell r="AA609">
            <v>0</v>
          </cell>
          <cell r="AB609" t="str">
            <v>TĐ012</v>
          </cell>
          <cell r="AC609" t="str">
            <v>Chấn thương - Bỏng</v>
          </cell>
          <cell r="AD609" t="str">
            <v>Chấn thương - Bỏng</v>
          </cell>
          <cell r="AE609" t="str">
            <v>Viên chức</v>
          </cell>
          <cell r="AG609">
            <v>0</v>
          </cell>
          <cell r="AH609" t="str">
            <v>2.72</v>
          </cell>
          <cell r="AI609">
            <v>3</v>
          </cell>
          <cell r="AK609">
            <v>45075</v>
          </cell>
          <cell r="AL609" t="str">
            <v>Cao đẳng</v>
          </cell>
          <cell r="AM609" t="str">
            <v>Điều dưỡng CĐ</v>
          </cell>
          <cell r="AO609" t="str">
            <v>CĐ Y tế Lạng Sơn</v>
          </cell>
          <cell r="AP609">
            <v>2015</v>
          </cell>
          <cell r="AQ609" t="str">
            <v>12/12</v>
          </cell>
          <cell r="AT609" t="str">
            <v>Sơ cấp</v>
          </cell>
          <cell r="AU609" t="str">
            <v>Anh B</v>
          </cell>
          <cell r="AW609" t="str">
            <v>B</v>
          </cell>
          <cell r="AY609" t="str">
            <v>Nùng</v>
          </cell>
          <cell r="BA609" t="e">
            <v>#REF!</v>
          </cell>
          <cell r="BB609" t="e">
            <v>#REF!</v>
          </cell>
        </row>
        <row r="610">
          <cell r="A610" t="str">
            <v>BV0719</v>
          </cell>
          <cell r="B610">
            <v>604</v>
          </cell>
          <cell r="C610" t="str">
            <v>Nông Văn Thảo</v>
          </cell>
          <cell r="D610" t="str">
            <v>BV0719</v>
          </cell>
          <cell r="E610">
            <v>2020746455</v>
          </cell>
          <cell r="F610">
            <v>2099924397</v>
          </cell>
          <cell r="H610" t="str">
            <v>08/01/1991</v>
          </cell>
          <cell r="J610">
            <v>35</v>
          </cell>
          <cell r="K610" t="str">
            <v>082183657</v>
          </cell>
          <cell r="L610" t="str">
            <v>21/02/2009</v>
          </cell>
          <cell r="M610" t="str">
            <v>CA tỉnh Lạng Sơn</v>
          </cell>
          <cell r="O610" t="str">
            <v>Đình Lập</v>
          </cell>
          <cell r="P610" t="str">
            <v>Đình Lập</v>
          </cell>
          <cell r="Q610" t="str">
            <v>Lạng Sơn</v>
          </cell>
          <cell r="S610" t="str">
            <v>Đình Lập</v>
          </cell>
          <cell r="T610" t="str">
            <v>Đình Lập</v>
          </cell>
          <cell r="U610" t="str">
            <v>Lạng Sơn</v>
          </cell>
          <cell r="V610" t="str">
            <v>Đình Lập, Đình Lập, Lạng Sơn</v>
          </cell>
          <cell r="W610" t="str">
            <v xml:space="preserve"> 29/8/2016</v>
          </cell>
          <cell r="AA610">
            <v>0</v>
          </cell>
          <cell r="AB610" t="str">
            <v>TĐ012</v>
          </cell>
          <cell r="AC610" t="str">
            <v>Chấn thương - Bỏng</v>
          </cell>
          <cell r="AD610" t="str">
            <v>Chấn thương - Bỏng</v>
          </cell>
          <cell r="AE610" t="str">
            <v>Viên chức</v>
          </cell>
          <cell r="AG610">
            <v>0</v>
          </cell>
          <cell r="AH610" t="str">
            <v>3.03</v>
          </cell>
          <cell r="AI610">
            <v>4</v>
          </cell>
          <cell r="AK610">
            <v>45806</v>
          </cell>
          <cell r="AL610" t="str">
            <v>Cao đẳng</v>
          </cell>
          <cell r="AM610" t="str">
            <v>Điều dưỡng CĐ</v>
          </cell>
          <cell r="AO610" t="str">
            <v>CĐ Y tế Lạng Sơn</v>
          </cell>
          <cell r="AP610">
            <v>2013</v>
          </cell>
          <cell r="AQ610" t="str">
            <v>12/12</v>
          </cell>
          <cell r="AT610" t="str">
            <v>Sơ cấp</v>
          </cell>
          <cell r="AW610" t="str">
            <v>A</v>
          </cell>
          <cell r="AY610" t="str">
            <v>Tày</v>
          </cell>
          <cell r="BA610" t="e">
            <v>#REF!</v>
          </cell>
          <cell r="BB610" t="e">
            <v>#REF!</v>
          </cell>
        </row>
        <row r="611">
          <cell r="A611" t="str">
            <v>BV0789</v>
          </cell>
          <cell r="B611">
            <v>605</v>
          </cell>
          <cell r="C611" t="str">
            <v>Nguyễn Thị Tuyền</v>
          </cell>
          <cell r="D611" t="str">
            <v>BV0789</v>
          </cell>
          <cell r="E611">
            <v>2020216456</v>
          </cell>
          <cell r="F611">
            <v>2099832825</v>
          </cell>
          <cell r="G611" t="str">
            <v>CMT: 082262289
ngày cấp:13/05/2011
CA.Lạng Sơn</v>
          </cell>
          <cell r="I611" t="str">
            <v>14/8/1995</v>
          </cell>
          <cell r="J611">
            <v>30</v>
          </cell>
          <cell r="K611" t="str">
            <v>082262289</v>
          </cell>
          <cell r="L611" t="str">
            <v>13/5/2011</v>
          </cell>
          <cell r="M611" t="str">
            <v>CA tỉnh Lạng Sơn</v>
          </cell>
          <cell r="O611" t="str">
            <v>Lý Dương</v>
          </cell>
          <cell r="P611" t="str">
            <v>Bình Giang</v>
          </cell>
          <cell r="Q611" t="str">
            <v>Hải Dương</v>
          </cell>
          <cell r="S611" t="str">
            <v>Tân Thanh</v>
          </cell>
          <cell r="T611" t="str">
            <v>Văn Lãng</v>
          </cell>
          <cell r="U611" t="str">
            <v>Lạng Sơn</v>
          </cell>
          <cell r="V611" t="str">
            <v>Tân Thanh, Văn Lãng, Lạng Sơn</v>
          </cell>
          <cell r="W611" t="str">
            <v xml:space="preserve"> 02/10/2017</v>
          </cell>
          <cell r="AA611">
            <v>0</v>
          </cell>
          <cell r="AB611" t="str">
            <v>TĐ012</v>
          </cell>
          <cell r="AC611" t="str">
            <v>Chấn thương - Bỏng</v>
          </cell>
          <cell r="AD611" t="str">
            <v>Chấn thương - Bỏng</v>
          </cell>
          <cell r="AE611" t="str">
            <v>Viên chức</v>
          </cell>
          <cell r="AG611">
            <v>0</v>
          </cell>
          <cell r="AH611" t="str">
            <v>2.72</v>
          </cell>
          <cell r="AI611">
            <v>3</v>
          </cell>
          <cell r="AK611">
            <v>45440</v>
          </cell>
          <cell r="AL611" t="str">
            <v>Cao đẳng</v>
          </cell>
          <cell r="AM611" t="str">
            <v>Điều dưỡng CĐ</v>
          </cell>
          <cell r="AO611" t="str">
            <v>CĐ Y tế Lạng Sơn</v>
          </cell>
          <cell r="AP611">
            <v>2016</v>
          </cell>
          <cell r="AQ611" t="str">
            <v>12/12</v>
          </cell>
          <cell r="AT611" t="str">
            <v>Sơ cấp</v>
          </cell>
          <cell r="AU611" t="str">
            <v>Anh A</v>
          </cell>
          <cell r="AW611" t="str">
            <v>A</v>
          </cell>
          <cell r="AY611" t="str">
            <v>Kinh</v>
          </cell>
          <cell r="BC611" t="str">
            <v>29/12/2017</v>
          </cell>
        </row>
        <row r="612">
          <cell r="A612" t="str">
            <v>BV0857</v>
          </cell>
          <cell r="B612">
            <v>606</v>
          </cell>
          <cell r="C612" t="str">
            <v>Lương Sơn Tùng</v>
          </cell>
          <cell r="D612" t="str">
            <v>BV0857</v>
          </cell>
          <cell r="E612" t="str">
            <v>2020373564</v>
          </cell>
          <cell r="G612" t="str">
            <v>CCCD: 020097008876
 ngày cấp: 25/6/2021
Tại Cục cảnh sát quản lý hành chính về trật tự xã hội</v>
          </cell>
          <cell r="H612">
            <v>35500</v>
          </cell>
          <cell r="J612">
            <v>29</v>
          </cell>
          <cell r="K612" t="str">
            <v>082270176</v>
          </cell>
          <cell r="L612" t="str">
            <v>13/6/2011</v>
          </cell>
          <cell r="M612" t="str">
            <v>CA tỉnh Lạng Sơn</v>
          </cell>
          <cell r="O612" t="str">
            <v>Song Giáng</v>
          </cell>
          <cell r="P612" t="str">
            <v>Văn Quan</v>
          </cell>
          <cell r="Q612" t="str">
            <v>Lạng Sơn</v>
          </cell>
          <cell r="V612" t="str">
            <v>Thôn Nà Lọ, xã Song Giang, huyện Văn Quan, tỉnh Lạng Sơn</v>
          </cell>
          <cell r="W612" t="str">
            <v>01/11/2018</v>
          </cell>
          <cell r="X612" t="str">
            <v>01/11/2018</v>
          </cell>
          <cell r="AA612">
            <v>0</v>
          </cell>
          <cell r="AB612" t="str">
            <v>TĐ012</v>
          </cell>
          <cell r="AC612" t="str">
            <v>Chấn thương - Bỏng</v>
          </cell>
          <cell r="AD612" t="str">
            <v>Chấn thương - Bỏng</v>
          </cell>
          <cell r="AE612" t="str">
            <v>Viên chức</v>
          </cell>
          <cell r="AG612">
            <v>0</v>
          </cell>
          <cell r="AH612" t="str">
            <v>2.72</v>
          </cell>
          <cell r="AI612">
            <v>3</v>
          </cell>
          <cell r="AK612">
            <v>45870</v>
          </cell>
          <cell r="AL612" t="str">
            <v>Cao đẳng</v>
          </cell>
          <cell r="AM612" t="str">
            <v>Điều dưỡng CĐ</v>
          </cell>
          <cell r="AO612" t="str">
            <v>CĐ Y tế Lạng Sơn</v>
          </cell>
          <cell r="AP612">
            <v>2018</v>
          </cell>
          <cell r="AQ612" t="str">
            <v>12/12</v>
          </cell>
          <cell r="AU612" t="str">
            <v>A2</v>
          </cell>
          <cell r="AW612" t="str">
            <v>UDCNTTCB</v>
          </cell>
          <cell r="AY612" t="str">
            <v>Nùng</v>
          </cell>
          <cell r="BC612" t="str">
            <v>29/12/2017</v>
          </cell>
        </row>
        <row r="613">
          <cell r="A613" t="str">
            <v>BV0893</v>
          </cell>
          <cell r="B613">
            <v>607</v>
          </cell>
          <cell r="C613" t="str">
            <v>Mã Thị Lâm</v>
          </cell>
          <cell r="D613" t="str">
            <v>BV0893</v>
          </cell>
          <cell r="E613" t="str">
            <v>2020092823</v>
          </cell>
          <cell r="G613" t="str">
            <v>CCCD: 020197008489
ngày cấp: 24/06/2021
Tại Cục cảnh sát quản lý hành chính về trật tự xã hội</v>
          </cell>
          <cell r="I613" t="str">
            <v>24/10/1997</v>
          </cell>
          <cell r="J613">
            <v>28</v>
          </cell>
          <cell r="K613" t="str">
            <v>082318710</v>
          </cell>
          <cell r="L613" t="str">
            <v>11/9/2014</v>
          </cell>
          <cell r="M613" t="str">
            <v>CA tỉnh Lạng Sơn</v>
          </cell>
          <cell r="O613" t="str">
            <v>Xã Tri Phương, huyện Tràng Định, tỉnh Lạng Sơn</v>
          </cell>
          <cell r="S613" t="str">
            <v>Xã Tri Phương, huyện Tràng Định, tỉnh Lạng Sơn</v>
          </cell>
          <cell r="V613" t="str">
            <v>Xã Tri Phương, huyện Tràng Định, tỉnh Lạng Sơn</v>
          </cell>
          <cell r="W613" t="str">
            <v>17/4/2019</v>
          </cell>
          <cell r="AA613">
            <v>0</v>
          </cell>
          <cell r="AB613" t="str">
            <v>TĐ012</v>
          </cell>
          <cell r="AC613" t="str">
            <v>Chấn thương - Bỏng</v>
          </cell>
          <cell r="AD613" t="str">
            <v>Chấn thương - Bỏng</v>
          </cell>
          <cell r="AE613" t="str">
            <v>Viên chức</v>
          </cell>
          <cell r="AG613">
            <v>0</v>
          </cell>
          <cell r="AH613" t="str">
            <v>2.41</v>
          </cell>
          <cell r="AI613">
            <v>2</v>
          </cell>
          <cell r="AK613">
            <v>44943</v>
          </cell>
          <cell r="AL613" t="str">
            <v>Cao đẳng</v>
          </cell>
          <cell r="AM613" t="str">
            <v>Điều dưỡng CĐ</v>
          </cell>
          <cell r="AO613" t="str">
            <v>CĐ y tế Lạng Sơn</v>
          </cell>
          <cell r="AQ613" t="str">
            <v>12/12</v>
          </cell>
          <cell r="AY613" t="str">
            <v>Tày</v>
          </cell>
          <cell r="BC613" t="str">
            <v>24/06/2013</v>
          </cell>
        </row>
        <row r="614">
          <cell r="A614" t="str">
            <v>BV0970</v>
          </cell>
          <cell r="B614">
            <v>608</v>
          </cell>
          <cell r="C614" t="str">
            <v>Hoàng Thị Quy</v>
          </cell>
          <cell r="D614" t="str">
            <v>BV0970</v>
          </cell>
          <cell r="E614" t="str">
            <v>2020170677</v>
          </cell>
          <cell r="G614" t="str">
            <v>CCCD: 020197001208 
Ngày cấp 29.04.2021
Tại Cục cảnh sát quản lý hành chính về trật tự xã hội</v>
          </cell>
          <cell r="I614" t="str">
            <v>21/9/1997</v>
          </cell>
          <cell r="J614">
            <v>28</v>
          </cell>
          <cell r="K614" t="str">
            <v>082300399</v>
          </cell>
          <cell r="L614" t="str">
            <v>04/4/2019</v>
          </cell>
          <cell r="M614" t="str">
            <v>Công an tỉnh Lạng Sơn</v>
          </cell>
          <cell r="O614" t="str">
            <v>Xã Tân Văn, huyện Bình Gia, tỉnh LẠng Sơn</v>
          </cell>
          <cell r="V614" t="str">
            <v>Xã Tân Văn, huyện Bình Gia, tỉnh Lạng Sơn</v>
          </cell>
          <cell r="W614" t="str">
            <v>02/12/2019</v>
          </cell>
          <cell r="AA614">
            <v>0</v>
          </cell>
          <cell r="AB614" t="str">
            <v>TĐ012</v>
          </cell>
          <cell r="AC614" t="str">
            <v>Chấn thương - Bỏng</v>
          </cell>
          <cell r="AD614" t="str">
            <v>Chấn thương - Bỏng</v>
          </cell>
          <cell r="AE614" t="str">
            <v>Viên chức</v>
          </cell>
          <cell r="AG614">
            <v>0</v>
          </cell>
          <cell r="AH614" t="str">
            <v>2.41</v>
          </cell>
          <cell r="AI614">
            <v>2</v>
          </cell>
          <cell r="AK614">
            <v>45171</v>
          </cell>
          <cell r="AL614" t="str">
            <v>Cao đẳng</v>
          </cell>
          <cell r="AM614" t="str">
            <v>Điều dưỡng CĐ</v>
          </cell>
          <cell r="AN614" t="str">
            <v>Điều dưỡng cao đẳng</v>
          </cell>
          <cell r="AY614" t="str">
            <v>Tày</v>
          </cell>
        </row>
        <row r="615">
          <cell r="A615" t="str">
            <v>BV1087</v>
          </cell>
          <cell r="B615">
            <v>609</v>
          </cell>
          <cell r="C615" t="str">
            <v>Ngô Thị Ìn</v>
          </cell>
          <cell r="D615" t="str">
            <v>BV1087</v>
          </cell>
          <cell r="E615" t="str">
            <v>2020162620</v>
          </cell>
          <cell r="G615" t="str">
            <v>CCCD: 020198001085
ngày cấp: 29/04/2021
Tại Cục cảnh sát quản lý hành chính về trật tự xã hội</v>
          </cell>
          <cell r="I615" t="str">
            <v>16/7/1998</v>
          </cell>
          <cell r="J615">
            <v>27</v>
          </cell>
          <cell r="K615" t="str">
            <v>082300141</v>
          </cell>
          <cell r="L615" t="str">
            <v>08/5/2013</v>
          </cell>
          <cell r="V615" t="str">
            <v>Xã Thiện Hòa, huyện Bình Gia, tỉnh Lạng Sơn</v>
          </cell>
          <cell r="W615" t="str">
            <v>03/11/2020</v>
          </cell>
          <cell r="AA615">
            <v>0</v>
          </cell>
          <cell r="AB615" t="str">
            <v>TĐ012</v>
          </cell>
          <cell r="AC615" t="str">
            <v>Chấn thương - Bỏng</v>
          </cell>
          <cell r="AD615" t="str">
            <v>Chấn thương - Bỏng</v>
          </cell>
          <cell r="AE615" t="str">
            <v>Viên chức</v>
          </cell>
          <cell r="AG615">
            <v>0</v>
          </cell>
          <cell r="AH615" t="str">
            <v>2.41</v>
          </cell>
          <cell r="AI615">
            <v>2</v>
          </cell>
          <cell r="AK615">
            <v>45507</v>
          </cell>
          <cell r="AL615" t="str">
            <v>Cao đẳng</v>
          </cell>
          <cell r="AM615" t="str">
            <v>Điều dưỡng CĐ</v>
          </cell>
          <cell r="AO615" t="str">
            <v>CĐ Y tế LS</v>
          </cell>
          <cell r="AP615">
            <v>2020</v>
          </cell>
          <cell r="AY615" t="str">
            <v>Nùng</v>
          </cell>
        </row>
        <row r="616">
          <cell r="A616" t="str">
            <v>BV0875</v>
          </cell>
          <cell r="B616">
            <v>610</v>
          </cell>
          <cell r="C616" t="str">
            <v>Nguyễn Thu Trang</v>
          </cell>
          <cell r="D616" t="str">
            <v>BV0875</v>
          </cell>
          <cell r="E616" t="str">
            <v>2011001568</v>
          </cell>
          <cell r="G616" t="str">
            <v>020191010822, ngày cấp 27/6/2021, nơi cấp: Cục cảnh sát quản lý hành chính và trật tự xã hội</v>
          </cell>
          <cell r="I616" t="str">
            <v>04/12/1996</v>
          </cell>
          <cell r="J616">
            <v>29</v>
          </cell>
          <cell r="K616" t="str">
            <v>082250897</v>
          </cell>
          <cell r="L616" t="str">
            <v>17/06/2011</v>
          </cell>
          <cell r="M616" t="str">
            <v>CA tỉnh Lạng Sơn</v>
          </cell>
          <cell r="N616" t="str">
            <v>Thị trấn Bắc Sơn</v>
          </cell>
          <cell r="P616" t="str">
            <v>Bắc Sơn</v>
          </cell>
          <cell r="Q616" t="str">
            <v>Lạng Sơn</v>
          </cell>
          <cell r="S616" t="str">
            <v>Xã Hợp Thành</v>
          </cell>
          <cell r="T616" t="str">
            <v>Cao Lộc</v>
          </cell>
          <cell r="U616" t="str">
            <v>Lạng Sơn</v>
          </cell>
          <cell r="V616" t="str">
            <v>Xã Hợp Thành, Huyện Cao Lộc, Tỉnh Lạng Sơn</v>
          </cell>
          <cell r="W616" t="str">
            <v>01/11/2018</v>
          </cell>
          <cell r="X616" t="str">
            <v>01/11/2018</v>
          </cell>
          <cell r="AA616">
            <v>0</v>
          </cell>
          <cell r="AB616" t="str">
            <v>TĐ012</v>
          </cell>
          <cell r="AC616" t="str">
            <v>UB-YHHN</v>
          </cell>
          <cell r="AD616" t="str">
            <v>UB-YHHN</v>
          </cell>
          <cell r="AE616" t="str">
            <v>Viên chức</v>
          </cell>
          <cell r="AG616">
            <v>0</v>
          </cell>
          <cell r="AH616" t="e">
            <v>#N/A</v>
          </cell>
          <cell r="AI616" t="e">
            <v>#N/A</v>
          </cell>
          <cell r="AK616" t="e">
            <v>#N/A</v>
          </cell>
          <cell r="AL616" t="str">
            <v>Cao đẳng</v>
          </cell>
          <cell r="AM616" t="str">
            <v>Điều dưỡng CĐ</v>
          </cell>
          <cell r="AO616" t="str">
            <v>CĐ Y tế Lạng Sơn</v>
          </cell>
          <cell r="AP616">
            <v>2017</v>
          </cell>
          <cell r="AQ616" t="str">
            <v>12/12</v>
          </cell>
          <cell r="AX616" t="str">
            <v>CC nội soi đường tiêu hóa dưới</v>
          </cell>
          <cell r="AY616" t="str">
            <v>Tày</v>
          </cell>
          <cell r="BC616" t="str">
            <v>17/08/2018</v>
          </cell>
        </row>
        <row r="617">
          <cell r="A617" t="str">
            <v>BV1088</v>
          </cell>
          <cell r="B617">
            <v>611</v>
          </cell>
          <cell r="C617" t="str">
            <v>Hoàng Thị Hảo</v>
          </cell>
          <cell r="D617" t="str">
            <v>BV1088</v>
          </cell>
          <cell r="E617" t="str">
            <v>1596007631</v>
          </cell>
          <cell r="G617" t="str">
            <v>020199000942, cấp ngày 29/4/2021, nơi cấp: Cục cảnh sát quản lý hành chính và trật tự xã hội</v>
          </cell>
          <cell r="I617" t="str">
            <v>09/10/1999</v>
          </cell>
          <cell r="J617">
            <v>26</v>
          </cell>
          <cell r="K617" t="str">
            <v>082295623</v>
          </cell>
          <cell r="L617" t="str">
            <v>15/9/2016</v>
          </cell>
          <cell r="V617" t="str">
            <v>Xã Lâm Ca, huyện Đình Lập, tỉnh Lạng Sơn</v>
          </cell>
          <cell r="W617" t="str">
            <v>03/11/2020</v>
          </cell>
          <cell r="AA617">
            <v>0</v>
          </cell>
          <cell r="AB617" t="str">
            <v>TĐ012</v>
          </cell>
          <cell r="AC617" t="str">
            <v>Ngoại Thận - Tiết niệu</v>
          </cell>
          <cell r="AD617" t="str">
            <v>Ngoại Thận - Tiết niệu</v>
          </cell>
          <cell r="AE617" t="str">
            <v>Viên chức</v>
          </cell>
          <cell r="AG617">
            <v>0</v>
          </cell>
          <cell r="AH617" t="str">
            <v>2.41</v>
          </cell>
          <cell r="AI617">
            <v>2</v>
          </cell>
          <cell r="AK617">
            <v>45507</v>
          </cell>
          <cell r="AL617" t="str">
            <v>Cao đẳng</v>
          </cell>
          <cell r="AM617" t="str">
            <v>Điều dưỡng CĐ</v>
          </cell>
          <cell r="AO617" t="str">
            <v>CĐ Y tế LS</v>
          </cell>
          <cell r="AP617">
            <v>2020</v>
          </cell>
          <cell r="AY617" t="str">
            <v>Kinh</v>
          </cell>
          <cell r="BC617" t="str">
            <v>09/5/2018</v>
          </cell>
        </row>
        <row r="618">
          <cell r="A618" t="str">
            <v>BV0918</v>
          </cell>
          <cell r="B618">
            <v>612</v>
          </cell>
          <cell r="C618" t="str">
            <v>Hoàng Mai Anh</v>
          </cell>
          <cell r="D618" t="str">
            <v>BV0918</v>
          </cell>
          <cell r="E618" t="str">
            <v>2020485105</v>
          </cell>
          <cell r="G618" t="str">
            <v>020195001881, cấp ngày 29/4/2021, nơi cấp: Cục cảnh sát quản lý hành chính và trật tự xã hội</v>
          </cell>
          <cell r="I618" t="str">
            <v>07/05/1995</v>
          </cell>
          <cell r="J618">
            <v>31</v>
          </cell>
          <cell r="K618" t="str">
            <v>082264435</v>
          </cell>
          <cell r="L618" t="str">
            <v>29/3/2011</v>
          </cell>
          <cell r="M618" t="str">
            <v>CA tỉnh Lạng Sơn</v>
          </cell>
          <cell r="O618" t="str">
            <v>Xã Gia Cát, huyện Cao Lộc, tỉnh Lạng Sơn</v>
          </cell>
          <cell r="S618" t="str">
            <v>Xã Gia Cát, huyện Cao Lộc, tỉnh Lạng Sơn</v>
          </cell>
          <cell r="V618" t="str">
            <v>Xã Gia Cát, huyện Cao Lộc, tỉnh Lạng Sơn</v>
          </cell>
          <cell r="W618" t="str">
            <v>17/4/2019</v>
          </cell>
          <cell r="AA618">
            <v>0</v>
          </cell>
          <cell r="AB618" t="str">
            <v>TĐ012</v>
          </cell>
          <cell r="AC618" t="str">
            <v>Ngoại Thận - Tiết niệu</v>
          </cell>
          <cell r="AD618" t="str">
            <v>Ngoại Thận - Tiết niệu</v>
          </cell>
          <cell r="AE618" t="str">
            <v>Viên chức</v>
          </cell>
          <cell r="AG618">
            <v>0</v>
          </cell>
          <cell r="AH618" t="str">
            <v>2.41</v>
          </cell>
          <cell r="AI618">
            <v>2</v>
          </cell>
          <cell r="AK618">
            <v>44943</v>
          </cell>
          <cell r="AL618" t="str">
            <v>Cao đẳng</v>
          </cell>
          <cell r="AM618" t="str">
            <v>Điều dưỡng CĐ</v>
          </cell>
          <cell r="AO618" t="str">
            <v>CĐ y tế Lạng Sơn</v>
          </cell>
          <cell r="AQ618" t="str">
            <v>12/12</v>
          </cell>
          <cell r="AY618" t="str">
            <v>Nùng</v>
          </cell>
        </row>
        <row r="619">
          <cell r="A619" t="str">
            <v>BV0876</v>
          </cell>
          <cell r="B619">
            <v>613</v>
          </cell>
          <cell r="C619" t="str">
            <v>Lục Thị Kim Oanh</v>
          </cell>
          <cell r="D619" t="str">
            <v>BV0876</v>
          </cell>
          <cell r="E619" t="str">
            <v>2020216510</v>
          </cell>
          <cell r="G619" t="str">
            <v>CCCD: 020191002540
Ngày cấp: 29/4/2021, nơi cấp: Cục cảnh sát quản lý hành chính và trật tự xã hội</v>
          </cell>
          <cell r="I619">
            <v>33315</v>
          </cell>
          <cell r="J619">
            <v>35</v>
          </cell>
          <cell r="K619" t="str">
            <v>082100907</v>
          </cell>
          <cell r="L619" t="str">
            <v>21/12/2006</v>
          </cell>
          <cell r="M619" t="str">
            <v>CA tỉnh Lạng Sơn</v>
          </cell>
          <cell r="O619" t="str">
            <v xml:space="preserve">Hoa Thám, </v>
          </cell>
          <cell r="P619" t="str">
            <v>Bình Gia</v>
          </cell>
          <cell r="Q619" t="str">
            <v>Lạng Sơn</v>
          </cell>
          <cell r="V619" t="str">
            <v>Thôn Bản Miằng, xã Hội Hoan, huyện Văn Lãng, tỉnh Lạng Sơn</v>
          </cell>
          <cell r="W619" t="str">
            <v>01/11/2018</v>
          </cell>
          <cell r="X619" t="str">
            <v>01/11/2018</v>
          </cell>
          <cell r="AA619">
            <v>0</v>
          </cell>
          <cell r="AB619" t="str">
            <v>TĐ012</v>
          </cell>
          <cell r="AC619" t="str">
            <v>Ngoại TK-LN</v>
          </cell>
          <cell r="AD619" t="str">
            <v>Ngoại TK-LN</v>
          </cell>
          <cell r="AE619" t="str">
            <v>Viên chức</v>
          </cell>
          <cell r="AG619">
            <v>0</v>
          </cell>
          <cell r="AH619" t="str">
            <v>2.72</v>
          </cell>
          <cell r="AI619">
            <v>3</v>
          </cell>
          <cell r="AK619">
            <v>45870</v>
          </cell>
          <cell r="AL619" t="str">
            <v>Cao đẳng</v>
          </cell>
          <cell r="AM619" t="str">
            <v>Điều dưỡng CĐ</v>
          </cell>
          <cell r="AO619" t="str">
            <v>CĐ Y tế Lạng Sơn</v>
          </cell>
          <cell r="AP619">
            <v>2012</v>
          </cell>
          <cell r="AQ619" t="str">
            <v>12/12</v>
          </cell>
          <cell r="AY619" t="str">
            <v>Tày</v>
          </cell>
        </row>
        <row r="620">
          <cell r="A620" t="str">
            <v>BV0989</v>
          </cell>
          <cell r="B620">
            <v>614</v>
          </cell>
          <cell r="C620" t="str">
            <v>Dương Thị Ngọc Anh</v>
          </cell>
          <cell r="D620" t="str">
            <v>BV0989</v>
          </cell>
          <cell r="E620" t="str">
            <v>2020450445</v>
          </cell>
          <cell r="G620" t="str">
            <v xml:space="preserve">CMT: 082317819
Ngày cấp: 20/5/2014, nơi cấp: Công an tỉnh Lạng Sơn </v>
          </cell>
          <cell r="I620" t="str">
            <v>16/9/1998</v>
          </cell>
          <cell r="J620">
            <v>27</v>
          </cell>
          <cell r="K620" t="str">
            <v>082317819</v>
          </cell>
          <cell r="L620" t="str">
            <v>20/5/2014</v>
          </cell>
          <cell r="M620" t="str">
            <v>Công an tỉnh Lạng Sơn</v>
          </cell>
          <cell r="O620" t="str">
            <v>Xã Bắc Sơn, huyện Bắc Sơn, tỉnh Lạng Sơn</v>
          </cell>
          <cell r="V620" t="str">
            <v>Xã Bắc Quỳnh, huyện Bắc Sơn, tỉnh lạng Sơn</v>
          </cell>
          <cell r="W620" t="str">
            <v>02/12/2019</v>
          </cell>
          <cell r="AA620">
            <v>0</v>
          </cell>
          <cell r="AB620" t="str">
            <v>TĐ012</v>
          </cell>
          <cell r="AC620" t="str">
            <v>Ngoại Tiêu hóa</v>
          </cell>
          <cell r="AD620" t="str">
            <v>Ngoại Tiêu hóa</v>
          </cell>
          <cell r="AE620" t="str">
            <v>Viên chức</v>
          </cell>
          <cell r="AG620">
            <v>0</v>
          </cell>
          <cell r="AH620" t="str">
            <v>2.72</v>
          </cell>
          <cell r="AI620">
            <v>3</v>
          </cell>
          <cell r="AK620">
            <v>46083</v>
          </cell>
          <cell r="AL620" t="str">
            <v>Cao đẳng</v>
          </cell>
          <cell r="AM620" t="str">
            <v>Điều dưỡng CĐ</v>
          </cell>
          <cell r="AN620" t="str">
            <v>Điều dưỡng cao đẳng</v>
          </cell>
          <cell r="AO620" t="str">
            <v>Cao đẳng Y tế Lạng Sơn</v>
          </cell>
          <cell r="AP620" t="str">
            <v>2016 - 2019</v>
          </cell>
          <cell r="AY620" t="str">
            <v>Tày</v>
          </cell>
        </row>
        <row r="621">
          <cell r="A621" t="str">
            <v>BV0990</v>
          </cell>
          <cell r="B621">
            <v>615</v>
          </cell>
          <cell r="C621" t="str">
            <v>Lục Tuấn Anh</v>
          </cell>
          <cell r="D621" t="str">
            <v>BV0990</v>
          </cell>
          <cell r="E621" t="str">
            <v>2020355484</v>
          </cell>
          <cell r="G621" t="str">
            <v>CCCD: 020096009358
Ngày cấp: 25/6/2021, nơi cấp: Cục cảnh sát quản lý hành chính và trật tự xã hội</v>
          </cell>
          <cell r="H621" t="str">
            <v>03/02/1996</v>
          </cell>
          <cell r="J621">
            <v>30</v>
          </cell>
          <cell r="K621" t="str">
            <v>082347517</v>
          </cell>
          <cell r="L621" t="str">
            <v>25/4/2016</v>
          </cell>
          <cell r="M621" t="str">
            <v>Công an tỉnh Lạng Sơn</v>
          </cell>
          <cell r="O621" t="str">
            <v>Xã Đại An, huyện Văn Quan, tỉnh Lạng Sơn</v>
          </cell>
          <cell r="V621" t="str">
            <v>Đại An, huyện Văn Quan, tỉnh Lạng Sơn</v>
          </cell>
          <cell r="W621" t="str">
            <v>02/12/2019</v>
          </cell>
          <cell r="AA621">
            <v>0</v>
          </cell>
          <cell r="AB621" t="str">
            <v>TĐ012</v>
          </cell>
          <cell r="AC621" t="str">
            <v>Ngoại Tiêu hóa</v>
          </cell>
          <cell r="AD621" t="str">
            <v>Ngoại Tiêu hóa</v>
          </cell>
          <cell r="AE621" t="str">
            <v>HĐ có thời hạn</v>
          </cell>
          <cell r="AG621">
            <v>0</v>
          </cell>
          <cell r="AH621" t="str">
            <v>2.41</v>
          </cell>
          <cell r="AI621">
            <v>2</v>
          </cell>
          <cell r="AK621">
            <v>45171</v>
          </cell>
          <cell r="AL621" t="str">
            <v>Cao đẳng</v>
          </cell>
          <cell r="AM621" t="str">
            <v>Điều dưỡng CĐ</v>
          </cell>
          <cell r="AN621" t="str">
            <v>Điều dưỡng cao đẳng</v>
          </cell>
          <cell r="AY621" t="str">
            <v>Nùng</v>
          </cell>
          <cell r="BC621" t="str">
            <v>01/12/2017</v>
          </cell>
        </row>
        <row r="622">
          <cell r="A622" t="str">
            <v>BV1046</v>
          </cell>
          <cell r="B622">
            <v>616</v>
          </cell>
          <cell r="C622" t="str">
            <v>Hoàng Văn Mơ</v>
          </cell>
          <cell r="D622" t="str">
            <v>BV1046</v>
          </cell>
          <cell r="E622" t="str">
            <v>1915825628</v>
          </cell>
          <cell r="G622" t="str">
            <v>CCCD: 020093011448
Ngày cấp: 09/5/2021, nơi cấp: Cục cảnh sát quản lý hành chính và trật tự xã hội</v>
          </cell>
          <cell r="H622" t="str">
            <v>29/3/1993</v>
          </cell>
          <cell r="J622">
            <v>33</v>
          </cell>
          <cell r="K622" t="str">
            <v>082207278</v>
          </cell>
          <cell r="L622" t="str">
            <v>16/6/2009</v>
          </cell>
          <cell r="M622" t="str">
            <v>0366121888</v>
          </cell>
          <cell r="V622" t="str">
            <v>Xã Mai Pha, Thành phố Lạng Sơn, Tỉnh Lạng Sơn</v>
          </cell>
          <cell r="W622" t="str">
            <v>13/7/2020</v>
          </cell>
          <cell r="AA622">
            <v>0</v>
          </cell>
          <cell r="AB622" t="str">
            <v>TĐ012</v>
          </cell>
          <cell r="AC622" t="str">
            <v>Ngoại Tiêu hóa</v>
          </cell>
          <cell r="AD622" t="str">
            <v>Ngoại Tiêu hóa</v>
          </cell>
          <cell r="AE622" t="str">
            <v>Viên chức</v>
          </cell>
          <cell r="AG622">
            <v>0</v>
          </cell>
          <cell r="AH622" t="str">
            <v>2.41</v>
          </cell>
          <cell r="AI622">
            <v>2</v>
          </cell>
          <cell r="AK622">
            <v>45395</v>
          </cell>
          <cell r="AL622" t="str">
            <v>Cao đẳng</v>
          </cell>
          <cell r="AM622" t="str">
            <v>Điều dưỡng CĐ</v>
          </cell>
          <cell r="AY622" t="str">
            <v>Tày</v>
          </cell>
        </row>
        <row r="623">
          <cell r="A623" t="str">
            <v>BV1047</v>
          </cell>
          <cell r="B623">
            <v>617</v>
          </cell>
          <cell r="C623" t="str">
            <v>Hà Thị Thu Phương</v>
          </cell>
          <cell r="D623" t="str">
            <v>BV1047</v>
          </cell>
          <cell r="E623" t="str">
            <v>2020376288</v>
          </cell>
          <cell r="G623" t="str">
            <v>CCCD: 020198000573
Ngày cấp:14/4/2021, nơi cấp: Cục cảnh sát quản lý hành chính và trật tự xã hội</v>
          </cell>
          <cell r="I623" t="str">
            <v>11/01/1998</v>
          </cell>
          <cell r="J623">
            <v>28</v>
          </cell>
          <cell r="K623" t="str">
            <v>082335137</v>
          </cell>
          <cell r="L623" t="str">
            <v>21/5/2015</v>
          </cell>
          <cell r="M623" t="str">
            <v>0376321916</v>
          </cell>
          <cell r="V623" t="str">
            <v>Xã Yên Phúc, huyện Văn Quan, tỉnh Lạng Sơn</v>
          </cell>
          <cell r="W623" t="str">
            <v>13/7/2020</v>
          </cell>
          <cell r="AA623">
            <v>0</v>
          </cell>
          <cell r="AB623" t="str">
            <v>TĐ012</v>
          </cell>
          <cell r="AC623" t="str">
            <v>Ngoại Tiêu hóa</v>
          </cell>
          <cell r="AD623" t="str">
            <v>Ngoại Tiêu hóa</v>
          </cell>
          <cell r="AE623" t="str">
            <v>Viên chức</v>
          </cell>
          <cell r="AG623">
            <v>0</v>
          </cell>
          <cell r="AH623" t="str">
            <v>2.41</v>
          </cell>
          <cell r="AI623">
            <v>2</v>
          </cell>
          <cell r="AK623">
            <v>45395</v>
          </cell>
          <cell r="AL623" t="str">
            <v>Cao đẳng</v>
          </cell>
          <cell r="AM623" t="str">
            <v>Điều dưỡng CĐ</v>
          </cell>
          <cell r="AY623" t="str">
            <v>Tày</v>
          </cell>
          <cell r="BC623" t="str">
            <v>29/12/2017</v>
          </cell>
        </row>
        <row r="624">
          <cell r="A624" t="str">
            <v>BV1092</v>
          </cell>
          <cell r="B624">
            <v>618</v>
          </cell>
          <cell r="C624" t="str">
            <v>Nông Thị Diệu Linh</v>
          </cell>
          <cell r="D624" t="str">
            <v>BV1092</v>
          </cell>
          <cell r="E624" t="str">
            <v>2020674226</v>
          </cell>
          <cell r="G624" t="str">
            <v>CCCD: 020198001117
Ngày cấp: 29/4/2021, nơi cấp: Cục cảnh sát quản lý hành chính và trật tự xã hội</v>
          </cell>
          <cell r="I624" t="str">
            <v>03/02/1998</v>
          </cell>
          <cell r="J624">
            <v>28</v>
          </cell>
          <cell r="K624" t="str">
            <v>082332314</v>
          </cell>
          <cell r="L624" t="str">
            <v>26/11/2014</v>
          </cell>
          <cell r="V624" t="str">
            <v>Xã Hữu Khánh, huyện Lộc Bình, tỉnh Lạng Sơn</v>
          </cell>
          <cell r="W624" t="str">
            <v>03/11/2020</v>
          </cell>
          <cell r="AA624">
            <v>0</v>
          </cell>
          <cell r="AB624" t="str">
            <v>TĐ012</v>
          </cell>
          <cell r="AC624" t="str">
            <v>Ngoại Tiêu hóa</v>
          </cell>
          <cell r="AD624" t="str">
            <v>Ngoại Tiêu hóa</v>
          </cell>
          <cell r="AE624" t="str">
            <v>Viên chức</v>
          </cell>
          <cell r="AG624">
            <v>0</v>
          </cell>
          <cell r="AH624" t="str">
            <v>2.41</v>
          </cell>
          <cell r="AI624">
            <v>2</v>
          </cell>
          <cell r="AK624">
            <v>45507</v>
          </cell>
          <cell r="AL624" t="str">
            <v>Cao đẳng</v>
          </cell>
          <cell r="AM624" t="str">
            <v>Điều dưỡng CĐ</v>
          </cell>
          <cell r="AO624" t="str">
            <v>CĐ Y tế LS</v>
          </cell>
          <cell r="AP624">
            <v>2019</v>
          </cell>
          <cell r="AY624" t="str">
            <v>Tày</v>
          </cell>
        </row>
        <row r="625">
          <cell r="A625" t="str">
            <v>BV0733</v>
          </cell>
          <cell r="B625">
            <v>619</v>
          </cell>
          <cell r="C625" t="str">
            <v>Nguyễn Văn Thiệu</v>
          </cell>
          <cell r="D625" t="str">
            <v>BV0733</v>
          </cell>
          <cell r="E625">
            <v>2020743056</v>
          </cell>
          <cell r="F625">
            <v>2099855583</v>
          </cell>
          <cell r="G625" t="str">
            <v>020093010735, ngày cấp 09/05/2021, cục cảnh sát QLHCVTTXH</v>
          </cell>
          <cell r="H625" t="str">
            <v>21/7/1993</v>
          </cell>
          <cell r="J625">
            <v>32</v>
          </cell>
          <cell r="K625" t="str">
            <v>082183013</v>
          </cell>
          <cell r="L625" t="str">
            <v>23/9/2008</v>
          </cell>
          <cell r="M625" t="str">
            <v>CA tỉnh Lạng Sơn</v>
          </cell>
          <cell r="O625" t="str">
            <v>Châu Sơn</v>
          </cell>
          <cell r="P625" t="str">
            <v>Đình Lập</v>
          </cell>
          <cell r="Q625" t="str">
            <v>Lạng Sơn</v>
          </cell>
          <cell r="S625" t="str">
            <v>Châu Sơn</v>
          </cell>
          <cell r="T625" t="str">
            <v>Đình Lập</v>
          </cell>
          <cell r="U625" t="str">
            <v>Lạng Sơn</v>
          </cell>
          <cell r="V625" t="str">
            <v>Châu Sơn, Đình Lập, Lạng Sơn</v>
          </cell>
          <cell r="W625" t="str">
            <v xml:space="preserve"> 29/8/2016</v>
          </cell>
          <cell r="AA625">
            <v>0</v>
          </cell>
          <cell r="AB625" t="str">
            <v>TĐ012</v>
          </cell>
          <cell r="AC625" t="str">
            <v>Ngoại TK-LN</v>
          </cell>
          <cell r="AD625" t="str">
            <v>Ngoại TK-LN</v>
          </cell>
          <cell r="AE625" t="str">
            <v>Viên chức</v>
          </cell>
          <cell r="AG625">
            <v>0</v>
          </cell>
          <cell r="AH625" t="str">
            <v>2.72</v>
          </cell>
          <cell r="AI625">
            <v>3</v>
          </cell>
          <cell r="AK625">
            <v>45075</v>
          </cell>
          <cell r="AL625" t="str">
            <v>Cao đẳng</v>
          </cell>
          <cell r="AM625" t="str">
            <v>Điều dưỡng CĐ</v>
          </cell>
          <cell r="AO625" t="str">
            <v>CĐ Y tế Lạng Sơn</v>
          </cell>
          <cell r="AP625">
            <v>2014</v>
          </cell>
          <cell r="AQ625" t="str">
            <v>12/12</v>
          </cell>
          <cell r="AT625" t="str">
            <v>Sơ cấp</v>
          </cell>
          <cell r="AU625" t="str">
            <v>Anh B</v>
          </cell>
          <cell r="AW625" t="str">
            <v>B</v>
          </cell>
          <cell r="AY625" t="str">
            <v>Tày</v>
          </cell>
          <cell r="BA625" t="e">
            <v>#REF!</v>
          </cell>
          <cell r="BB625" t="e">
            <v>#REF!</v>
          </cell>
        </row>
        <row r="626">
          <cell r="A626" t="str">
            <v>BV0972</v>
          </cell>
          <cell r="B626">
            <v>620</v>
          </cell>
          <cell r="C626" t="str">
            <v>Long Thị Thọ</v>
          </cell>
          <cell r="D626" t="str">
            <v>BV0972</v>
          </cell>
          <cell r="E626" t="str">
            <v>2020189076</v>
          </cell>
          <cell r="G626" t="str">
            <v>020196001323, ngày cấp 29/4/2021, cục cảnh sát QLHCVTTXH</v>
          </cell>
          <cell r="I626" t="str">
            <v>27/9/1996</v>
          </cell>
          <cell r="J626">
            <v>29</v>
          </cell>
          <cell r="K626" t="str">
            <v>082285561</v>
          </cell>
          <cell r="L626" t="str">
            <v>08/10/2012</v>
          </cell>
          <cell r="M626" t="str">
            <v>Công an tỉnh Lạng Sơn</v>
          </cell>
          <cell r="O626" t="str">
            <v>Xã Bình Gia, huyện Bình Gia, tỉnh Lạng Sơn</v>
          </cell>
          <cell r="V626" t="str">
            <v>Xã Bình La, huyện Bình Gia, tỉnh Lạng Sơn</v>
          </cell>
          <cell r="W626" t="str">
            <v>02/12/2019</v>
          </cell>
          <cell r="AA626">
            <v>0</v>
          </cell>
          <cell r="AB626" t="str">
            <v>TĐ012</v>
          </cell>
          <cell r="AC626" t="str">
            <v>Ngoại TK-LN</v>
          </cell>
          <cell r="AD626" t="str">
            <v>Ngoại TK-LN</v>
          </cell>
          <cell r="AE626" t="str">
            <v>Viên chức</v>
          </cell>
          <cell r="AG626">
            <v>0</v>
          </cell>
          <cell r="AH626" t="str">
            <v>2.41</v>
          </cell>
          <cell r="AI626">
            <v>2</v>
          </cell>
          <cell r="AK626">
            <v>45171</v>
          </cell>
          <cell r="AL626" t="str">
            <v>Cao đẳng</v>
          </cell>
          <cell r="AM626" t="str">
            <v>Điều dưỡng CĐ</v>
          </cell>
          <cell r="AN626" t="str">
            <v>Điều dưỡng cao đẳng</v>
          </cell>
          <cell r="AY626" t="str">
            <v>Nùng</v>
          </cell>
        </row>
        <row r="627">
          <cell r="A627" t="str">
            <v>BV0727</v>
          </cell>
          <cell r="B627">
            <v>621</v>
          </cell>
          <cell r="C627" t="str">
            <v>Lương Thu Hòa</v>
          </cell>
          <cell r="D627" t="str">
            <v>BV0727</v>
          </cell>
          <cell r="E627">
            <v>2020019517</v>
          </cell>
          <cell r="F627">
            <v>2099892390</v>
          </cell>
          <cell r="G627" t="str">
            <v>020192001501,
Ngày cấp 16/4/2021, nơi cấp: Cục cảnh sát quản lý hành chính và trật tự xã hội</v>
          </cell>
          <cell r="I627" t="str">
            <v>26/9/1992</v>
          </cell>
          <cell r="J627">
            <v>33</v>
          </cell>
          <cell r="K627" t="str">
            <v>082221807</v>
          </cell>
          <cell r="L627" t="str">
            <v>16/12/2009</v>
          </cell>
          <cell r="M627" t="str">
            <v>CA tỉnh Lạng Sơn</v>
          </cell>
          <cell r="O627" t="str">
            <v>Yên Trạch</v>
          </cell>
          <cell r="P627" t="str">
            <v>Cao lộc</v>
          </cell>
          <cell r="Q627" t="str">
            <v>Lạng Sơn</v>
          </cell>
          <cell r="S627" t="str">
            <v>Yen Trạch</v>
          </cell>
          <cell r="T627" t="str">
            <v>Cao Lộc</v>
          </cell>
          <cell r="U627" t="str">
            <v>Lạng Sơn</v>
          </cell>
          <cell r="V627" t="str">
            <v>Yen Trạch, Cao Lộc, Lạng Sơn</v>
          </cell>
          <cell r="W627" t="str">
            <v xml:space="preserve"> 29/8/2016</v>
          </cell>
          <cell r="AA627">
            <v>0</v>
          </cell>
          <cell r="AB627" t="str">
            <v>TĐ012</v>
          </cell>
          <cell r="AC627" t="str">
            <v>Nhi</v>
          </cell>
          <cell r="AD627" t="str">
            <v>Nhi</v>
          </cell>
          <cell r="AE627" t="str">
            <v>Viên chức</v>
          </cell>
          <cell r="AG627">
            <v>0</v>
          </cell>
          <cell r="AH627" t="str">
            <v>2.72</v>
          </cell>
          <cell r="AI627">
            <v>3</v>
          </cell>
          <cell r="AK627">
            <v>45075</v>
          </cell>
          <cell r="AL627" t="str">
            <v>Cao đẳng</v>
          </cell>
          <cell r="AM627" t="str">
            <v>Điều dưỡng CĐ</v>
          </cell>
          <cell r="AO627" t="str">
            <v>CĐ Y tế Lạng Sơn</v>
          </cell>
          <cell r="AP627">
            <v>2013</v>
          </cell>
          <cell r="AQ627" t="str">
            <v>12/12</v>
          </cell>
          <cell r="AU627" t="str">
            <v>Anh B</v>
          </cell>
          <cell r="AW627" t="str">
            <v>B</v>
          </cell>
          <cell r="AY627" t="str">
            <v>Tày</v>
          </cell>
          <cell r="BA627" t="e">
            <v>#REF!</v>
          </cell>
          <cell r="BB627" t="e">
            <v>#REF!</v>
          </cell>
        </row>
        <row r="628">
          <cell r="A628" t="str">
            <v>BV0728</v>
          </cell>
          <cell r="B628">
            <v>622</v>
          </cell>
          <cell r="C628" t="str">
            <v>Nguyễn Thị Nhang</v>
          </cell>
          <cell r="D628" t="str">
            <v>BV0728</v>
          </cell>
          <cell r="E628">
            <v>2020078872</v>
          </cell>
          <cell r="F628">
            <v>2099813023</v>
          </cell>
          <cell r="G628" t="str">
            <v>020190003115,
Ngày cấp 29/4/2021, nơi cấp: Cục cảnh sát quản lý hành chính và trật tự xã hội</v>
          </cell>
          <cell r="I628" t="str">
            <v>07/11/1990</v>
          </cell>
          <cell r="J628">
            <v>35</v>
          </cell>
          <cell r="K628" t="str">
            <v>082217839</v>
          </cell>
          <cell r="L628" t="str">
            <v>17/7/2013</v>
          </cell>
          <cell r="M628" t="str">
            <v>CA tỉnh Lạng Sơn</v>
          </cell>
          <cell r="O628" t="str">
            <v>Vũ Lăng</v>
          </cell>
          <cell r="P628" t="str">
            <v>Bắc Sơn</v>
          </cell>
          <cell r="Q628" t="str">
            <v>Lạng Sơn</v>
          </cell>
          <cell r="S628" t="str">
            <v>Vũ Lăng</v>
          </cell>
          <cell r="T628" t="str">
            <v>Bắc Sơn</v>
          </cell>
          <cell r="U628" t="str">
            <v>Lạng Sơn</v>
          </cell>
          <cell r="V628" t="str">
            <v>Vũ Lăng, Bắc Sơn, Lạng Sơn</v>
          </cell>
          <cell r="W628" t="str">
            <v xml:space="preserve"> 29/8/2016</v>
          </cell>
          <cell r="AA628">
            <v>0</v>
          </cell>
          <cell r="AB628" t="str">
            <v>TĐ012</v>
          </cell>
          <cell r="AC628" t="str">
            <v>Nhi</v>
          </cell>
          <cell r="AD628" t="str">
            <v>Nhi</v>
          </cell>
          <cell r="AE628" t="str">
            <v>Viên chức</v>
          </cell>
          <cell r="AG628">
            <v>0</v>
          </cell>
          <cell r="AH628" t="str">
            <v>3.00</v>
          </cell>
          <cell r="AI628">
            <v>3</v>
          </cell>
          <cell r="AK628">
            <v>45075</v>
          </cell>
          <cell r="AL628" t="str">
            <v>Cao đẳng</v>
          </cell>
          <cell r="AM628" t="str">
            <v>Điều dưỡng CĐ</v>
          </cell>
          <cell r="AO628" t="str">
            <v>CĐ Y tế Lạng Sơn</v>
          </cell>
          <cell r="AP628">
            <v>2017</v>
          </cell>
          <cell r="AQ628" t="str">
            <v>12/12</v>
          </cell>
          <cell r="AU628" t="str">
            <v>Anh B</v>
          </cell>
          <cell r="AW628" t="str">
            <v>B</v>
          </cell>
          <cell r="AY628" t="str">
            <v>Tày</v>
          </cell>
          <cell r="BA628" t="e">
            <v>#REF!</v>
          </cell>
          <cell r="BB628" t="e">
            <v>#REF!</v>
          </cell>
        </row>
        <row r="629">
          <cell r="A629" t="str">
            <v>BV0735</v>
          </cell>
          <cell r="B629">
            <v>623</v>
          </cell>
          <cell r="C629" t="str">
            <v>Triệu Thị Bích Nhung</v>
          </cell>
          <cell r="D629" t="str">
            <v>BV0735</v>
          </cell>
          <cell r="E629">
            <v>2012000292</v>
          </cell>
          <cell r="G629" t="str">
            <v>020191002245,
Ngày cấp 20/4/2021, nơi cấp: Cục cảnh sát quản lý hành chính và trật tự xã hội</v>
          </cell>
          <cell r="I629">
            <v>33531</v>
          </cell>
          <cell r="J629">
            <v>34</v>
          </cell>
          <cell r="K629" t="str">
            <v>082153082</v>
          </cell>
          <cell r="L629" t="str">
            <v>19/11/2007</v>
          </cell>
          <cell r="M629" t="str">
            <v>CA tỉnh Lạng Sơn</v>
          </cell>
          <cell r="O629" t="str">
            <v>Tràng Phái</v>
          </cell>
          <cell r="P629" t="str">
            <v>Văn Quan</v>
          </cell>
          <cell r="Q629" t="str">
            <v>Lạng Sơn</v>
          </cell>
          <cell r="S629" t="str">
            <v>Tam Thanh</v>
          </cell>
          <cell r="T629" t="str">
            <v>TP Lạng Sơn</v>
          </cell>
          <cell r="U629" t="str">
            <v>Lạng Sơn</v>
          </cell>
          <cell r="V629" t="str">
            <v>Tam Thanh, thành phố Lạng Sơn, Lạng Sơn</v>
          </cell>
          <cell r="W629">
            <v>41008</v>
          </cell>
          <cell r="AA629">
            <v>0</v>
          </cell>
          <cell r="AB629" t="str">
            <v>TĐ012</v>
          </cell>
          <cell r="AC629" t="str">
            <v>Nhi</v>
          </cell>
          <cell r="AD629" t="str">
            <v>Nhi</v>
          </cell>
          <cell r="AE629" t="str">
            <v>Viên chức</v>
          </cell>
          <cell r="AG629">
            <v>0</v>
          </cell>
          <cell r="AH629" t="str">
            <v>3.33</v>
          </cell>
          <cell r="AI629">
            <v>4</v>
          </cell>
          <cell r="AK629">
            <v>45208</v>
          </cell>
          <cell r="AL629" t="str">
            <v>Cao đẳng</v>
          </cell>
          <cell r="AM629" t="str">
            <v>Điều dưỡng CĐ</v>
          </cell>
          <cell r="AO629" t="str">
            <v>CĐ Y tế Lạng Sơn</v>
          </cell>
          <cell r="AP629">
            <v>2018</v>
          </cell>
          <cell r="AQ629" t="str">
            <v>12/12</v>
          </cell>
          <cell r="AU629" t="str">
            <v>Anh B</v>
          </cell>
          <cell r="AW629" t="str">
            <v>B</v>
          </cell>
          <cell r="AY629" t="str">
            <v>Nùng</v>
          </cell>
          <cell r="BA629" t="e">
            <v>#REF!</v>
          </cell>
          <cell r="BB629" t="e">
            <v>#REF!</v>
          </cell>
        </row>
        <row r="630">
          <cell r="A630" t="str">
            <v>BV0793</v>
          </cell>
          <cell r="B630">
            <v>624</v>
          </cell>
          <cell r="C630" t="str">
            <v>Lăng Thị Duyên</v>
          </cell>
          <cell r="D630" t="str">
            <v>BV0793</v>
          </cell>
          <cell r="E630">
            <v>2014001111</v>
          </cell>
          <cell r="F630">
            <v>2099891980</v>
          </cell>
          <cell r="G630" t="str">
            <v>082054986,
Ngày cấp 05/9/2005,CA tỉnh Lạng Sơn</v>
          </cell>
          <cell r="I630">
            <v>33442</v>
          </cell>
          <cell r="J630">
            <v>34</v>
          </cell>
          <cell r="K630" t="str">
            <v>082054986</v>
          </cell>
          <cell r="L630" t="str">
            <v>09/05/2005</v>
          </cell>
          <cell r="M630" t="str">
            <v>CA tỉnh Lạng Sơn</v>
          </cell>
          <cell r="O630" t="str">
            <v>Hồng Thái</v>
          </cell>
          <cell r="P630" t="str">
            <v>Văn Lãng</v>
          </cell>
          <cell r="Q630" t="str">
            <v>Lạng Sơn</v>
          </cell>
          <cell r="S630" t="str">
            <v>Hồng Thái</v>
          </cell>
          <cell r="T630" t="str">
            <v>Văn Lãng</v>
          </cell>
          <cell r="U630" t="str">
            <v>Lạng Sơn</v>
          </cell>
          <cell r="V630" t="str">
            <v>Hồng Thái, Văn Lãng, Lạng Sơn</v>
          </cell>
          <cell r="W630" t="str">
            <v xml:space="preserve"> 02/10/2017</v>
          </cell>
          <cell r="AA630">
            <v>0</v>
          </cell>
          <cell r="AB630" t="str">
            <v>TĐ012</v>
          </cell>
          <cell r="AC630" t="str">
            <v>Nhi</v>
          </cell>
          <cell r="AD630" t="str">
            <v>Nhi</v>
          </cell>
          <cell r="AE630" t="str">
            <v>Viên chức</v>
          </cell>
          <cell r="AG630">
            <v>0</v>
          </cell>
          <cell r="AH630" t="str">
            <v>2.72</v>
          </cell>
          <cell r="AI630">
            <v>3</v>
          </cell>
          <cell r="AK630">
            <v>45475</v>
          </cell>
          <cell r="AL630" t="str">
            <v>Cao đẳng</v>
          </cell>
          <cell r="AM630" t="str">
            <v>Điều dưỡng CĐ</v>
          </cell>
          <cell r="AO630" t="str">
            <v>CĐ Y tế Lạng Sơn</v>
          </cell>
          <cell r="AP630">
            <v>2012</v>
          </cell>
          <cell r="AQ630" t="str">
            <v>12/12</v>
          </cell>
          <cell r="AU630" t="str">
            <v>Anh B</v>
          </cell>
          <cell r="AW630" t="str">
            <v>B</v>
          </cell>
          <cell r="AY630" t="str">
            <v>Nùng</v>
          </cell>
          <cell r="BA630" t="e">
            <v>#REF!</v>
          </cell>
          <cell r="BB630" t="e">
            <v>#REF!</v>
          </cell>
        </row>
        <row r="631">
          <cell r="A631" t="str">
            <v>BV0877</v>
          </cell>
          <cell r="B631">
            <v>625</v>
          </cell>
          <cell r="C631" t="str">
            <v>Hoàng Thị Hiếu</v>
          </cell>
          <cell r="D631" t="str">
            <v>BV0877</v>
          </cell>
          <cell r="E631" t="str">
            <v>2415039147</v>
          </cell>
          <cell r="G631" t="str">
            <v>020191002552,
Ngày cấp 29/4/2021, nơi cấp: Cục cảnh sát quản lý hành chính và trật tự xã hội</v>
          </cell>
          <cell r="I631">
            <v>33581</v>
          </cell>
          <cell r="J631">
            <v>34</v>
          </cell>
          <cell r="K631" t="str">
            <v>082100622</v>
          </cell>
          <cell r="L631" t="str">
            <v>20/12/2006</v>
          </cell>
          <cell r="M631" t="str">
            <v>CA tỉnh Lạng Sơn</v>
          </cell>
          <cell r="O631" t="str">
            <v>Bình La</v>
          </cell>
          <cell r="P631" t="str">
            <v>Bình Gia</v>
          </cell>
          <cell r="Q631" t="str">
            <v>Lạng Sơn</v>
          </cell>
          <cell r="V631" t="str">
            <v>Thôn Bản Pòa, xã Bình La, huyện Bình Gia, tỉnh Lạng Sơn</v>
          </cell>
          <cell r="W631" t="str">
            <v>01/11/2018</v>
          </cell>
          <cell r="X631" t="str">
            <v>01/11/2018</v>
          </cell>
          <cell r="AA631">
            <v>0</v>
          </cell>
          <cell r="AB631" t="str">
            <v>TĐ012</v>
          </cell>
          <cell r="AC631" t="str">
            <v>Nhi</v>
          </cell>
          <cell r="AD631" t="str">
            <v>Nhi</v>
          </cell>
          <cell r="AE631" t="str">
            <v>Viên chức</v>
          </cell>
          <cell r="AG631">
            <v>0</v>
          </cell>
          <cell r="AH631" t="str">
            <v>2.72</v>
          </cell>
          <cell r="AI631">
            <v>3</v>
          </cell>
          <cell r="AK631">
            <v>45870</v>
          </cell>
          <cell r="AL631" t="str">
            <v>Cao đẳng</v>
          </cell>
          <cell r="AM631" t="str">
            <v>Điều dưỡng CĐ</v>
          </cell>
          <cell r="AO631" t="str">
            <v>CĐ Y tế Lạng Sơn</v>
          </cell>
          <cell r="AP631">
            <v>2012</v>
          </cell>
          <cell r="AQ631" t="str">
            <v>12/12</v>
          </cell>
          <cell r="AY631" t="str">
            <v>Tày</v>
          </cell>
        </row>
        <row r="632">
          <cell r="A632" t="str">
            <v>BV0914</v>
          </cell>
          <cell r="B632">
            <v>626</v>
          </cell>
          <cell r="C632" t="str">
            <v>Hoàng Đức Dương</v>
          </cell>
          <cell r="D632" t="str">
            <v>BV0914</v>
          </cell>
          <cell r="E632" t="str">
            <v>2020804593</v>
          </cell>
          <cell r="G632" t="str">
            <v>020097004510,
Ngày cấp 24/6/2021, nơi cấp: Cục cảnh sát quản lý hành chính và trật tự xã hội</v>
          </cell>
          <cell r="H632" t="str">
            <v>16/08/1997</v>
          </cell>
          <cell r="J632">
            <v>28</v>
          </cell>
          <cell r="K632" t="str">
            <v>082293183</v>
          </cell>
          <cell r="L632" t="str">
            <v>20/10/2012</v>
          </cell>
          <cell r="M632" t="str">
            <v>CA tỉnh Lạng Sơn</v>
          </cell>
          <cell r="O632" t="str">
            <v>Xã Hòa Cư, huyện Cao Lộc, tỉnh Lạng Sơn</v>
          </cell>
          <cell r="S632" t="str">
            <v>Xã Hòa Cư, huyện Cao Lộc, tỉnh Lạng Sơn</v>
          </cell>
          <cell r="V632" t="str">
            <v>Xã Hòa Cư, huyện Cao Lộc, tỉnh Lạng Sơn</v>
          </cell>
          <cell r="W632" t="str">
            <v>17/4/2019</v>
          </cell>
          <cell r="AA632">
            <v>0</v>
          </cell>
          <cell r="AB632" t="str">
            <v>TĐ012</v>
          </cell>
          <cell r="AC632" t="str">
            <v>Nhi</v>
          </cell>
          <cell r="AD632" t="str">
            <v>Nhi</v>
          </cell>
          <cell r="AE632" t="str">
            <v>Viên chức</v>
          </cell>
          <cell r="AG632">
            <v>0</v>
          </cell>
          <cell r="AH632" t="str">
            <v>2.72</v>
          </cell>
          <cell r="AI632">
            <v>3</v>
          </cell>
          <cell r="AK632">
            <v>45674</v>
          </cell>
          <cell r="AL632" t="str">
            <v>Cao đẳng</v>
          </cell>
          <cell r="AM632" t="str">
            <v>Điều dưỡng CĐ</v>
          </cell>
          <cell r="AO632" t="str">
            <v>CĐ y tế Lạng Sơn</v>
          </cell>
          <cell r="AQ632" t="str">
            <v>12/12</v>
          </cell>
          <cell r="AY632" t="str">
            <v>Tày</v>
          </cell>
        </row>
        <row r="633">
          <cell r="A633" t="str">
            <v>BV0992</v>
          </cell>
          <cell r="B633">
            <v>627</v>
          </cell>
          <cell r="C633" t="str">
            <v>Ma Văn Lý</v>
          </cell>
          <cell r="D633" t="str">
            <v>BV0992</v>
          </cell>
          <cell r="E633" t="str">
            <v>2020150768</v>
          </cell>
          <cell r="G633" t="str">
            <v>020098003549,
Ngày cấp 22/9/2021, nơi cấp: Cục cảnh sát quản lý hành chính và trật tự xã hội</v>
          </cell>
          <cell r="H633" t="str">
            <v>17/01/1998</v>
          </cell>
          <cell r="J633">
            <v>28</v>
          </cell>
          <cell r="K633" t="str">
            <v>082300935</v>
          </cell>
          <cell r="L633" t="str">
            <v>08/04/2014</v>
          </cell>
          <cell r="M633" t="str">
            <v>Công an tỉnh Lạng Sơn</v>
          </cell>
          <cell r="O633" t="str">
            <v>Xã Thiện Long, huyện Bình Gai, tỉnh Lạng Sơn</v>
          </cell>
          <cell r="V633" t="str">
            <v>Thiện Long, huyện Bình Gia, tỉnh Lạng Sơn</v>
          </cell>
          <cell r="W633" t="str">
            <v>02/12/2019</v>
          </cell>
          <cell r="AA633">
            <v>0</v>
          </cell>
          <cell r="AB633" t="str">
            <v>TĐ012</v>
          </cell>
          <cell r="AC633" t="str">
            <v>Nhi</v>
          </cell>
          <cell r="AD633" t="str">
            <v>Nhi</v>
          </cell>
          <cell r="AE633" t="str">
            <v>Viên chức</v>
          </cell>
          <cell r="AG633">
            <v>0</v>
          </cell>
          <cell r="AH633" t="str">
            <v>2.41</v>
          </cell>
          <cell r="AI633">
            <v>2</v>
          </cell>
          <cell r="AK633">
            <v>45171</v>
          </cell>
          <cell r="AL633" t="str">
            <v>Cao đẳng</v>
          </cell>
          <cell r="AM633" t="str">
            <v>Điều dưỡng CĐ</v>
          </cell>
          <cell r="AN633" t="str">
            <v>Điều dưỡng cao đẳng</v>
          </cell>
          <cell r="AO633" t="str">
            <v>Cao đẳng Y tế Lạng Sơn</v>
          </cell>
          <cell r="AP633" t="str">
            <v>2016 - 2019</v>
          </cell>
          <cell r="AY633" t="str">
            <v>Nùng</v>
          </cell>
        </row>
        <row r="634">
          <cell r="A634" t="str">
            <v>BV1049</v>
          </cell>
          <cell r="B634">
            <v>628</v>
          </cell>
          <cell r="C634" t="str">
            <v>Lý Hồng Trang</v>
          </cell>
          <cell r="D634" t="str">
            <v>BV1049</v>
          </cell>
          <cell r="E634" t="str">
            <v>2012003221</v>
          </cell>
          <cell r="G634" t="str">
            <v>082179775,
Ngày cấp 21/10/2008, nơi cấp: Công an tỉnh Lạng Sơn</v>
          </cell>
          <cell r="I634" t="str">
            <v>25/02/1991</v>
          </cell>
          <cell r="J634">
            <v>35</v>
          </cell>
          <cell r="K634" t="str">
            <v>082179775</v>
          </cell>
          <cell r="L634" t="str">
            <v>21/10/2008</v>
          </cell>
          <cell r="M634" t="str">
            <v>0844478989</v>
          </cell>
          <cell r="V634" t="str">
            <v>Phường Đông Kinh, thành phố Lạng Sơn, tỉnh Lạng Sơn</v>
          </cell>
          <cell r="W634" t="str">
            <v>13/7/2020</v>
          </cell>
          <cell r="AA634">
            <v>0</v>
          </cell>
          <cell r="AB634" t="str">
            <v>TĐ012</v>
          </cell>
          <cell r="AC634" t="str">
            <v>Nhi</v>
          </cell>
          <cell r="AD634" t="str">
            <v>Nhi</v>
          </cell>
          <cell r="AE634" t="str">
            <v>Viên chức</v>
          </cell>
          <cell r="AG634">
            <v>0</v>
          </cell>
          <cell r="AH634" t="str">
            <v>2.41</v>
          </cell>
          <cell r="AI634">
            <v>2</v>
          </cell>
          <cell r="AK634">
            <v>45395</v>
          </cell>
          <cell r="AL634" t="str">
            <v>Cao đẳng</v>
          </cell>
          <cell r="AM634" t="str">
            <v>Điều dưỡng CĐ</v>
          </cell>
          <cell r="AY634" t="str">
            <v>Nùng</v>
          </cell>
        </row>
        <row r="635">
          <cell r="A635" t="str">
            <v>BV1095</v>
          </cell>
          <cell r="B635">
            <v>629</v>
          </cell>
          <cell r="C635" t="str">
            <v>Nông Thị Thanh Xuân</v>
          </cell>
          <cell r="D635" t="str">
            <v>BV1095</v>
          </cell>
          <cell r="E635" t="str">
            <v>2020036773</v>
          </cell>
          <cell r="G635" t="str">
            <v>020199000315, ngày cấp: 08/04/2021, nơi cấp: Cục cảnh sát quản lý hành chính và trật tự xã hội</v>
          </cell>
          <cell r="I635">
            <v>36220</v>
          </cell>
          <cell r="J635">
            <v>27</v>
          </cell>
          <cell r="K635" t="str">
            <v>082323414</v>
          </cell>
          <cell r="L635">
            <v>41864</v>
          </cell>
          <cell r="V635" t="str">
            <v>Số 31 khối Văn Miếu, phường Chi Lăng, thành phố Lạng Sơn, tỉnh Lạng Sơn</v>
          </cell>
          <cell r="W635">
            <v>44151</v>
          </cell>
          <cell r="AA635">
            <v>0</v>
          </cell>
          <cell r="AB635" t="str">
            <v>TĐ012</v>
          </cell>
          <cell r="AC635" t="str">
            <v>Nhi</v>
          </cell>
          <cell r="AD635" t="str">
            <v>Nhi</v>
          </cell>
          <cell r="AE635" t="str">
            <v>Viên chức</v>
          </cell>
          <cell r="AG635">
            <v>0</v>
          </cell>
          <cell r="AH635" t="str">
            <v>2.41</v>
          </cell>
          <cell r="AI635">
            <v>2</v>
          </cell>
          <cell r="AK635">
            <v>45520</v>
          </cell>
          <cell r="AL635" t="str">
            <v>Cao đẳng</v>
          </cell>
          <cell r="AM635" t="str">
            <v>Điều dưỡng CĐ</v>
          </cell>
          <cell r="AY635" t="str">
            <v>Tày</v>
          </cell>
        </row>
        <row r="636">
          <cell r="A636" t="str">
            <v>BV0868</v>
          </cell>
          <cell r="B636">
            <v>630</v>
          </cell>
          <cell r="C636" t="str">
            <v>Nguyễn Thị Trang</v>
          </cell>
          <cell r="D636" t="str">
            <v>BV0868</v>
          </cell>
          <cell r="E636" t="str">
            <v>2020614260</v>
          </cell>
          <cell r="G636" t="str">
            <v>020197001187, ngày cấp 29/4/2021, nơi cấp cục cảnh sát quản lý hành chính về trật tự xã hội</v>
          </cell>
          <cell r="I636">
            <v>35598</v>
          </cell>
          <cell r="J636">
            <v>29</v>
          </cell>
          <cell r="K636" t="str">
            <v>082273720</v>
          </cell>
          <cell r="L636" t="str">
            <v>15/3/2013</v>
          </cell>
          <cell r="M636" t="str">
            <v>CA tỉnh Lạng Sơn</v>
          </cell>
          <cell r="O636" t="str">
            <v>Vân Thủy</v>
          </cell>
          <cell r="P636" t="str">
            <v>Chi Lăng</v>
          </cell>
          <cell r="Q636" t="str">
            <v>Lạng Sơn</v>
          </cell>
          <cell r="V636" t="str">
            <v>Xã Vân Thủy, huyện Chi Lăng, tỉnh Lạng Sơn</v>
          </cell>
          <cell r="W636" t="str">
            <v>01/11/2018</v>
          </cell>
          <cell r="X636" t="str">
            <v>01/11/2018</v>
          </cell>
          <cell r="AA636">
            <v>0</v>
          </cell>
          <cell r="AB636" t="str">
            <v>TĐ012</v>
          </cell>
          <cell r="AC636" t="str">
            <v>Tâm thần - Thần kinh</v>
          </cell>
          <cell r="AD636" t="str">
            <v>Tâm thần - Thần kinh</v>
          </cell>
          <cell r="AE636" t="str">
            <v>Viên chức</v>
          </cell>
          <cell r="AG636">
            <v>0</v>
          </cell>
          <cell r="AH636" t="str">
            <v>2.72</v>
          </cell>
          <cell r="AI636">
            <v>3</v>
          </cell>
          <cell r="AK636">
            <v>45870</v>
          </cell>
          <cell r="AL636" t="str">
            <v>Cao đẳng</v>
          </cell>
          <cell r="AM636" t="str">
            <v>Điều dưỡng CĐ</v>
          </cell>
          <cell r="AO636" t="str">
            <v>CĐ Y tế Lạng Sơn</v>
          </cell>
          <cell r="AP636">
            <v>2018</v>
          </cell>
          <cell r="AQ636" t="str">
            <v>12/12</v>
          </cell>
          <cell r="AY636" t="str">
            <v>Tày</v>
          </cell>
          <cell r="BA636" t="e">
            <v>#REF!</v>
          </cell>
          <cell r="BB636" t="e">
            <v>#REF!</v>
          </cell>
        </row>
        <row r="637">
          <cell r="A637" t="str">
            <v>BV0901</v>
          </cell>
          <cell r="B637">
            <v>631</v>
          </cell>
          <cell r="C637" t="str">
            <v>Hoàng Thị Khuyên</v>
          </cell>
          <cell r="D637" t="str">
            <v>BV0901</v>
          </cell>
          <cell r="E637" t="str">
            <v>2020001984</v>
          </cell>
          <cell r="G637" t="str">
            <v>020196003543,  ngày cấp 29/4/2021,  nơi cấpcục cảnh sát quản lý hành chính về trật tự xã hội</v>
          </cell>
          <cell r="I637" t="str">
            <v>20/11/1996</v>
          </cell>
          <cell r="J637">
            <v>29</v>
          </cell>
          <cell r="K637" t="str">
            <v>082265080</v>
          </cell>
          <cell r="L637" t="str">
            <v>21/6/2011</v>
          </cell>
          <cell r="M637" t="str">
            <v>CA tỉnh Lạng Sơn</v>
          </cell>
          <cell r="O637" t="str">
            <v>Xã Hoàng Đồng, TP Lạng Sơn, tỉnh Lạng Sơn</v>
          </cell>
          <cell r="S637" t="str">
            <v>Xã Hoàng Đồng, TP Lạng Sơn, tỉnh Lạng Sơn</v>
          </cell>
          <cell r="V637" t="str">
            <v>Xã Hoàng Đồng, thành phố Lạng Sơn, tỉnh Lạng Sơn</v>
          </cell>
          <cell r="W637" t="str">
            <v>17/4/2019</v>
          </cell>
          <cell r="AA637">
            <v>0</v>
          </cell>
          <cell r="AB637" t="str">
            <v>TĐ012</v>
          </cell>
          <cell r="AC637" t="str">
            <v>Tâm thần - Thần kinh</v>
          </cell>
          <cell r="AD637" t="str">
            <v>Tâm thần - Thần kinh</v>
          </cell>
          <cell r="AE637" t="str">
            <v>Viên chức</v>
          </cell>
          <cell r="AG637">
            <v>0</v>
          </cell>
          <cell r="AH637" t="str">
            <v>2.72</v>
          </cell>
          <cell r="AI637">
            <v>3</v>
          </cell>
          <cell r="AK637">
            <v>45855</v>
          </cell>
          <cell r="AL637" t="str">
            <v>Cao đẳng</v>
          </cell>
          <cell r="AM637" t="str">
            <v>Điều dưỡng CĐ</v>
          </cell>
          <cell r="AO637" t="str">
            <v>CĐ y tế Lạng Sơn</v>
          </cell>
          <cell r="AQ637" t="str">
            <v>12/12</v>
          </cell>
          <cell r="AY637" t="str">
            <v>Tày</v>
          </cell>
        </row>
        <row r="638">
          <cell r="A638" t="str">
            <v>BV0975</v>
          </cell>
          <cell r="B638">
            <v>632</v>
          </cell>
          <cell r="C638" t="str">
            <v>Vi Thị Hoa</v>
          </cell>
          <cell r="D638" t="str">
            <v>BV0975</v>
          </cell>
          <cell r="E638" t="str">
            <v>2020271009</v>
          </cell>
          <cell r="G638" t="str">
            <v>020197005891,  ngày cấp 25/6/2021,  nơi cấp cục cảnh sát quản lý hành chính về trật tự xã hội</v>
          </cell>
          <cell r="I638" t="str">
            <v>14/10/1997</v>
          </cell>
          <cell r="J638">
            <v>28</v>
          </cell>
          <cell r="K638" t="str">
            <v>082312823</v>
          </cell>
          <cell r="L638" t="str">
            <v>25/06/2014</v>
          </cell>
          <cell r="M638" t="str">
            <v>Công an tỉnh Lạng Sơn</v>
          </cell>
          <cell r="O638" t="str">
            <v>Xã Song Giáp, huyện Cao Lộc, tỉnh Lạng Sơn</v>
          </cell>
          <cell r="V638" t="str">
            <v>Xã Bình Trung, huyện Cao Lộc, tỉnh Lạng Sơn</v>
          </cell>
          <cell r="W638" t="str">
            <v>02/12/2019</v>
          </cell>
          <cell r="AA638">
            <v>0</v>
          </cell>
          <cell r="AB638" t="str">
            <v>TĐ012</v>
          </cell>
          <cell r="AC638" t="str">
            <v>Tâm thần - Thần kinh</v>
          </cell>
          <cell r="AD638" t="str">
            <v>Tâm thần - Thần kinh</v>
          </cell>
          <cell r="AE638" t="str">
            <v>Viên chức</v>
          </cell>
          <cell r="AG638">
            <v>0</v>
          </cell>
          <cell r="AH638" t="str">
            <v>2.41</v>
          </cell>
          <cell r="AI638">
            <v>2</v>
          </cell>
          <cell r="AK638">
            <v>45171</v>
          </cell>
          <cell r="AL638" t="str">
            <v>Cao đẳng</v>
          </cell>
          <cell r="AM638" t="str">
            <v>Điều dưỡng CĐ</v>
          </cell>
          <cell r="AN638" t="str">
            <v>Điều dưỡng cao đẳng</v>
          </cell>
          <cell r="AO638" t="str">
            <v>Cao đẳng Y tế Lạng Sơn</v>
          </cell>
          <cell r="AP638" t="str">
            <v>2015 - 2018</v>
          </cell>
          <cell r="AY638" t="str">
            <v>Nùng</v>
          </cell>
        </row>
        <row r="639">
          <cell r="A639" t="str">
            <v>BV1084</v>
          </cell>
          <cell r="B639">
            <v>633</v>
          </cell>
          <cell r="C639" t="str">
            <v>Lộc Thị Chang</v>
          </cell>
          <cell r="D639" t="str">
            <v>BV1084</v>
          </cell>
          <cell r="E639" t="str">
            <v>2715034768</v>
          </cell>
          <cell r="G639" t="str">
            <v>020189007384, ngày cấp 09/5/2021 nơi cấp cục cảnh sát quản lý hành chính về trật tự xã hội</v>
          </cell>
          <cell r="I639" t="str">
            <v>16/01/1989</v>
          </cell>
          <cell r="J639">
            <v>37</v>
          </cell>
          <cell r="K639" t="str">
            <v>082032024</v>
          </cell>
          <cell r="L639" t="str">
            <v>16/01/1989</v>
          </cell>
          <cell r="V639" t="str">
            <v>Xã Đồng Bục, huyện Lộc Bình, tỉnh Lạng Sơn</v>
          </cell>
          <cell r="W639" t="str">
            <v>03/11/2020</v>
          </cell>
          <cell r="AA639">
            <v>0</v>
          </cell>
          <cell r="AB639" t="str">
            <v>TĐ012</v>
          </cell>
          <cell r="AC639" t="str">
            <v>Tâm thần - Thần kinh</v>
          </cell>
          <cell r="AD639" t="str">
            <v>Tâm thần - Thần kinh</v>
          </cell>
          <cell r="AE639" t="str">
            <v>Viên chức</v>
          </cell>
          <cell r="AG639">
            <v>0</v>
          </cell>
          <cell r="AH639" t="str">
            <v>2.41</v>
          </cell>
          <cell r="AI639">
            <v>2</v>
          </cell>
          <cell r="AK639">
            <v>45507</v>
          </cell>
          <cell r="AL639" t="str">
            <v>Cao đẳng</v>
          </cell>
          <cell r="AM639" t="str">
            <v>Điều dưỡng CĐ</v>
          </cell>
          <cell r="AO639" t="str">
            <v>CĐ Y tế LS</v>
          </cell>
          <cell r="AP639">
            <v>2011</v>
          </cell>
          <cell r="AY639" t="str">
            <v>Nùng</v>
          </cell>
        </row>
        <row r="640">
          <cell r="A640" t="str">
            <v>BV0916</v>
          </cell>
          <cell r="B640">
            <v>634</v>
          </cell>
          <cell r="C640" t="str">
            <v>Hà Kim Thoa</v>
          </cell>
          <cell r="D640" t="str">
            <v>BV0916</v>
          </cell>
          <cell r="E640" t="str">
            <v>1915843096</v>
          </cell>
          <cell r="G640" t="str">
            <v>020193001390, ngày cấp 24/4/2021, cục cảnh sát QLHCVTTXH</v>
          </cell>
          <cell r="I640" t="str">
            <v>12/03/1993</v>
          </cell>
          <cell r="J640">
            <v>33</v>
          </cell>
          <cell r="K640" t="str">
            <v>082209730</v>
          </cell>
          <cell r="L640" t="str">
            <v>16/02/2011</v>
          </cell>
          <cell r="M640" t="str">
            <v>CA tỉnh Lạng Sơn</v>
          </cell>
          <cell r="O640" t="str">
            <v>Xã Cường Lợi, huyện Đình Lập, tỉnh Lạng Sơn</v>
          </cell>
          <cell r="S640" t="str">
            <v>Xã Cường Lợi, huyện Đình Lập, tỉnh Lạng Sơn</v>
          </cell>
          <cell r="V640" t="str">
            <v>Xã Cường Lợi, huyện Đình Lập, tỉnh Lạng Sơn</v>
          </cell>
          <cell r="W640" t="str">
            <v>17/4/2019</v>
          </cell>
          <cell r="AA640">
            <v>0</v>
          </cell>
          <cell r="AB640" t="str">
            <v>TĐ012</v>
          </cell>
          <cell r="AC640" t="str">
            <v>TDCN</v>
          </cell>
          <cell r="AD640" t="str">
            <v>TDCN</v>
          </cell>
          <cell r="AE640" t="str">
            <v>Viên chức</v>
          </cell>
          <cell r="AG640">
            <v>0</v>
          </cell>
          <cell r="AH640" t="str">
            <v>2.67</v>
          </cell>
          <cell r="AI640">
            <v>2</v>
          </cell>
          <cell r="AK640">
            <v>44974</v>
          </cell>
          <cell r="AL640" t="str">
            <v>Cao đẳng</v>
          </cell>
          <cell r="AM640" t="str">
            <v>Điều dưỡng CĐ</v>
          </cell>
          <cell r="AO640" t="str">
            <v>CĐ y tế Lạng Sơn</v>
          </cell>
          <cell r="AQ640" t="str">
            <v>12/12</v>
          </cell>
          <cell r="AX640" t="str">
            <v>CC nội soi đường tiêu hóa dưới</v>
          </cell>
          <cell r="AY640" t="str">
            <v>Tày</v>
          </cell>
        </row>
        <row r="641">
          <cell r="A641" t="str">
            <v>BV1045</v>
          </cell>
          <cell r="B641">
            <v>635</v>
          </cell>
          <cell r="C641" t="str">
            <v>Nông Thị Ngọc Lan</v>
          </cell>
          <cell r="D641" t="str">
            <v>BV1045</v>
          </cell>
          <cell r="E641" t="str">
            <v>2020084070</v>
          </cell>
          <cell r="G641" t="str">
            <v>CCCD: 020197008006
ngày cấp: 14/08/2021
CCSQLHCTTXH</v>
          </cell>
          <cell r="I641" t="str">
            <v>14/7/1997</v>
          </cell>
          <cell r="J641">
            <v>28</v>
          </cell>
          <cell r="K641" t="str">
            <v>082318910</v>
          </cell>
          <cell r="L641" t="str">
            <v>21/11/2014</v>
          </cell>
          <cell r="M641" t="str">
            <v>0369445838</v>
          </cell>
          <cell r="V641" t="str">
            <v>Xã Chi Lăng, huyện Tràng Định, tỉnh Lạng Sơn</v>
          </cell>
          <cell r="W641" t="str">
            <v>13/7/2020</v>
          </cell>
          <cell r="AA641">
            <v>0</v>
          </cell>
          <cell r="AB641" t="str">
            <v>TĐ011</v>
          </cell>
          <cell r="AC641" t="str">
            <v>Chấn thương - Bỏng</v>
          </cell>
          <cell r="AD641" t="str">
            <v>Chấn thương - Bỏng</v>
          </cell>
          <cell r="AE641" t="str">
            <v>Viên chức</v>
          </cell>
          <cell r="AG641">
            <v>0</v>
          </cell>
          <cell r="AH641" t="str">
            <v>2.67</v>
          </cell>
          <cell r="AI641">
            <v>2</v>
          </cell>
          <cell r="AK641">
            <v>45486</v>
          </cell>
          <cell r="AL641" t="str">
            <v>Đại học</v>
          </cell>
          <cell r="AM641" t="str">
            <v>Điều dưỡng ĐH</v>
          </cell>
          <cell r="AY641" t="str">
            <v>Tày</v>
          </cell>
        </row>
        <row r="642">
          <cell r="A642" t="str">
            <v>BV0910</v>
          </cell>
          <cell r="B642">
            <v>636</v>
          </cell>
          <cell r="C642" t="str">
            <v>Vi Văn Kim</v>
          </cell>
          <cell r="D642" t="str">
            <v>BV0910</v>
          </cell>
          <cell r="E642" t="str">
            <v>2020350112</v>
          </cell>
          <cell r="G642" t="str">
            <v>CCCD: 020095010099
Ngày cấp: 26/01/2022, nơi cấp: Cục cảnh sát quản lý hành chính và trật tự xã hội</v>
          </cell>
          <cell r="H642" t="str">
            <v>30/03/1995</v>
          </cell>
          <cell r="J642">
            <v>31</v>
          </cell>
          <cell r="K642" t="str">
            <v>082270882</v>
          </cell>
          <cell r="L642" t="str">
            <v>31/12/2011</v>
          </cell>
          <cell r="M642" t="str">
            <v>CA tỉnh Lạng Sơn</v>
          </cell>
          <cell r="O642" t="str">
            <v>Xã Tràng Các, huyện Văn Quan, tỉnh Lạng Sơn</v>
          </cell>
          <cell r="S642" t="str">
            <v>Xã Tràng Các, huyện Văn Quan, tỉnh Lạng Sơn</v>
          </cell>
          <cell r="V642" t="str">
            <v>Xã Tràng Các, huyện Văn Quan, tỉnh Lạng Sơn</v>
          </cell>
          <cell r="W642" t="str">
            <v>17/4/2019</v>
          </cell>
          <cell r="AA642">
            <v>0</v>
          </cell>
          <cell r="AB642" t="str">
            <v>TĐ011</v>
          </cell>
          <cell r="AC642" t="str">
            <v>Ngoại Tiêu hóa</v>
          </cell>
          <cell r="AD642" t="str">
            <v>Ngoại Tiêu hóa</v>
          </cell>
          <cell r="AE642" t="str">
            <v>Viên chức</v>
          </cell>
          <cell r="AG642">
            <v>0</v>
          </cell>
          <cell r="AH642" t="str">
            <v>3.00</v>
          </cell>
          <cell r="AI642">
            <v>3</v>
          </cell>
          <cell r="AK642">
            <v>45947</v>
          </cell>
          <cell r="AL642" t="str">
            <v>Đại học</v>
          </cell>
          <cell r="AM642" t="str">
            <v>Điều dưỡng ĐH</v>
          </cell>
          <cell r="AO642" t="str">
            <v>ĐH Y Thái Nguyên</v>
          </cell>
          <cell r="AQ642" t="str">
            <v>12/12</v>
          </cell>
          <cell r="AY642" t="str">
            <v>Tày</v>
          </cell>
        </row>
        <row r="643">
          <cell r="A643" t="str">
            <v>BV0913</v>
          </cell>
          <cell r="B643">
            <v>637</v>
          </cell>
          <cell r="C643" t="str">
            <v>Nông Thị Lụa</v>
          </cell>
          <cell r="D643" t="str">
            <v>BV0913</v>
          </cell>
          <cell r="E643" t="str">
            <v>2020378208</v>
          </cell>
          <cell r="G643" t="str">
            <v>020189002912,
Ngày cấp 29/4/2021, nơi cấp: Cục cảnh sát quản lý hành chính và trật tự xã hội</v>
          </cell>
          <cell r="I643" t="str">
            <v>15/11/1989</v>
          </cell>
          <cell r="J643">
            <v>36</v>
          </cell>
          <cell r="K643" t="str">
            <v>082074011</v>
          </cell>
          <cell r="L643" t="str">
            <v>01/12/2011</v>
          </cell>
          <cell r="M643" t="str">
            <v>CA tỉnh Lạng Sơn</v>
          </cell>
          <cell r="O643" t="str">
            <v>Xã Hòa Binh, huyện Văn Quan, tỉnh Lạng Sơn</v>
          </cell>
          <cell r="S643" t="str">
            <v>Xã Hòa Binh, huyện Văn Quan, tỉnh Lạng Sơn</v>
          </cell>
          <cell r="V643" t="str">
            <v>Xã Hòa Binh, huyện Văn Quan, tỉnh Lạng Sơn</v>
          </cell>
          <cell r="W643" t="str">
            <v>17/4/2019</v>
          </cell>
          <cell r="AA643">
            <v>0</v>
          </cell>
          <cell r="AB643" t="str">
            <v>TĐ011</v>
          </cell>
          <cell r="AC643" t="str">
            <v>Nhi</v>
          </cell>
          <cell r="AD643" t="str">
            <v>Nhi</v>
          </cell>
          <cell r="AE643" t="str">
            <v>Viên chức</v>
          </cell>
          <cell r="AG643">
            <v>0</v>
          </cell>
          <cell r="AH643" t="str">
            <v>2.67</v>
          </cell>
          <cell r="AI643">
            <v>2</v>
          </cell>
          <cell r="AK643">
            <v>45033</v>
          </cell>
          <cell r="AL643" t="str">
            <v>Đại học</v>
          </cell>
          <cell r="AM643" t="str">
            <v>Điều dưỡng ĐH</v>
          </cell>
          <cell r="AO643" t="str">
            <v>ĐH Y Thái Nguyên</v>
          </cell>
          <cell r="AQ643" t="str">
            <v>12/12</v>
          </cell>
          <cell r="AY643" t="str">
            <v>Tày</v>
          </cell>
        </row>
        <row r="644">
          <cell r="A644" t="str">
            <v>BV0791</v>
          </cell>
          <cell r="B644">
            <v>638</v>
          </cell>
          <cell r="C644" t="str">
            <v>Hoàng Ngọc Lê</v>
          </cell>
          <cell r="D644" t="str">
            <v>BV0791</v>
          </cell>
          <cell r="E644">
            <v>2020371870</v>
          </cell>
          <cell r="F644">
            <v>2099890586</v>
          </cell>
          <cell r="G644" t="str">
            <v>020189002999
Cấp ngày: 29/04/2021
Cục cảnh sát QLHC
về TTXH</v>
          </cell>
          <cell r="I644">
            <v>32789</v>
          </cell>
          <cell r="J644">
            <v>36</v>
          </cell>
          <cell r="K644" t="str">
            <v>082073956</v>
          </cell>
          <cell r="L644" t="str">
            <v>20/12/2005</v>
          </cell>
          <cell r="M644" t="str">
            <v>CA tỉnh Lạng Sơn</v>
          </cell>
          <cell r="O644" t="str">
            <v>Vân Mộng</v>
          </cell>
          <cell r="P644" t="str">
            <v>Văn Quan</v>
          </cell>
          <cell r="Q644" t="str">
            <v>Lạng Sơn</v>
          </cell>
          <cell r="S644" t="str">
            <v>Vân Mộng</v>
          </cell>
          <cell r="T644" t="str">
            <v>Văn Quan</v>
          </cell>
          <cell r="U644" t="str">
            <v>Lạng Sơn</v>
          </cell>
          <cell r="V644" t="str">
            <v>Xã Liên Hội, huyện Văn Quan, tỉnh Lạng Sơn</v>
          </cell>
          <cell r="W644" t="str">
            <v xml:space="preserve"> 02/10/2017</v>
          </cell>
          <cell r="AA644">
            <v>0</v>
          </cell>
          <cell r="AB644" t="str">
            <v>TĐ011</v>
          </cell>
          <cell r="AC644" t="str">
            <v>Phụ sản</v>
          </cell>
          <cell r="AD644" t="str">
            <v>Phụ sản</v>
          </cell>
          <cell r="AE644" t="str">
            <v>Viên chức</v>
          </cell>
          <cell r="AG644">
            <v>0</v>
          </cell>
          <cell r="AH644" t="str">
            <v>3.00</v>
          </cell>
          <cell r="AI644">
            <v>3</v>
          </cell>
          <cell r="AK644">
            <v>45567</v>
          </cell>
          <cell r="AL644" t="str">
            <v>Đại học</v>
          </cell>
          <cell r="AM644" t="str">
            <v>Điều dưỡng ĐH</v>
          </cell>
          <cell r="AO644" t="str">
            <v>ĐH Điều dưỡng Nam Định</v>
          </cell>
          <cell r="AP644">
            <v>2017</v>
          </cell>
          <cell r="AQ644" t="str">
            <v>12/12</v>
          </cell>
          <cell r="AU644" t="str">
            <v>B</v>
          </cell>
          <cell r="AW644" t="str">
            <v>B</v>
          </cell>
          <cell r="AY644" t="str">
            <v>Tày</v>
          </cell>
          <cell r="BA644" t="e">
            <v>#REF!</v>
          </cell>
          <cell r="BB644" t="e">
            <v>#REF!</v>
          </cell>
        </row>
        <row r="645">
          <cell r="A645" t="str">
            <v>BV1051</v>
          </cell>
          <cell r="B645">
            <v>639</v>
          </cell>
          <cell r="C645" t="str">
            <v>Sầm Thị Minh Thơ</v>
          </cell>
          <cell r="D645" t="str">
            <v>BV1051</v>
          </cell>
          <cell r="E645" t="str">
            <v>2010000185</v>
          </cell>
          <cell r="G645" t="str">
            <v>020187003172,  ngày cấp 29/4/2021,  nơi cấp cục cảnh sát quản lý hành chính về trật tự xã hội</v>
          </cell>
          <cell r="I645" t="str">
            <v>03/04/1987</v>
          </cell>
          <cell r="J645">
            <v>39</v>
          </cell>
          <cell r="K645" t="str">
            <v>081020855</v>
          </cell>
          <cell r="L645" t="str">
            <v>23/2/2012</v>
          </cell>
          <cell r="M645" t="str">
            <v>0988109010</v>
          </cell>
          <cell r="V645" t="str">
            <v>Tân Mỹ, huyện Văn Lãng, tỉnh Lạng Sơn</v>
          </cell>
          <cell r="W645" t="str">
            <v>13/7/2020</v>
          </cell>
          <cell r="AA645">
            <v>0</v>
          </cell>
          <cell r="AB645" t="str">
            <v>TĐ011</v>
          </cell>
          <cell r="AC645" t="str">
            <v>Tâm thần - Thần kinh</v>
          </cell>
          <cell r="AD645" t="str">
            <v>Tâm thần - Thần kinh</v>
          </cell>
          <cell r="AE645" t="str">
            <v>Viên chức</v>
          </cell>
          <cell r="AG645">
            <v>0</v>
          </cell>
          <cell r="AH645" t="str">
            <v>2.67</v>
          </cell>
          <cell r="AI645">
            <v>2</v>
          </cell>
          <cell r="AK645" t="str">
            <v>13/7/2024</v>
          </cell>
          <cell r="AL645" t="str">
            <v>Đại học</v>
          </cell>
          <cell r="AM645" t="str">
            <v>Điều dưỡng ĐH</v>
          </cell>
          <cell r="AY645" t="str">
            <v>Nùng</v>
          </cell>
        </row>
        <row r="646">
          <cell r="A646" t="str">
            <v>BV0748</v>
          </cell>
          <cell r="B646">
            <v>640</v>
          </cell>
          <cell r="C646" t="str">
            <v>Đào Thị Trà</v>
          </cell>
          <cell r="D646" t="str">
            <v>BV0748</v>
          </cell>
          <cell r="E646">
            <v>2420199546</v>
          </cell>
          <cell r="G646" t="str">
            <v xml:space="preserve">      024191003663, ngày cấp: 25/6/2021, nơi cấp: Cục cảnh sát quản lý hành chính và trật tự xã hội</v>
          </cell>
          <cell r="I646" t="str">
            <v>09/03/1991</v>
          </cell>
          <cell r="J646">
            <v>35</v>
          </cell>
          <cell r="K646" t="str">
            <v>122035501</v>
          </cell>
          <cell r="L646" t="str">
            <v>30/12/2008</v>
          </cell>
          <cell r="M646" t="str">
            <v>CA Bắc Giang</v>
          </cell>
          <cell r="O646" t="str">
            <v>Bố Hạ</v>
          </cell>
          <cell r="P646" t="str">
            <v xml:space="preserve">Yên Thế </v>
          </cell>
          <cell r="Q646" t="str">
            <v>Bắc Giang</v>
          </cell>
          <cell r="S646" t="str">
            <v>Bố hạ</v>
          </cell>
          <cell r="T646" t="str">
            <v xml:space="preserve">Yên Thế </v>
          </cell>
          <cell r="U646" t="str">
            <v>Bắc Giang</v>
          </cell>
          <cell r="V646" t="str">
            <v>Phường Vĩnh Trại, Thành phố Lạng Sơn, Tỉnh Lạng Sơn</v>
          </cell>
          <cell r="W646" t="str">
            <v>01/01/2017</v>
          </cell>
          <cell r="AA646">
            <v>0</v>
          </cell>
          <cell r="AB646" t="str">
            <v>TĐ012</v>
          </cell>
          <cell r="AC646" t="str">
            <v>CĐHA</v>
          </cell>
          <cell r="AD646" t="str">
            <v>CĐHA</v>
          </cell>
          <cell r="AE646" t="str">
            <v>Viên chức</v>
          </cell>
          <cell r="AG646">
            <v>0</v>
          </cell>
          <cell r="AH646" t="str">
            <v>2.72</v>
          </cell>
          <cell r="AI646">
            <v>3</v>
          </cell>
          <cell r="AK646">
            <v>45209</v>
          </cell>
          <cell r="AL646" t="str">
            <v>Trung cấp</v>
          </cell>
          <cell r="AM646" t="str">
            <v>Điều dưỡng CĐ</v>
          </cell>
          <cell r="AO646" t="str">
            <v>Trung cấp Y tế Bắc Giang</v>
          </cell>
          <cell r="AP646">
            <v>2013</v>
          </cell>
          <cell r="AQ646" t="str">
            <v>12/12</v>
          </cell>
          <cell r="AY646" t="str">
            <v>Tày</v>
          </cell>
          <cell r="BA646" t="e">
            <v>#REF!</v>
          </cell>
          <cell r="BB646" t="e">
            <v>#REF!</v>
          </cell>
        </row>
        <row r="647">
          <cell r="A647" t="str">
            <v>BV0143</v>
          </cell>
          <cell r="B647">
            <v>641</v>
          </cell>
          <cell r="C647" t="str">
            <v>Mã Thị Thu</v>
          </cell>
          <cell r="D647" t="str">
            <v>BV0143</v>
          </cell>
          <cell r="E647">
            <v>2011001289</v>
          </cell>
          <cell r="G647" t="str">
            <v>CCCD: 020187002661
ngày cấp 22/4/2021
Tại Cục cảnh sát quản lý hành chính về trật tự xã hội</v>
          </cell>
          <cell r="I647">
            <v>31919</v>
          </cell>
          <cell r="J647">
            <v>39</v>
          </cell>
          <cell r="K647" t="str">
            <v>082062450</v>
          </cell>
          <cell r="L647" t="str">
            <v>14/12/2005</v>
          </cell>
          <cell r="M647" t="str">
            <v>CA tỉnh Lạng Sơn</v>
          </cell>
          <cell r="O647" t="str">
            <v>Xã Tri Phương</v>
          </cell>
          <cell r="P647" t="str">
            <v>Huyện Tràng Định</v>
          </cell>
          <cell r="Q647" t="str">
            <v>Tỉnh Lạng Sơn</v>
          </cell>
          <cell r="S647" t="str">
            <v>Xã Tri Phương</v>
          </cell>
          <cell r="T647" t="str">
            <v>Huyện Tràng Định</v>
          </cell>
          <cell r="U647" t="str">
            <v>Tỉnh Lạng Sơn</v>
          </cell>
          <cell r="V647" t="str">
            <v>Xã Tri Phương, Huyện Tràng Định, Tỉnh Lạng Sơn</v>
          </cell>
          <cell r="W647" t="str">
            <v>16/3/2011</v>
          </cell>
          <cell r="AA647">
            <v>0</v>
          </cell>
          <cell r="AB647" t="str">
            <v>TĐ012</v>
          </cell>
          <cell r="AC647" t="str">
            <v>Nội Tổng hợp</v>
          </cell>
          <cell r="AD647" t="str">
            <v>Nội Tổng hợp</v>
          </cell>
          <cell r="AE647" t="str">
            <v>Viên chức</v>
          </cell>
          <cell r="AG647">
            <v>0</v>
          </cell>
          <cell r="AH647" t="str">
            <v>3.34</v>
          </cell>
          <cell r="AI647">
            <v>5</v>
          </cell>
          <cell r="AK647">
            <v>45642</v>
          </cell>
          <cell r="AL647" t="str">
            <v>Trung cấp</v>
          </cell>
          <cell r="AM647" t="str">
            <v>Điều dưỡng CĐ</v>
          </cell>
          <cell r="AO647" t="str">
            <v>CĐ Y tế Lạng Sơn</v>
          </cell>
          <cell r="AP647">
            <v>2008</v>
          </cell>
          <cell r="AQ647" t="str">
            <v>12/12</v>
          </cell>
          <cell r="AW647" t="str">
            <v>B</v>
          </cell>
          <cell r="AY647" t="str">
            <v>Nùng</v>
          </cell>
          <cell r="BA647" t="e">
            <v>#REF!</v>
          </cell>
          <cell r="BB647" t="e">
            <v>#REF!</v>
          </cell>
        </row>
        <row r="648">
          <cell r="A648" t="str">
            <v>BV0322</v>
          </cell>
          <cell r="B648">
            <v>642</v>
          </cell>
          <cell r="C648" t="str">
            <v>Hoàng Thị Gấm</v>
          </cell>
          <cell r="D648" t="str">
            <v>BV0322</v>
          </cell>
          <cell r="E648">
            <v>2011001290</v>
          </cell>
          <cell r="G648" t="str">
            <v>020185006687,
Ngày cấp 14/8/2021, nơi cấp: Cục cảnh sát quản lý hành chính và trật tự xã hội</v>
          </cell>
          <cell r="I648">
            <v>31158</v>
          </cell>
          <cell r="J648">
            <v>41</v>
          </cell>
          <cell r="K648" t="str">
            <v>082039898</v>
          </cell>
          <cell r="L648" t="str">
            <v>27/01/2005</v>
          </cell>
          <cell r="M648" t="str">
            <v>CA tỉnh Lạng Sơn</v>
          </cell>
          <cell r="O648" t="str">
            <v>Xã Tràng Sơn</v>
          </cell>
          <cell r="P648" t="str">
            <v>Huyện Văn Quan</v>
          </cell>
          <cell r="Q648" t="str">
            <v>Tỉnh Lạng Sơn</v>
          </cell>
          <cell r="S648" t="str">
            <v>Phường Đông Kinh</v>
          </cell>
          <cell r="T648" t="str">
            <v>Thành phố Lạng Sơn</v>
          </cell>
          <cell r="U648" t="str">
            <v>Tỉnh Lạng Sơn</v>
          </cell>
          <cell r="V648" t="str">
            <v>Phường Đông Kinh, Thành phố Lạng Sơn, Tỉnh Lạng Sơn</v>
          </cell>
          <cell r="W648" t="str">
            <v>16/3/2011</v>
          </cell>
          <cell r="AA648">
            <v>0</v>
          </cell>
          <cell r="AB648" t="str">
            <v>TĐ012</v>
          </cell>
          <cell r="AC648" t="str">
            <v>Nhi</v>
          </cell>
          <cell r="AD648" t="str">
            <v>Nhi</v>
          </cell>
          <cell r="AE648" t="str">
            <v>Viên chức</v>
          </cell>
          <cell r="AG648">
            <v>0</v>
          </cell>
          <cell r="AH648" t="str">
            <v>3.34</v>
          </cell>
          <cell r="AI648">
            <v>5</v>
          </cell>
          <cell r="AK648">
            <v>45642</v>
          </cell>
          <cell r="AL648" t="str">
            <v>Trung cấp</v>
          </cell>
          <cell r="AM648" t="str">
            <v>Điều dưỡng CĐ</v>
          </cell>
          <cell r="AO648" t="str">
            <v>CĐ Y tế Lạng Sơn</v>
          </cell>
          <cell r="AP648">
            <v>2018</v>
          </cell>
          <cell r="AQ648" t="str">
            <v>12/12</v>
          </cell>
          <cell r="AU648" t="str">
            <v>Anh B</v>
          </cell>
          <cell r="AW648" t="str">
            <v>B</v>
          </cell>
          <cell r="AY648" t="str">
            <v>Tày</v>
          </cell>
          <cell r="BA648" t="e">
            <v>#REF!</v>
          </cell>
          <cell r="BB648" t="e">
            <v>#REF!</v>
          </cell>
        </row>
        <row r="649">
          <cell r="A649" t="str">
            <v>BV0742</v>
          </cell>
          <cell r="B649">
            <v>643</v>
          </cell>
          <cell r="C649" t="str">
            <v>Nguyễn Thị Kiều</v>
          </cell>
          <cell r="D649" t="str">
            <v>BV0742</v>
          </cell>
          <cell r="E649">
            <v>2020024845</v>
          </cell>
          <cell r="F649">
            <v>2099917515</v>
          </cell>
          <cell r="I649" t="str">
            <v>13/6/1975</v>
          </cell>
          <cell r="J649">
            <v>51</v>
          </cell>
          <cell r="K649" t="str">
            <v>082078525</v>
          </cell>
          <cell r="L649" t="str">
            <v>05/05/2006</v>
          </cell>
          <cell r="M649" t="str">
            <v>CA tỉnh Lạng Sơn</v>
          </cell>
          <cell r="O649" t="str">
            <v>Hoàng Đồng</v>
          </cell>
          <cell r="P649" t="str">
            <v>TP Lạng Sơn</v>
          </cell>
          <cell r="Q649" t="str">
            <v>Lạng Sơn</v>
          </cell>
          <cell r="S649" t="str">
            <v>Hoàng Đồng</v>
          </cell>
          <cell r="T649" t="str">
            <v>TP Lạng Sơn</v>
          </cell>
          <cell r="U649" t="str">
            <v>Lạng Sơn</v>
          </cell>
          <cell r="V649" t="str">
            <v>Hoàng Đồng, thành phố Lạng Sơn, Lạng Sơn</v>
          </cell>
          <cell r="W649" t="str">
            <v xml:space="preserve"> 01/11/2016</v>
          </cell>
          <cell r="AA649">
            <v>0</v>
          </cell>
          <cell r="AB649" t="str">
            <v>TĐ047</v>
          </cell>
          <cell r="AC649" t="str">
            <v>Nhi</v>
          </cell>
          <cell r="AD649" t="str">
            <v>Nhi</v>
          </cell>
          <cell r="AE649" t="str">
            <v>HĐ có thời hạn</v>
          </cell>
          <cell r="AG649">
            <v>0</v>
          </cell>
          <cell r="AH649">
            <v>1.65</v>
          </cell>
          <cell r="AI649">
            <v>1</v>
          </cell>
          <cell r="AK649">
            <v>45689</v>
          </cell>
          <cell r="AL649" t="str">
            <v>Chứng chỉ</v>
          </cell>
          <cell r="AM649" t="str">
            <v>Hộ lý</v>
          </cell>
          <cell r="AX649" t="str">
            <v>Chứng chỉ Hộ lý</v>
          </cell>
          <cell r="AY649" t="str">
            <v>Nùng</v>
          </cell>
        </row>
        <row r="650">
          <cell r="A650" t="str">
            <v>BV0511</v>
          </cell>
          <cell r="B650">
            <v>644</v>
          </cell>
          <cell r="C650" t="str">
            <v>Vi Bích Hường</v>
          </cell>
          <cell r="D650" t="str">
            <v>BV0511</v>
          </cell>
          <cell r="E650">
            <v>2015003320</v>
          </cell>
          <cell r="I650">
            <v>32338</v>
          </cell>
          <cell r="J650">
            <v>37</v>
          </cell>
          <cell r="K650" t="str">
            <v>082025367</v>
          </cell>
          <cell r="L650" t="str">
            <v>82025367</v>
          </cell>
          <cell r="M650" t="str">
            <v>CA tỉnh Lạng Sơn</v>
          </cell>
          <cell r="S650" t="str">
            <v>Phường Vĩnh Trại</v>
          </cell>
          <cell r="T650" t="str">
            <v>Thành phố Lạng Sơn</v>
          </cell>
          <cell r="U650" t="str">
            <v>Tỉnh Lạng Sơn</v>
          </cell>
          <cell r="V650" t="str">
            <v>Phường Vĩnh Trại, Thành phố Lạng Sơn, Tỉnh Lạng Sơn</v>
          </cell>
          <cell r="W650" t="str">
            <v>16/11/2015</v>
          </cell>
          <cell r="AA650">
            <v>0</v>
          </cell>
          <cell r="AB650" t="str">
            <v>TĐ047</v>
          </cell>
          <cell r="AC650" t="str">
            <v>Da liễu</v>
          </cell>
          <cell r="AD650" t="str">
            <v>Da liễu</v>
          </cell>
          <cell r="AE650" t="str">
            <v>HĐ có thời hạn</v>
          </cell>
          <cell r="AG650">
            <v>0</v>
          </cell>
          <cell r="AH650">
            <v>1.65</v>
          </cell>
          <cell r="AI650">
            <v>1</v>
          </cell>
          <cell r="AK650">
            <v>45689</v>
          </cell>
          <cell r="AL650" t="str">
            <v>Chứng chỉ</v>
          </cell>
          <cell r="AM650" t="str">
            <v>Hộ lý</v>
          </cell>
          <cell r="AY650" t="str">
            <v>Tày</v>
          </cell>
        </row>
        <row r="651">
          <cell r="A651" t="str">
            <v>BV0771</v>
          </cell>
          <cell r="B651">
            <v>645</v>
          </cell>
          <cell r="C651" t="str">
            <v>Hoàng Thị Thảo</v>
          </cell>
          <cell r="D651" t="str">
            <v>BV0771</v>
          </cell>
          <cell r="E651">
            <v>2008000854</v>
          </cell>
          <cell r="I651">
            <v>30233</v>
          </cell>
          <cell r="J651">
            <v>43</v>
          </cell>
          <cell r="K651" t="str">
            <v>081005268</v>
          </cell>
          <cell r="L651" t="str">
            <v>15/08/2012</v>
          </cell>
          <cell r="M651" t="str">
            <v>CA tỉnh Lạng Sơn</v>
          </cell>
          <cell r="V651" t="str">
            <v>Xã Yên Trạch, huyện Cao Lộc, tỉnh Lạng Sơn</v>
          </cell>
          <cell r="W651" t="str">
            <v>01/02/2016</v>
          </cell>
          <cell r="AA651">
            <v>0</v>
          </cell>
          <cell r="AB651" t="str">
            <v>TĐ047</v>
          </cell>
          <cell r="AC651" t="str">
            <v>UB-YHHN</v>
          </cell>
          <cell r="AD651" t="str">
            <v>UB-YHHN</v>
          </cell>
          <cell r="AE651" t="str">
            <v>HĐ có thời hạn</v>
          </cell>
          <cell r="AG651">
            <v>0</v>
          </cell>
          <cell r="AH651">
            <v>1.65</v>
          </cell>
          <cell r="AI651">
            <v>1</v>
          </cell>
          <cell r="AK651">
            <v>45689</v>
          </cell>
          <cell r="AL651" t="str">
            <v>Chứng chỉ</v>
          </cell>
          <cell r="AM651" t="str">
            <v>Hộ lý</v>
          </cell>
          <cell r="AY651" t="str">
            <v>Tày</v>
          </cell>
        </row>
        <row r="652">
          <cell r="A652" t="str">
            <v>BV1018</v>
          </cell>
          <cell r="B652">
            <v>646</v>
          </cell>
          <cell r="C652" t="str">
            <v>Hoàng Thị Thoa</v>
          </cell>
          <cell r="D652" t="str">
            <v>BV1018</v>
          </cell>
          <cell r="E652" t="str">
            <v>2016000981</v>
          </cell>
          <cell r="I652" t="str">
            <v>01/06/1991</v>
          </cell>
          <cell r="J652">
            <v>35</v>
          </cell>
          <cell r="K652" t="str">
            <v>082162060</v>
          </cell>
          <cell r="L652" t="str">
            <v>28/3/2008</v>
          </cell>
          <cell r="M652" t="str">
            <v>Công an tỉnh Lạng Sơn</v>
          </cell>
          <cell r="V652" t="str">
            <v>Xã Thạch Đạn, huyện Cao Lộc, tỉnh Lạng Sơn</v>
          </cell>
          <cell r="W652" t="str">
            <v>12/4/2020</v>
          </cell>
          <cell r="AA652">
            <v>0</v>
          </cell>
          <cell r="AB652" t="str">
            <v>TĐ047</v>
          </cell>
          <cell r="AC652" t="str">
            <v>HSTC-CĐ</v>
          </cell>
          <cell r="AD652" t="str">
            <v>HSTC-CĐ</v>
          </cell>
          <cell r="AE652" t="str">
            <v>HĐ có thời hạn</v>
          </cell>
          <cell r="AG652">
            <v>0</v>
          </cell>
          <cell r="AH652">
            <v>1.65</v>
          </cell>
          <cell r="AI652">
            <v>1</v>
          </cell>
          <cell r="AK652">
            <v>45689</v>
          </cell>
          <cell r="AL652" t="str">
            <v>Chứng chỉ</v>
          </cell>
          <cell r="AM652" t="str">
            <v>Hộ lý</v>
          </cell>
          <cell r="AQ652" t="str">
            <v>12/12</v>
          </cell>
          <cell r="AY652" t="str">
            <v>Tày</v>
          </cell>
        </row>
        <row r="653">
          <cell r="A653" t="str">
            <v>BV0882</v>
          </cell>
          <cell r="B653">
            <v>647</v>
          </cell>
          <cell r="C653" t="str">
            <v>Hoàng Thị Bích</v>
          </cell>
          <cell r="D653" t="str">
            <v>BV0882</v>
          </cell>
          <cell r="E653" t="str">
            <v>2020009845</v>
          </cell>
          <cell r="I653" t="str">
            <v>24/11/1989</v>
          </cell>
          <cell r="J653">
            <v>36</v>
          </cell>
          <cell r="K653" t="str">
            <v>082114289</v>
          </cell>
          <cell r="L653" t="str">
            <v>09/04/2007</v>
          </cell>
          <cell r="M653" t="str">
            <v>CA tỉnh Lạng Sơn</v>
          </cell>
          <cell r="V653" t="str">
            <v>Phường Đông Kinh, Thành phố Lạng Sơn, Tỉnh Lạng Sơn</v>
          </cell>
          <cell r="W653" t="str">
            <v>02/01/2019</v>
          </cell>
          <cell r="X653" t="str">
            <v>02/01/2019</v>
          </cell>
          <cell r="AA653">
            <v>0</v>
          </cell>
          <cell r="AB653" t="str">
            <v>TĐ047</v>
          </cell>
          <cell r="AC653" t="str">
            <v>Nội Tiêu hóa</v>
          </cell>
          <cell r="AD653" t="str">
            <v>Nội Tiêu hóa</v>
          </cell>
          <cell r="AE653" t="str">
            <v>HĐ có thời hạn</v>
          </cell>
          <cell r="AG653">
            <v>0</v>
          </cell>
          <cell r="AH653">
            <v>1.65</v>
          </cell>
          <cell r="AI653">
            <v>1</v>
          </cell>
          <cell r="AK653">
            <v>45689</v>
          </cell>
          <cell r="AL653" t="str">
            <v>Chứng chỉ</v>
          </cell>
          <cell r="AM653" t="str">
            <v>Hộ lý</v>
          </cell>
          <cell r="AQ653" t="str">
            <v>12/12</v>
          </cell>
          <cell r="AY653" t="str">
            <v>Nùng</v>
          </cell>
        </row>
        <row r="654">
          <cell r="A654" t="str">
            <v>BV1013</v>
          </cell>
          <cell r="B654">
            <v>648</v>
          </cell>
          <cell r="C654" t="str">
            <v>Trần Thị Hiệp</v>
          </cell>
          <cell r="D654" t="str">
            <v>BV1013</v>
          </cell>
          <cell r="E654" t="str">
            <v>2020118347</v>
          </cell>
          <cell r="I654" t="str">
            <v>18/3/1989</v>
          </cell>
          <cell r="J654">
            <v>37</v>
          </cell>
          <cell r="K654" t="str">
            <v>082099183</v>
          </cell>
          <cell r="L654" t="str">
            <v>12/12/2006</v>
          </cell>
          <cell r="M654" t="str">
            <v>Công an tỉnh Lạng Sơn</v>
          </cell>
          <cell r="V654" t="str">
            <v>Xã Đào viên, huyện Tràng Định, tỉnh Lạng Sơn</v>
          </cell>
          <cell r="W654" t="str">
            <v>12/4/2020</v>
          </cell>
          <cell r="AA654">
            <v>0</v>
          </cell>
          <cell r="AB654" t="str">
            <v>TĐ047</v>
          </cell>
          <cell r="AC654" t="str">
            <v>Nội Tổng hợp</v>
          </cell>
          <cell r="AD654" t="str">
            <v>Nội Tổng hợp</v>
          </cell>
          <cell r="AE654" t="str">
            <v>HĐ có thời hạn</v>
          </cell>
          <cell r="AG654">
            <v>0</v>
          </cell>
          <cell r="AH654">
            <v>1.65</v>
          </cell>
          <cell r="AI654">
            <v>1</v>
          </cell>
          <cell r="AK654">
            <v>45689</v>
          </cell>
          <cell r="AL654" t="str">
            <v>Chứng chỉ</v>
          </cell>
          <cell r="AM654" t="str">
            <v>Hộ lý</v>
          </cell>
          <cell r="AQ654" t="str">
            <v>12/12</v>
          </cell>
          <cell r="AY654" t="str">
            <v>Tày</v>
          </cell>
        </row>
        <row r="655">
          <cell r="A655" t="str">
            <v>BV1028</v>
          </cell>
          <cell r="B655">
            <v>649</v>
          </cell>
          <cell r="C655" t="str">
            <v>Đỗ Bích Ngọc</v>
          </cell>
          <cell r="D655" t="str">
            <v>BV1028</v>
          </cell>
          <cell r="E655" t="str">
            <v>2020048438</v>
          </cell>
          <cell r="I655" t="str">
            <v>21/12/1980</v>
          </cell>
          <cell r="J655">
            <v>45</v>
          </cell>
          <cell r="K655" t="str">
            <v>080932122</v>
          </cell>
          <cell r="L655" t="str">
            <v>21/9/2006</v>
          </cell>
          <cell r="M655" t="str">
            <v>Công an tỉnh Lạng Sơn</v>
          </cell>
          <cell r="V655" t="str">
            <v>Phường Đông Kinh, Thành phố Lạng Sơn, Tỉnh Lạng Sơn</v>
          </cell>
          <cell r="W655" t="str">
            <v>11/5/2020</v>
          </cell>
          <cell r="AA655">
            <v>0</v>
          </cell>
          <cell r="AB655" t="str">
            <v>TĐ047</v>
          </cell>
          <cell r="AC655" t="str">
            <v>Nội TM</v>
          </cell>
          <cell r="AD655" t="str">
            <v>Nội TM</v>
          </cell>
          <cell r="AE655" t="str">
            <v>HĐ có thời hạn</v>
          </cell>
          <cell r="AG655">
            <v>0</v>
          </cell>
          <cell r="AH655" t="e">
            <v>#N/A</v>
          </cell>
          <cell r="AI655" t="e">
            <v>#N/A</v>
          </cell>
          <cell r="AK655" t="e">
            <v>#N/A</v>
          </cell>
          <cell r="AL655" t="str">
            <v>Chứng chỉ</v>
          </cell>
          <cell r="AM655" t="str">
            <v>Hộ lý</v>
          </cell>
          <cell r="AQ655" t="str">
            <v>12/12</v>
          </cell>
          <cell r="AY655" t="str">
            <v>Tày</v>
          </cell>
        </row>
        <row r="656">
          <cell r="A656" t="str">
            <v>BV1012</v>
          </cell>
          <cell r="B656">
            <v>650</v>
          </cell>
          <cell r="C656" t="str">
            <v>Hoàng Thị Chuyên</v>
          </cell>
          <cell r="D656" t="str">
            <v>BV1012</v>
          </cell>
          <cell r="E656" t="str">
            <v>2009003474</v>
          </cell>
          <cell r="G656" t="str">
            <v>CCCD: 020194000485
ngày cấp: 29/3/2021
Tại Cục cảnh sát quản lý hành chính về trật tự xã hội</v>
          </cell>
          <cell r="I656" t="str">
            <v>07/12/1981</v>
          </cell>
          <cell r="J656">
            <v>44</v>
          </cell>
          <cell r="K656" t="str">
            <v>080942276</v>
          </cell>
          <cell r="L656" t="str">
            <v>03/04/2015</v>
          </cell>
          <cell r="M656" t="str">
            <v>Công an tỉnh Lạng Sơn</v>
          </cell>
          <cell r="V656" t="str">
            <v>Phường Chi Lăng, Thành phố Lạng Sơn, Tỉnh Lạng Sơn</v>
          </cell>
          <cell r="W656" t="str">
            <v>12/4/2020</v>
          </cell>
          <cell r="AA656">
            <v>0</v>
          </cell>
          <cell r="AB656" t="str">
            <v>TĐ047</v>
          </cell>
          <cell r="AC656" t="str">
            <v>Nội Tổng hợp</v>
          </cell>
          <cell r="AD656" t="str">
            <v>Nội Tổng hợp</v>
          </cell>
          <cell r="AE656" t="str">
            <v>HĐ có thời hạn</v>
          </cell>
          <cell r="AG656">
            <v>0</v>
          </cell>
          <cell r="AH656">
            <v>1.65</v>
          </cell>
          <cell r="AI656">
            <v>1</v>
          </cell>
          <cell r="AK656">
            <v>45689</v>
          </cell>
          <cell r="AL656" t="str">
            <v>Chứng chỉ</v>
          </cell>
          <cell r="AM656" t="str">
            <v>Hộ lý</v>
          </cell>
          <cell r="AQ656" t="str">
            <v>9/12</v>
          </cell>
          <cell r="AY656" t="str">
            <v>Tày</v>
          </cell>
        </row>
        <row r="657">
          <cell r="A657" t="str">
            <v>BV1059</v>
          </cell>
          <cell r="B657">
            <v>651</v>
          </cell>
          <cell r="C657" t="str">
            <v>Hoàng Thị Xuyến</v>
          </cell>
          <cell r="D657" t="str">
            <v>BV1059</v>
          </cell>
          <cell r="E657" t="str">
            <v>2020848431</v>
          </cell>
          <cell r="I657" t="str">
            <v>01/02/1982</v>
          </cell>
          <cell r="J657">
            <v>44</v>
          </cell>
          <cell r="K657" t="str">
            <v>122379978</v>
          </cell>
          <cell r="L657" t="str">
            <v>29/3/2019</v>
          </cell>
          <cell r="V657" t="str">
            <v>Xã Hoàng Lương, huyện Hiệp Hòa, tỉnh Bắc Giang</v>
          </cell>
          <cell r="W657" t="str">
            <v>13/7/2020</v>
          </cell>
          <cell r="AA657">
            <v>0</v>
          </cell>
          <cell r="AB657" t="str">
            <v>TĐ047</v>
          </cell>
          <cell r="AC657" t="str">
            <v>Nội Thận-TN-LM</v>
          </cell>
          <cell r="AD657" t="str">
            <v>Nội Thận-TN-LM</v>
          </cell>
          <cell r="AE657" t="str">
            <v>HĐ có thời hạn</v>
          </cell>
          <cell r="AG657">
            <v>0</v>
          </cell>
          <cell r="AH657">
            <v>1.65</v>
          </cell>
          <cell r="AI657">
            <v>1</v>
          </cell>
          <cell r="AK657">
            <v>45689</v>
          </cell>
          <cell r="AL657" t="str">
            <v>Chứng chỉ</v>
          </cell>
          <cell r="AM657" t="str">
            <v>Hộ lý</v>
          </cell>
          <cell r="AY657" t="str">
            <v>Tày</v>
          </cell>
        </row>
        <row r="658">
          <cell r="A658" t="str">
            <v>BV1005</v>
          </cell>
          <cell r="B658">
            <v>652</v>
          </cell>
          <cell r="C658" t="str">
            <v>Đàm Thị Hợi</v>
          </cell>
          <cell r="D658" t="str">
            <v>BV1005</v>
          </cell>
          <cell r="E658" t="str">
            <v>1507003181</v>
          </cell>
          <cell r="I658" t="str">
            <v>04/06/1983</v>
          </cell>
          <cell r="J658">
            <v>43</v>
          </cell>
          <cell r="K658" t="str">
            <v>081001465</v>
          </cell>
          <cell r="L658" t="str">
            <v>28/02/2018</v>
          </cell>
          <cell r="M658" t="str">
            <v>Công an tỉnh Lạng Sơn</v>
          </cell>
          <cell r="V658" t="str">
            <v>Thị trấn Cao Lộc, huyên Cao Lộc, tỉnh Lạng Sơn</v>
          </cell>
          <cell r="W658" t="str">
            <v>12/4/2020</v>
          </cell>
          <cell r="AA658">
            <v>0</v>
          </cell>
          <cell r="AB658" t="str">
            <v>TĐ047</v>
          </cell>
          <cell r="AC658" t="str">
            <v>Chấn thương - Bỏng</v>
          </cell>
          <cell r="AD658" t="str">
            <v>Chấn thương - Bỏng</v>
          </cell>
          <cell r="AE658" t="str">
            <v>HĐ có thời hạn</v>
          </cell>
          <cell r="AG658">
            <v>0</v>
          </cell>
          <cell r="AH658">
            <v>1.65</v>
          </cell>
          <cell r="AI658">
            <v>1</v>
          </cell>
          <cell r="AK658">
            <v>45689</v>
          </cell>
          <cell r="AL658" t="str">
            <v>Chứng chỉ</v>
          </cell>
          <cell r="AM658" t="str">
            <v>Hộ lý</v>
          </cell>
          <cell r="AQ658" t="str">
            <v>9/12</v>
          </cell>
          <cell r="AY658" t="str">
            <v>Tày</v>
          </cell>
        </row>
        <row r="659">
          <cell r="A659" t="str">
            <v>BV1006</v>
          </cell>
          <cell r="B659">
            <v>653</v>
          </cell>
          <cell r="C659" t="str">
            <v>Hoàng Thị Thêu</v>
          </cell>
          <cell r="D659" t="str">
            <v>BV1006</v>
          </cell>
          <cell r="E659" t="str">
            <v>0112062997</v>
          </cell>
          <cell r="G659" t="str">
            <v>CCCD: 020178002555
ngày cấp: 24/4/2021
Tại Cục cảnh sát quản lý hành chính về trật tự xã hội</v>
          </cell>
          <cell r="I659" t="str">
            <v>05/11/1978</v>
          </cell>
          <cell r="J659">
            <v>47</v>
          </cell>
          <cell r="K659" t="str">
            <v>080995537</v>
          </cell>
          <cell r="L659" t="str">
            <v>13/07/2012</v>
          </cell>
          <cell r="M659" t="str">
            <v>Công an tỉnh Lạng Sơn</v>
          </cell>
          <cell r="V659" t="str">
            <v>Xã Mai Pha, Thành phố Lạng Sơn, Tỉnh Lạng Sơn</v>
          </cell>
          <cell r="W659" t="str">
            <v>12/4/2020</v>
          </cell>
          <cell r="AA659">
            <v>0</v>
          </cell>
          <cell r="AB659" t="str">
            <v>TĐ047</v>
          </cell>
          <cell r="AC659" t="str">
            <v>Chấn thương - Bỏng</v>
          </cell>
          <cell r="AD659" t="str">
            <v>Chấn thương - Bỏng</v>
          </cell>
          <cell r="AE659" t="str">
            <v>HĐ có thời hạn</v>
          </cell>
          <cell r="AG659">
            <v>0</v>
          </cell>
          <cell r="AH659">
            <v>1.65</v>
          </cell>
          <cell r="AI659">
            <v>1</v>
          </cell>
          <cell r="AK659">
            <v>45689</v>
          </cell>
          <cell r="AL659" t="str">
            <v>Chứng chỉ</v>
          </cell>
          <cell r="AM659" t="str">
            <v>Hộ lý</v>
          </cell>
          <cell r="AQ659" t="str">
            <v>9/12</v>
          </cell>
          <cell r="AY659" t="str">
            <v>Tày</v>
          </cell>
        </row>
        <row r="660">
          <cell r="A660" t="str">
            <v>BV1008</v>
          </cell>
          <cell r="B660">
            <v>654</v>
          </cell>
          <cell r="C660" t="str">
            <v>Vy Thị Xung</v>
          </cell>
          <cell r="D660" t="str">
            <v>BV1008</v>
          </cell>
          <cell r="E660" t="str">
            <v>2009001930</v>
          </cell>
          <cell r="I660" t="str">
            <v>10/01/1986</v>
          </cell>
          <cell r="J660">
            <v>40</v>
          </cell>
          <cell r="K660" t="str">
            <v>081017475</v>
          </cell>
          <cell r="L660" t="str">
            <v>18/12/2008</v>
          </cell>
          <cell r="M660" t="str">
            <v>Công an tỉnh Lạng Sơn</v>
          </cell>
          <cell r="V660" t="str">
            <v>Thị trấn Cao Lộc, huyên Cao Lộc, tỉnh Lạng Sơn</v>
          </cell>
          <cell r="W660" t="str">
            <v>12/4/2020</v>
          </cell>
          <cell r="AA660">
            <v>0</v>
          </cell>
          <cell r="AB660" t="str">
            <v>TĐ047</v>
          </cell>
          <cell r="AC660" t="str">
            <v>Ngoại Tiêu hóa</v>
          </cell>
          <cell r="AD660" t="str">
            <v>Ngoại Tiêu hóa</v>
          </cell>
          <cell r="AE660" t="str">
            <v>HĐ có thời hạn</v>
          </cell>
          <cell r="AG660">
            <v>0</v>
          </cell>
          <cell r="AH660">
            <v>1.65</v>
          </cell>
          <cell r="AI660">
            <v>1</v>
          </cell>
          <cell r="AK660">
            <v>45689</v>
          </cell>
          <cell r="AL660" t="str">
            <v>Chứng chỉ</v>
          </cell>
          <cell r="AM660" t="str">
            <v>Hộ lý</v>
          </cell>
          <cell r="AQ660" t="str">
            <v>12/12</v>
          </cell>
          <cell r="AY660" t="str">
            <v>Tày</v>
          </cell>
        </row>
        <row r="661">
          <cell r="A661" t="str">
            <v>BV1027</v>
          </cell>
          <cell r="B661">
            <v>655</v>
          </cell>
          <cell r="C661" t="str">
            <v>Đoàn Vân Hòa</v>
          </cell>
          <cell r="D661" t="str">
            <v>BV1027</v>
          </cell>
          <cell r="E661" t="str">
            <v>3621112594</v>
          </cell>
          <cell r="I661" t="str">
            <v>01/3/1986</v>
          </cell>
          <cell r="J661">
            <v>40</v>
          </cell>
          <cell r="K661" t="str">
            <v>082008239</v>
          </cell>
          <cell r="L661" t="str">
            <v>10/8/2012</v>
          </cell>
          <cell r="M661" t="str">
            <v>Công an tỉnh Lạng Sơn</v>
          </cell>
          <cell r="V661" t="str">
            <v>Xã Hùng Việt, huyện Tràng Định, tỉnh Lạng Sơn</v>
          </cell>
          <cell r="W661" t="str">
            <v>11/5/2020</v>
          </cell>
          <cell r="AA661">
            <v>0</v>
          </cell>
          <cell r="AB661" t="str">
            <v>TĐ047</v>
          </cell>
          <cell r="AC661" t="str">
            <v>Ngoại Tiêu hóa</v>
          </cell>
          <cell r="AD661" t="str">
            <v>Ngoại Tiêu hóa</v>
          </cell>
          <cell r="AE661" t="str">
            <v>HĐ có thời hạn</v>
          </cell>
          <cell r="AG661">
            <v>0</v>
          </cell>
          <cell r="AH661">
            <v>1.65</v>
          </cell>
          <cell r="AI661">
            <v>1</v>
          </cell>
          <cell r="AK661">
            <v>45689</v>
          </cell>
          <cell r="AL661" t="str">
            <v>Chứng chỉ</v>
          </cell>
          <cell r="AM661" t="str">
            <v>Hộ lý</v>
          </cell>
          <cell r="AQ661" t="str">
            <v>9/12</v>
          </cell>
          <cell r="AY661" t="str">
            <v>Tày</v>
          </cell>
        </row>
        <row r="662">
          <cell r="A662" t="str">
            <v>BV1015</v>
          </cell>
          <cell r="B662">
            <v>656</v>
          </cell>
          <cell r="C662" t="str">
            <v>Nguyễn Thị Thắm</v>
          </cell>
          <cell r="D662" t="str">
            <v>BV1015</v>
          </cell>
          <cell r="E662" t="str">
            <v>1500002001</v>
          </cell>
          <cell r="I662" t="str">
            <v>11/03/1979</v>
          </cell>
          <cell r="J662">
            <v>47</v>
          </cell>
          <cell r="K662" t="str">
            <v>081005246</v>
          </cell>
          <cell r="L662" t="str">
            <v>08/07/2015</v>
          </cell>
          <cell r="M662" t="str">
            <v>Công an tỉnh Lạng Sơn</v>
          </cell>
          <cell r="V662" t="str">
            <v>Thị trấn Cao Lộc, huyện Cao Lộc, tỉnh Lạng Sơn</v>
          </cell>
          <cell r="W662" t="str">
            <v>12/4/2020</v>
          </cell>
          <cell r="AA662">
            <v>0</v>
          </cell>
          <cell r="AB662" t="str">
            <v>TĐ047</v>
          </cell>
          <cell r="AC662" t="str">
            <v>Cấp Cứu</v>
          </cell>
          <cell r="AD662" t="str">
            <v>Cấp Cứu</v>
          </cell>
          <cell r="AE662" t="str">
            <v>HĐ có thời hạn</v>
          </cell>
          <cell r="AG662">
            <v>0</v>
          </cell>
          <cell r="AH662">
            <v>1.65</v>
          </cell>
          <cell r="AI662">
            <v>1</v>
          </cell>
          <cell r="AK662">
            <v>45689</v>
          </cell>
          <cell r="AL662" t="str">
            <v>Chứng chỉ</v>
          </cell>
          <cell r="AM662" t="str">
            <v>Hộ lý</v>
          </cell>
          <cell r="AQ662" t="str">
            <v>12/12</v>
          </cell>
          <cell r="AY662" t="str">
            <v>Kinh</v>
          </cell>
        </row>
        <row r="663">
          <cell r="A663" t="str">
            <v>BV0689</v>
          </cell>
          <cell r="B663">
            <v>657</v>
          </cell>
          <cell r="C663" t="str">
            <v>Nguyễn Thị Thúy</v>
          </cell>
          <cell r="D663" t="str">
            <v>BV0689</v>
          </cell>
          <cell r="E663">
            <v>11018106</v>
          </cell>
          <cell r="I663">
            <v>29735</v>
          </cell>
          <cell r="J663">
            <v>45</v>
          </cell>
          <cell r="L663" t="str">
            <v>18/05/2015</v>
          </cell>
          <cell r="M663" t="str">
            <v>CA tỉnh Lạng Sơn</v>
          </cell>
          <cell r="S663" t="str">
            <v>Tam Thanh</v>
          </cell>
          <cell r="T663" t="str">
            <v>TP Lạng Sơn</v>
          </cell>
          <cell r="U663" t="str">
            <v>Lạng Sơn</v>
          </cell>
          <cell r="V663" t="str">
            <v>Phường Tam Thanh, thành phố Lạng Sơn</v>
          </cell>
          <cell r="W663" t="str">
            <v xml:space="preserve"> 01/02/2016</v>
          </cell>
          <cell r="AA663">
            <v>0</v>
          </cell>
          <cell r="AB663" t="str">
            <v>TĐ047</v>
          </cell>
          <cell r="AC663" t="str">
            <v>Nhi</v>
          </cell>
          <cell r="AD663" t="str">
            <v>Nhi</v>
          </cell>
          <cell r="AE663" t="str">
            <v>HĐ có thời hạn</v>
          </cell>
          <cell r="AG663">
            <v>0</v>
          </cell>
          <cell r="AH663">
            <v>1.65</v>
          </cell>
          <cell r="AI663">
            <v>1</v>
          </cell>
          <cell r="AK663">
            <v>45689</v>
          </cell>
          <cell r="AL663" t="str">
            <v>Chứng chỉ</v>
          </cell>
          <cell r="AM663" t="str">
            <v>Hộ lý</v>
          </cell>
          <cell r="AY663" t="str">
            <v>Tày</v>
          </cell>
        </row>
        <row r="664">
          <cell r="A664" t="str">
            <v>BV0817</v>
          </cell>
          <cell r="B664">
            <v>658</v>
          </cell>
          <cell r="C664" t="str">
            <v>Trần Ngọc Thúy</v>
          </cell>
          <cell r="D664" t="str">
            <v>BV0817</v>
          </cell>
          <cell r="E664">
            <v>2020121987</v>
          </cell>
          <cell r="I664">
            <v>34665</v>
          </cell>
          <cell r="J664">
            <v>31</v>
          </cell>
          <cell r="K664">
            <v>82224443</v>
          </cell>
          <cell r="L664" t="str">
            <v>20/04/2015</v>
          </cell>
          <cell r="M664" t="str">
            <v>CA tỉnh Lạng Sơn</v>
          </cell>
          <cell r="O664" t="str">
            <v>Đào Viên</v>
          </cell>
          <cell r="P664" t="str">
            <v>Tràng Định</v>
          </cell>
          <cell r="Q664" t="str">
            <v>Lạng Sơn</v>
          </cell>
          <cell r="S664" t="str">
            <v>Đào Viên</v>
          </cell>
          <cell r="T664" t="str">
            <v>Tràng Định</v>
          </cell>
          <cell r="U664" t="str">
            <v>Lạng Sơn</v>
          </cell>
          <cell r="V664" t="str">
            <v>Xã Đào viên, huyện Tràng Định, tỉnh Lạng Sơn</v>
          </cell>
          <cell r="W664" t="str">
            <v>01/02/2018</v>
          </cell>
          <cell r="X664" t="str">
            <v>01/02/2018</v>
          </cell>
          <cell r="AA664">
            <v>0</v>
          </cell>
          <cell r="AB664" t="str">
            <v>TĐ047</v>
          </cell>
          <cell r="AC664" t="str">
            <v>Phụ sản</v>
          </cell>
          <cell r="AD664" t="str">
            <v>Phụ sản</v>
          </cell>
          <cell r="AE664" t="str">
            <v>HĐ có thời hạn</v>
          </cell>
          <cell r="AG664">
            <v>0</v>
          </cell>
          <cell r="AH664">
            <v>1.65</v>
          </cell>
          <cell r="AI664">
            <v>1</v>
          </cell>
          <cell r="AK664">
            <v>45689</v>
          </cell>
          <cell r="AL664" t="str">
            <v>Chứng chỉ</v>
          </cell>
          <cell r="AM664" t="str">
            <v>Hộ lý</v>
          </cell>
          <cell r="AY664" t="str">
            <v>Tày</v>
          </cell>
          <cell r="BC664" t="str">
            <v>13/10/2016</v>
          </cell>
        </row>
        <row r="665">
          <cell r="A665" t="str">
            <v>BV1016</v>
          </cell>
          <cell r="B665">
            <v>659</v>
          </cell>
          <cell r="C665" t="str">
            <v>Nông Thị Liễu</v>
          </cell>
          <cell r="D665" t="str">
            <v>BV1016</v>
          </cell>
          <cell r="E665" t="str">
            <v>2020711281</v>
          </cell>
          <cell r="I665" t="str">
            <v>23/11/1985</v>
          </cell>
          <cell r="J665">
            <v>40</v>
          </cell>
          <cell r="K665" t="str">
            <v>081048781</v>
          </cell>
          <cell r="L665" t="str">
            <v>04/01/2006</v>
          </cell>
          <cell r="M665" t="str">
            <v>Công an tỉnh Lạng Sơn</v>
          </cell>
          <cell r="V665" t="str">
            <v>Xã Lợi Bác, huyện Lộc Bình, tỉnh Lạng Sơn</v>
          </cell>
          <cell r="W665" t="str">
            <v>12/4/2020</v>
          </cell>
          <cell r="AA665">
            <v>0</v>
          </cell>
          <cell r="AB665" t="str">
            <v>TĐ047</v>
          </cell>
          <cell r="AC665" t="str">
            <v>Phụ sản</v>
          </cell>
          <cell r="AD665" t="str">
            <v>Phụ sản</v>
          </cell>
          <cell r="AE665" t="str">
            <v>HĐ có thời hạn</v>
          </cell>
          <cell r="AG665">
            <v>0</v>
          </cell>
          <cell r="AH665">
            <v>1.65</v>
          </cell>
          <cell r="AI665">
            <v>1</v>
          </cell>
          <cell r="AK665">
            <v>45689</v>
          </cell>
          <cell r="AL665" t="str">
            <v>Chứng chỉ</v>
          </cell>
          <cell r="AM665" t="str">
            <v>Hộ lý</v>
          </cell>
          <cell r="AQ665" t="str">
            <v>12/12</v>
          </cell>
          <cell r="AY665" t="str">
            <v>Tày</v>
          </cell>
        </row>
        <row r="666">
          <cell r="A666" t="str">
            <v>BV1017</v>
          </cell>
          <cell r="B666">
            <v>660</v>
          </cell>
          <cell r="C666" t="str">
            <v>Dương Thị Hiến</v>
          </cell>
          <cell r="D666" t="str">
            <v>BV1017</v>
          </cell>
          <cell r="E666" t="str">
            <v>0111173457</v>
          </cell>
          <cell r="I666" t="str">
            <v>11/5/1982</v>
          </cell>
          <cell r="J666">
            <v>44</v>
          </cell>
          <cell r="K666" t="str">
            <v>082047355</v>
          </cell>
          <cell r="L666" t="str">
            <v>26/8/2005</v>
          </cell>
          <cell r="M666" t="str">
            <v>Công an tỉnh Lạng Sơn</v>
          </cell>
          <cell r="V666" t="str">
            <v>Xã Tân Liên, huyên Cao Lộc, tỉnh Lạng Sơn</v>
          </cell>
          <cell r="W666" t="str">
            <v>12/4/2020</v>
          </cell>
          <cell r="AA666">
            <v>0</v>
          </cell>
          <cell r="AB666" t="str">
            <v>TĐ047</v>
          </cell>
          <cell r="AC666" t="str">
            <v>Phụ sản</v>
          </cell>
          <cell r="AD666" t="str">
            <v>Phụ sản</v>
          </cell>
          <cell r="AE666" t="str">
            <v>HĐ có thời hạn</v>
          </cell>
          <cell r="AG666">
            <v>0</v>
          </cell>
          <cell r="AH666">
            <v>1.65</v>
          </cell>
          <cell r="AI666">
            <v>1</v>
          </cell>
          <cell r="AK666">
            <v>45689</v>
          </cell>
          <cell r="AL666" t="str">
            <v>Chứng chỉ</v>
          </cell>
          <cell r="AM666" t="str">
            <v>Hộ lý</v>
          </cell>
          <cell r="AQ666" t="str">
            <v>9/12</v>
          </cell>
          <cell r="AY666" t="str">
            <v>Tày</v>
          </cell>
        </row>
        <row r="667">
          <cell r="A667" t="str">
            <v>BV0770</v>
          </cell>
          <cell r="B667">
            <v>661</v>
          </cell>
          <cell r="C667" t="str">
            <v>Nông Thúy Mai</v>
          </cell>
          <cell r="D667" t="str">
            <v>BV0770</v>
          </cell>
          <cell r="E667">
            <v>2020021176</v>
          </cell>
          <cell r="F667">
            <v>2099879755</v>
          </cell>
          <cell r="I667" t="str">
            <v>14/10/1978</v>
          </cell>
          <cell r="J667">
            <v>47</v>
          </cell>
          <cell r="K667" t="str">
            <v>080966744</v>
          </cell>
          <cell r="L667" t="str">
            <v>30/9/2010</v>
          </cell>
          <cell r="M667" t="str">
            <v>CA tỉnh Lạng Sơn</v>
          </cell>
          <cell r="O667" t="str">
            <v>Hoàng Đồng</v>
          </cell>
          <cell r="P667" t="str">
            <v>Lạng Sơn</v>
          </cell>
          <cell r="Q667" t="str">
            <v>Lạng Sơn</v>
          </cell>
          <cell r="S667" t="str">
            <v>Hoàng Đồng</v>
          </cell>
          <cell r="T667" t="str">
            <v>Lạng Sơn</v>
          </cell>
          <cell r="U667" t="str">
            <v>Lạng Sơn</v>
          </cell>
          <cell r="V667" t="str">
            <v>Hoàng Đồng, Lạng Sơn, Lạng Sơn</v>
          </cell>
          <cell r="W667" t="str">
            <v xml:space="preserve"> 02/10/2017</v>
          </cell>
          <cell r="AA667">
            <v>0</v>
          </cell>
          <cell r="AB667" t="str">
            <v>TĐ047</v>
          </cell>
          <cell r="AC667" t="str">
            <v>Răng Hàm Mặt</v>
          </cell>
          <cell r="AD667" t="str">
            <v>Răng Hàm Mặt</v>
          </cell>
          <cell r="AE667" t="str">
            <v>HĐ có thời hạn</v>
          </cell>
          <cell r="AG667">
            <v>0</v>
          </cell>
          <cell r="AH667">
            <v>1.65</v>
          </cell>
          <cell r="AI667">
            <v>1</v>
          </cell>
          <cell r="AK667">
            <v>45689</v>
          </cell>
          <cell r="AL667" t="str">
            <v>Chứng chỉ</v>
          </cell>
          <cell r="AM667" t="str">
            <v>Hộ lý</v>
          </cell>
          <cell r="AY667" t="str">
            <v>Tày</v>
          </cell>
        </row>
        <row r="668">
          <cell r="A668" t="str">
            <v>BV1010</v>
          </cell>
          <cell r="B668">
            <v>662</v>
          </cell>
          <cell r="C668" t="str">
            <v>Đặng Thị Thoa</v>
          </cell>
          <cell r="D668" t="str">
            <v>BV1010</v>
          </cell>
          <cell r="E668" t="str">
            <v>2020959562</v>
          </cell>
          <cell r="I668" t="str">
            <v>31/7/1973</v>
          </cell>
          <cell r="J668">
            <v>52</v>
          </cell>
          <cell r="M668" t="str">
            <v>Công an tỉnh Lạng Sơn</v>
          </cell>
          <cell r="V668" t="str">
            <v>Xã Hoàng Đồng, thành phố Lạng Sơn</v>
          </cell>
          <cell r="W668" t="str">
            <v>12/4/2020</v>
          </cell>
          <cell r="AA668">
            <v>0</v>
          </cell>
          <cell r="AB668" t="str">
            <v>TĐ047</v>
          </cell>
          <cell r="AC668" t="str">
            <v>Tâm thần - Thần kinh</v>
          </cell>
          <cell r="AD668" t="str">
            <v>Tâm thần - Thần kinh</v>
          </cell>
          <cell r="AE668" t="str">
            <v>HĐ có thời hạn</v>
          </cell>
          <cell r="AG668">
            <v>0</v>
          </cell>
          <cell r="AH668">
            <v>1.65</v>
          </cell>
          <cell r="AI668">
            <v>1</v>
          </cell>
          <cell r="AK668">
            <v>45689</v>
          </cell>
          <cell r="AL668" t="str">
            <v>Chứng chỉ</v>
          </cell>
          <cell r="AM668" t="str">
            <v>Hộ lý</v>
          </cell>
          <cell r="AY668" t="str">
            <v>Tày</v>
          </cell>
        </row>
        <row r="669">
          <cell r="A669" t="str">
            <v>BV1024</v>
          </cell>
          <cell r="B669">
            <v>663</v>
          </cell>
          <cell r="C669" t="str">
            <v>Trần Thị Hòa</v>
          </cell>
          <cell r="D669" t="str">
            <v>BV1024</v>
          </cell>
          <cell r="E669" t="e">
            <v>#N/A</v>
          </cell>
          <cell r="I669" t="str">
            <v>23/7/1983</v>
          </cell>
          <cell r="J669">
            <v>42</v>
          </cell>
          <cell r="K669" t="str">
            <v>082373848</v>
          </cell>
          <cell r="L669" t="str">
            <v>23/5/2018</v>
          </cell>
          <cell r="M669" t="str">
            <v>Công an tỉnh Lạng Sơn</v>
          </cell>
          <cell r="V669" t="str">
            <v>Thôn Phú Nhuận, xã Điềm He, huyện Văn Quan, tỉnh Lạng Sơn</v>
          </cell>
          <cell r="W669" t="str">
            <v>12/4/2020</v>
          </cell>
          <cell r="AA669">
            <v>0</v>
          </cell>
          <cell r="AB669" t="str">
            <v>TĐ047</v>
          </cell>
          <cell r="AC669" t="str">
            <v>Truyền nhiễm</v>
          </cell>
          <cell r="AD669" t="str">
            <v>Truyền nhiễm</v>
          </cell>
          <cell r="AE669" t="str">
            <v>HĐ có thời hạn</v>
          </cell>
          <cell r="AG669">
            <v>0</v>
          </cell>
          <cell r="AH669">
            <v>1.65</v>
          </cell>
          <cell r="AI669">
            <v>1</v>
          </cell>
          <cell r="AK669">
            <v>45689</v>
          </cell>
          <cell r="AL669" t="str">
            <v>Chứng chỉ</v>
          </cell>
          <cell r="AM669" t="str">
            <v>Hộ lý</v>
          </cell>
          <cell r="AQ669" t="str">
            <v>12/12</v>
          </cell>
          <cell r="AY669" t="str">
            <v>Tày</v>
          </cell>
        </row>
        <row r="670">
          <cell r="A670" t="str">
            <v>BV0626</v>
          </cell>
          <cell r="B670">
            <v>664</v>
          </cell>
          <cell r="C670" t="str">
            <v>Trần Mậu Quý</v>
          </cell>
          <cell r="D670" t="str">
            <v>BV0626</v>
          </cell>
          <cell r="E670">
            <v>1503001733</v>
          </cell>
          <cell r="F670">
            <v>2099811694</v>
          </cell>
          <cell r="G670" t="str">
            <v>CCCD: 020079009951
Ngày cấp: 05/7/2021
Tại Cục cảnh sát quản lý hành chính về trật tự xã hội</v>
          </cell>
          <cell r="H670">
            <v>29110</v>
          </cell>
          <cell r="J670">
            <v>46</v>
          </cell>
          <cell r="K670" t="str">
            <v>080982650</v>
          </cell>
          <cell r="L670" t="str">
            <v>19/09/2014</v>
          </cell>
          <cell r="M670" t="str">
            <v>CA tỉnh Lạng Sơn</v>
          </cell>
          <cell r="O670" t="str">
            <v>Xã Nam Trung</v>
          </cell>
          <cell r="P670" t="str">
            <v>Huyện Nam Đàn</v>
          </cell>
          <cell r="Q670" t="str">
            <v>Tỉnh Nghệ An</v>
          </cell>
          <cell r="S670" t="str">
            <v>Xã Mai Pha</v>
          </cell>
          <cell r="T670" t="str">
            <v>Thành phố Lạng Sơn</v>
          </cell>
          <cell r="U670" t="str">
            <v>Tỉnh Lạng Sơn</v>
          </cell>
          <cell r="V670" t="str">
            <v>Xã Mai Pha, Thành phố Lạng Sơn, Tỉnh Lạng Sơn</v>
          </cell>
          <cell r="W670" t="str">
            <v>5/1/2015</v>
          </cell>
          <cell r="AA670">
            <v>0</v>
          </cell>
          <cell r="AB670" t="str">
            <v>TĐ022</v>
          </cell>
          <cell r="AC670" t="str">
            <v>HCQT</v>
          </cell>
          <cell r="AD670" t="str">
            <v>HCQT</v>
          </cell>
          <cell r="AE670" t="str">
            <v>Viên chức</v>
          </cell>
          <cell r="AG670">
            <v>0</v>
          </cell>
          <cell r="AH670" t="str">
            <v>2.72</v>
          </cell>
          <cell r="AI670">
            <v>3</v>
          </cell>
          <cell r="AK670" t="str">
            <v>02/4/2026</v>
          </cell>
          <cell r="AL670" t="str">
            <v>Cao đẳng</v>
          </cell>
          <cell r="AM670" t="str">
            <v>KTCĐ</v>
          </cell>
          <cell r="AY670" t="str">
            <v>Kinh</v>
          </cell>
        </row>
        <row r="671">
          <cell r="A671" t="str">
            <v>BV0455</v>
          </cell>
          <cell r="B671">
            <v>665</v>
          </cell>
          <cell r="C671" t="str">
            <v>Đoàn Thị Hòa</v>
          </cell>
          <cell r="D671" t="str">
            <v>BV0455</v>
          </cell>
          <cell r="E671">
            <v>1503000181</v>
          </cell>
          <cell r="G671" t="str">
            <v>CCCD: 020176002027
Ngày cấp: 20/4/2021
Tại Cục cảnh sát quản lý hành chính về trật tự xã hội</v>
          </cell>
          <cell r="I671">
            <v>27917</v>
          </cell>
          <cell r="J671">
            <v>50</v>
          </cell>
          <cell r="K671" t="str">
            <v>081003482</v>
          </cell>
          <cell r="L671" t="str">
            <v>14/08/2002</v>
          </cell>
          <cell r="M671" t="str">
            <v>CA tỉnh Lạng Sơn</v>
          </cell>
          <cell r="P671" t="str">
            <v>Huyện Cao Lộc</v>
          </cell>
          <cell r="Q671" t="str">
            <v>Tỉnh Lạng Sơn</v>
          </cell>
          <cell r="S671" t="str">
            <v>Phường Tam Thanh</v>
          </cell>
          <cell r="T671" t="str">
            <v>Thành phố Lạng Sơn</v>
          </cell>
          <cell r="U671" t="str">
            <v>Tỉnh Lạng Sơn</v>
          </cell>
          <cell r="V671" t="str">
            <v>Phường Tam Thanh, Thành phố Lạng Sơn, Tỉnh Lạng Sơn</v>
          </cell>
          <cell r="W671" t="str">
            <v>1/8/2006</v>
          </cell>
          <cell r="AA671">
            <v>0</v>
          </cell>
          <cell r="AB671" t="str">
            <v>TĐ022</v>
          </cell>
          <cell r="AC671" t="str">
            <v>TCKT</v>
          </cell>
          <cell r="AD671" t="str">
            <v>TCKT</v>
          </cell>
          <cell r="AE671" t="str">
            <v>HĐ có thời hạn</v>
          </cell>
          <cell r="AG671">
            <v>0</v>
          </cell>
          <cell r="AH671" t="str">
            <v>3.03</v>
          </cell>
          <cell r="AI671">
            <v>4</v>
          </cell>
          <cell r="AK671" t="str">
            <v>01/7/2025</v>
          </cell>
          <cell r="AL671" t="str">
            <v>Cao đẳng</v>
          </cell>
          <cell r="AM671" t="str">
            <v>KTCĐ</v>
          </cell>
          <cell r="AY671" t="str">
            <v>Tày</v>
          </cell>
        </row>
        <row r="672">
          <cell r="A672" t="str">
            <v>BV1067</v>
          </cell>
          <cell r="B672">
            <v>666</v>
          </cell>
          <cell r="C672" t="str">
            <v>Trương Thị Quỳnh Trang</v>
          </cell>
          <cell r="D672" t="str">
            <v>BV1067</v>
          </cell>
          <cell r="E672" t="str">
            <v>1507000760</v>
          </cell>
          <cell r="I672">
            <v>30826</v>
          </cell>
          <cell r="J672">
            <v>42</v>
          </cell>
          <cell r="K672" t="str">
            <v>081037406</v>
          </cell>
          <cell r="L672">
            <v>41836</v>
          </cell>
          <cell r="V672" t="str">
            <v>Số 6 đường Trần Quốc Toản, phường Hoàng Văn Thụ, thành phố Lạng Sơn, tỉnh Lạng Sơn</v>
          </cell>
          <cell r="W672" t="str">
            <v xml:space="preserve">09/9/2020 </v>
          </cell>
          <cell r="AA672">
            <v>0</v>
          </cell>
          <cell r="AB672" t="str">
            <v>TĐ021</v>
          </cell>
          <cell r="AC672" t="str">
            <v>CNTT</v>
          </cell>
          <cell r="AD672" t="str">
            <v>CNTT</v>
          </cell>
          <cell r="AE672" t="str">
            <v>Viên chức</v>
          </cell>
          <cell r="AG672">
            <v>0</v>
          </cell>
          <cell r="AH672" t="str">
            <v>2.67</v>
          </cell>
          <cell r="AI672">
            <v>2</v>
          </cell>
          <cell r="AK672">
            <v>45544</v>
          </cell>
          <cell r="AL672" t="str">
            <v>Đại học</v>
          </cell>
          <cell r="AM672" t="str">
            <v>KTĐH</v>
          </cell>
          <cell r="AY672" t="str">
            <v>Tày</v>
          </cell>
        </row>
        <row r="673">
          <cell r="A673" t="str">
            <v>BV0621</v>
          </cell>
          <cell r="B673">
            <v>667</v>
          </cell>
          <cell r="C673" t="str">
            <v>Hoàng Thị Dầm</v>
          </cell>
          <cell r="D673" t="str">
            <v>BV0621</v>
          </cell>
          <cell r="E673">
            <v>2010000016</v>
          </cell>
          <cell r="G673" t="str">
            <v>CCCD: 020188005204
Ngày cấp: 25/6/2021
Tại Cục cảnh sát quản lý hành chính về trật tự xã hội</v>
          </cell>
          <cell r="I673">
            <v>32482</v>
          </cell>
          <cell r="J673">
            <v>37</v>
          </cell>
          <cell r="K673" t="str">
            <v>082150412</v>
          </cell>
          <cell r="L673" t="str">
            <v>29/07/2007</v>
          </cell>
          <cell r="M673" t="str">
            <v>CA tỉnh Lạng Sơn</v>
          </cell>
          <cell r="O673" t="str">
            <v>Xã Gia Cát</v>
          </cell>
          <cell r="P673" t="str">
            <v>Huyện Cao Lộc</v>
          </cell>
          <cell r="Q673" t="str">
            <v>Tỉnh Lạng Sơn</v>
          </cell>
          <cell r="S673" t="str">
            <v>Xã Gia Cát</v>
          </cell>
          <cell r="T673" t="str">
            <v>Huyện Cao Lộc</v>
          </cell>
          <cell r="U673" t="str">
            <v>Tỉnh Lạng Sơn</v>
          </cell>
          <cell r="V673" t="str">
            <v>Số 55 Phố Muối, phường Tam Thanh, thành phố Lạng Sơn</v>
          </cell>
          <cell r="W673" t="str">
            <v>1/2/2013</v>
          </cell>
          <cell r="AA673">
            <v>0</v>
          </cell>
          <cell r="AB673" t="str">
            <v>TĐ022</v>
          </cell>
          <cell r="AC673" t="str">
            <v>HCQT</v>
          </cell>
          <cell r="AD673" t="str">
            <v>HCQT</v>
          </cell>
          <cell r="AE673" t="str">
            <v>Viên chức</v>
          </cell>
          <cell r="AG673">
            <v>0</v>
          </cell>
          <cell r="AH673" t="str">
            <v>2.41</v>
          </cell>
          <cell r="AI673">
            <v>2</v>
          </cell>
          <cell r="AK673" t="str">
            <v>01/10/2024</v>
          </cell>
          <cell r="AL673" t="str">
            <v>Trung cấp</v>
          </cell>
          <cell r="AM673" t="str">
            <v>KTCĐ</v>
          </cell>
          <cell r="AQ673" t="str">
            <v>12/12</v>
          </cell>
          <cell r="AY673" t="str">
            <v>Tày</v>
          </cell>
        </row>
        <row r="674">
          <cell r="A674" t="str">
            <v>BV0850</v>
          </cell>
          <cell r="B674">
            <v>668</v>
          </cell>
          <cell r="C674" t="str">
            <v>Dương Minh Thiện</v>
          </cell>
          <cell r="D674" t="str">
            <v>BV0850</v>
          </cell>
          <cell r="E674">
            <v>2020759488</v>
          </cell>
          <cell r="G674" t="str">
            <v>CMT: 082315063, 
Ngày cấp 13/05/2014, 
CA Lạng Sơn</v>
          </cell>
          <cell r="H674" t="str">
            <v>10/02/1996</v>
          </cell>
          <cell r="J674">
            <v>30</v>
          </cell>
          <cell r="K674" t="str">
            <v>082315063</v>
          </cell>
          <cell r="L674" t="str">
            <v>13/05/2014</v>
          </cell>
          <cell r="M674" t="str">
            <v>CA tỉnh Lạng Sơn</v>
          </cell>
          <cell r="V674" t="str">
            <v>Thị trấn Đình Lập, Huyện Đình Lập, Tỉnh Lạng Sơn</v>
          </cell>
          <cell r="W674" t="str">
            <v>05/9/2018</v>
          </cell>
          <cell r="X674" t="str">
            <v>01/9/2018</v>
          </cell>
          <cell r="AA674">
            <v>0</v>
          </cell>
          <cell r="AB674" t="str">
            <v>TĐ015</v>
          </cell>
          <cell r="AC674" t="str">
            <v>CĐHA</v>
          </cell>
          <cell r="AD674" t="str">
            <v>CĐHA</v>
          </cell>
          <cell r="AE674" t="str">
            <v>Viên chức</v>
          </cell>
          <cell r="AG674">
            <v>0</v>
          </cell>
          <cell r="AH674" t="str">
            <v>3.00</v>
          </cell>
          <cell r="AI674">
            <v>3</v>
          </cell>
          <cell r="AK674" t="str">
            <v>05/9/2025</v>
          </cell>
          <cell r="AL674" t="str">
            <v>Cao đẳng</v>
          </cell>
          <cell r="AM674" t="str">
            <v>KTY CĐ</v>
          </cell>
          <cell r="AY674" t="str">
            <v>Nùng</v>
          </cell>
        </row>
        <row r="675">
          <cell r="A675" t="str">
            <v>BV0766</v>
          </cell>
          <cell r="B675">
            <v>669</v>
          </cell>
          <cell r="C675" t="str">
            <v>Trần Thị Thủy</v>
          </cell>
          <cell r="D675" t="str">
            <v>BV0766</v>
          </cell>
          <cell r="E675">
            <v>2020056183</v>
          </cell>
          <cell r="F675">
            <v>2099890997</v>
          </cell>
          <cell r="G675" t="str">
            <v>020195001863 cấp ngày 29/04/2021, nơi cấp: Cục cảnh sát quản lý hành chính và trật tự xã hội</v>
          </cell>
          <cell r="I675">
            <v>34966</v>
          </cell>
          <cell r="J675">
            <v>30</v>
          </cell>
          <cell r="K675" t="str">
            <v>082250068</v>
          </cell>
          <cell r="L675" t="str">
            <v>04/11/2010</v>
          </cell>
          <cell r="M675" t="str">
            <v>CA tỉnh Lạng Sơn</v>
          </cell>
          <cell r="O675" t="str">
            <v>TT Văn Quan</v>
          </cell>
          <cell r="P675" t="str">
            <v>Văn Quan</v>
          </cell>
          <cell r="Q675" t="str">
            <v>Tỉnh Lạng Sơn</v>
          </cell>
          <cell r="S675" t="str">
            <v>Mai Pha</v>
          </cell>
          <cell r="T675" t="str">
            <v>TP Lạng Sơn</v>
          </cell>
          <cell r="U675" t="str">
            <v>Tỉnh Lạng Sơn</v>
          </cell>
          <cell r="V675" t="str">
            <v>Xã Mai Pha, Thành phố Lạng Sơn, Tỉnh Lạng Sơn</v>
          </cell>
          <cell r="W675" t="str">
            <v>01/01/2017</v>
          </cell>
          <cell r="AA675">
            <v>0</v>
          </cell>
          <cell r="AB675" t="str">
            <v>TĐ015</v>
          </cell>
          <cell r="AC675" t="str">
            <v>HH-TM</v>
          </cell>
          <cell r="AD675" t="str">
            <v>HH-TM</v>
          </cell>
          <cell r="AE675" t="str">
            <v>Viên chức</v>
          </cell>
          <cell r="AG675">
            <v>0</v>
          </cell>
          <cell r="AH675" t="str">
            <v>2.72</v>
          </cell>
          <cell r="AI675">
            <v>3</v>
          </cell>
          <cell r="AK675">
            <v>45200</v>
          </cell>
          <cell r="AL675" t="str">
            <v>Cao đẳng</v>
          </cell>
          <cell r="AM675" t="str">
            <v>KTY CĐ</v>
          </cell>
          <cell r="AO675" t="str">
            <v>CĐ Y Tế Phú Thọ</v>
          </cell>
          <cell r="AP675">
            <v>2016</v>
          </cell>
          <cell r="AQ675" t="str">
            <v>12/12</v>
          </cell>
          <cell r="AU675" t="str">
            <v>Anh B</v>
          </cell>
          <cell r="AW675" t="str">
            <v>B</v>
          </cell>
          <cell r="AY675" t="str">
            <v>Tày</v>
          </cell>
          <cell r="BA675" t="e">
            <v>#REF!</v>
          </cell>
          <cell r="BB675" t="e">
            <v>#REF!</v>
          </cell>
        </row>
        <row r="676">
          <cell r="A676" t="str">
            <v>BV0510</v>
          </cell>
          <cell r="B676">
            <v>670</v>
          </cell>
          <cell r="C676" t="str">
            <v>Hoàng Thị Kim Hải</v>
          </cell>
          <cell r="D676" t="str">
            <v>BV0510</v>
          </cell>
          <cell r="E676">
            <v>2015002112</v>
          </cell>
          <cell r="G676" t="str">
            <v>CCCD: 020193002196
Ngày cấp: 29/4/2021, nơi cấp: Cục cảnh sát quản lý hành chính và trật tự xã hội</v>
          </cell>
          <cell r="I676">
            <v>34032</v>
          </cell>
          <cell r="J676">
            <v>33</v>
          </cell>
          <cell r="K676" t="str">
            <v>082176129</v>
          </cell>
          <cell r="L676" t="str">
            <v>23/06/2008</v>
          </cell>
          <cell r="M676" t="str">
            <v>CA tỉnh Lạng Sơn</v>
          </cell>
          <cell r="O676" t="str">
            <v>Xã Bắc Thủy</v>
          </cell>
          <cell r="P676" t="str">
            <v>Huyện Chi Lăng</v>
          </cell>
          <cell r="Q676" t="str">
            <v>Tỉnh Lạng Sơn</v>
          </cell>
          <cell r="S676" t="str">
            <v>Xã Bắc Thủy</v>
          </cell>
          <cell r="T676" t="str">
            <v>Huyện Chi Lăng</v>
          </cell>
          <cell r="U676" t="str">
            <v>Tỉnh Lạng Sơn</v>
          </cell>
          <cell r="V676" t="str">
            <v>Xã Bắc Thủy, Huyện Chi Lăng, Tỉnh Lạng Sơn</v>
          </cell>
          <cell r="W676" t="str">
            <v>1/1/2015</v>
          </cell>
          <cell r="AA676">
            <v>0</v>
          </cell>
          <cell r="AB676" t="str">
            <v>TĐ015</v>
          </cell>
          <cell r="AC676" t="str">
            <v>HS-VS</v>
          </cell>
          <cell r="AD676" t="str">
            <v>HS-VS</v>
          </cell>
          <cell r="AE676" t="str">
            <v>Viên chức</v>
          </cell>
          <cell r="AG676">
            <v>0</v>
          </cell>
          <cell r="AH676" t="str">
            <v>3.03</v>
          </cell>
          <cell r="AI676">
            <v>4</v>
          </cell>
          <cell r="AK676">
            <v>45566</v>
          </cell>
          <cell r="AL676" t="str">
            <v>Cao đẳng</v>
          </cell>
          <cell r="AM676" t="str">
            <v>KTY CĐ</v>
          </cell>
          <cell r="AO676" t="str">
            <v>CĐ Y té Phú Thọ</v>
          </cell>
          <cell r="AP676">
            <v>2014</v>
          </cell>
          <cell r="AQ676" t="str">
            <v>12/12</v>
          </cell>
          <cell r="AU676" t="str">
            <v>Anh B</v>
          </cell>
          <cell r="AW676" t="str">
            <v>B</v>
          </cell>
          <cell r="AY676" t="str">
            <v>Nùng</v>
          </cell>
          <cell r="BA676" t="e">
            <v>#REF!</v>
          </cell>
          <cell r="BB676" t="e">
            <v>#REF!</v>
          </cell>
        </row>
        <row r="677">
          <cell r="A677" t="str">
            <v>BV1041</v>
          </cell>
          <cell r="B677">
            <v>671</v>
          </cell>
          <cell r="C677" t="str">
            <v>Vi Thị Hiển</v>
          </cell>
          <cell r="D677" t="str">
            <v>BV1041</v>
          </cell>
          <cell r="E677" t="str">
            <v>2020663340</v>
          </cell>
          <cell r="G677" t="str">
            <v>CCCD: 020193002195
Ngày cấp: 29/4/2021, nơi cấp: Cục cảnh sát quản lý hành chính và trật tự xã hội</v>
          </cell>
          <cell r="I677" t="str">
            <v>07/11/1993</v>
          </cell>
          <cell r="J677">
            <v>32</v>
          </cell>
          <cell r="K677" t="str">
            <v>082214049</v>
          </cell>
          <cell r="L677" t="str">
            <v>13/7/1993</v>
          </cell>
          <cell r="M677" t="str">
            <v>0977839941</v>
          </cell>
          <cell r="V677" t="str">
            <v>Xã Đồng Bục, huyện Lộc Bình, tỉnh Lạng Sơn</v>
          </cell>
          <cell r="W677" t="str">
            <v>13/7/2020</v>
          </cell>
          <cell r="AA677">
            <v>0</v>
          </cell>
          <cell r="AB677" t="str">
            <v>TĐ015</v>
          </cell>
          <cell r="AC677" t="str">
            <v>HS-VS</v>
          </cell>
          <cell r="AD677" t="str">
            <v>HS-VS</v>
          </cell>
          <cell r="AE677" t="str">
            <v>Viên chức</v>
          </cell>
          <cell r="AG677">
            <v>0</v>
          </cell>
          <cell r="AH677" t="str">
            <v>2.41</v>
          </cell>
          <cell r="AI677">
            <v>2</v>
          </cell>
          <cell r="AK677">
            <v>45395</v>
          </cell>
          <cell r="AL677" t="str">
            <v>Cao đẳng</v>
          </cell>
          <cell r="AM677" t="str">
            <v>KTY CĐ</v>
          </cell>
          <cell r="AY677" t="str">
            <v>Tày</v>
          </cell>
        </row>
        <row r="678">
          <cell r="A678" t="str">
            <v>BV0813</v>
          </cell>
          <cell r="B678">
            <v>672</v>
          </cell>
          <cell r="C678" t="str">
            <v>Trần Thị Thảo</v>
          </cell>
          <cell r="D678" t="str">
            <v>BV0813</v>
          </cell>
          <cell r="E678">
            <v>2020030843</v>
          </cell>
          <cell r="G678" t="str">
            <v>CCCD: 020193002184
Ngày cấp: 29/4/2021, nơi cấp: Cục cảnh sát quản lý hành chính và trật tự xã hội</v>
          </cell>
          <cell r="I678" t="str">
            <v>11/08/1993</v>
          </cell>
          <cell r="J678">
            <v>32</v>
          </cell>
          <cell r="K678" t="str">
            <v>082222737</v>
          </cell>
          <cell r="L678" t="str">
            <v>25/09/2009</v>
          </cell>
          <cell r="M678" t="str">
            <v>CA tỉnh Lạng Sơn</v>
          </cell>
          <cell r="P678" t="str">
            <v>Văn Quan</v>
          </cell>
          <cell r="Q678" t="str">
            <v>Tỉnh Lạng Sơn</v>
          </cell>
          <cell r="S678" t="str">
            <v>Tân Lập</v>
          </cell>
          <cell r="T678" t="str">
            <v>TP Lạng Sơn</v>
          </cell>
          <cell r="U678" t="str">
            <v xml:space="preserve"> Lạng Sơn</v>
          </cell>
          <cell r="V678" t="str">
            <v>Xã Mai Pha, Thành phố Lạng Sơn, Tỉnh Lạng Sơn</v>
          </cell>
          <cell r="W678" t="str">
            <v>13/12/2017</v>
          </cell>
          <cell r="X678" t="str">
            <v>13/12/2017</v>
          </cell>
          <cell r="AA678">
            <v>0</v>
          </cell>
          <cell r="AB678" t="str">
            <v>TĐ014</v>
          </cell>
          <cell r="AC678" t="str">
            <v>HS-VS</v>
          </cell>
          <cell r="AD678" t="str">
            <v>HS-VS</v>
          </cell>
          <cell r="AE678" t="str">
            <v>Viên chức</v>
          </cell>
          <cell r="AG678">
            <v>0</v>
          </cell>
          <cell r="AH678" t="str">
            <v>3.00</v>
          </cell>
          <cell r="AI678">
            <v>3</v>
          </cell>
          <cell r="AK678" t="str">
            <v>3/12/2024</v>
          </cell>
          <cell r="AL678" t="str">
            <v>Đại học</v>
          </cell>
          <cell r="AM678" t="str">
            <v>KTY ĐH</v>
          </cell>
          <cell r="AO678" t="str">
            <v>ĐH Khoa học Thái Nguyên</v>
          </cell>
          <cell r="AP678">
            <v>2015</v>
          </cell>
          <cell r="AQ678" t="str">
            <v>12/12</v>
          </cell>
          <cell r="AU678" t="str">
            <v>Anh A2</v>
          </cell>
          <cell r="AW678" t="str">
            <v>B</v>
          </cell>
          <cell r="AX678" t="str">
            <v>CC Định hướng chuyên khoa</v>
          </cell>
          <cell r="AY678" t="str">
            <v>Nùng</v>
          </cell>
          <cell r="BA678" t="e">
            <v>#REF!</v>
          </cell>
          <cell r="BB678" t="e">
            <v>#REF!</v>
          </cell>
        </row>
        <row r="679">
          <cell r="A679" t="str">
            <v>BV0955</v>
          </cell>
          <cell r="B679">
            <v>673</v>
          </cell>
          <cell r="C679" t="str">
            <v>Phan Thị Vân Anh</v>
          </cell>
          <cell r="D679" t="str">
            <v>BV0955</v>
          </cell>
          <cell r="E679" t="str">
            <v>2020459516</v>
          </cell>
          <cell r="G679" t="str">
            <v>CCCD: 020197009034
Ngày cấp: 28/6/2021, nơi cấp: Cục cảnh sát quản lý hành chính và trật tự xã hội</v>
          </cell>
          <cell r="I679">
            <v>35667</v>
          </cell>
          <cell r="J679">
            <v>28</v>
          </cell>
          <cell r="V679" t="str">
            <v>Thôn Nhị Hà, xã Sơn Hà, huyện Hữu Lũng, tỉnh Lạng Sơn</v>
          </cell>
          <cell r="W679" t="str">
            <v>23/10/2019</v>
          </cell>
          <cell r="AA679">
            <v>0</v>
          </cell>
          <cell r="AB679" t="str">
            <v>TĐ014</v>
          </cell>
          <cell r="AC679" t="str">
            <v>HS-VS</v>
          </cell>
          <cell r="AD679" t="str">
            <v>HS-VS</v>
          </cell>
          <cell r="AE679" t="str">
            <v>Viên chức</v>
          </cell>
          <cell r="AG679">
            <v>0</v>
          </cell>
          <cell r="AH679" t="str">
            <v>2.67</v>
          </cell>
          <cell r="AI679">
            <v>2</v>
          </cell>
          <cell r="AK679">
            <v>45222</v>
          </cell>
          <cell r="AL679" t="str">
            <v>Đại học</v>
          </cell>
          <cell r="AM679" t="str">
            <v>KTY ĐH</v>
          </cell>
          <cell r="AQ679" t="str">
            <v>12/12</v>
          </cell>
          <cell r="AY679" t="str">
            <v>Tày</v>
          </cell>
        </row>
        <row r="680">
          <cell r="A680" t="str">
            <v>BV1124</v>
          </cell>
          <cell r="B680">
            <v>674</v>
          </cell>
          <cell r="C680" t="str">
            <v>Trần Thị Thanh Huyền</v>
          </cell>
          <cell r="D680" t="str">
            <v>BV1124</v>
          </cell>
          <cell r="E680" t="str">
            <v>2020902669</v>
          </cell>
          <cell r="G680" t="str">
            <v>CMT: 82236344, ngày cấp: 18/8/2014, nơi cấp: Công an tỉnh Lạng Sơn</v>
          </cell>
          <cell r="I680">
            <v>34969</v>
          </cell>
          <cell r="J680">
            <v>30</v>
          </cell>
          <cell r="K680" t="str">
            <v>082236344</v>
          </cell>
          <cell r="L680">
            <v>41869</v>
          </cell>
          <cell r="S680" t="str">
            <v>Tam Thanh</v>
          </cell>
          <cell r="T680" t="str">
            <v>TP Lạng Sơn</v>
          </cell>
          <cell r="U680" t="str">
            <v>Lạng Sơn</v>
          </cell>
          <cell r="V680" t="str">
            <v>48 Ngô Thì Sỹ, phường Tam Thanh, thành phố Lạng Sơn, tỉnh Lạng Sơn</v>
          </cell>
          <cell r="W680">
            <v>44326</v>
          </cell>
          <cell r="AA680">
            <v>0</v>
          </cell>
          <cell r="AC680" t="str">
            <v>HS-VS</v>
          </cell>
          <cell r="AD680" t="str">
            <v>HS-VS</v>
          </cell>
          <cell r="AE680" t="str">
            <v>Viên chức</v>
          </cell>
          <cell r="AG680">
            <v>0</v>
          </cell>
          <cell r="AH680" t="str">
            <v>2.67</v>
          </cell>
          <cell r="AI680">
            <v>2</v>
          </cell>
          <cell r="AK680">
            <v>45787</v>
          </cell>
          <cell r="AL680" t="str">
            <v>Đại học</v>
          </cell>
          <cell r="AM680" t="str">
            <v>KTY ĐH</v>
          </cell>
          <cell r="AY680" t="str">
            <v>Tày</v>
          </cell>
        </row>
        <row r="681">
          <cell r="A681" t="str">
            <v>BV0751</v>
          </cell>
          <cell r="B681">
            <v>675</v>
          </cell>
          <cell r="C681" t="str">
            <v>Lý Minh Thức</v>
          </cell>
          <cell r="D681" t="str">
            <v>BV0751</v>
          </cell>
          <cell r="E681">
            <v>2020700468</v>
          </cell>
          <cell r="F681">
            <v>2099986707</v>
          </cell>
          <cell r="H681">
            <v>31845</v>
          </cell>
          <cell r="J681">
            <v>39</v>
          </cell>
          <cell r="K681" t="str">
            <v>081044095</v>
          </cell>
          <cell r="L681" t="str">
            <v>17/7/2010</v>
          </cell>
          <cell r="M681" t="str">
            <v>CA tỉnh Lạng Sơn</v>
          </cell>
          <cell r="O681" t="str">
            <v>Đồng Bục</v>
          </cell>
          <cell r="P681" t="str">
            <v>Lộc Bình</v>
          </cell>
          <cell r="Q681" t="str">
            <v>Lạng Sơn</v>
          </cell>
          <cell r="S681" t="str">
            <v>Na Dương</v>
          </cell>
          <cell r="T681" t="str">
            <v>Lộc Bình</v>
          </cell>
          <cell r="U681" t="str">
            <v>Lạng Sơn</v>
          </cell>
          <cell r="V681" t="str">
            <v>Na Dương, Lộc Bình, Lạng Sơn</v>
          </cell>
          <cell r="W681" t="str">
            <v xml:space="preserve"> 02/10/2017</v>
          </cell>
          <cell r="AA681">
            <v>0</v>
          </cell>
          <cell r="AB681" t="str">
            <v>TĐ029</v>
          </cell>
          <cell r="AC681" t="str">
            <v>VT-TTBYT</v>
          </cell>
          <cell r="AD681" t="str">
            <v>VT-TTBYT</v>
          </cell>
          <cell r="AE681" t="str">
            <v>Viên chức</v>
          </cell>
          <cell r="AG681">
            <v>0</v>
          </cell>
          <cell r="AH681" t="str">
            <v>3.00</v>
          </cell>
          <cell r="AI681">
            <v>3</v>
          </cell>
          <cell r="AK681">
            <v>45567</v>
          </cell>
          <cell r="AL681" t="str">
            <v>Đại học</v>
          </cell>
          <cell r="AM681" t="str">
            <v>Kỹ sư</v>
          </cell>
          <cell r="AO681" t="str">
            <v xml:space="preserve"> Học viện Kỹ thuật Quân sự</v>
          </cell>
          <cell r="AP681">
            <v>2014</v>
          </cell>
          <cell r="AT681" t="str">
            <v>Sơ cấp</v>
          </cell>
          <cell r="AY681" t="str">
            <v>Tày</v>
          </cell>
        </row>
        <row r="682">
          <cell r="A682" t="str">
            <v>BV1065</v>
          </cell>
          <cell r="B682">
            <v>676</v>
          </cell>
          <cell r="C682" t="str">
            <v>Đào Quang Trục</v>
          </cell>
          <cell r="D682" t="str">
            <v>BV1065</v>
          </cell>
          <cell r="E682" t="str">
            <v>1500000059</v>
          </cell>
          <cell r="H682">
            <v>27472</v>
          </cell>
          <cell r="J682">
            <v>51</v>
          </cell>
          <cell r="K682" t="str">
            <v>080931247</v>
          </cell>
          <cell r="L682">
            <v>42577</v>
          </cell>
          <cell r="S682" t="str">
            <v>Đông Kinh</v>
          </cell>
          <cell r="T682" t="str">
            <v>TP Lạng Sơn</v>
          </cell>
          <cell r="U682" t="str">
            <v>Lạng Sơn</v>
          </cell>
          <cell r="V682" t="str">
            <v>28 ngõ 8 Phai Vệ, phường Đông Kinh, thành phố Lạng Sơn, tỉnh Lạng Sơn</v>
          </cell>
          <cell r="W682" t="str">
            <v>03/8/2020</v>
          </cell>
          <cell r="AA682">
            <v>0</v>
          </cell>
          <cell r="AC682" t="str">
            <v>HCQT</v>
          </cell>
          <cell r="AD682" t="str">
            <v>HCQT</v>
          </cell>
          <cell r="AE682" t="str">
            <v>HĐ có thời hạn</v>
          </cell>
          <cell r="AG682">
            <v>0</v>
          </cell>
          <cell r="AH682">
            <v>2.0499999999999998</v>
          </cell>
          <cell r="AI682">
            <v>1</v>
          </cell>
          <cell r="AK682">
            <v>45689</v>
          </cell>
          <cell r="AM682" t="str">
            <v>Lái xe</v>
          </cell>
          <cell r="AY682" t="str">
            <v>Tày</v>
          </cell>
        </row>
        <row r="683">
          <cell r="A683" t="str">
            <v>BV0625</v>
          </cell>
          <cell r="B683">
            <v>677</v>
          </cell>
          <cell r="C683" t="str">
            <v>Hoàng Thế Võ</v>
          </cell>
          <cell r="D683" t="str">
            <v>BV0625</v>
          </cell>
          <cell r="E683">
            <v>1504001289</v>
          </cell>
          <cell r="H683">
            <v>24267</v>
          </cell>
          <cell r="J683">
            <v>60</v>
          </cell>
          <cell r="K683" t="str">
            <v>082091976</v>
          </cell>
          <cell r="M683" t="str">
            <v>CA tỉnh Lạng Sơn</v>
          </cell>
          <cell r="O683" t="str">
            <v>Tri Yên</v>
          </cell>
          <cell r="P683" t="str">
            <v>Huyện Yên Dũng</v>
          </cell>
          <cell r="Q683" t="str">
            <v>Tỉnh Bắc Giang</v>
          </cell>
          <cell r="S683" t="str">
            <v>Phường Tam Thanh</v>
          </cell>
          <cell r="T683" t="str">
            <v>Thành phố Lạng Sơn</v>
          </cell>
          <cell r="U683" t="str">
            <v>Tỉnh Lạng Sơn</v>
          </cell>
          <cell r="V683" t="str">
            <v>Phường Tam Thanh, Thành phố Lạng Sơn, Tỉnh Lạng Sơn</v>
          </cell>
          <cell r="W683" t="str">
            <v>1/1/2015</v>
          </cell>
          <cell r="AA683">
            <v>0</v>
          </cell>
          <cell r="AB683" t="str">
            <v>TĐ046</v>
          </cell>
          <cell r="AC683" t="str">
            <v>HCQT</v>
          </cell>
          <cell r="AD683" t="str">
            <v>HCQT</v>
          </cell>
          <cell r="AE683" t="str">
            <v>HĐ có thời hạn</v>
          </cell>
          <cell r="AG683">
            <v>0</v>
          </cell>
          <cell r="AH683">
            <v>1.65</v>
          </cell>
          <cell r="AI683">
            <v>1</v>
          </cell>
          <cell r="AK683">
            <v>45689</v>
          </cell>
          <cell r="AM683" t="str">
            <v>NVKT</v>
          </cell>
          <cell r="AQ683" t="str">
            <v>10/10</v>
          </cell>
          <cell r="AX683" t="str">
            <v>CC Sơ cấp Công nghiệp Điện</v>
          </cell>
          <cell r="AY683" t="str">
            <v>Kinh</v>
          </cell>
        </row>
        <row r="684">
          <cell r="A684" t="str">
            <v>BV0772</v>
          </cell>
          <cell r="B684">
            <v>678</v>
          </cell>
          <cell r="C684" t="str">
            <v>Vi Thị Hằng</v>
          </cell>
          <cell r="D684" t="str">
            <v>BV0772</v>
          </cell>
          <cell r="E684">
            <v>2020637347</v>
          </cell>
          <cell r="F684">
            <v>2099972979</v>
          </cell>
          <cell r="I684" t="str">
            <v>30/7/1993</v>
          </cell>
          <cell r="J684">
            <v>32</v>
          </cell>
          <cell r="K684" t="str">
            <v>082238692</v>
          </cell>
          <cell r="L684" t="str">
            <v>14/3/2014</v>
          </cell>
          <cell r="M684" t="str">
            <v>CA tỉnh Lạng Sơn</v>
          </cell>
          <cell r="O684" t="str">
            <v xml:space="preserve">Quang Lang </v>
          </cell>
          <cell r="P684" t="str">
            <v>Chi Lăng</v>
          </cell>
          <cell r="Q684" t="str">
            <v>Lạng Sơn</v>
          </cell>
          <cell r="S684" t="str">
            <v>Tam Thanh</v>
          </cell>
          <cell r="T684" t="str">
            <v>Lạng Sơn</v>
          </cell>
          <cell r="U684" t="str">
            <v>Lạng Sơn</v>
          </cell>
          <cell r="V684" t="str">
            <v>Tam Thanh, Lạng Sơn, Lạng Sơn</v>
          </cell>
          <cell r="W684" t="str">
            <v xml:space="preserve"> 02/10/2017</v>
          </cell>
          <cell r="AA684">
            <v>0</v>
          </cell>
          <cell r="AB684" t="str">
            <v>TĐ047</v>
          </cell>
          <cell r="AC684" t="str">
            <v>Cấp cứu</v>
          </cell>
          <cell r="AD684" t="str">
            <v>Cấp cứu</v>
          </cell>
          <cell r="AE684" t="str">
            <v>HĐ có thời hạn</v>
          </cell>
          <cell r="AG684">
            <v>0</v>
          </cell>
          <cell r="AH684">
            <v>1.65</v>
          </cell>
          <cell r="AI684">
            <v>1</v>
          </cell>
          <cell r="AK684">
            <v>45689</v>
          </cell>
          <cell r="AL684" t="str">
            <v>Chứng chỉ</v>
          </cell>
          <cell r="AM684" t="str">
            <v>Hộ Lý</v>
          </cell>
          <cell r="AY684" t="str">
            <v>Tày</v>
          </cell>
        </row>
        <row r="685">
          <cell r="A685" t="str">
            <v>BV0878</v>
          </cell>
          <cell r="B685">
            <v>679</v>
          </cell>
          <cell r="C685" t="str">
            <v>Trần Thị Ngọc</v>
          </cell>
          <cell r="D685" t="str">
            <v>BV0878</v>
          </cell>
          <cell r="E685" t="str">
            <v>2020347266</v>
          </cell>
          <cell r="I685" t="str">
            <v>28/06/1990</v>
          </cell>
          <cell r="J685">
            <v>36</v>
          </cell>
          <cell r="K685" t="str">
            <v>082073353</v>
          </cell>
          <cell r="L685" t="str">
            <v>26/05/2014</v>
          </cell>
          <cell r="M685" t="str">
            <v>CA tỉnh Lạng Sơn</v>
          </cell>
          <cell r="O685" t="str">
            <v>Lương Năng</v>
          </cell>
          <cell r="P685" t="str">
            <v>Văn Quan</v>
          </cell>
          <cell r="Q685" t="str">
            <v xml:space="preserve"> Lạng Sơn</v>
          </cell>
          <cell r="S685" t="str">
            <v>Lương Năng</v>
          </cell>
          <cell r="T685" t="str">
            <v>Văn Quan</v>
          </cell>
          <cell r="U685" t="str">
            <v xml:space="preserve"> Lạng Sơn</v>
          </cell>
          <cell r="V685" t="str">
            <v>Xã Lương Năng, huyện Văn Quan, tỉnh Lạng Sơn</v>
          </cell>
          <cell r="W685" t="str">
            <v>01/11/2018</v>
          </cell>
          <cell r="AA685">
            <v>0</v>
          </cell>
          <cell r="AB685" t="str">
            <v>TĐ047</v>
          </cell>
          <cell r="AC685" t="str">
            <v>VLTL-PHCN</v>
          </cell>
          <cell r="AD685" t="str">
            <v>VLTL-PHCN</v>
          </cell>
          <cell r="AE685" t="str">
            <v>HĐ có thời hạn</v>
          </cell>
          <cell r="AG685">
            <v>0</v>
          </cell>
          <cell r="AH685">
            <v>1.65</v>
          </cell>
          <cell r="AI685">
            <v>1</v>
          </cell>
          <cell r="AK685">
            <v>45689</v>
          </cell>
          <cell r="AL685" t="str">
            <v>Chứng chỉ</v>
          </cell>
          <cell r="AM685" t="str">
            <v>Hộ lý</v>
          </cell>
          <cell r="AY685" t="str">
            <v>Tày</v>
          </cell>
        </row>
        <row r="686">
          <cell r="A686" t="str">
            <v>BV0576</v>
          </cell>
          <cell r="B686">
            <v>680</v>
          </cell>
          <cell r="C686" t="str">
            <v>Tô Thị Mai</v>
          </cell>
          <cell r="D686" t="str">
            <v>BV0576</v>
          </cell>
          <cell r="E686">
            <v>111173445</v>
          </cell>
          <cell r="I686">
            <v>27504</v>
          </cell>
          <cell r="J686">
            <v>51</v>
          </cell>
          <cell r="K686" t="str">
            <v>082010052</v>
          </cell>
          <cell r="L686" t="str">
            <v>16/01/2009</v>
          </cell>
          <cell r="M686" t="str">
            <v>CA tỉnh Lạng Sơn</v>
          </cell>
          <cell r="O686" t="str">
            <v>Sàn Viên</v>
          </cell>
          <cell r="P686" t="str">
            <v>Lộc Bình</v>
          </cell>
          <cell r="Q686" t="str">
            <v>Lạng Sơn</v>
          </cell>
          <cell r="S686" t="str">
            <v>Khối 10</v>
          </cell>
          <cell r="T686" t="str">
            <v>Phường Tam Thanh</v>
          </cell>
          <cell r="U686" t="str">
            <v>Lạng Sơn</v>
          </cell>
          <cell r="V686" t="str">
            <v>Khối 10, phường Tam Thanh, thành phố Lạng Sơn</v>
          </cell>
          <cell r="W686" t="str">
            <v>16/11/2015</v>
          </cell>
          <cell r="AA686">
            <v>0</v>
          </cell>
          <cell r="AB686" t="str">
            <v>TĐ047</v>
          </cell>
          <cell r="AC686" t="str">
            <v>YHCT</v>
          </cell>
          <cell r="AD686" t="str">
            <v>YHCT</v>
          </cell>
          <cell r="AE686" t="str">
            <v>HĐ có thời hạn</v>
          </cell>
          <cell r="AG686">
            <v>0</v>
          </cell>
          <cell r="AH686">
            <v>1.65</v>
          </cell>
          <cell r="AI686">
            <v>1</v>
          </cell>
          <cell r="AK686">
            <v>45689</v>
          </cell>
          <cell r="AL686" t="str">
            <v>Chứng chỉ</v>
          </cell>
          <cell r="AM686" t="str">
            <v>Hộ lý</v>
          </cell>
          <cell r="AX686" t="str">
            <v>CN Hộ Lý</v>
          </cell>
          <cell r="AY686" t="str">
            <v>Tày</v>
          </cell>
        </row>
        <row r="687">
          <cell r="A687" t="str">
            <v>BV1115</v>
          </cell>
          <cell r="B687">
            <v>681</v>
          </cell>
          <cell r="C687" t="str">
            <v>Trương Quý Dũng</v>
          </cell>
          <cell r="D687" t="str">
            <v>BV1115</v>
          </cell>
          <cell r="E687" t="e">
            <v>#N/A</v>
          </cell>
          <cell r="H687">
            <v>22390</v>
          </cell>
          <cell r="J687">
            <v>65</v>
          </cell>
          <cell r="K687" t="str">
            <v>080977757</v>
          </cell>
          <cell r="L687">
            <v>42149</v>
          </cell>
          <cell r="S687" t="str">
            <v>Vĩnh Trại</v>
          </cell>
          <cell r="T687" t="str">
            <v>TP Lạng Sơn</v>
          </cell>
          <cell r="U687" t="str">
            <v>Lạng Sơn</v>
          </cell>
          <cell r="V687" t="str">
            <v>Tổ 2 khối 7, phường Vĩnh Trại, thành phố Lạng Sơn, tỉnh Lạng Sơn</v>
          </cell>
          <cell r="W687" t="str">
            <v>01/3/2021</v>
          </cell>
          <cell r="AA687">
            <v>0</v>
          </cell>
          <cell r="AC687" t="str">
            <v>HCQT</v>
          </cell>
          <cell r="AD687" t="str">
            <v>HCQT</v>
          </cell>
          <cell r="AE687" t="str">
            <v>HĐ có thời hạn</v>
          </cell>
          <cell r="AG687">
            <v>0</v>
          </cell>
          <cell r="AH687" t="e">
            <v>#N/A</v>
          </cell>
          <cell r="AI687" t="e">
            <v>#N/A</v>
          </cell>
          <cell r="AK687" t="e">
            <v>#N/A</v>
          </cell>
          <cell r="AL687" t="str">
            <v>Chứng chỉ</v>
          </cell>
          <cell r="AM687" t="str">
            <v>Lái xe</v>
          </cell>
          <cell r="AY687" t="str">
            <v>Kinh</v>
          </cell>
        </row>
        <row r="688">
          <cell r="A688" t="str">
            <v>BV0731</v>
          </cell>
          <cell r="B688">
            <v>682</v>
          </cell>
          <cell r="C688" t="str">
            <v>Lê Thị Nhã</v>
          </cell>
          <cell r="D688" t="str">
            <v>BV0731</v>
          </cell>
          <cell r="E688">
            <v>2020054938</v>
          </cell>
          <cell r="F688">
            <v>2099908160</v>
          </cell>
          <cell r="I688" t="str">
            <v>25/12/1981</v>
          </cell>
          <cell r="J688">
            <v>44</v>
          </cell>
          <cell r="K688" t="str">
            <v>135285841</v>
          </cell>
          <cell r="L688" t="str">
            <v>14/7/2004</v>
          </cell>
          <cell r="M688" t="str">
            <v>CA Vĩnh Phúc</v>
          </cell>
          <cell r="O688" t="str">
            <v>Văn Khê</v>
          </cell>
          <cell r="P688" t="str">
            <v>Mê Linh</v>
          </cell>
          <cell r="Q688" t="str">
            <v>Vĩnh Phúc</v>
          </cell>
          <cell r="S688" t="str">
            <v>Tam Thanh</v>
          </cell>
          <cell r="T688" t="str">
            <v>TP Lạng Sơn</v>
          </cell>
          <cell r="U688" t="str">
            <v>Lạng Sơn</v>
          </cell>
          <cell r="V688" t="str">
            <v>Tam Thanh, thành phố Lạng Sơn, Lạng Sơn</v>
          </cell>
          <cell r="W688" t="str">
            <v xml:space="preserve"> 01/9/2016</v>
          </cell>
          <cell r="AA688">
            <v>0</v>
          </cell>
          <cell r="AB688" t="str">
            <v>TĐ047</v>
          </cell>
          <cell r="AC688" t="str">
            <v>HSTC-CĐ</v>
          </cell>
          <cell r="AD688" t="str">
            <v>HSTC-CĐ</v>
          </cell>
          <cell r="AE688" t="str">
            <v>HĐ có thời hạn</v>
          </cell>
          <cell r="AG688">
            <v>0</v>
          </cell>
          <cell r="AH688">
            <v>1.65</v>
          </cell>
          <cell r="AI688">
            <v>1</v>
          </cell>
          <cell r="AK688">
            <v>45689</v>
          </cell>
          <cell r="AL688" t="str">
            <v>Chứng chỉ</v>
          </cell>
          <cell r="AM688" t="str">
            <v>Hộ Lý</v>
          </cell>
          <cell r="AY688" t="str">
            <v>Kinh</v>
          </cell>
        </row>
        <row r="689">
          <cell r="A689" t="str">
            <v>BV0880</v>
          </cell>
          <cell r="B689">
            <v>683</v>
          </cell>
          <cell r="C689" t="str">
            <v>Dương Thu Hiền</v>
          </cell>
          <cell r="D689" t="str">
            <v>BV0880</v>
          </cell>
          <cell r="E689" t="str">
            <v>2716019127</v>
          </cell>
          <cell r="I689" t="str">
            <v>01/12/1986</v>
          </cell>
          <cell r="J689">
            <v>39</v>
          </cell>
          <cell r="K689" t="str">
            <v>081049240</v>
          </cell>
          <cell r="L689" t="str">
            <v>19/05/2017</v>
          </cell>
          <cell r="M689" t="str">
            <v>CA tỉnh Lạng Sơn</v>
          </cell>
          <cell r="O689" t="str">
            <v>Tân Liên</v>
          </cell>
          <cell r="P689" t="str">
            <v>Cao Lộc</v>
          </cell>
          <cell r="V689" t="str">
            <v>Xã Tân Liên, huyện Cao Lộc, tỉnh Lạng Sơn</v>
          </cell>
          <cell r="W689" t="str">
            <v>01/11/2018</v>
          </cell>
          <cell r="AA689">
            <v>0</v>
          </cell>
          <cell r="AB689" t="str">
            <v>TĐ047</v>
          </cell>
          <cell r="AC689" t="str">
            <v>KSNK</v>
          </cell>
          <cell r="AD689" t="str">
            <v>KSNK</v>
          </cell>
          <cell r="AE689" t="str">
            <v>HĐ có thời hạn</v>
          </cell>
          <cell r="AG689">
            <v>0</v>
          </cell>
          <cell r="AH689">
            <v>1.65</v>
          </cell>
          <cell r="AI689">
            <v>1</v>
          </cell>
          <cell r="AK689">
            <v>45689</v>
          </cell>
          <cell r="AL689" t="str">
            <v>Chứng chỉ</v>
          </cell>
          <cell r="AM689" t="str">
            <v>Hộ Lý</v>
          </cell>
          <cell r="AY689" t="str">
            <v>Tày</v>
          </cell>
        </row>
        <row r="690">
          <cell r="A690" t="str">
            <v>BV0767</v>
          </cell>
          <cell r="B690">
            <v>684</v>
          </cell>
          <cell r="C690" t="str">
            <v>Hoàng Văn Hiếu</v>
          </cell>
          <cell r="D690" t="str">
            <v>BV0767</v>
          </cell>
          <cell r="E690" t="str">
            <v>2015002178</v>
          </cell>
          <cell r="F690">
            <v>2499614834</v>
          </cell>
          <cell r="H690" t="str">
            <v>13/8/1991</v>
          </cell>
          <cell r="J690">
            <v>34</v>
          </cell>
          <cell r="K690" t="str">
            <v>082276659</v>
          </cell>
          <cell r="L690" t="str">
            <v>03/07/2012</v>
          </cell>
          <cell r="M690" t="str">
            <v>CA tỉnh Lạng Sơn</v>
          </cell>
          <cell r="V690" t="str">
            <v>Xã Yên Trạch, huyện Cao Lộc, tỉnh Lạng Sơn</v>
          </cell>
          <cell r="W690" t="str">
            <v>01/04/2017</v>
          </cell>
          <cell r="AA690">
            <v>0</v>
          </cell>
          <cell r="AB690" t="str">
            <v>TĐ048</v>
          </cell>
          <cell r="AC690" t="str">
            <v>KSNK</v>
          </cell>
          <cell r="AD690" t="str">
            <v>KSNK</v>
          </cell>
          <cell r="AE690" t="str">
            <v>HĐ có thời hạn</v>
          </cell>
          <cell r="AG690">
            <v>0</v>
          </cell>
          <cell r="AH690">
            <v>1.54</v>
          </cell>
          <cell r="AI690">
            <v>4</v>
          </cell>
          <cell r="AK690">
            <v>45689</v>
          </cell>
          <cell r="AM690" t="str">
            <v>NVPV</v>
          </cell>
          <cell r="AY690" t="str">
            <v>Tày</v>
          </cell>
        </row>
        <row r="691">
          <cell r="A691" t="str">
            <v>BV0729</v>
          </cell>
          <cell r="B691">
            <v>685</v>
          </cell>
          <cell r="C691" t="str">
            <v>Lương Thị Thảo</v>
          </cell>
          <cell r="D691" t="str">
            <v>BV0729</v>
          </cell>
          <cell r="E691">
            <v>2020112088</v>
          </cell>
          <cell r="F691">
            <v>2099937736</v>
          </cell>
          <cell r="I691" t="str">
            <v>23/10/1992</v>
          </cell>
          <cell r="J691">
            <v>33</v>
          </cell>
          <cell r="K691" t="str">
            <v>082161737</v>
          </cell>
          <cell r="L691" t="str">
            <v>08/7/2010</v>
          </cell>
          <cell r="M691" t="str">
            <v>CA tỉnh Lạng Sơn</v>
          </cell>
          <cell r="O691" t="str">
            <v>Kháng Chiến</v>
          </cell>
          <cell r="P691" t="str">
            <v>Tràng Định</v>
          </cell>
          <cell r="Q691" t="str">
            <v>Lạng Sơn</v>
          </cell>
          <cell r="S691" t="str">
            <v>Kháng Chiến</v>
          </cell>
          <cell r="T691" t="str">
            <v>Tràng Định</v>
          </cell>
          <cell r="U691" t="str">
            <v>Lạng Sơn</v>
          </cell>
          <cell r="V691" t="str">
            <v>Trần Quang Khải 1, phường Chi lăng, thành phố Lạng Sơn.</v>
          </cell>
          <cell r="W691" t="str">
            <v xml:space="preserve"> 01/9/2016</v>
          </cell>
          <cell r="AA691">
            <v>0</v>
          </cell>
          <cell r="AB691" t="str">
            <v>TĐ047</v>
          </cell>
          <cell r="AC691" t="str">
            <v>Khám bệnh</v>
          </cell>
          <cell r="AD691" t="str">
            <v>Khám bệnh</v>
          </cell>
          <cell r="AE691" t="str">
            <v>HĐ có thời hạn</v>
          </cell>
          <cell r="AG691">
            <v>0</v>
          </cell>
          <cell r="AH691">
            <v>1.65</v>
          </cell>
          <cell r="AI691">
            <v>1</v>
          </cell>
          <cell r="AK691">
            <v>45689</v>
          </cell>
          <cell r="AL691" t="str">
            <v>Chứng chỉ</v>
          </cell>
          <cell r="AM691" t="str">
            <v>Hộ Lý</v>
          </cell>
          <cell r="AQ691" t="str">
            <v>12/12</v>
          </cell>
          <cell r="AY691" t="str">
            <v>Tày</v>
          </cell>
        </row>
        <row r="692">
          <cell r="A692" t="str">
            <v>BV0691</v>
          </cell>
          <cell r="B692">
            <v>686</v>
          </cell>
          <cell r="C692" t="str">
            <v>Hoàng Thị Chín</v>
          </cell>
          <cell r="D692" t="str">
            <v>BV0691</v>
          </cell>
          <cell r="E692">
            <v>111202072</v>
          </cell>
          <cell r="I692">
            <v>28288</v>
          </cell>
          <cell r="J692">
            <v>49</v>
          </cell>
          <cell r="K692" t="str">
            <v>081013437</v>
          </cell>
          <cell r="L692" t="str">
            <v>13/07/2007</v>
          </cell>
          <cell r="M692" t="str">
            <v>CA tỉnh Lạng Sơn</v>
          </cell>
          <cell r="O692" t="str">
            <v>Tràng Các</v>
          </cell>
          <cell r="P692" t="str">
            <v>Văn Quan</v>
          </cell>
          <cell r="Q692" t="str">
            <v>Lạng Sơn</v>
          </cell>
          <cell r="S692" t="str">
            <v>Tam Thanh</v>
          </cell>
          <cell r="T692" t="str">
            <v>TP Lạng Sơn</v>
          </cell>
          <cell r="U692" t="str">
            <v>Lạng Sơn</v>
          </cell>
          <cell r="V692" t="str">
            <v>Phường Tam Thanh, thành phố Lạng Sơn</v>
          </cell>
          <cell r="W692" t="str">
            <v xml:space="preserve"> 01/02/2016</v>
          </cell>
          <cell r="AA692">
            <v>0</v>
          </cell>
          <cell r="AB692" t="str">
            <v>TĐ047</v>
          </cell>
          <cell r="AC692" t="str">
            <v>Khám bệnh</v>
          </cell>
          <cell r="AD692" t="str">
            <v>Khám bệnh</v>
          </cell>
          <cell r="AE692" t="str">
            <v>HĐ có thời hạn</v>
          </cell>
          <cell r="AG692">
            <v>0</v>
          </cell>
          <cell r="AH692">
            <v>1.65</v>
          </cell>
          <cell r="AI692">
            <v>1</v>
          </cell>
          <cell r="AK692">
            <v>45689</v>
          </cell>
          <cell r="AL692" t="str">
            <v>Chứng chỉ</v>
          </cell>
          <cell r="AM692" t="str">
            <v>Hộ lý</v>
          </cell>
          <cell r="AQ692" t="str">
            <v>9/12</v>
          </cell>
          <cell r="AX692" t="str">
            <v>CN Nghiệp vụ vệ sinh công nghiệp tại bệnh viện</v>
          </cell>
          <cell r="AY692" t="str">
            <v>Tày</v>
          </cell>
        </row>
        <row r="693">
          <cell r="A693" t="str">
            <v>BV0953</v>
          </cell>
          <cell r="B693">
            <v>687</v>
          </cell>
          <cell r="C693" t="str">
            <v>Hoàng Thị Hương</v>
          </cell>
          <cell r="D693" t="str">
            <v>BV0953</v>
          </cell>
          <cell r="E693" t="str">
            <v>1500002060</v>
          </cell>
          <cell r="G693" t="str">
            <v>020171001372
Cấp ngày: 25/04/2021
Cục cảnh sát QLHC
về TTXH</v>
          </cell>
          <cell r="I693">
            <v>29945</v>
          </cell>
          <cell r="J693">
            <v>44</v>
          </cell>
          <cell r="K693" t="str">
            <v>080935559</v>
          </cell>
          <cell r="L693" t="str">
            <v>10/6/2003</v>
          </cell>
          <cell r="S693" t="str">
            <v>Tam Thanh</v>
          </cell>
          <cell r="T693" t="str">
            <v>TP Lạng Sơn</v>
          </cell>
          <cell r="U693" t="str">
            <v>Lạng Sơn</v>
          </cell>
          <cell r="V693" t="str">
            <v>Xã Hợp Thành, huyện Cao Lộc, tỉnh Lạng Sơn</v>
          </cell>
          <cell r="W693" t="str">
            <v>03/09/2019</v>
          </cell>
          <cell r="AA693">
            <v>0</v>
          </cell>
          <cell r="AB693" t="str">
            <v>TĐ047</v>
          </cell>
          <cell r="AC693" t="str">
            <v>Lão - CXK</v>
          </cell>
          <cell r="AD693" t="str">
            <v>Lão - CXK</v>
          </cell>
          <cell r="AE693" t="str">
            <v>HĐ có thời hạn</v>
          </cell>
          <cell r="AG693">
            <v>0</v>
          </cell>
          <cell r="AH693">
            <v>1.65</v>
          </cell>
          <cell r="AI693">
            <v>1</v>
          </cell>
          <cell r="AK693">
            <v>45689</v>
          </cell>
          <cell r="AL693" t="str">
            <v>Chứng chỉ</v>
          </cell>
          <cell r="AM693" t="str">
            <v>Hộ Lý</v>
          </cell>
          <cell r="AQ693" t="str">
            <v>12/12</v>
          </cell>
          <cell r="AY693" t="str">
            <v>Tày</v>
          </cell>
        </row>
        <row r="694">
          <cell r="A694" t="str">
            <v>BV0792</v>
          </cell>
          <cell r="B694">
            <v>688</v>
          </cell>
          <cell r="C694" t="str">
            <v>Vy Thị Hoa</v>
          </cell>
          <cell r="D694" t="str">
            <v>BV0792</v>
          </cell>
          <cell r="E694">
            <v>111173446</v>
          </cell>
          <cell r="I694" t="str">
            <v>24/12/1981</v>
          </cell>
          <cell r="J694">
            <v>44</v>
          </cell>
          <cell r="K694" t="str">
            <v>081006061</v>
          </cell>
          <cell r="L694" t="str">
            <v>14/1/2015</v>
          </cell>
          <cell r="M694" t="str">
            <v>CA tỉnh Lạng Sơn</v>
          </cell>
          <cell r="O694" t="str">
            <v>Đại Đồng</v>
          </cell>
          <cell r="P694" t="str">
            <v>Tràng Định</v>
          </cell>
          <cell r="Q694" t="str">
            <v>Lạng Sơn</v>
          </cell>
          <cell r="S694" t="str">
            <v>Quảng Lạc</v>
          </cell>
          <cell r="T694" t="str">
            <v>Lạng Sơn</v>
          </cell>
          <cell r="U694" t="str">
            <v>Lạng Sơn</v>
          </cell>
          <cell r="V694" t="str">
            <v>Quảng Lạc, Lạng Sơn, Lạng Sơn</v>
          </cell>
          <cell r="W694" t="str">
            <v xml:space="preserve"> 02/10/2017</v>
          </cell>
          <cell r="AA694">
            <v>0</v>
          </cell>
          <cell r="AB694" t="str">
            <v>TĐ047</v>
          </cell>
          <cell r="AC694" t="str">
            <v>Phụ sản</v>
          </cell>
          <cell r="AD694" t="str">
            <v>Phụ sản</v>
          </cell>
          <cell r="AE694" t="str">
            <v>HĐ có thời hạn</v>
          </cell>
          <cell r="AG694">
            <v>0</v>
          </cell>
          <cell r="AH694">
            <v>1.65</v>
          </cell>
          <cell r="AI694">
            <v>1</v>
          </cell>
          <cell r="AK694">
            <v>45689</v>
          </cell>
          <cell r="AL694" t="str">
            <v>Chứng chỉ</v>
          </cell>
          <cell r="AM694" t="str">
            <v>Hộ Lý</v>
          </cell>
          <cell r="AX694" t="str">
            <v>CN Nghiệp vụ vệ sinh công nghiệp tại bệnh viện</v>
          </cell>
          <cell r="AY694" t="str">
            <v>Nùng</v>
          </cell>
        </row>
        <row r="695">
          <cell r="A695" t="str">
            <v>BV1002</v>
          </cell>
          <cell r="B695">
            <v>689</v>
          </cell>
          <cell r="C695" t="str">
            <v>Nguyễn Văn Lý</v>
          </cell>
          <cell r="D695" t="str">
            <v>BV1002</v>
          </cell>
          <cell r="E695" t="str">
            <v>1507000382</v>
          </cell>
          <cell r="H695">
            <v>29396</v>
          </cell>
          <cell r="J695">
            <v>46</v>
          </cell>
          <cell r="K695" t="str">
            <v>081060736</v>
          </cell>
          <cell r="L695">
            <v>42439</v>
          </cell>
          <cell r="V695" t="str">
            <v>Xã Yên Bình, huyện Hữu Lũng, tỉnh Lạng Sơn</v>
          </cell>
          <cell r="W695" t="str">
            <v>01/4/2020</v>
          </cell>
          <cell r="AA695">
            <v>0</v>
          </cell>
          <cell r="AB695" t="e">
            <v>#N/A</v>
          </cell>
          <cell r="AC695" t="str">
            <v>VT-TTBYT</v>
          </cell>
          <cell r="AD695" t="str">
            <v>VT-TTBYT</v>
          </cell>
          <cell r="AE695" t="str">
            <v>Viên chức</v>
          </cell>
          <cell r="AG695">
            <v>0</v>
          </cell>
          <cell r="AH695" t="str">
            <v>3.00</v>
          </cell>
          <cell r="AI695">
            <v>3</v>
          </cell>
          <cell r="AK695" t="str">
            <v>01/10/2025</v>
          </cell>
          <cell r="AL695" t="str">
            <v>Đại học</v>
          </cell>
          <cell r="AM695" t="str">
            <v>ThS KTYS</v>
          </cell>
          <cell r="AN695" t="str">
            <v>KTYS</v>
          </cell>
          <cell r="AQ695" t="str">
            <v>12/12</v>
          </cell>
          <cell r="AY695" t="str">
            <v>Kinh</v>
          </cell>
        </row>
        <row r="696">
          <cell r="A696" t="str">
            <v>BV0927</v>
          </cell>
          <cell r="B696">
            <v>690</v>
          </cell>
          <cell r="C696" t="str">
            <v>Đỗ Nhật Tùng</v>
          </cell>
          <cell r="D696" t="str">
            <v>BV0927</v>
          </cell>
          <cell r="E696" t="str">
            <v>2020029392</v>
          </cell>
          <cell r="G696" t="str">
            <v>020093008213, ngày cấp: 25/6/2021, nơi cấp: Cục cảnh sát quản lý hành chính và trật tự xã hội</v>
          </cell>
          <cell r="H696" t="str">
            <v>21/10/1993</v>
          </cell>
          <cell r="J696">
            <v>32</v>
          </cell>
          <cell r="K696" t="str">
            <v>082250537</v>
          </cell>
          <cell r="L696" t="str">
            <v>13/5/2019</v>
          </cell>
          <cell r="M696" t="str">
            <v>Công an tỉnh Lạng Sơn</v>
          </cell>
          <cell r="N696" t="str">
            <v>Khối 11, Phường Tam Thanh, TP Lạng Sơn, tỉnh Lạng Sơn</v>
          </cell>
          <cell r="O696" t="str">
            <v>Khối 11, Phường Tam Thanh, TP Lạng Sơn, tỉnh Lạng Sơn</v>
          </cell>
          <cell r="S696" t="str">
            <v>Khối 11, Phường Tam Thanh, TP Lạng Sơn, tỉnh Lạng Sơn</v>
          </cell>
          <cell r="V696" t="str">
            <v>Khối 11, Phường Tam Thanh, thành phố Lạng Sơn, tỉnh Lạng Sơn</v>
          </cell>
          <cell r="W696" t="str">
            <v>15/8/2019</v>
          </cell>
          <cell r="AA696">
            <v>0</v>
          </cell>
          <cell r="AB696" t="str">
            <v>TĐ051</v>
          </cell>
          <cell r="AC696" t="str">
            <v>KSNK</v>
          </cell>
          <cell r="AD696" t="str">
            <v>KSNK</v>
          </cell>
          <cell r="AE696" t="str">
            <v>HĐ có thời hạn</v>
          </cell>
          <cell r="AG696">
            <v>0</v>
          </cell>
          <cell r="AH696" t="str">
            <v>3.00</v>
          </cell>
          <cell r="AI696">
            <v>3</v>
          </cell>
          <cell r="AK696">
            <v>45976</v>
          </cell>
          <cell r="AL696" t="str">
            <v>Đại học</v>
          </cell>
          <cell r="AM696" t="str">
            <v>Y học dự phòng</v>
          </cell>
          <cell r="AN696" t="str">
            <v>YHDP</v>
          </cell>
          <cell r="AO696" t="str">
            <v>ĐH Y Dược TN</v>
          </cell>
          <cell r="AY696" t="str">
            <v>Kinh</v>
          </cell>
        </row>
        <row r="697">
          <cell r="A697" t="str">
            <v>BV0926</v>
          </cell>
          <cell r="B697">
            <v>691</v>
          </cell>
          <cell r="C697" t="str">
            <v>Đinh Thị Hải Yến</v>
          </cell>
          <cell r="D697" t="str">
            <v>BV0926</v>
          </cell>
          <cell r="E697" t="str">
            <v>1520931434</v>
          </cell>
          <cell r="G697" t="str">
            <v>CMT: 060957045, 
Ngày cấp 20/6/2015, 
nơi cấp CA tỉnh Yên Bái</v>
          </cell>
          <cell r="I697" t="str">
            <v>25/8/1993</v>
          </cell>
          <cell r="J697">
            <v>32</v>
          </cell>
          <cell r="K697" t="str">
            <v>060957045</v>
          </cell>
          <cell r="L697" t="str">
            <v>20/6/2015</v>
          </cell>
          <cell r="M697" t="str">
            <v>Công an tỉnh Yên Bái</v>
          </cell>
          <cell r="N697" t="str">
            <v>Phường Pú Trạng, TX Nghĩa Lộ, tỉnh Yên Bái</v>
          </cell>
          <cell r="O697" t="str">
            <v>Phường Pú Trạng, TX Nghĩa Lộ, tỉnh Yên Bái</v>
          </cell>
          <cell r="S697" t="str">
            <v>Phường Pú Trạng, TX Nghĩa Lộ, tỉnh Yên Bái</v>
          </cell>
          <cell r="V697" t="str">
            <v>phường Tam Thanh, thành phố Lạng Sơn, tỉnh Lạng Sơn</v>
          </cell>
          <cell r="W697" t="str">
            <v>15/8/2019</v>
          </cell>
          <cell r="AA697">
            <v>0</v>
          </cell>
          <cell r="AB697" t="str">
            <v>TĐ051</v>
          </cell>
          <cell r="AC697" t="str">
            <v>KHTH</v>
          </cell>
          <cell r="AD697" t="str">
            <v>KHTH</v>
          </cell>
          <cell r="AE697" t="str">
            <v>Viên chức</v>
          </cell>
          <cell r="AG697">
            <v>0</v>
          </cell>
          <cell r="AH697" t="str">
            <v>3.00</v>
          </cell>
          <cell r="AI697">
            <v>3</v>
          </cell>
          <cell r="AK697">
            <v>45976</v>
          </cell>
          <cell r="AL697" t="str">
            <v>Đại học</v>
          </cell>
          <cell r="AM697" t="str">
            <v>Y học dự phòng</v>
          </cell>
          <cell r="AN697" t="str">
            <v>YHDP</v>
          </cell>
          <cell r="AO697" t="str">
            <v>ĐH Y Dược TN</v>
          </cell>
          <cell r="AY697" t="str">
            <v>Kinh</v>
          </cell>
        </row>
        <row r="698">
          <cell r="A698" t="str">
            <v>BV0369</v>
          </cell>
          <cell r="B698">
            <v>692</v>
          </cell>
          <cell r="C698" t="str">
            <v>Vi Văn Tân</v>
          </cell>
          <cell r="D698" t="str">
            <v>BV0369</v>
          </cell>
          <cell r="E698">
            <v>2014000516</v>
          </cell>
          <cell r="G698" t="str">
            <v>CCCD: 020089009096 ngày cấp 12/08/2021
Cục trưởng cục CSQLHC về TTXH</v>
          </cell>
          <cell r="H698">
            <v>32686</v>
          </cell>
          <cell r="J698">
            <v>37</v>
          </cell>
          <cell r="K698" t="str">
            <v>082085866</v>
          </cell>
          <cell r="L698" t="str">
            <v>19/08/2013</v>
          </cell>
          <cell r="M698" t="str">
            <v>CA tỉnh Lạng Sơn</v>
          </cell>
          <cell r="O698" t="str">
            <v>Xã Gia Cát</v>
          </cell>
          <cell r="P698" t="str">
            <v>Huyện Cao Lộc</v>
          </cell>
          <cell r="Q698" t="str">
            <v>Tỉnh Lạng Sơn</v>
          </cell>
          <cell r="S698" t="str">
            <v>Xã Gia Cát</v>
          </cell>
          <cell r="T698" t="str">
            <v>Huyện Cao Lộc</v>
          </cell>
          <cell r="U698" t="str">
            <v>Tỉnh Lạng Sơn</v>
          </cell>
          <cell r="V698" t="str">
            <v>Xã Gia Cát, Huyện Cao Lộc, Tỉnh Lạng Sơn</v>
          </cell>
          <cell r="W698" t="str">
            <v>1/11/2013</v>
          </cell>
          <cell r="AA698">
            <v>0</v>
          </cell>
          <cell r="AB698" t="str">
            <v>TĐ016</v>
          </cell>
          <cell r="AC698" t="str">
            <v>VLTL-PHCN</v>
          </cell>
          <cell r="AD698" t="str">
            <v>VLTL-PHCN</v>
          </cell>
          <cell r="AE698" t="str">
            <v>HĐ có thời hạn</v>
          </cell>
          <cell r="AG698">
            <v>0</v>
          </cell>
          <cell r="AH698" t="str">
            <v>2.86</v>
          </cell>
          <cell r="AI698">
            <v>6</v>
          </cell>
          <cell r="AK698">
            <v>45413</v>
          </cell>
          <cell r="AL698" t="str">
            <v>Trung cấp</v>
          </cell>
          <cell r="AM698" t="str">
            <v>KTY TC</v>
          </cell>
          <cell r="AN698" t="str">
            <v>PHCN</v>
          </cell>
          <cell r="AO698" t="str">
            <v>CĐ Y tế Lạng Sơn</v>
          </cell>
          <cell r="AP698">
            <v>2012</v>
          </cell>
          <cell r="AQ698" t="str">
            <v>12/12</v>
          </cell>
          <cell r="AX698" t="str">
            <v>CC Chuyên nghành Y học cổ truyền</v>
          </cell>
          <cell r="AY698" t="str">
            <v>Nùng</v>
          </cell>
        </row>
        <row r="699">
          <cell r="A699" t="str">
            <v>BV0797</v>
          </cell>
          <cell r="B699">
            <v>693</v>
          </cell>
          <cell r="C699" t="str">
            <v>Dương Công Khanh</v>
          </cell>
          <cell r="D699" t="str">
            <v>BV0797</v>
          </cell>
          <cell r="E699">
            <v>2020277118</v>
          </cell>
          <cell r="F699">
            <v>2099979725</v>
          </cell>
          <cell r="G699" t="str">
            <v>CCCD: 020094009569
Ngày cấp: 25/06/2021
Tại Cục cảnh sát quản lý hành chính về trật tự xã hội</v>
          </cell>
          <cell r="H699" t="str">
            <v>21/8/1994</v>
          </cell>
          <cell r="J699">
            <v>31</v>
          </cell>
          <cell r="K699" t="str">
            <v>082267100</v>
          </cell>
          <cell r="L699" t="str">
            <v>03/03/2012</v>
          </cell>
          <cell r="M699" t="str">
            <v>CA tỉnh Lạng Sơn</v>
          </cell>
          <cell r="O699" t="str">
            <v>Gia Cát</v>
          </cell>
          <cell r="P699" t="str">
            <v>Cao lộc</v>
          </cell>
          <cell r="Q699" t="str">
            <v>Lạng Sơn</v>
          </cell>
          <cell r="S699" t="str">
            <v>Gia Cát</v>
          </cell>
          <cell r="T699" t="str">
            <v>Cao Lộc</v>
          </cell>
          <cell r="U699" t="str">
            <v>Lạng Sơn</v>
          </cell>
          <cell r="V699" t="str">
            <v>Gia Cát, Cao Lộc, Lạng Sơn</v>
          </cell>
          <cell r="W699" t="str">
            <v xml:space="preserve"> 02/10/2017</v>
          </cell>
          <cell r="AA699">
            <v>0</v>
          </cell>
          <cell r="AB699" t="str">
            <v>TĐ036</v>
          </cell>
          <cell r="AC699" t="str">
            <v>Chỉ đạo tuyến</v>
          </cell>
          <cell r="AD699" t="str">
            <v>Chỉ đạo tuyến</v>
          </cell>
          <cell r="AE699" t="str">
            <v>Viên chức</v>
          </cell>
          <cell r="AG699">
            <v>0</v>
          </cell>
          <cell r="AH699" t="str">
            <v>3.00</v>
          </cell>
          <cell r="AI699">
            <v>3</v>
          </cell>
          <cell r="AK699">
            <v>45567</v>
          </cell>
          <cell r="AL699" t="str">
            <v>Đại học</v>
          </cell>
          <cell r="AM699" t="str">
            <v>YTCC</v>
          </cell>
          <cell r="AN699" t="str">
            <v>YTCC</v>
          </cell>
          <cell r="AO699" t="str">
            <v>ĐH Y Tế Công cộng</v>
          </cell>
          <cell r="AQ699" t="str">
            <v>12/12</v>
          </cell>
          <cell r="AU699" t="str">
            <v>Anh B</v>
          </cell>
          <cell r="AW699" t="str">
            <v>ƯDCNTCB</v>
          </cell>
          <cell r="AY699" t="str">
            <v>Tày</v>
          </cell>
        </row>
        <row r="700">
          <cell r="A700" t="str">
            <v>BV0803</v>
          </cell>
          <cell r="B700">
            <v>694</v>
          </cell>
          <cell r="C700" t="str">
            <v>Dương Công Tình</v>
          </cell>
          <cell r="D700" t="str">
            <v>BV0803</v>
          </cell>
          <cell r="E700">
            <v>2020451480</v>
          </cell>
          <cell r="F700">
            <v>2099885428</v>
          </cell>
          <cell r="G700" t="str">
            <v>CCCD: 020092002145 
Ngày cấp 29/4/2021,
Tại Cục cảnh sát quản lý hành chính về trật tự xã hội</v>
          </cell>
          <cell r="H700">
            <v>33674</v>
          </cell>
          <cell r="J700">
            <v>34</v>
          </cell>
          <cell r="K700" t="str">
            <v>082230384</v>
          </cell>
          <cell r="L700" t="str">
            <v>26/8/2016</v>
          </cell>
          <cell r="M700" t="str">
            <v>CA tỉnh Lạng Sơn</v>
          </cell>
          <cell r="O700" t="str">
            <v>Quỳnh Sơn</v>
          </cell>
          <cell r="P700" t="str">
            <v>Bắc Sơn</v>
          </cell>
          <cell r="Q700" t="str">
            <v>Lạng Sơn</v>
          </cell>
          <cell r="S700" t="str">
            <v>Quỳnh Sơn</v>
          </cell>
          <cell r="T700" t="str">
            <v>Bắc Sơn</v>
          </cell>
          <cell r="U700" t="str">
            <v>Lạng Sơn</v>
          </cell>
          <cell r="V700" t="str">
            <v>Xã Bắc Quỳnh, huyên Bắc Sơn, tỉnh Lạng Sơn</v>
          </cell>
          <cell r="W700" t="str">
            <v xml:space="preserve"> 02/10/2017</v>
          </cell>
          <cell r="AA700">
            <v>0</v>
          </cell>
          <cell r="AB700" t="str">
            <v>TĐ036</v>
          </cell>
          <cell r="AC700" t="str">
            <v>KHTH</v>
          </cell>
          <cell r="AD700" t="str">
            <v>KHTH</v>
          </cell>
          <cell r="AE700" t="str">
            <v>Viên chức</v>
          </cell>
          <cell r="AG700">
            <v>0</v>
          </cell>
          <cell r="AH700" t="str">
            <v>3.00</v>
          </cell>
          <cell r="AI700">
            <v>3</v>
          </cell>
          <cell r="AK700">
            <v>45567</v>
          </cell>
          <cell r="AL700" t="str">
            <v>Đại học</v>
          </cell>
          <cell r="AM700" t="str">
            <v>YTCC</v>
          </cell>
          <cell r="AN700" t="str">
            <v>YTCC</v>
          </cell>
          <cell r="AO700" t="str">
            <v>ĐH Y Tế Công cộng</v>
          </cell>
          <cell r="AQ700" t="str">
            <v>12/12</v>
          </cell>
          <cell r="AU700" t="str">
            <v>Anh C</v>
          </cell>
          <cell r="AW700" t="str">
            <v>B</v>
          </cell>
          <cell r="AY700" t="str">
            <v>Tày</v>
          </cell>
        </row>
        <row r="701">
          <cell r="A701" t="str">
            <v>BV0924</v>
          </cell>
          <cell r="B701">
            <v>695</v>
          </cell>
          <cell r="C701" t="str">
            <v>Nguyễn Thu Huyền</v>
          </cell>
          <cell r="D701" t="str">
            <v>BV0924</v>
          </cell>
          <cell r="E701" t="str">
            <v>3321487160</v>
          </cell>
          <cell r="G701" t="str">
            <v>CCCD: 020197000360
Ngày cấp: 13/4/2021
Tại Cục cảnh sát quản lý hành chính về trật tự xã hội</v>
          </cell>
          <cell r="I701" t="str">
            <v>08/8/1997</v>
          </cell>
          <cell r="J701">
            <v>28</v>
          </cell>
          <cell r="K701" t="str">
            <v>082325320</v>
          </cell>
          <cell r="L701" t="str">
            <v>04/4/2018</v>
          </cell>
          <cell r="M701" t="str">
            <v>Công an tỉnh Lạng Sơn</v>
          </cell>
          <cell r="N701" t="str">
            <v>Số 14 đường Ba Đình, khu Tân Mỹ I, Thị trấn Hữu Lũng, huyện Hữu Lũng, tỉnh Lạng Sơn</v>
          </cell>
          <cell r="O701" t="str">
            <v>Số 14 đường Ba Đình, khu Tân Mỹ I, Thị trấn Hữu Lũng, huyện Hữu Lũng, tỉnh Lạng Sơn</v>
          </cell>
          <cell r="S701" t="str">
            <v>Số 14 đường Ba Đình, khu Tân Mỹ I, Thị trấn Hữu Lũng, huyện Hữu Lũng, tỉnh Lạng Sơn</v>
          </cell>
          <cell r="V701" t="str">
            <v>Số 14 đường Ba Đình, khu Tân Mỹ I, Thị trấn Hữu Lũng, huyện Hữu Lũng, tỉnh Lạng Sơn</v>
          </cell>
          <cell r="W701" t="str">
            <v>15/8/2019</v>
          </cell>
          <cell r="AA701">
            <v>0</v>
          </cell>
          <cell r="AB701" t="str">
            <v>TĐ036</v>
          </cell>
          <cell r="AC701" t="str">
            <v>QLCL</v>
          </cell>
          <cell r="AD701" t="str">
            <v>QLCL</v>
          </cell>
          <cell r="AE701" t="str">
            <v>Viên chức</v>
          </cell>
          <cell r="AG701">
            <v>0</v>
          </cell>
          <cell r="AH701" t="str">
            <v>3.00</v>
          </cell>
          <cell r="AI701">
            <v>3</v>
          </cell>
          <cell r="AK701" t="str">
            <v>15/2/2026</v>
          </cell>
          <cell r="AL701" t="str">
            <v>Đại học</v>
          </cell>
          <cell r="AM701" t="str">
            <v>YTCC</v>
          </cell>
          <cell r="AN701" t="str">
            <v>YTCC</v>
          </cell>
          <cell r="AO701" t="str">
            <v>ĐH YTCC</v>
          </cell>
          <cell r="AY701" t="str">
            <v>Kinh</v>
          </cell>
        </row>
        <row r="702">
          <cell r="A702" t="str">
            <v>BV0804</v>
          </cell>
          <cell r="B702">
            <v>696</v>
          </cell>
          <cell r="C702" t="str">
            <v>Lương Thanh Nhàn</v>
          </cell>
          <cell r="D702" t="str">
            <v>BV0804</v>
          </cell>
          <cell r="E702">
            <v>2020824435</v>
          </cell>
          <cell r="F702">
            <v>2099790980</v>
          </cell>
          <cell r="G702" t="str">
            <v>CCCD: 020194001881, 
Ngày cấp: 29/04/2021.
Tại Cục cảnh sát quản lý hành chính về trật tự xã hội</v>
          </cell>
          <cell r="I702" t="str">
            <v>30/10/1994</v>
          </cell>
          <cell r="J702">
            <v>31</v>
          </cell>
          <cell r="K702" t="str">
            <v>082234130</v>
          </cell>
          <cell r="L702" t="str">
            <v>26/1/2010</v>
          </cell>
          <cell r="M702" t="str">
            <v>CA tỉnh Lạng Sơn</v>
          </cell>
          <cell r="O702" t="str">
            <v>Đồng Bục</v>
          </cell>
          <cell r="P702" t="str">
            <v>Lộc Bình</v>
          </cell>
          <cell r="Q702" t="str">
            <v>Lạng Sơn</v>
          </cell>
          <cell r="S702" t="str">
            <v>Đông Bục</v>
          </cell>
          <cell r="T702" t="str">
            <v>Lộc Bình</v>
          </cell>
          <cell r="U702" t="str">
            <v>Lạng Sơn</v>
          </cell>
          <cell r="V702" t="str">
            <v>Đồng Bục, Lộc Bình, Lạng Sơn</v>
          </cell>
          <cell r="W702" t="str">
            <v xml:space="preserve"> 02/10/2017</v>
          </cell>
          <cell r="AA702">
            <v>0</v>
          </cell>
          <cell r="AB702" t="str">
            <v>TĐ036</v>
          </cell>
          <cell r="AC702" t="str">
            <v>VT-TTBYT</v>
          </cell>
          <cell r="AD702" t="str">
            <v>VT-TTBYT</v>
          </cell>
          <cell r="AE702" t="str">
            <v>Viên chức</v>
          </cell>
          <cell r="AG702">
            <v>0</v>
          </cell>
          <cell r="AH702" t="str">
            <v>3.00</v>
          </cell>
          <cell r="AI702">
            <v>3</v>
          </cell>
          <cell r="AK702">
            <v>45567</v>
          </cell>
          <cell r="AL702" t="str">
            <v>Đại học</v>
          </cell>
          <cell r="AM702" t="str">
            <v>YTCC</v>
          </cell>
          <cell r="AN702" t="str">
            <v>YTCC</v>
          </cell>
          <cell r="AO702" t="str">
            <v>ĐH Y Tế Công cộng</v>
          </cell>
          <cell r="AP702">
            <v>2016</v>
          </cell>
          <cell r="AQ702" t="str">
            <v>12/12</v>
          </cell>
          <cell r="AU702" t="str">
            <v>Anh B</v>
          </cell>
          <cell r="AW702" t="str">
            <v>ƯDCNTCB</v>
          </cell>
          <cell r="AY702" t="str">
            <v>Tày</v>
          </cell>
        </row>
        <row r="703">
          <cell r="A703" t="str">
            <v>BV1139</v>
          </cell>
          <cell r="B703">
            <v>697</v>
          </cell>
          <cell r="C703" t="str">
            <v>Hoàng Văn Cánh</v>
          </cell>
          <cell r="D703" t="str">
            <v>BV1139</v>
          </cell>
          <cell r="G703" t="str">
            <v>CCCD: 020099001098
Ngày cấp: 29/4/2021
Tại Cục cảnh sát quản lý hành chính về trật tự xã hội</v>
          </cell>
          <cell r="H703" t="str">
            <v>26/4/1999</v>
          </cell>
          <cell r="J703">
            <v>27</v>
          </cell>
          <cell r="K703" t="str">
            <v>020099001098</v>
          </cell>
          <cell r="L703" t="str">
            <v>29/4/2021</v>
          </cell>
          <cell r="M703" t="str">
            <v>Cục Quản lý hành chính về trật tự xã hội</v>
          </cell>
          <cell r="Q703" t="str">
            <v>Xã Gia Miễn, huyện Văn Lãng</v>
          </cell>
          <cell r="V703" t="str">
            <v>Xã Gia Miễn, huyện Văn Lãng, tỉnh Lạng Sơn</v>
          </cell>
          <cell r="W703">
            <v>44445</v>
          </cell>
          <cell r="AA703">
            <v>0</v>
          </cell>
          <cell r="AB703" t="str">
            <v>TĐ012</v>
          </cell>
          <cell r="AC703" t="str">
            <v>Chấn thương - Bỏng</v>
          </cell>
          <cell r="AD703" t="str">
            <v>Chấn thương - Bỏng</v>
          </cell>
          <cell r="AE703" t="str">
            <v>Viên chức</v>
          </cell>
          <cell r="AG703">
            <v>0</v>
          </cell>
          <cell r="AH703" t="str">
            <v>2.41</v>
          </cell>
          <cell r="AI703">
            <v>2</v>
          </cell>
          <cell r="AK703">
            <v>45814</v>
          </cell>
          <cell r="AL703" t="str">
            <v>Cao đẳng</v>
          </cell>
          <cell r="AM703" t="str">
            <v>Điều dưỡng CĐ</v>
          </cell>
          <cell r="AO703" t="str">
            <v>CĐ Y tế LS</v>
          </cell>
          <cell r="AP703">
            <v>2020</v>
          </cell>
          <cell r="AU703" t="str">
            <v>Anh bậc 2</v>
          </cell>
          <cell r="AW703" t="str">
            <v>Cơ bản</v>
          </cell>
          <cell r="AY703" t="str">
            <v>Nùng</v>
          </cell>
        </row>
        <row r="704">
          <cell r="A704" t="str">
            <v>BV1140</v>
          </cell>
          <cell r="B704">
            <v>698</v>
          </cell>
          <cell r="C704" t="str">
            <v>Sầm Thị Hồng</v>
          </cell>
          <cell r="D704" t="str">
            <v>BV1140</v>
          </cell>
          <cell r="G704" t="str">
            <v>CCCD: 004195000680
ngày cấp: 13/04/2021.  
Tại Cục cảnh sát quản lý hành chính về trật tự xã hội</v>
          </cell>
          <cell r="I704" t="str">
            <v>19/5/1995</v>
          </cell>
          <cell r="J704">
            <v>31</v>
          </cell>
          <cell r="K704" t="str">
            <v>004195000680</v>
          </cell>
          <cell r="L704" t="str">
            <v>13/4/2021</v>
          </cell>
          <cell r="M704" t="str">
            <v>Cục Quản lý hành chính về trật tự xã hội</v>
          </cell>
          <cell r="Q704" t="str">
            <v>Xã Thanh Long, huyện Hà Quảng, tỉnh Cao Bằng</v>
          </cell>
          <cell r="V704" t="str">
            <v>Xã Thanh Long, huyện Hà Quảng, tỉnh Cao Bằng.</v>
          </cell>
          <cell r="W704" t="str">
            <v>23/8/2021</v>
          </cell>
          <cell r="AA704">
            <v>0</v>
          </cell>
          <cell r="AB704" t="str">
            <v>TĐ011</v>
          </cell>
          <cell r="AC704" t="str">
            <v>Chấn thương - Bỏng</v>
          </cell>
          <cell r="AD704" t="str">
            <v>Chấn thương - Bỏng</v>
          </cell>
          <cell r="AE704" t="str">
            <v>Viên chức</v>
          </cell>
          <cell r="AG704">
            <v>0</v>
          </cell>
          <cell r="AH704" t="str">
            <v>2.67</v>
          </cell>
          <cell r="AI704">
            <v>2</v>
          </cell>
          <cell r="AK704" t="str">
            <v>23/8/2025</v>
          </cell>
          <cell r="AL704" t="str">
            <v>Đại học</v>
          </cell>
          <cell r="AM704" t="str">
            <v>Điều dưỡng ĐH</v>
          </cell>
          <cell r="AO704" t="str">
            <v>ĐH PHENIKAA</v>
          </cell>
          <cell r="AP704">
            <v>2021</v>
          </cell>
          <cell r="AY704" t="str">
            <v>Nùng</v>
          </cell>
        </row>
        <row r="705">
          <cell r="A705" t="str">
            <v>BV1142</v>
          </cell>
          <cell r="B705">
            <v>699</v>
          </cell>
          <cell r="C705" t="str">
            <v>Nông Hải Yến</v>
          </cell>
          <cell r="D705" t="str">
            <v>BV1142</v>
          </cell>
          <cell r="G705" t="str">
            <v>020192002657 cấp ngày 29/4/2021, nơi cấp: Cục cảnh sát quản lý hành chính và trật tự xã hội</v>
          </cell>
          <cell r="I705" t="str">
            <v>26/9/1992</v>
          </cell>
          <cell r="J705">
            <v>33</v>
          </cell>
          <cell r="K705" t="str">
            <v>020192002657</v>
          </cell>
          <cell r="L705" t="str">
            <v>29/4/2021</v>
          </cell>
          <cell r="M705" t="str">
            <v>Cục Quản lý hành chính về trật tự xã hội</v>
          </cell>
          <cell r="Q705" t="str">
            <v>Xã Mai Pha, thành phố Lạng Sơn</v>
          </cell>
          <cell r="V705" t="str">
            <v>Xã Mai Pha, TP. Lạng Sơn ,tỉnh Lạng Sơn</v>
          </cell>
          <cell r="W705" t="str">
            <v>23/8/2021</v>
          </cell>
          <cell r="AA705">
            <v>0</v>
          </cell>
          <cell r="AB705" t="str">
            <v>TĐ012</v>
          </cell>
          <cell r="AC705" t="str">
            <v>Nội Thận-TN-LM</v>
          </cell>
          <cell r="AD705" t="str">
            <v>Nội Thận-TN-LM</v>
          </cell>
          <cell r="AE705" t="str">
            <v>Viên chức</v>
          </cell>
          <cell r="AG705">
            <v>0</v>
          </cell>
          <cell r="AH705" t="str">
            <v>2.41</v>
          </cell>
          <cell r="AI705">
            <v>2</v>
          </cell>
          <cell r="AK705">
            <v>45800</v>
          </cell>
          <cell r="AL705" t="str">
            <v>Cao đẳng</v>
          </cell>
          <cell r="AM705" t="str">
            <v>Điều dưỡng CĐ</v>
          </cell>
          <cell r="AO705" t="str">
            <v>CĐ Y tế LS</v>
          </cell>
          <cell r="AP705">
            <v>2018</v>
          </cell>
          <cell r="AY705" t="str">
            <v>Tày</v>
          </cell>
        </row>
        <row r="706">
          <cell r="A706" t="str">
            <v>BV1147</v>
          </cell>
          <cell r="B706">
            <v>700</v>
          </cell>
          <cell r="C706" t="str">
            <v>Hà Quang Tỉnh</v>
          </cell>
          <cell r="D706" t="str">
            <v>BV1147</v>
          </cell>
          <cell r="G706" t="str">
            <v>CCCD: 020096000732
Ngày cấp: 16/4/2021, nơi cấp: Cục cảnh sát quản lý hành chính và trật tự xã hội</v>
          </cell>
          <cell r="H706" t="str">
            <v>30/5/1996</v>
          </cell>
          <cell r="J706">
            <v>30</v>
          </cell>
          <cell r="K706" t="str">
            <v>020096000732</v>
          </cell>
          <cell r="L706" t="str">
            <v>16/04/2021</v>
          </cell>
          <cell r="M706" t="str">
            <v>Cục Quản lý hành chính về trật tự xã hội</v>
          </cell>
          <cell r="Q706" t="str">
            <v>Xã Bình Phúc, huyện Văn Quan</v>
          </cell>
          <cell r="V706" t="str">
            <v>Xã Bình Phúc, huyện Văn Quan, tỉnh Lạng Sơn</v>
          </cell>
          <cell r="W706" t="str">
            <v>23/8/2021</v>
          </cell>
          <cell r="AA706">
            <v>0</v>
          </cell>
          <cell r="AB706" t="str">
            <v>TĐ012</v>
          </cell>
          <cell r="AC706" t="str">
            <v>Ngoại Tiêu hóa</v>
          </cell>
          <cell r="AD706" t="str">
            <v>Ngoại Tiêu hóa</v>
          </cell>
          <cell r="AE706" t="str">
            <v>HĐ có thời hạn</v>
          </cell>
          <cell r="AG706">
            <v>0</v>
          </cell>
          <cell r="AH706" t="str">
            <v>2.41</v>
          </cell>
          <cell r="AI706">
            <v>2</v>
          </cell>
          <cell r="AK706">
            <v>45800</v>
          </cell>
          <cell r="AL706" t="str">
            <v>Cao đẳng</v>
          </cell>
          <cell r="AM706" t="str">
            <v>Điều dưỡng CĐ</v>
          </cell>
          <cell r="AO706" t="str">
            <v>CĐ Y tế TN</v>
          </cell>
          <cell r="AP706">
            <v>2017</v>
          </cell>
          <cell r="AY706" t="str">
            <v>Tày</v>
          </cell>
        </row>
        <row r="707">
          <cell r="A707" t="str">
            <v>BV1148</v>
          </cell>
          <cell r="B707">
            <v>701</v>
          </cell>
          <cell r="C707" t="str">
            <v>Lương Thị Tới</v>
          </cell>
          <cell r="D707" t="str">
            <v>BV1148</v>
          </cell>
          <cell r="G707" t="str">
            <v>020192010705,
Ngày cấp 22/11/2021, nơi cấp: Cục cảnh sát quản lý hành chính và trật tự xã hội</v>
          </cell>
          <cell r="I707" t="str">
            <v>26/8/1992</v>
          </cell>
          <cell r="J707">
            <v>33</v>
          </cell>
          <cell r="K707" t="str">
            <v>082215738</v>
          </cell>
          <cell r="L707" t="str">
            <v>14/12/2009</v>
          </cell>
          <cell r="M707" t="str">
            <v>Công an tỉnh Lạng Sơn</v>
          </cell>
          <cell r="Q707" t="str">
            <v>Xã Vân An. Huyện Chi Lăng</v>
          </cell>
          <cell r="V707" t="str">
            <v>Xã Vân An, huyện Chi Lăng, tỉnh Lạng Sơn</v>
          </cell>
          <cell r="W707">
            <v>44445</v>
          </cell>
          <cell r="AA707">
            <v>0</v>
          </cell>
          <cell r="AB707" t="str">
            <v>TĐ012</v>
          </cell>
          <cell r="AC707" t="str">
            <v>Nhi</v>
          </cell>
          <cell r="AD707" t="str">
            <v>Nhi</v>
          </cell>
          <cell r="AE707" t="str">
            <v>Viên chức</v>
          </cell>
          <cell r="AG707">
            <v>0</v>
          </cell>
          <cell r="AH707" t="e">
            <v>#N/A</v>
          </cell>
          <cell r="AI707" t="e">
            <v>#N/A</v>
          </cell>
          <cell r="AK707" t="e">
            <v>#N/A</v>
          </cell>
          <cell r="AL707" t="str">
            <v>Cao đẳng</v>
          </cell>
          <cell r="AM707" t="str">
            <v>Điều dưỡng CĐ</v>
          </cell>
          <cell r="AO707" t="str">
            <v>CĐ Y tế TN</v>
          </cell>
          <cell r="AP707">
            <v>2013</v>
          </cell>
          <cell r="AY707" t="str">
            <v>Tày</v>
          </cell>
        </row>
        <row r="708">
          <cell r="A708" t="str">
            <v>BV1149</v>
          </cell>
          <cell r="B708">
            <v>702</v>
          </cell>
          <cell r="C708" t="str">
            <v>Toàn Thu Linh</v>
          </cell>
          <cell r="D708" t="str">
            <v>BV1149</v>
          </cell>
          <cell r="G708" t="str">
            <v>082047068, ngày cấp 21/10/2019, công an tỉnh Lạng Sơn</v>
          </cell>
          <cell r="I708" t="str">
            <v>04/3/1988</v>
          </cell>
          <cell r="J708">
            <v>38</v>
          </cell>
          <cell r="K708" t="str">
            <v>082047068</v>
          </cell>
          <cell r="L708" t="str">
            <v>21/10/2019</v>
          </cell>
          <cell r="M708" t="str">
            <v>Công an tỉnh Lạng Sơn</v>
          </cell>
          <cell r="Q708" t="str">
            <v>Phường Hoàng Văn Thụ, Thành phố Lạng Sơn</v>
          </cell>
          <cell r="V708" t="str">
            <v>Phường Hoàng Văn Thụ, TP. Lạng Sơn ,tỉnh Lạng Sơn</v>
          </cell>
          <cell r="W708" t="str">
            <v>23/8/2021</v>
          </cell>
          <cell r="AA708">
            <v>0</v>
          </cell>
          <cell r="AB708" t="str">
            <v>TĐ012</v>
          </cell>
          <cell r="AC708" t="str">
            <v>Tâm thần - Thần kinh</v>
          </cell>
          <cell r="AD708" t="str">
            <v>Tâm thần - Thần kinh</v>
          </cell>
          <cell r="AE708" t="str">
            <v>Viên chức</v>
          </cell>
          <cell r="AG708">
            <v>0</v>
          </cell>
          <cell r="AH708" t="str">
            <v>2.41</v>
          </cell>
          <cell r="AI708">
            <v>2</v>
          </cell>
          <cell r="AK708">
            <v>45814</v>
          </cell>
          <cell r="AL708" t="str">
            <v>Cao đẳng</v>
          </cell>
          <cell r="AM708" t="str">
            <v>Điều dưỡng CĐ</v>
          </cell>
          <cell r="AO708" t="str">
            <v>CĐ Y tế LS</v>
          </cell>
          <cell r="AP708">
            <v>2016</v>
          </cell>
          <cell r="AY708" t="str">
            <v>Tày</v>
          </cell>
        </row>
        <row r="709">
          <cell r="A709" t="str">
            <v>BV1152</v>
          </cell>
          <cell r="B709">
            <v>703</v>
          </cell>
          <cell r="C709" t="str">
            <v>Nguyễn Quỳnh Anh</v>
          </cell>
          <cell r="D709" t="str">
            <v>BV1152</v>
          </cell>
          <cell r="G709" t="str">
            <v>020196005434 ngày cấp 13/2/2022 , Cục cảnh sát quản lý hành chính về trật tự xã hội</v>
          </cell>
          <cell r="I709" t="str">
            <v>14/5/1996</v>
          </cell>
          <cell r="J709">
            <v>30</v>
          </cell>
          <cell r="K709" t="str">
            <v>082308668</v>
          </cell>
          <cell r="L709" t="str">
            <v>20/12/2013</v>
          </cell>
          <cell r="M709" t="str">
            <v>Công an tỉnh Lạng Sơn</v>
          </cell>
          <cell r="Q709" t="str">
            <v>Phường Đông Kinh, thành phố Lạng Sơn</v>
          </cell>
          <cell r="V709" t="str">
            <v>Phường Đông Kinh, thành phố Lạng Sơn, tỉnh Lạng Sơn</v>
          </cell>
          <cell r="W709">
            <v>44445</v>
          </cell>
          <cell r="AA709">
            <v>0</v>
          </cell>
          <cell r="AB709" t="str">
            <v>TĐ005</v>
          </cell>
          <cell r="AC709" t="str">
            <v>Truyền nhiễm</v>
          </cell>
          <cell r="AD709" t="str">
            <v>Truyền nhiễm</v>
          </cell>
          <cell r="AE709" t="str">
            <v>Viên chức</v>
          </cell>
          <cell r="AG709">
            <v>0</v>
          </cell>
          <cell r="AH709" t="str">
            <v>2.67</v>
          </cell>
          <cell r="AI709">
            <v>2</v>
          </cell>
          <cell r="AK709">
            <v>45814</v>
          </cell>
          <cell r="AL709" t="str">
            <v>Đại học</v>
          </cell>
          <cell r="AM709" t="str">
            <v>Bác sĩ</v>
          </cell>
          <cell r="AN709" t="str">
            <v>Đa khoa</v>
          </cell>
          <cell r="AO709" t="str">
            <v>ĐH y dược TB</v>
          </cell>
          <cell r="AP709">
            <v>2021</v>
          </cell>
          <cell r="AY709" t="str">
            <v>Nùng</v>
          </cell>
        </row>
        <row r="710">
          <cell r="A710" t="str">
            <v>BV1153</v>
          </cell>
          <cell r="B710">
            <v>704</v>
          </cell>
          <cell r="C710" t="str">
            <v>Đàm Quang Diệu</v>
          </cell>
          <cell r="D710" t="str">
            <v>BV1153</v>
          </cell>
          <cell r="G710" t="str">
            <v xml:space="preserve">020095001919, cấp ngày 29/4/2021, tại cục CSQLHC về TTXH </v>
          </cell>
          <cell r="I710" t="str">
            <v>14/5/1995</v>
          </cell>
          <cell r="J710">
            <v>31</v>
          </cell>
          <cell r="K710" t="str">
            <v>082190998</v>
          </cell>
          <cell r="L710" t="str">
            <v>06/10/2010</v>
          </cell>
          <cell r="M710" t="str">
            <v>Công an tỉnh Lạng Sơn</v>
          </cell>
          <cell r="Q710" t="str">
            <v>Phường Vĩnh Trại, Thành phố Lạng Sơn</v>
          </cell>
          <cell r="V710" t="str">
            <v>Phường Vĩnh Trại, Thành phố Lạng Sơn, tỉnh Lạng Sơn</v>
          </cell>
          <cell r="W710">
            <v>44445</v>
          </cell>
          <cell r="AA710">
            <v>0</v>
          </cell>
          <cell r="AB710" t="str">
            <v>TĐ005</v>
          </cell>
          <cell r="AC710" t="str">
            <v>Nội TM</v>
          </cell>
          <cell r="AD710" t="str">
            <v>Nội TM</v>
          </cell>
          <cell r="AE710" t="str">
            <v>Viên chức</v>
          </cell>
          <cell r="AG710">
            <v>0</v>
          </cell>
          <cell r="AH710" t="str">
            <v>2.67</v>
          </cell>
          <cell r="AI710">
            <v>2</v>
          </cell>
          <cell r="AK710">
            <v>45814</v>
          </cell>
          <cell r="AL710" t="str">
            <v>Đại học</v>
          </cell>
          <cell r="AM710" t="str">
            <v>Bác sĩ</v>
          </cell>
          <cell r="AN710" t="str">
            <v>Đa khoa</v>
          </cell>
          <cell r="AO710" t="str">
            <v>ĐH Y dược TN</v>
          </cell>
          <cell r="AP710">
            <v>2020</v>
          </cell>
          <cell r="AY710" t="str">
            <v>Nùng</v>
          </cell>
        </row>
        <row r="711">
          <cell r="A711" t="str">
            <v>BV1159</v>
          </cell>
          <cell r="B711">
            <v>705</v>
          </cell>
          <cell r="C711" t="str">
            <v>Bùi Thị Thu Hà</v>
          </cell>
          <cell r="D711" t="str">
            <v>BV1159</v>
          </cell>
          <cell r="G711" t="str">
            <v>020194011727, ngày cấp 28/9/2021, nơi cấp cục cảnh sát quản lý hành chính về trật tự xã hội</v>
          </cell>
          <cell r="I711" t="str">
            <v>17/9/1994</v>
          </cell>
          <cell r="J711">
            <v>31</v>
          </cell>
          <cell r="K711" t="str">
            <v>082234135</v>
          </cell>
          <cell r="L711" t="str">
            <v>26/6/2017</v>
          </cell>
          <cell r="M711" t="str">
            <v>Công an tỉnh Lạng Sơn</v>
          </cell>
          <cell r="Q711" t="str">
            <v>Khu Hòa Bình, Thị trấn Lộc Bình, Huyện Lộc Bình</v>
          </cell>
          <cell r="V711" t="str">
            <v>Khu Hòa Bình, Thị trấn Lộc Bình, Huyện Lộc Bình, tỉnh Lạng Sơn</v>
          </cell>
          <cell r="W711">
            <v>44445</v>
          </cell>
          <cell r="AA711">
            <v>0</v>
          </cell>
          <cell r="AB711" t="str">
            <v>TĐ005</v>
          </cell>
          <cell r="AC711" t="str">
            <v>Tâm thần - Thần kinh</v>
          </cell>
          <cell r="AD711" t="str">
            <v>Tâm thần - Thần kinh</v>
          </cell>
          <cell r="AE711" t="str">
            <v>Viên chức</v>
          </cell>
          <cell r="AG711">
            <v>0</v>
          </cell>
          <cell r="AH711" t="str">
            <v>2.67</v>
          </cell>
          <cell r="AI711">
            <v>2</v>
          </cell>
          <cell r="AK711">
            <v>45814</v>
          </cell>
          <cell r="AL711" t="str">
            <v>Đại học</v>
          </cell>
          <cell r="AM711" t="str">
            <v>Bác sĩ</v>
          </cell>
          <cell r="AN711" t="str">
            <v>Đa khoa</v>
          </cell>
          <cell r="AO711" t="str">
            <v>ĐH Y dược TB</v>
          </cell>
          <cell r="AP711">
            <v>2021</v>
          </cell>
          <cell r="AY711" t="str">
            <v>Tày</v>
          </cell>
        </row>
        <row r="712">
          <cell r="A712" t="str">
            <v>BV1132</v>
          </cell>
          <cell r="B712">
            <v>706</v>
          </cell>
          <cell r="C712" t="str">
            <v>Vy Thị Tình</v>
          </cell>
          <cell r="D712" t="str">
            <v>BV1132</v>
          </cell>
          <cell r="I712" t="str">
            <v>29/09/1986</v>
          </cell>
          <cell r="J712">
            <v>39</v>
          </cell>
          <cell r="V712" t="str">
            <v>Thôn Bản Đẩy, xã Thạch Đạn, huyện Cao Lộc, tỉnh Lạng Sơn</v>
          </cell>
          <cell r="W712">
            <v>44410</v>
          </cell>
          <cell r="AA712">
            <v>0</v>
          </cell>
          <cell r="AB712" t="str">
            <v>TĐ047</v>
          </cell>
          <cell r="AC712" t="str">
            <v>Điều dưỡng</v>
          </cell>
          <cell r="AD712" t="str">
            <v>Điều dưỡng</v>
          </cell>
          <cell r="AE712" t="str">
            <v>HĐ có thời hạn</v>
          </cell>
          <cell r="AG712">
            <v>0</v>
          </cell>
          <cell r="AH712">
            <v>1.65</v>
          </cell>
          <cell r="AI712">
            <v>1</v>
          </cell>
          <cell r="AK712">
            <v>45689</v>
          </cell>
          <cell r="AL712" t="str">
            <v>Chứng chỉ</v>
          </cell>
          <cell r="AM712" t="str">
            <v>Hộ Lý</v>
          </cell>
          <cell r="AY712" t="str">
            <v>Kinh</v>
          </cell>
        </row>
        <row r="713">
          <cell r="A713" t="str">
            <v>BV1131</v>
          </cell>
          <cell r="B713">
            <v>707</v>
          </cell>
          <cell r="C713" t="str">
            <v>Lê Thị Phượng</v>
          </cell>
          <cell r="D713" t="str">
            <v>BV1131</v>
          </cell>
          <cell r="I713" t="str">
            <v>07/11/1977</v>
          </cell>
          <cell r="J713">
            <v>48</v>
          </cell>
          <cell r="V713" t="str">
            <v>33A ngõ 4, đường Lê Lợi, phường Vĩnh Trại, thành phố Lạng Sơn, tỉnh Lạng Sơn</v>
          </cell>
          <cell r="W713" t="str">
            <v xml:space="preserve"> 02/8/2021</v>
          </cell>
          <cell r="AA713">
            <v>0</v>
          </cell>
          <cell r="AB713" t="str">
            <v>TĐ048</v>
          </cell>
          <cell r="AC713" t="str">
            <v>KSNK</v>
          </cell>
          <cell r="AD713" t="str">
            <v>KSNK</v>
          </cell>
          <cell r="AE713" t="str">
            <v>HĐ có thời hạn</v>
          </cell>
          <cell r="AG713">
            <v>0</v>
          </cell>
          <cell r="AH713">
            <v>1.65</v>
          </cell>
          <cell r="AI713">
            <v>1</v>
          </cell>
          <cell r="AK713">
            <v>45689</v>
          </cell>
          <cell r="AM713" t="str">
            <v>NVPV</v>
          </cell>
          <cell r="AY713" t="str">
            <v>Kinh</v>
          </cell>
        </row>
        <row r="714">
          <cell r="A714" t="str">
            <v>BV1134</v>
          </cell>
          <cell r="B714">
            <v>708</v>
          </cell>
          <cell r="C714" t="str">
            <v>Vi Văn Vẻ</v>
          </cell>
          <cell r="D714" t="str">
            <v>BV1134</v>
          </cell>
          <cell r="I714" t="str">
            <v>25/3/1988</v>
          </cell>
          <cell r="J714">
            <v>38</v>
          </cell>
          <cell r="V714" t="str">
            <v>Số 14 đường Phan Huy Chú, phường Chi Lăng, thành phố Lạng Sơn, tỉnh Lạng Sơn</v>
          </cell>
          <cell r="W714" t="str">
            <v xml:space="preserve"> 02/8/2021</v>
          </cell>
          <cell r="AA714">
            <v>0</v>
          </cell>
          <cell r="AB714" t="str">
            <v>TĐ044</v>
          </cell>
          <cell r="AC714" t="str">
            <v>HCQT</v>
          </cell>
          <cell r="AD714" t="str">
            <v>HCQT</v>
          </cell>
          <cell r="AE714" t="str">
            <v>HĐ có thời hạn</v>
          </cell>
          <cell r="AG714">
            <v>0</v>
          </cell>
          <cell r="AH714">
            <v>1.68</v>
          </cell>
          <cell r="AI714">
            <v>2</v>
          </cell>
          <cell r="AK714">
            <v>45689</v>
          </cell>
          <cell r="AM714" t="str">
            <v>Bảo vệ</v>
          </cell>
          <cell r="AY714" t="str">
            <v>Kinh</v>
          </cell>
          <cell r="AZ714" t="str">
            <v>23/11/0012</v>
          </cell>
        </row>
        <row r="715">
          <cell r="A715" t="str">
            <v>BV1165</v>
          </cell>
          <cell r="B715">
            <v>709</v>
          </cell>
          <cell r="C715" t="str">
            <v>Hoàng Văn Dương</v>
          </cell>
          <cell r="D715" t="str">
            <v>BV1165</v>
          </cell>
          <cell r="H715" t="str">
            <v>12/11/1979</v>
          </cell>
          <cell r="J715">
            <v>46</v>
          </cell>
          <cell r="V715" t="str">
            <v>Số 2, ngõ 109 đường Nguyễn Du, phường Đông Kinh, thành phố Lạng Sơn</v>
          </cell>
          <cell r="W715" t="str">
            <v xml:space="preserve"> 01/11/2021</v>
          </cell>
          <cell r="AA715">
            <v>0</v>
          </cell>
          <cell r="AB715" t="str">
            <v>TĐ044</v>
          </cell>
          <cell r="AC715" t="str">
            <v>HCQT</v>
          </cell>
          <cell r="AD715" t="str">
            <v>HCQT</v>
          </cell>
          <cell r="AE715" t="str">
            <v>HĐ có thời hạn</v>
          </cell>
          <cell r="AG715">
            <v>0</v>
          </cell>
          <cell r="AH715">
            <v>1.68</v>
          </cell>
          <cell r="AI715">
            <v>2</v>
          </cell>
          <cell r="AK715">
            <v>45689</v>
          </cell>
          <cell r="AM715" t="str">
            <v>Bảo vệ</v>
          </cell>
          <cell r="AY715" t="str">
            <v>Tày</v>
          </cell>
        </row>
        <row r="716">
          <cell r="A716" t="str">
            <v>BV1171</v>
          </cell>
          <cell r="B716">
            <v>710</v>
          </cell>
          <cell r="C716" t="str">
            <v>Lương Phan Anh</v>
          </cell>
          <cell r="D716" t="str">
            <v>BV1171</v>
          </cell>
          <cell r="G716" t="str">
            <v>020093006527
Cấp ngày: 20/02/2022
Cục cảnh sát QLHC
về TTXH</v>
          </cell>
          <cell r="H716" t="str">
            <v>01/11/1993</v>
          </cell>
          <cell r="J716">
            <v>32</v>
          </cell>
          <cell r="K716" t="str">
            <v>082164937</v>
          </cell>
          <cell r="L716" t="str">
            <v>12/5/2018</v>
          </cell>
          <cell r="M716" t="str">
            <v>Công an tỉnh Lạng Sơn</v>
          </cell>
          <cell r="V716" t="str">
            <v>Phường Tam Thanh, thành phố Lạng Sơn</v>
          </cell>
          <cell r="W716">
            <v>44621</v>
          </cell>
          <cell r="AA716">
            <v>0</v>
          </cell>
          <cell r="AC716" t="str">
            <v>Phụ sản</v>
          </cell>
          <cell r="AD716" t="str">
            <v>KP016</v>
          </cell>
          <cell r="AE716" t="str">
            <v>Viên chức</v>
          </cell>
          <cell r="AG716">
            <v>0</v>
          </cell>
          <cell r="AH716" t="str">
            <v>2.67</v>
          </cell>
          <cell r="AI716">
            <v>2</v>
          </cell>
          <cell r="AK716">
            <v>45717</v>
          </cell>
          <cell r="AL716" t="str">
            <v>Đại học</v>
          </cell>
          <cell r="AM716" t="str">
            <v>Bác sĩ nội trú</v>
          </cell>
          <cell r="AN716" t="str">
            <v>Sản phụ khoa</v>
          </cell>
          <cell r="AY716" t="str">
            <v>Tày</v>
          </cell>
        </row>
        <row r="717">
          <cell r="A717" t="str">
            <v>BV1173</v>
          </cell>
          <cell r="B717">
            <v>711</v>
          </cell>
          <cell r="C717" t="str">
            <v>Hoàng Thị Xì</v>
          </cell>
          <cell r="D717" t="str">
            <v>BV1173</v>
          </cell>
          <cell r="G717" t="str">
            <v xml:space="preserve">       020197007925, ngày cấp: 24/6/2021, nơi cấp: Cục cảnh sát quản lý hành chính và trật tự xã hội</v>
          </cell>
          <cell r="I717" t="str">
            <v>12/02/1997</v>
          </cell>
          <cell r="J717">
            <v>29</v>
          </cell>
          <cell r="K717" t="str">
            <v>020197007925</v>
          </cell>
          <cell r="L717" t="str">
            <v>24/6/2021</v>
          </cell>
          <cell r="M717" t="str">
            <v>Cục Cảnh sát quản lý hành chính về trật tự xã hội</v>
          </cell>
          <cell r="V717" t="str">
            <v>Xã Tân Tác, huyện Văn Lãng, tỉnh Lạng Sơn</v>
          </cell>
          <cell r="W717">
            <v>44623</v>
          </cell>
          <cell r="AA717">
            <v>0</v>
          </cell>
          <cell r="AC717" t="str">
            <v>KSNK</v>
          </cell>
          <cell r="AD717" t="str">
            <v>KP036</v>
          </cell>
          <cell r="AE717" t="str">
            <v>Viên chức</v>
          </cell>
          <cell r="AG717">
            <v>0</v>
          </cell>
          <cell r="AH717" t="str">
            <v>2.34</v>
          </cell>
          <cell r="AI717">
            <v>1</v>
          </cell>
          <cell r="AK717">
            <v>44988</v>
          </cell>
          <cell r="AL717" t="str">
            <v>Đại học</v>
          </cell>
          <cell r="AM717" t="str">
            <v>Kỹ sư</v>
          </cell>
          <cell r="AY717" t="str">
            <v>Tày</v>
          </cell>
        </row>
        <row r="718">
          <cell r="A718" t="str">
            <v>BV1179</v>
          </cell>
          <cell r="B718">
            <v>712</v>
          </cell>
          <cell r="C718" t="str">
            <v>Mông Đức Thuận</v>
          </cell>
          <cell r="D718" t="str">
            <v>BV1179</v>
          </cell>
          <cell r="H718" t="str">
            <v>06/9/1983</v>
          </cell>
          <cell r="J718">
            <v>42</v>
          </cell>
          <cell r="K718" t="str">
            <v>020083002203</v>
          </cell>
          <cell r="L718" t="str">
            <v>20/4/2021</v>
          </cell>
          <cell r="M718" t="str">
            <v>Cục Cảnh sát quản lý hành chính về trật tự xã hội</v>
          </cell>
          <cell r="V718" t="str">
            <v>114 đường Bắc Sơn, phường Hoàng Văn Thụ, thành phố Lạng Sơn</v>
          </cell>
          <cell r="W718">
            <v>44718</v>
          </cell>
          <cell r="AA718">
            <v>0</v>
          </cell>
          <cell r="AC718" t="str">
            <v>VT-TTBYT</v>
          </cell>
          <cell r="AD718">
            <v>0</v>
          </cell>
          <cell r="AE718" t="str">
            <v>Viên chức</v>
          </cell>
          <cell r="AG718">
            <v>0</v>
          </cell>
          <cell r="AH718" t="str">
            <v>2.34</v>
          </cell>
          <cell r="AI718">
            <v>1</v>
          </cell>
          <cell r="AK718">
            <v>45083</v>
          </cell>
          <cell r="AL718" t="str">
            <v>Đại học</v>
          </cell>
          <cell r="AM718" t="str">
            <v>Kỹ sư</v>
          </cell>
          <cell r="AY718" t="str">
            <v>Tày</v>
          </cell>
          <cell r="AZ718">
            <v>41345</v>
          </cell>
        </row>
        <row r="719">
          <cell r="A719" t="str">
            <v>BV1177</v>
          </cell>
          <cell r="B719">
            <v>713</v>
          </cell>
          <cell r="C719" t="str">
            <v>Nguyễn Đức Tuân</v>
          </cell>
          <cell r="D719" t="str">
            <v>BV1177</v>
          </cell>
          <cell r="H719" t="str">
            <v>26/12/1971</v>
          </cell>
          <cell r="J719">
            <v>54</v>
          </cell>
          <cell r="K719" t="str">
            <v>080924379</v>
          </cell>
          <cell r="L719" t="str">
            <v>25/4/2021</v>
          </cell>
          <cell r="M719" t="str">
            <v>Công an tỉnh Lạng Sơn</v>
          </cell>
          <cell r="V719" t="str">
            <v>139 đường Mỹ Sơn, khối 9 phường Vĩnh Trại, thành phố Lạng Sơn</v>
          </cell>
          <cell r="W719">
            <v>44713</v>
          </cell>
          <cell r="AA719">
            <v>0</v>
          </cell>
          <cell r="AC719" t="str">
            <v>HCQT</v>
          </cell>
          <cell r="AD719">
            <v>0</v>
          </cell>
          <cell r="AE719" t="str">
            <v>HĐ có thời hạn</v>
          </cell>
          <cell r="AG719">
            <v>0</v>
          </cell>
          <cell r="AH719">
            <v>1.68</v>
          </cell>
          <cell r="AI719">
            <v>2</v>
          </cell>
          <cell r="AK719">
            <v>45689</v>
          </cell>
          <cell r="AM719" t="str">
            <v>Bảo vệ</v>
          </cell>
          <cell r="AY719" t="str">
            <v>Kinh</v>
          </cell>
        </row>
        <row r="720">
          <cell r="A720" t="str">
            <v>BV1182</v>
          </cell>
          <cell r="B720">
            <v>714</v>
          </cell>
          <cell r="C720" t="str">
            <v>Vi Thanh Hương</v>
          </cell>
          <cell r="D720" t="str">
            <v>BV1182</v>
          </cell>
          <cell r="E720">
            <v>2020623751</v>
          </cell>
          <cell r="I720">
            <v>34319</v>
          </cell>
          <cell r="J720">
            <v>32</v>
          </cell>
          <cell r="K720" t="str">
            <v>020193001302</v>
          </cell>
          <cell r="L720" t="str">
            <v>25/4/2021</v>
          </cell>
          <cell r="M720" t="str">
            <v>Cục Cảnh sát quản lý hành chính về trật tự xã hội</v>
          </cell>
          <cell r="V720" t="str">
            <v>19 ngõ 64 đường Lê Đại Hành, phường Vĩnh Trại, thành phố Lạng Sơn</v>
          </cell>
          <cell r="W720" t="str">
            <v>20/6/2022</v>
          </cell>
          <cell r="AA720">
            <v>0</v>
          </cell>
          <cell r="AC720" t="str">
            <v>Dược</v>
          </cell>
          <cell r="AD720">
            <v>0</v>
          </cell>
          <cell r="AE720" t="str">
            <v>HĐ có thời hạn</v>
          </cell>
          <cell r="AG720">
            <v>0</v>
          </cell>
          <cell r="AH720" t="str">
            <v>2.41</v>
          </cell>
          <cell r="AI720">
            <v>2</v>
          </cell>
          <cell r="AK720">
            <v>45901</v>
          </cell>
          <cell r="AL720" t="str">
            <v>Cao đẳng</v>
          </cell>
          <cell r="AM720" t="str">
            <v>Dược sỹ CĐ</v>
          </cell>
          <cell r="AY720" t="str">
            <v>Tày</v>
          </cell>
        </row>
        <row r="721">
          <cell r="A721" t="str">
            <v>BV1185</v>
          </cell>
          <cell r="B721">
            <v>715</v>
          </cell>
          <cell r="C721" t="str">
            <v>Chu Thị Mây</v>
          </cell>
          <cell r="D721" t="str">
            <v>BV1185</v>
          </cell>
          <cell r="I721" t="str">
            <v>09/5/1984</v>
          </cell>
          <cell r="J721">
            <v>42</v>
          </cell>
          <cell r="K721" t="str">
            <v>020184009651</v>
          </cell>
          <cell r="L721" t="str">
            <v>24/6/2021</v>
          </cell>
          <cell r="M721" t="str">
            <v>Cục Cảnh sát quản lý hành chính về trật tự xã hội</v>
          </cell>
          <cell r="V721" t="str">
            <v>Thôn Hoàng Thượng, xã Hoàng Đồng, thành phố Lạng Sơn</v>
          </cell>
          <cell r="W721" t="str">
            <v>20/6/2022</v>
          </cell>
          <cell r="AA721">
            <v>0</v>
          </cell>
          <cell r="AC721" t="str">
            <v>Ngoại TK-LN</v>
          </cell>
          <cell r="AD721">
            <v>0</v>
          </cell>
          <cell r="AE721" t="str">
            <v>HĐ có thời hạn</v>
          </cell>
          <cell r="AG721">
            <v>0</v>
          </cell>
          <cell r="AH721">
            <v>1.65</v>
          </cell>
          <cell r="AI721">
            <v>1</v>
          </cell>
          <cell r="AK721">
            <v>45689</v>
          </cell>
          <cell r="AL721" t="str">
            <v>Chứng chỉ</v>
          </cell>
          <cell r="AM721" t="str">
            <v>Hộ lý</v>
          </cell>
          <cell r="AY721" t="str">
            <v>Tày</v>
          </cell>
        </row>
        <row r="722">
          <cell r="A722" t="str">
            <v>BV1187</v>
          </cell>
          <cell r="B722">
            <v>716</v>
          </cell>
          <cell r="C722" t="str">
            <v>Vương Thị Lý</v>
          </cell>
          <cell r="D722" t="str">
            <v>BV1187</v>
          </cell>
          <cell r="I722" t="str">
            <v>10/02/1996</v>
          </cell>
          <cell r="J722">
            <v>30</v>
          </cell>
          <cell r="V722" t="str">
            <v>22/167 đường Phai Vệ, phường Đông Kinh, thành phố Lạng Sơn</v>
          </cell>
          <cell r="W722">
            <v>44748</v>
          </cell>
          <cell r="AA722">
            <v>0</v>
          </cell>
          <cell r="AC722" t="str">
            <v>Dược</v>
          </cell>
          <cell r="AE722" t="str">
            <v>HĐ có thời hạn</v>
          </cell>
          <cell r="AG722">
            <v>0</v>
          </cell>
          <cell r="AH722" t="str">
            <v>2.06</v>
          </cell>
          <cell r="AI722">
            <v>2</v>
          </cell>
          <cell r="AK722">
            <v>45663</v>
          </cell>
          <cell r="AL722" t="str">
            <v>Trung cấp</v>
          </cell>
          <cell r="AM722" t="str">
            <v>Dược sỹ TC</v>
          </cell>
          <cell r="AY722" t="str">
            <v>Nùng</v>
          </cell>
        </row>
        <row r="723">
          <cell r="A723" t="str">
            <v>Bv1188</v>
          </cell>
          <cell r="B723">
            <v>717</v>
          </cell>
          <cell r="C723" t="str">
            <v>Nông Thị Liên</v>
          </cell>
          <cell r="D723" t="str">
            <v>Bv1188</v>
          </cell>
          <cell r="I723" t="str">
            <v>13/4/1985</v>
          </cell>
          <cell r="J723">
            <v>41</v>
          </cell>
          <cell r="V723" t="str">
            <v>Xã Đại Đồng, huyện Tràng Định, tỉnh Lạng Sơn</v>
          </cell>
          <cell r="W723">
            <v>44774</v>
          </cell>
          <cell r="AA723">
            <v>0</v>
          </cell>
          <cell r="AC723" t="str">
            <v>Truyền nhiễm</v>
          </cell>
          <cell r="AE723" t="str">
            <v>HĐ có thời hạn</v>
          </cell>
          <cell r="AG723">
            <v>0</v>
          </cell>
          <cell r="AH723">
            <v>1.65</v>
          </cell>
          <cell r="AI723">
            <v>1</v>
          </cell>
          <cell r="AK723">
            <v>45689</v>
          </cell>
          <cell r="AL723" t="str">
            <v>Chứng chỉ</v>
          </cell>
          <cell r="AM723" t="str">
            <v>Hộ lý</v>
          </cell>
          <cell r="AY723" t="str">
            <v>tày</v>
          </cell>
        </row>
        <row r="724">
          <cell r="A724" t="str">
            <v>BV1189</v>
          </cell>
          <cell r="B724">
            <v>718</v>
          </cell>
          <cell r="C724" t="str">
            <v>Nông Minh Huyền</v>
          </cell>
          <cell r="D724" t="str">
            <v>BV1189</v>
          </cell>
          <cell r="I724" t="str">
            <v>21/4/1999</v>
          </cell>
          <cell r="J724">
            <v>27</v>
          </cell>
          <cell r="V724" t="str">
            <v>Số 28/104 đường Lê Đại Hành, phường Đông Kinh, thành phố Lạng Sơn</v>
          </cell>
          <cell r="W724">
            <v>44830</v>
          </cell>
          <cell r="AA724">
            <v>0</v>
          </cell>
          <cell r="AC724" t="str">
            <v>Dược</v>
          </cell>
          <cell r="AE724" t="str">
            <v>Viên chức</v>
          </cell>
          <cell r="AG724">
            <v>0</v>
          </cell>
          <cell r="AH724" t="str">
            <v>2.34</v>
          </cell>
          <cell r="AI724">
            <v>1</v>
          </cell>
          <cell r="AK724">
            <v>45195</v>
          </cell>
          <cell r="AL724" t="str">
            <v>Đại học</v>
          </cell>
          <cell r="AM724" t="str">
            <v>Dược sỹ ĐH</v>
          </cell>
          <cell r="AY724" t="str">
            <v>Nùng</v>
          </cell>
        </row>
        <row r="725">
          <cell r="A725" t="str">
            <v>BV1191</v>
          </cell>
          <cell r="B725">
            <v>719</v>
          </cell>
          <cell r="C725" t="str">
            <v>Cam Thị Sơn</v>
          </cell>
          <cell r="D725" t="str">
            <v>BV1191</v>
          </cell>
          <cell r="I725" t="str">
            <v>27/4/1996</v>
          </cell>
          <cell r="J725">
            <v>30</v>
          </cell>
          <cell r="V725" t="str">
            <v>Thị trấn Lộc Bình, huyện Lộc Bình, tỉnh Lạng Sơn</v>
          </cell>
          <cell r="W725">
            <v>44830</v>
          </cell>
          <cell r="AA725">
            <v>0</v>
          </cell>
          <cell r="AC725" t="str">
            <v>Dược</v>
          </cell>
          <cell r="AE725" t="str">
            <v>Viên chức</v>
          </cell>
          <cell r="AG725">
            <v>0</v>
          </cell>
          <cell r="AH725" t="str">
            <v>2.34</v>
          </cell>
          <cell r="AI725">
            <v>1</v>
          </cell>
          <cell r="AK725">
            <v>45195</v>
          </cell>
          <cell r="AL725" t="str">
            <v>Đại học</v>
          </cell>
          <cell r="AM725" t="str">
            <v>Dược sỹ ĐH</v>
          </cell>
          <cell r="AY725" t="str">
            <v>Tày</v>
          </cell>
        </row>
        <row r="726">
          <cell r="A726" t="str">
            <v>BV1193</v>
          </cell>
          <cell r="B726">
            <v>720</v>
          </cell>
          <cell r="C726" t="str">
            <v>Hoàng Thị Ngọc Bích</v>
          </cell>
          <cell r="D726" t="str">
            <v>BV1193</v>
          </cell>
          <cell r="I726" t="str">
            <v>18/10/1990</v>
          </cell>
          <cell r="J726">
            <v>35</v>
          </cell>
          <cell r="V726" t="str">
            <v>Phường Tam Thanh, thành phố Lạng Sơn</v>
          </cell>
          <cell r="W726">
            <v>44837</v>
          </cell>
          <cell r="AA726">
            <v>0</v>
          </cell>
          <cell r="AC726" t="str">
            <v>Ngoại Thận - Tiết niệu</v>
          </cell>
          <cell r="AE726" t="str">
            <v>Viên chức</v>
          </cell>
          <cell r="AG726">
            <v>0</v>
          </cell>
          <cell r="AH726" t="str">
            <v>2.10</v>
          </cell>
          <cell r="AI726">
            <v>1</v>
          </cell>
          <cell r="AK726">
            <v>45110</v>
          </cell>
          <cell r="AL726" t="str">
            <v>Cao đẳng</v>
          </cell>
          <cell r="AM726" t="str">
            <v>Điều dưỡng CĐ</v>
          </cell>
          <cell r="AY726" t="str">
            <v>Tày</v>
          </cell>
        </row>
        <row r="727">
          <cell r="A727" t="str">
            <v>BV1194</v>
          </cell>
          <cell r="B727">
            <v>721</v>
          </cell>
          <cell r="C727" t="str">
            <v>Lăng Nhật Cương</v>
          </cell>
          <cell r="D727" t="str">
            <v>BV1194</v>
          </cell>
          <cell r="H727" t="str">
            <v>29/01/1999</v>
          </cell>
          <cell r="J727">
            <v>27</v>
          </cell>
          <cell r="V727" t="str">
            <v>Xã Xuân Long, Huyện Cao Lộc, tỉnh Lạng Sơn</v>
          </cell>
          <cell r="W727">
            <v>44837</v>
          </cell>
          <cell r="AA727">
            <v>0</v>
          </cell>
          <cell r="AC727" t="str">
            <v>Cấp cứu</v>
          </cell>
          <cell r="AE727" t="str">
            <v>HĐ có thời hạn</v>
          </cell>
          <cell r="AG727">
            <v>0</v>
          </cell>
          <cell r="AH727" t="str">
            <v>2.10</v>
          </cell>
          <cell r="AI727">
            <v>1</v>
          </cell>
          <cell r="AK727">
            <v>45110</v>
          </cell>
          <cell r="AL727" t="str">
            <v>Cao đẳng</v>
          </cell>
          <cell r="AM727" t="str">
            <v>Điều dưỡng CĐ</v>
          </cell>
          <cell r="AY727" t="str">
            <v>Nùng</v>
          </cell>
        </row>
        <row r="728">
          <cell r="A728" t="str">
            <v>BV1196</v>
          </cell>
          <cell r="B728">
            <v>722</v>
          </cell>
          <cell r="C728" t="str">
            <v>Lý Thị Hoa</v>
          </cell>
          <cell r="D728" t="str">
            <v>BV1196</v>
          </cell>
          <cell r="I728" t="str">
            <v>24/6/2001</v>
          </cell>
          <cell r="J728">
            <v>25</v>
          </cell>
          <cell r="V728" t="str">
            <v>Xã Lộc Yên, huyện Cao Lộc, tỉnh Lạng Sơn</v>
          </cell>
          <cell r="W728">
            <v>44837</v>
          </cell>
          <cell r="AA728">
            <v>0</v>
          </cell>
          <cell r="AC728" t="str">
            <v>Ngoại Thận - Tiết niệu</v>
          </cell>
          <cell r="AE728" t="str">
            <v>Viên chức</v>
          </cell>
          <cell r="AG728">
            <v>0</v>
          </cell>
          <cell r="AH728" t="str">
            <v>2.10</v>
          </cell>
          <cell r="AI728">
            <v>1</v>
          </cell>
          <cell r="AK728">
            <v>45110</v>
          </cell>
          <cell r="AL728" t="str">
            <v>Cao đẳng</v>
          </cell>
          <cell r="AM728" t="str">
            <v>Điều dưỡng CĐ</v>
          </cell>
          <cell r="AY728" t="str">
            <v>Tày</v>
          </cell>
        </row>
        <row r="729">
          <cell r="A729" t="str">
            <v>BV1200</v>
          </cell>
          <cell r="B729">
            <v>723</v>
          </cell>
          <cell r="C729" t="str">
            <v>Mông Thị Hưởng</v>
          </cell>
          <cell r="D729" t="str">
            <v>BV1200</v>
          </cell>
          <cell r="I729" t="str">
            <v>23/12/1998</v>
          </cell>
          <cell r="J729">
            <v>27</v>
          </cell>
          <cell r="V729" t="str">
            <v>Xã Hợp Thành, Huyện Cao Lộc, tỉnh Lạng Sơn</v>
          </cell>
          <cell r="W729">
            <v>44837</v>
          </cell>
          <cell r="AA729">
            <v>0</v>
          </cell>
          <cell r="AC729" t="str">
            <v>Truyền nhiễm</v>
          </cell>
          <cell r="AE729" t="str">
            <v>Viên chức</v>
          </cell>
          <cell r="AG729">
            <v>0</v>
          </cell>
          <cell r="AH729" t="str">
            <v>2.34</v>
          </cell>
          <cell r="AI729">
            <v>1</v>
          </cell>
          <cell r="AK729">
            <v>45202</v>
          </cell>
          <cell r="AL729" t="str">
            <v>Đại học</v>
          </cell>
          <cell r="AM729" t="str">
            <v>Điều dưỡng ĐH</v>
          </cell>
          <cell r="AY729" t="str">
            <v>Nùng</v>
          </cell>
        </row>
        <row r="730">
          <cell r="A730" t="str">
            <v>BV1202</v>
          </cell>
          <cell r="B730">
            <v>724</v>
          </cell>
          <cell r="C730" t="str">
            <v>Luân Văn Lượng</v>
          </cell>
          <cell r="D730" t="str">
            <v>BV1202</v>
          </cell>
          <cell r="H730" t="str">
            <v>13/12/1997</v>
          </cell>
          <cell r="J730">
            <v>28</v>
          </cell>
          <cell r="V730" t="str">
            <v>Xã Liên Hội, huyện Văn Quan, tỉnh Lạng Sơn</v>
          </cell>
          <cell r="W730">
            <v>44837</v>
          </cell>
          <cell r="AA730">
            <v>0</v>
          </cell>
          <cell r="AC730" t="str">
            <v>Chấn thương - Bỏng</v>
          </cell>
          <cell r="AE730" t="str">
            <v>Viên chức</v>
          </cell>
          <cell r="AG730">
            <v>0</v>
          </cell>
          <cell r="AH730" t="str">
            <v>2.10</v>
          </cell>
          <cell r="AI730">
            <v>1</v>
          </cell>
          <cell r="AK730">
            <v>45110</v>
          </cell>
          <cell r="AL730" t="str">
            <v>Cao đẳng</v>
          </cell>
          <cell r="AM730" t="str">
            <v>Điều dưỡng CĐ</v>
          </cell>
          <cell r="AY730" t="str">
            <v>Nùng</v>
          </cell>
        </row>
        <row r="731">
          <cell r="A731" t="str">
            <v>BV1205</v>
          </cell>
          <cell r="B731">
            <v>725</v>
          </cell>
          <cell r="C731" t="str">
            <v>Phan Thị Thảo Uyên</v>
          </cell>
          <cell r="D731" t="str">
            <v>BV1205</v>
          </cell>
          <cell r="I731" t="str">
            <v>20/9/2001</v>
          </cell>
          <cell r="J731">
            <v>24</v>
          </cell>
          <cell r="V731" t="str">
            <v>Thị trấn Lộc Bình, huyện Lộc Bình, tỉnh Lạng Sơn</v>
          </cell>
          <cell r="W731">
            <v>44837</v>
          </cell>
          <cell r="AA731">
            <v>0</v>
          </cell>
          <cell r="AC731" t="str">
            <v>HSTC-CĐ</v>
          </cell>
          <cell r="AE731" t="str">
            <v>Viên chức</v>
          </cell>
          <cell r="AG731">
            <v>0</v>
          </cell>
          <cell r="AH731" t="str">
            <v>2.10</v>
          </cell>
          <cell r="AI731">
            <v>1</v>
          </cell>
          <cell r="AK731">
            <v>45110</v>
          </cell>
          <cell r="AL731" t="str">
            <v>Cao đẳng</v>
          </cell>
          <cell r="AM731" t="str">
            <v>Điều dưỡng CĐ</v>
          </cell>
          <cell r="AY731" t="str">
            <v>Tày</v>
          </cell>
        </row>
        <row r="732">
          <cell r="A732" t="str">
            <v>BV1206</v>
          </cell>
          <cell r="B732">
            <v>726</v>
          </cell>
          <cell r="C732" t="str">
            <v>Lý Thị Yến Nhi</v>
          </cell>
          <cell r="D732" t="str">
            <v>BV1206</v>
          </cell>
          <cell r="I732" t="str">
            <v>15/10/2001</v>
          </cell>
          <cell r="J732">
            <v>24</v>
          </cell>
          <cell r="V732" t="str">
            <v>Phường Hoàng Văn Thụ, thành phố Lạng Sơn</v>
          </cell>
          <cell r="W732">
            <v>44837</v>
          </cell>
          <cell r="AA732">
            <v>0</v>
          </cell>
          <cell r="AC732" t="str">
            <v>Nhi</v>
          </cell>
          <cell r="AE732" t="str">
            <v>Viên chức</v>
          </cell>
          <cell r="AG732">
            <v>0</v>
          </cell>
          <cell r="AH732" t="str">
            <v>2.10</v>
          </cell>
          <cell r="AI732">
            <v>1</v>
          </cell>
          <cell r="AK732">
            <v>45110</v>
          </cell>
          <cell r="AL732" t="str">
            <v>Cao đẳng</v>
          </cell>
          <cell r="AM732" t="str">
            <v>Điều dưỡng CĐ</v>
          </cell>
          <cell r="AY732" t="str">
            <v>Nùng</v>
          </cell>
        </row>
        <row r="733">
          <cell r="A733" t="str">
            <v>BV1207</v>
          </cell>
          <cell r="B733">
            <v>727</v>
          </cell>
          <cell r="C733" t="str">
            <v>Hoàng Thị Hương</v>
          </cell>
          <cell r="D733" t="str">
            <v>BV1207</v>
          </cell>
          <cell r="I733" t="str">
            <v>28/9/1986</v>
          </cell>
          <cell r="J733">
            <v>39</v>
          </cell>
          <cell r="V733" t="str">
            <v>Thôn Quảng Trung, Xã Quảng Lạc, thành phố Lạng Sơn</v>
          </cell>
          <cell r="W733">
            <v>44837</v>
          </cell>
          <cell r="AA733">
            <v>0</v>
          </cell>
          <cell r="AC733" t="str">
            <v>Nhi</v>
          </cell>
          <cell r="AE733" t="str">
            <v>HĐ có thời hạn</v>
          </cell>
          <cell r="AG733">
            <v>0</v>
          </cell>
          <cell r="AH733">
            <v>1.65</v>
          </cell>
          <cell r="AI733">
            <v>1</v>
          </cell>
          <cell r="AK733">
            <v>45689</v>
          </cell>
          <cell r="AL733" t="str">
            <v>Chứng chỉ</v>
          </cell>
          <cell r="AM733" t="str">
            <v>Hộ Lý</v>
          </cell>
          <cell r="AY733" t="str">
            <v>Tày</v>
          </cell>
        </row>
        <row r="734">
          <cell r="A734" t="str">
            <v>BV1209</v>
          </cell>
          <cell r="B734">
            <v>728</v>
          </cell>
          <cell r="C734" t="str">
            <v>Mông Tiến Hỷ</v>
          </cell>
          <cell r="D734" t="str">
            <v>BV1209</v>
          </cell>
          <cell r="H734" t="str">
            <v>28/6/1980</v>
          </cell>
          <cell r="J734">
            <v>46</v>
          </cell>
          <cell r="V734" t="str">
            <v>Số 13, ngõ 720 đường Bà Triệu, phường Đông Kinh, thành phố Lạng Sơn</v>
          </cell>
          <cell r="W734">
            <v>44837</v>
          </cell>
          <cell r="AA734">
            <v>0</v>
          </cell>
          <cell r="AC734" t="str">
            <v>HCQT</v>
          </cell>
          <cell r="AE734" t="str">
            <v>HĐ có thời hạn</v>
          </cell>
          <cell r="AG734">
            <v>0</v>
          </cell>
          <cell r="AH734">
            <v>1.68</v>
          </cell>
          <cell r="AI734">
            <v>2</v>
          </cell>
          <cell r="AK734">
            <v>45689</v>
          </cell>
          <cell r="AM734" t="str">
            <v>Bảo vệ</v>
          </cell>
          <cell r="AY734" t="str">
            <v>Nùng</v>
          </cell>
        </row>
        <row r="735">
          <cell r="A735" t="str">
            <v>BV1210</v>
          </cell>
          <cell r="B735">
            <v>729</v>
          </cell>
          <cell r="C735" t="str">
            <v>Đinh Tuấn Bình</v>
          </cell>
          <cell r="D735" t="str">
            <v>BV1210</v>
          </cell>
          <cell r="H735" t="str">
            <v>16/09/1998</v>
          </cell>
          <cell r="J735">
            <v>27</v>
          </cell>
          <cell r="V735" t="str">
            <v>118B đường Tản Đà, phường Hoàng Văn Thụ, thành phố Lạng Sơn</v>
          </cell>
          <cell r="W735">
            <v>44844</v>
          </cell>
          <cell r="AA735">
            <v>0</v>
          </cell>
          <cell r="AC735" t="str">
            <v>Ngoại Tiêu hóa</v>
          </cell>
          <cell r="AE735" t="str">
            <v>Viên chức</v>
          </cell>
          <cell r="AG735">
            <v>0</v>
          </cell>
          <cell r="AH735">
            <v>2.67</v>
          </cell>
          <cell r="AI735">
            <v>2</v>
          </cell>
          <cell r="AK735">
            <v>46032</v>
          </cell>
          <cell r="AL735" t="str">
            <v>Đại học</v>
          </cell>
          <cell r="AM735" t="str">
            <v>Bác sĩ</v>
          </cell>
          <cell r="AN735" t="str">
            <v>Đa khoa</v>
          </cell>
          <cell r="AY735" t="str">
            <v>Nùng</v>
          </cell>
        </row>
        <row r="736">
          <cell r="A736" t="str">
            <v>BV1211</v>
          </cell>
          <cell r="B736">
            <v>730</v>
          </cell>
          <cell r="C736" t="str">
            <v>La Tiến Cương</v>
          </cell>
          <cell r="D736" t="str">
            <v>BV1211</v>
          </cell>
          <cell r="H736" t="str">
            <v>19/10/1996</v>
          </cell>
          <cell r="J736">
            <v>29</v>
          </cell>
          <cell r="V736" t="str">
            <v>Số 1 ngõ 1, đường Thân Cảnh Phúc, phường Hoàng Văn Thụ, thành phố Lạng Sơn</v>
          </cell>
          <cell r="W736">
            <v>44844</v>
          </cell>
          <cell r="AA736" t="e">
            <v>#N/A</v>
          </cell>
          <cell r="AC736" t="e">
            <v>#N/A</v>
          </cell>
          <cell r="AE736" t="e">
            <v>#N/A</v>
          </cell>
          <cell r="AG736" t="e">
            <v>#N/A</v>
          </cell>
          <cell r="AH736" t="str">
            <v>2.34</v>
          </cell>
          <cell r="AI736">
            <v>1</v>
          </cell>
          <cell r="AK736">
            <v>45240</v>
          </cell>
          <cell r="AL736" t="str">
            <v>Đại học</v>
          </cell>
          <cell r="AM736" t="e">
            <v>#N/A</v>
          </cell>
          <cell r="AN736" t="str">
            <v>Đa khoa</v>
          </cell>
          <cell r="AY736" t="str">
            <v>Tày</v>
          </cell>
        </row>
        <row r="737">
          <cell r="A737" t="str">
            <v>BV1212</v>
          </cell>
          <cell r="B737">
            <v>731</v>
          </cell>
          <cell r="C737" t="str">
            <v>Nguyễn Mạnh Cường</v>
          </cell>
          <cell r="D737" t="str">
            <v>BV1212</v>
          </cell>
          <cell r="H737" t="str">
            <v>12/8/1996</v>
          </cell>
          <cell r="J737">
            <v>29</v>
          </cell>
          <cell r="V737" t="str">
            <v>106 Lê Đại Hành, phường Đông Kinh, tỉnh Lạng Sơn</v>
          </cell>
          <cell r="W737">
            <v>44844</v>
          </cell>
          <cell r="AA737">
            <v>0</v>
          </cell>
          <cell r="AC737" t="str">
            <v>Ngoại TK-LN</v>
          </cell>
          <cell r="AE737" t="str">
            <v>Viên chức</v>
          </cell>
          <cell r="AG737">
            <v>0</v>
          </cell>
          <cell r="AH737" t="e">
            <v>#N/A</v>
          </cell>
          <cell r="AI737" t="e">
            <v>#N/A</v>
          </cell>
          <cell r="AK737" t="e">
            <v>#N/A</v>
          </cell>
          <cell r="AL737" t="str">
            <v>Đại học</v>
          </cell>
          <cell r="AM737" t="str">
            <v>Bác sĩ</v>
          </cell>
          <cell r="AN737" t="str">
            <v>Đa khoa</v>
          </cell>
          <cell r="AY737" t="str">
            <v>Mường</v>
          </cell>
        </row>
        <row r="738">
          <cell r="A738" t="str">
            <v>BV1213</v>
          </cell>
          <cell r="B738">
            <v>732</v>
          </cell>
          <cell r="C738" t="str">
            <v>Triệu Quảng Đông</v>
          </cell>
          <cell r="D738" t="str">
            <v>BV1213</v>
          </cell>
          <cell r="H738" t="str">
            <v>02/9/1998</v>
          </cell>
          <cell r="J738">
            <v>27</v>
          </cell>
          <cell r="V738" t="str">
            <v>Khối 15, phường Hoàng Văn Thụ, thành phố Lạng Sơn</v>
          </cell>
          <cell r="W738">
            <v>44844</v>
          </cell>
          <cell r="AA738">
            <v>0</v>
          </cell>
          <cell r="AC738" t="str">
            <v>Chấn thương - Bỏng</v>
          </cell>
          <cell r="AE738" t="str">
            <v>Viên chức</v>
          </cell>
          <cell r="AG738">
            <v>0</v>
          </cell>
          <cell r="AH738" t="str">
            <v>2.67</v>
          </cell>
          <cell r="AI738">
            <v>2</v>
          </cell>
          <cell r="AK738">
            <v>46032</v>
          </cell>
          <cell r="AL738" t="str">
            <v>Đại học</v>
          </cell>
          <cell r="AM738" t="str">
            <v>Bác sĩ</v>
          </cell>
          <cell r="AN738" t="str">
            <v>Đa khoa</v>
          </cell>
          <cell r="AY738" t="str">
            <v>Nùng</v>
          </cell>
        </row>
        <row r="739">
          <cell r="A739" t="str">
            <v>BV1218</v>
          </cell>
          <cell r="B739">
            <v>733</v>
          </cell>
          <cell r="C739" t="str">
            <v>Hoàng Thảo Chi</v>
          </cell>
          <cell r="D739" t="str">
            <v>BV1218</v>
          </cell>
          <cell r="I739">
            <v>35837</v>
          </cell>
          <cell r="J739">
            <v>28</v>
          </cell>
          <cell r="V739" t="str">
            <v>Thị trấn Văn Quan, huyện Văn Quan, tỉnh Lạng Sơn</v>
          </cell>
          <cell r="W739">
            <v>44921</v>
          </cell>
          <cell r="AA739">
            <v>0</v>
          </cell>
          <cell r="AC739" t="str">
            <v>Dược</v>
          </cell>
          <cell r="AE739" t="str">
            <v>Viên chức</v>
          </cell>
          <cell r="AG739">
            <v>0</v>
          </cell>
          <cell r="AH739" t="str">
            <v>2.34</v>
          </cell>
          <cell r="AI739">
            <v>1</v>
          </cell>
          <cell r="AK739">
            <v>45286</v>
          </cell>
          <cell r="AL739" t="str">
            <v>Đại học</v>
          </cell>
          <cell r="AM739" t="str">
            <v>Dược sỹ ĐH</v>
          </cell>
          <cell r="AY739" t="str">
            <v>Tày</v>
          </cell>
        </row>
        <row r="740">
          <cell r="A740" t="str">
            <v>BV1154</v>
          </cell>
          <cell r="B740">
            <v>734</v>
          </cell>
          <cell r="C740" t="str">
            <v>Trần Trịnh Huy</v>
          </cell>
          <cell r="D740" t="str">
            <v>BV1154</v>
          </cell>
          <cell r="H740">
            <v>35473</v>
          </cell>
          <cell r="J740">
            <v>29</v>
          </cell>
          <cell r="V740" t="str">
            <v>Phường Hoàng Văn Thụ, Thành phố Lạng Sơn, tỉnh Lạng Sơn</v>
          </cell>
          <cell r="W740" t="str">
            <v>6/9/2021</v>
          </cell>
          <cell r="AA740">
            <v>0</v>
          </cell>
          <cell r="AC740" t="str">
            <v>GM-HS</v>
          </cell>
          <cell r="AE740" t="str">
            <v>Viên chức</v>
          </cell>
          <cell r="AG740">
            <v>0</v>
          </cell>
          <cell r="AH740" t="str">
            <v>2.34</v>
          </cell>
          <cell r="AI740">
            <v>1</v>
          </cell>
          <cell r="AK740">
            <v>45116</v>
          </cell>
          <cell r="AL740" t="str">
            <v>Đại học</v>
          </cell>
          <cell r="AM740" t="str">
            <v>Bác sĩ</v>
          </cell>
          <cell r="AN740" t="str">
            <v>GMHS</v>
          </cell>
          <cell r="AY740" t="str">
            <v>Nùng</v>
          </cell>
        </row>
        <row r="741">
          <cell r="A741" t="str">
            <v>BV1217</v>
          </cell>
          <cell r="B741">
            <v>735</v>
          </cell>
          <cell r="C741" t="str">
            <v>Hứa Quang Thuận</v>
          </cell>
          <cell r="D741" t="str">
            <v>BV1217</v>
          </cell>
          <cell r="H741">
            <v>32791</v>
          </cell>
          <cell r="J741">
            <v>36</v>
          </cell>
          <cell r="V741" t="str">
            <v>Khối phố Pà Nim, thị trấn Bình Gia, huyện Bình Gia, tỉnh Lạng Sơn</v>
          </cell>
          <cell r="W741" t="str">
            <v>03/01/2023</v>
          </cell>
          <cell r="AA741">
            <v>0</v>
          </cell>
          <cell r="AC741" t="str">
            <v>HCQT</v>
          </cell>
          <cell r="AE741" t="str">
            <v>HĐ có thời hạn</v>
          </cell>
          <cell r="AG741">
            <v>0</v>
          </cell>
          <cell r="AH741">
            <v>1.68</v>
          </cell>
          <cell r="AI741">
            <v>2</v>
          </cell>
          <cell r="AK741">
            <v>45689</v>
          </cell>
          <cell r="AM741" t="str">
            <v>Bảo vệ</v>
          </cell>
          <cell r="AW741" t="str">
            <v>Cơ bản</v>
          </cell>
          <cell r="AY741" t="str">
            <v>Nùng</v>
          </cell>
        </row>
        <row r="742">
          <cell r="A742" t="str">
            <v>BV1224</v>
          </cell>
          <cell r="B742">
            <v>736</v>
          </cell>
          <cell r="C742" t="str">
            <v>Phạm Duy</v>
          </cell>
          <cell r="D742" t="str">
            <v>BV1224</v>
          </cell>
          <cell r="H742" t="str">
            <v>09/09/1995</v>
          </cell>
          <cell r="I742">
            <v>0</v>
          </cell>
          <cell r="J742">
            <v>30</v>
          </cell>
          <cell r="V742" t="str">
            <v>83 Bến Bắc, Phường Tam Thanh, thành phố Lạng Sơn</v>
          </cell>
          <cell r="W742">
            <v>44991</v>
          </cell>
          <cell r="AA742">
            <v>0</v>
          </cell>
          <cell r="AC742" t="str">
            <v>Dược</v>
          </cell>
          <cell r="AE742" t="str">
            <v>HĐ có thời hạn</v>
          </cell>
          <cell r="AG742">
            <v>0</v>
          </cell>
          <cell r="AH742" t="str">
            <v>2.34</v>
          </cell>
          <cell r="AI742">
            <v>1</v>
          </cell>
          <cell r="AK742">
            <v>45357</v>
          </cell>
          <cell r="AL742" t="str">
            <v>Đại học</v>
          </cell>
          <cell r="AM742" t="str">
            <v>Dược sỹ ĐH</v>
          </cell>
          <cell r="AY742" t="str">
            <v>Kinh</v>
          </cell>
        </row>
        <row r="743">
          <cell r="A743" t="str">
            <v>BV1223</v>
          </cell>
          <cell r="B743">
            <v>737</v>
          </cell>
          <cell r="C743" t="str">
            <v>Hoàng Thị Thanh Mai</v>
          </cell>
          <cell r="D743" t="str">
            <v>BV1223</v>
          </cell>
          <cell r="I743" t="str">
            <v>27/11/1996</v>
          </cell>
          <cell r="J743">
            <v>29</v>
          </cell>
          <cell r="V743" t="str">
            <v>Xã Hòa Bình, huyện Văn Quan, tỉnh Lạng Sơn</v>
          </cell>
          <cell r="W743">
            <v>44991</v>
          </cell>
          <cell r="AA743">
            <v>0</v>
          </cell>
          <cell r="AC743" t="str">
            <v>CĐHA</v>
          </cell>
          <cell r="AE743" t="str">
            <v>Viên chức</v>
          </cell>
          <cell r="AG743">
            <v>0</v>
          </cell>
          <cell r="AH743" t="str">
            <v>2.67</v>
          </cell>
          <cell r="AI743">
            <v>2</v>
          </cell>
          <cell r="AK743">
            <v>45758</v>
          </cell>
          <cell r="AL743" t="str">
            <v>Đại học</v>
          </cell>
          <cell r="AM743" t="str">
            <v>Bác sĩ</v>
          </cell>
          <cell r="AY743" t="str">
            <v>Nùng</v>
          </cell>
        </row>
        <row r="744">
          <cell r="A744" t="str">
            <v>BV1222</v>
          </cell>
          <cell r="B744">
            <v>738</v>
          </cell>
          <cell r="C744" t="str">
            <v>Phạm Đức Thọ</v>
          </cell>
          <cell r="D744" t="str">
            <v>BV1222</v>
          </cell>
          <cell r="H744" t="str">
            <v>20/08/1982</v>
          </cell>
          <cell r="I744">
            <v>0</v>
          </cell>
          <cell r="J744">
            <v>43</v>
          </cell>
          <cell r="V744" t="str">
            <v>Số 10 ngõ 830 đường Bà Triệu, phường Đông Kinh, Thành phố Lạng Sơn</v>
          </cell>
          <cell r="W744">
            <v>44937</v>
          </cell>
          <cell r="AA744">
            <v>0</v>
          </cell>
          <cell r="AC744" t="str">
            <v>HCQT</v>
          </cell>
          <cell r="AE744" t="str">
            <v>HĐ có thời hạn</v>
          </cell>
          <cell r="AG744">
            <v>0</v>
          </cell>
          <cell r="AH744">
            <v>1.68</v>
          </cell>
          <cell r="AI744">
            <v>2</v>
          </cell>
          <cell r="AK744">
            <v>45689</v>
          </cell>
          <cell r="AM744" t="str">
            <v>Bảo vệ</v>
          </cell>
          <cell r="AY744" t="str">
            <v>Kinh</v>
          </cell>
        </row>
        <row r="745">
          <cell r="A745" t="str">
            <v>BV1227</v>
          </cell>
          <cell r="B745">
            <v>739</v>
          </cell>
          <cell r="C745" t="str">
            <v>Ngô Công Anh</v>
          </cell>
          <cell r="D745" t="str">
            <v>BV1227</v>
          </cell>
          <cell r="H745" t="str">
            <v>22/01/1993</v>
          </cell>
          <cell r="I745">
            <v>0</v>
          </cell>
          <cell r="J745">
            <v>33</v>
          </cell>
          <cell r="V745" t="str">
            <v>18B, Chu Văn An, TP Lạng Sơn, tỉnh Lạng Sơn</v>
          </cell>
          <cell r="W745">
            <v>45030</v>
          </cell>
          <cell r="AA745">
            <v>0</v>
          </cell>
          <cell r="AC745" t="str">
            <v>Răng hàm mặt</v>
          </cell>
          <cell r="AE745" t="str">
            <v>Viên chức</v>
          </cell>
          <cell r="AG745">
            <v>0</v>
          </cell>
          <cell r="AH745" t="str">
            <v>2.34</v>
          </cell>
          <cell r="AI745">
            <v>1</v>
          </cell>
          <cell r="AK745">
            <v>45305</v>
          </cell>
          <cell r="AL745" t="str">
            <v>Đại học</v>
          </cell>
          <cell r="AM745" t="str">
            <v>Bác sĩ</v>
          </cell>
          <cell r="AY745" t="str">
            <v>Tày</v>
          </cell>
        </row>
        <row r="746">
          <cell r="A746" t="str">
            <v>BV1228</v>
          </cell>
          <cell r="B746">
            <v>740</v>
          </cell>
          <cell r="C746" t="str">
            <v>Trần Hoàng Vân Anh</v>
          </cell>
          <cell r="D746" t="str">
            <v>BV1228</v>
          </cell>
          <cell r="H746">
            <v>0</v>
          </cell>
          <cell r="I746" t="str">
            <v>06/05/1996</v>
          </cell>
          <cell r="J746">
            <v>30</v>
          </cell>
          <cell r="V746" t="str">
            <v>Phường Chi Lăng, TP Lạng Sơn, tỉnh Lạng Sơn</v>
          </cell>
          <cell r="W746">
            <v>45030</v>
          </cell>
          <cell r="AA746">
            <v>0</v>
          </cell>
          <cell r="AC746" t="str">
            <v>CĐHA</v>
          </cell>
          <cell r="AE746" t="str">
            <v>HĐ có thời hạn</v>
          </cell>
          <cell r="AG746">
            <v>0</v>
          </cell>
          <cell r="AH746" t="str">
            <v>2.34</v>
          </cell>
          <cell r="AI746">
            <v>1</v>
          </cell>
          <cell r="AK746">
            <v>45396</v>
          </cell>
          <cell r="AL746" t="str">
            <v>Đại học</v>
          </cell>
          <cell r="AM746" t="str">
            <v>Bác sĩ</v>
          </cell>
          <cell r="AY746" t="str">
            <v>Tày</v>
          </cell>
        </row>
        <row r="747">
          <cell r="A747" t="str">
            <v>BV1229</v>
          </cell>
          <cell r="B747">
            <v>741</v>
          </cell>
          <cell r="C747" t="str">
            <v>Dương Thị Chang</v>
          </cell>
          <cell r="D747" t="str">
            <v>BV1229</v>
          </cell>
          <cell r="H747">
            <v>0</v>
          </cell>
          <cell r="I747" t="str">
            <v>17/01/1997</v>
          </cell>
          <cell r="J747">
            <v>29</v>
          </cell>
          <cell r="V747" t="str">
            <v>Xã Trấn Yên, huyện Bắc Sơn, tỉnh Lạng Sơn</v>
          </cell>
          <cell r="W747">
            <v>45030</v>
          </cell>
          <cell r="AA747">
            <v>0</v>
          </cell>
          <cell r="AC747" t="str">
            <v>HSTC-CĐ</v>
          </cell>
          <cell r="AE747" t="str">
            <v>HĐ có thời hạn</v>
          </cell>
          <cell r="AG747">
            <v>0</v>
          </cell>
          <cell r="AH747" t="str">
            <v>2.34</v>
          </cell>
          <cell r="AI747">
            <v>1</v>
          </cell>
          <cell r="AK747">
            <v>45305</v>
          </cell>
          <cell r="AL747" t="str">
            <v>Đại học</v>
          </cell>
          <cell r="AM747" t="str">
            <v>Bác sĩ</v>
          </cell>
          <cell r="AY747" t="str">
            <v>Tày</v>
          </cell>
        </row>
        <row r="748">
          <cell r="A748" t="str">
            <v>BV1230</v>
          </cell>
          <cell r="B748">
            <v>742</v>
          </cell>
          <cell r="C748" t="str">
            <v>Nông Thị Ngân Giang</v>
          </cell>
          <cell r="D748" t="str">
            <v>BV1230</v>
          </cell>
          <cell r="H748">
            <v>0</v>
          </cell>
          <cell r="I748" t="str">
            <v>25/02/1998</v>
          </cell>
          <cell r="J748">
            <v>28</v>
          </cell>
          <cell r="V748" t="str">
            <v>Xã Nhật Tiến, huyện Hữu Lũng, tỉnh Lạng Sơn</v>
          </cell>
          <cell r="W748">
            <v>45030</v>
          </cell>
          <cell r="AA748">
            <v>0</v>
          </cell>
          <cell r="AC748" t="str">
            <v>Tai mũi họng</v>
          </cell>
          <cell r="AE748" t="str">
            <v>Viên chức</v>
          </cell>
          <cell r="AG748">
            <v>0</v>
          </cell>
          <cell r="AH748" t="str">
            <v>2.34</v>
          </cell>
          <cell r="AI748">
            <v>1</v>
          </cell>
          <cell r="AK748">
            <v>45305</v>
          </cell>
          <cell r="AL748" t="str">
            <v>Đại học</v>
          </cell>
          <cell r="AM748" t="str">
            <v>Bác sĩ</v>
          </cell>
          <cell r="AY748" t="str">
            <v>Nùng</v>
          </cell>
        </row>
        <row r="749">
          <cell r="A749" t="str">
            <v>BV1232</v>
          </cell>
          <cell r="B749">
            <v>743</v>
          </cell>
          <cell r="C749" t="str">
            <v>Hoàng Thu Hoài</v>
          </cell>
          <cell r="D749" t="str">
            <v>BV1232</v>
          </cell>
          <cell r="H749">
            <v>0</v>
          </cell>
          <cell r="I749" t="str">
            <v>06/12/1996</v>
          </cell>
          <cell r="J749">
            <v>29</v>
          </cell>
          <cell r="V749" t="str">
            <v>Xã Bình La, huyện Bình Gia, tỉnh Lạng Sơn</v>
          </cell>
          <cell r="W749">
            <v>45030</v>
          </cell>
          <cell r="AA749">
            <v>0</v>
          </cell>
          <cell r="AC749" t="str">
            <v>Tâm thần - Thần kinh</v>
          </cell>
          <cell r="AE749" t="str">
            <v>Viên chức</v>
          </cell>
          <cell r="AG749">
            <v>0</v>
          </cell>
          <cell r="AH749" t="str">
            <v>2.34</v>
          </cell>
          <cell r="AI749">
            <v>1</v>
          </cell>
          <cell r="AK749">
            <v>45305</v>
          </cell>
          <cell r="AL749" t="str">
            <v>Đại học</v>
          </cell>
          <cell r="AM749" t="str">
            <v>Bác sĩ</v>
          </cell>
          <cell r="AY749" t="str">
            <v>Nùng</v>
          </cell>
        </row>
        <row r="750">
          <cell r="A750" t="str">
            <v>BV1233</v>
          </cell>
          <cell r="B750">
            <v>744</v>
          </cell>
          <cell r="C750" t="str">
            <v>Lê Thị Lệ</v>
          </cell>
          <cell r="D750" t="str">
            <v>BV1233</v>
          </cell>
          <cell r="H750">
            <v>0</v>
          </cell>
          <cell r="I750" t="str">
            <v>13/04/1998</v>
          </cell>
          <cell r="J750">
            <v>28</v>
          </cell>
          <cell r="V750" t="str">
            <v>Xã Hoàng Đồng, TP Lạng Sơn, tỉnh Lạng Sơn</v>
          </cell>
          <cell r="W750">
            <v>45030</v>
          </cell>
          <cell r="AA750">
            <v>0</v>
          </cell>
          <cell r="AC750" t="str">
            <v>Cấp Cứu</v>
          </cell>
          <cell r="AE750" t="str">
            <v>Viên chức</v>
          </cell>
          <cell r="AG750">
            <v>0</v>
          </cell>
          <cell r="AH750" t="str">
            <v>2.34</v>
          </cell>
          <cell r="AI750">
            <v>1</v>
          </cell>
          <cell r="AK750">
            <v>45305</v>
          </cell>
          <cell r="AL750" t="str">
            <v>Đại học</v>
          </cell>
          <cell r="AM750" t="str">
            <v>Bác sĩ</v>
          </cell>
          <cell r="AY750" t="str">
            <v>Tày</v>
          </cell>
        </row>
        <row r="751">
          <cell r="A751" t="str">
            <v>BV1236</v>
          </cell>
          <cell r="B751">
            <v>745</v>
          </cell>
          <cell r="C751" t="str">
            <v>Nguyễn Thị Thùy Linh</v>
          </cell>
          <cell r="D751" t="str">
            <v>BV1236</v>
          </cell>
          <cell r="H751">
            <v>0</v>
          </cell>
          <cell r="I751" t="str">
            <v>18/11/1999</v>
          </cell>
          <cell r="J751">
            <v>26</v>
          </cell>
          <cell r="V751" t="str">
            <v>Thị trấn Hữu Lũng, huyện Hữu Lũng, tỉnh Lạng Sơn</v>
          </cell>
          <cell r="W751">
            <v>45030</v>
          </cell>
          <cell r="AA751">
            <v>0</v>
          </cell>
          <cell r="AC751" t="str">
            <v>Dinh dưỡng</v>
          </cell>
          <cell r="AE751" t="str">
            <v>Viên chức</v>
          </cell>
          <cell r="AG751">
            <v>0</v>
          </cell>
          <cell r="AH751" t="str">
            <v>2.34</v>
          </cell>
          <cell r="AI751">
            <v>1</v>
          </cell>
          <cell r="AK751">
            <v>45396</v>
          </cell>
          <cell r="AL751" t="str">
            <v>Đại học</v>
          </cell>
          <cell r="AM751" t="str">
            <v>CN Dinh dưỡng</v>
          </cell>
          <cell r="AY751" t="str">
            <v>Kinh</v>
          </cell>
        </row>
        <row r="752">
          <cell r="A752" t="str">
            <v>BV1239</v>
          </cell>
          <cell r="B752">
            <v>746</v>
          </cell>
          <cell r="C752" t="str">
            <v>Lương Thanh Huỳnh</v>
          </cell>
          <cell r="D752" t="str">
            <v>BV1239</v>
          </cell>
          <cell r="H752" t="str">
            <v>05/01/1996</v>
          </cell>
          <cell r="J752">
            <v>30</v>
          </cell>
          <cell r="V752" t="str">
            <v>Ngõ 66, Đèo Giang, phường Chi Lăng, TP Lạng Sơn, tỉnh Lạng Sơn</v>
          </cell>
          <cell r="W752">
            <v>45030</v>
          </cell>
          <cell r="AA752">
            <v>0</v>
          </cell>
          <cell r="AC752" t="str">
            <v>Chấn thương - Bỏng</v>
          </cell>
          <cell r="AE752" t="str">
            <v>Viên chức</v>
          </cell>
          <cell r="AG752">
            <v>0</v>
          </cell>
          <cell r="AH752" t="str">
            <v>2.10</v>
          </cell>
          <cell r="AI752">
            <v>1</v>
          </cell>
          <cell r="AK752">
            <v>45305</v>
          </cell>
          <cell r="AL752" t="str">
            <v>Cao đẳng</v>
          </cell>
          <cell r="AM752" t="str">
            <v>Điều dưỡng CĐ</v>
          </cell>
          <cell r="AY752" t="str">
            <v>Tày</v>
          </cell>
        </row>
        <row r="753">
          <cell r="A753" t="str">
            <v>BV1242</v>
          </cell>
          <cell r="B753">
            <v>747</v>
          </cell>
          <cell r="C753" t="str">
            <v>Nguyễn Thúy Quỳnh</v>
          </cell>
          <cell r="D753" t="str">
            <v>BV1242</v>
          </cell>
          <cell r="H753">
            <v>0</v>
          </cell>
          <cell r="I753" t="str">
            <v>30/12/2000</v>
          </cell>
          <cell r="J753">
            <v>25</v>
          </cell>
          <cell r="V753" t="str">
            <v>Khối 9, phường Đông Kinh, TP Lạng Sơn, tỉnh Lạng Sơn</v>
          </cell>
          <cell r="W753">
            <v>45030</v>
          </cell>
          <cell r="AA753">
            <v>0</v>
          </cell>
          <cell r="AC753" t="str">
            <v>Chấn thương - Bỏng</v>
          </cell>
          <cell r="AE753" t="str">
            <v>HĐ có thời hạn</v>
          </cell>
          <cell r="AG753">
            <v>0</v>
          </cell>
          <cell r="AH753" t="str">
            <v>2.34</v>
          </cell>
          <cell r="AI753">
            <v>1</v>
          </cell>
          <cell r="AK753">
            <v>45396</v>
          </cell>
          <cell r="AL753" t="str">
            <v>Đại học</v>
          </cell>
          <cell r="AM753" t="str">
            <v>Điều dưỡng ĐH</v>
          </cell>
          <cell r="AY753" t="str">
            <v>Kinh</v>
          </cell>
        </row>
        <row r="754">
          <cell r="A754" t="str">
            <v>BV1244</v>
          </cell>
          <cell r="B754">
            <v>748</v>
          </cell>
          <cell r="C754" t="str">
            <v>Hoàng Văn Sáu</v>
          </cell>
          <cell r="D754" t="str">
            <v>BV1244</v>
          </cell>
          <cell r="H754">
            <v>24257</v>
          </cell>
          <cell r="J754">
            <v>60</v>
          </cell>
          <cell r="V754" t="str">
            <v>Ngõ 123, tổ 1, Khối 3, phường Vĩnh Trại, TP Lạng Sơn</v>
          </cell>
          <cell r="W754">
            <v>45100</v>
          </cell>
          <cell r="AA754">
            <v>0</v>
          </cell>
          <cell r="AC754" t="str">
            <v>HCQT</v>
          </cell>
          <cell r="AE754" t="str">
            <v>HĐ có thời hạn</v>
          </cell>
          <cell r="AG754">
            <v>0</v>
          </cell>
          <cell r="AH754">
            <v>1.68</v>
          </cell>
          <cell r="AI754">
            <v>2</v>
          </cell>
          <cell r="AK754">
            <v>45689</v>
          </cell>
          <cell r="AM754" t="str">
            <v>Bảo vệ</v>
          </cell>
          <cell r="AY754" t="str">
            <v>Tày</v>
          </cell>
        </row>
        <row r="755">
          <cell r="A755" t="str">
            <v>BV1245</v>
          </cell>
          <cell r="B755">
            <v>749</v>
          </cell>
          <cell r="C755" t="str">
            <v>Lương Thị Lưu</v>
          </cell>
          <cell r="D755" t="str">
            <v>BV1245</v>
          </cell>
          <cell r="H755">
            <v>0</v>
          </cell>
          <cell r="I755">
            <v>28508</v>
          </cell>
          <cell r="J755">
            <v>48</v>
          </cell>
          <cell r="V755" t="str">
            <v>Thôn Tân Lập, xã Mai Pha, thành phố Lạng Sơn</v>
          </cell>
          <cell r="W755">
            <v>45112</v>
          </cell>
          <cell r="AA755">
            <v>0</v>
          </cell>
          <cell r="AC755" t="str">
            <v>GM-HS</v>
          </cell>
          <cell r="AE755" t="str">
            <v>HĐ có thời hạn</v>
          </cell>
          <cell r="AG755">
            <v>0</v>
          </cell>
          <cell r="AH755">
            <v>1.65</v>
          </cell>
          <cell r="AI755">
            <v>1</v>
          </cell>
          <cell r="AK755">
            <v>45689</v>
          </cell>
          <cell r="AM755" t="str">
            <v>Hộ lý</v>
          </cell>
          <cell r="AY755" t="str">
            <v>Tày</v>
          </cell>
        </row>
        <row r="756">
          <cell r="A756" t="str">
            <v>BV1258</v>
          </cell>
          <cell r="B756">
            <v>750</v>
          </cell>
          <cell r="C756" t="str">
            <v>Đường Ngọc Trang</v>
          </cell>
          <cell r="D756" t="str">
            <v>BV1258</v>
          </cell>
          <cell r="G756" t="str">
            <v>020196005171, ngày cấp 11/11/2022</v>
          </cell>
          <cell r="I756" t="str">
            <v>21/11/1996</v>
          </cell>
          <cell r="J756">
            <v>29</v>
          </cell>
          <cell r="V756" t="str">
            <v>Xã Gia Cát, Huyện Cao Lộc, Tỉnh Lạng Sơn</v>
          </cell>
          <cell r="W756">
            <v>45243</v>
          </cell>
          <cell r="AA756">
            <v>0</v>
          </cell>
          <cell r="AC756" t="str">
            <v>Nội Thận-TN-LM</v>
          </cell>
          <cell r="AE756" t="str">
            <v>Viên chức</v>
          </cell>
          <cell r="AH756" t="str">
            <v>2.34</v>
          </cell>
          <cell r="AI756">
            <v>1</v>
          </cell>
          <cell r="AK756">
            <v>45517</v>
          </cell>
          <cell r="AL756" t="str">
            <v>Đại học</v>
          </cell>
          <cell r="AM756" t="str">
            <v>Bác sĩ</v>
          </cell>
          <cell r="AN756" t="str">
            <v>Đa khoa</v>
          </cell>
          <cell r="AU756" t="str">
            <v>Anh B1</v>
          </cell>
          <cell r="AW756" t="str">
            <v>Cơ bản</v>
          </cell>
          <cell r="AY756" t="str">
            <v>Tày</v>
          </cell>
        </row>
        <row r="757">
          <cell r="A757" t="str">
            <v>BV1251</v>
          </cell>
          <cell r="B757">
            <v>751</v>
          </cell>
          <cell r="C757" t="str">
            <v>Nguyễn Thị Bích Phương</v>
          </cell>
          <cell r="D757" t="str">
            <v>BV1251</v>
          </cell>
          <cell r="G757" t="str">
            <v>02030008106, ngày cấp 06/12/2021</v>
          </cell>
          <cell r="I757" t="str">
            <v>30/01/2000</v>
          </cell>
          <cell r="J757">
            <v>26</v>
          </cell>
          <cell r="V757" t="str">
            <v>Thôn liên Sơn, xã Vũ Lăng, huyện Bắc Sơn, tỉnh Lạng Sơn</v>
          </cell>
          <cell r="W757">
            <v>45260</v>
          </cell>
          <cell r="AA757">
            <v>0</v>
          </cell>
          <cell r="AC757" t="str">
            <v>Chấn thương - Bỏng</v>
          </cell>
          <cell r="AE757" t="str">
            <v>Viên chức</v>
          </cell>
          <cell r="AH757" t="str">
            <v>2.34</v>
          </cell>
          <cell r="AI757">
            <v>1</v>
          </cell>
          <cell r="AK757">
            <v>45602</v>
          </cell>
          <cell r="AL757" t="str">
            <v>Đại học</v>
          </cell>
          <cell r="AM757" t="str">
            <v>Điều dưỡng ĐH</v>
          </cell>
          <cell r="AY757" t="str">
            <v>Tày</v>
          </cell>
        </row>
        <row r="758">
          <cell r="A758" t="str">
            <v>BV1256</v>
          </cell>
          <cell r="B758">
            <v>752</v>
          </cell>
          <cell r="C758" t="str">
            <v>Nông Thị Hồng Hạnh</v>
          </cell>
          <cell r="D758" t="str">
            <v>BV1256</v>
          </cell>
          <cell r="G758" t="str">
            <v>006193004260, ngày cấp 12/6/2023</v>
          </cell>
          <cell r="I758" t="str">
            <v>24/10/1993</v>
          </cell>
          <cell r="J758">
            <v>32</v>
          </cell>
          <cell r="V758" t="str">
            <v>Khối 7, phường Vĩnh Trại, thành phố Lạng Sơn</v>
          </cell>
          <cell r="W758">
            <v>45260</v>
          </cell>
          <cell r="AA758">
            <v>0</v>
          </cell>
          <cell r="AC758" t="str">
            <v>Nội Tiêu hóa</v>
          </cell>
          <cell r="AE758" t="str">
            <v>Viên chức</v>
          </cell>
          <cell r="AH758" t="str">
            <v>2.34</v>
          </cell>
          <cell r="AI758">
            <v>1</v>
          </cell>
          <cell r="AK758">
            <v>45510</v>
          </cell>
          <cell r="AL758" t="str">
            <v>Đại học</v>
          </cell>
          <cell r="AM758" t="str">
            <v>Bác sĩ</v>
          </cell>
          <cell r="AN758" t="str">
            <v>Đa khoa</v>
          </cell>
          <cell r="AU758" t="str">
            <v>Anh B</v>
          </cell>
          <cell r="AW758" t="str">
            <v>Cơ bản</v>
          </cell>
          <cell r="AY758" t="str">
            <v>Nùng</v>
          </cell>
        </row>
        <row r="759">
          <cell r="A759" t="str">
            <v>BV1257</v>
          </cell>
          <cell r="B759">
            <v>753</v>
          </cell>
          <cell r="C759" t="str">
            <v>Vũ Phong Toàn</v>
          </cell>
          <cell r="D759" t="str">
            <v>BV1257</v>
          </cell>
          <cell r="G759" t="str">
            <v>020099005502, ngày cấp 25/6/2021</v>
          </cell>
          <cell r="H759" t="str">
            <v>09/7/1999</v>
          </cell>
          <cell r="J759">
            <v>26</v>
          </cell>
          <cell r="V759" t="str">
            <v>Thị trấn Bình Gia, huyện Bình Gia, tỉnh Lạng Sơn</v>
          </cell>
          <cell r="W759">
            <v>45260</v>
          </cell>
          <cell r="AA759">
            <v>0</v>
          </cell>
          <cell r="AC759" t="str">
            <v>Nội Tổng hợp</v>
          </cell>
          <cell r="AE759" t="str">
            <v>Viên chức</v>
          </cell>
          <cell r="AH759" t="str">
            <v>2.34</v>
          </cell>
          <cell r="AI759">
            <v>1</v>
          </cell>
          <cell r="AK759">
            <v>45510</v>
          </cell>
          <cell r="AL759" t="str">
            <v>Đại học</v>
          </cell>
          <cell r="AM759" t="str">
            <v>Bác sĩ</v>
          </cell>
          <cell r="AN759" t="str">
            <v>Đa khoa</v>
          </cell>
          <cell r="AU759" t="str">
            <v>Anh bậc 3</v>
          </cell>
          <cell r="AW759" t="str">
            <v>Cơ bản</v>
          </cell>
          <cell r="AY759" t="str">
            <v>Kinh</v>
          </cell>
        </row>
        <row r="760">
          <cell r="A760" t="str">
            <v>BV1259</v>
          </cell>
          <cell r="B760">
            <v>754</v>
          </cell>
          <cell r="C760" t="str">
            <v>Hoàng Doãn Anh</v>
          </cell>
          <cell r="D760" t="str">
            <v>BV1259</v>
          </cell>
          <cell r="G760" t="str">
            <v>020098007253, ngày cấp 15/9/2022</v>
          </cell>
          <cell r="H760" t="str">
            <v>23/9/1998</v>
          </cell>
          <cell r="J760">
            <v>27</v>
          </cell>
          <cell r="V760" t="str">
            <v>Xã Hưng Vũ, huyện Bắc Sơn, tỉnh Lạng Sơn</v>
          </cell>
          <cell r="W760">
            <v>45260</v>
          </cell>
          <cell r="AA760">
            <v>0</v>
          </cell>
          <cell r="AC760" t="str">
            <v>Ngoại TK-LN</v>
          </cell>
          <cell r="AE760" t="str">
            <v>Viên chức</v>
          </cell>
          <cell r="AH760" t="str">
            <v>2.34</v>
          </cell>
          <cell r="AI760">
            <v>1</v>
          </cell>
          <cell r="AK760">
            <v>45510</v>
          </cell>
          <cell r="AL760" t="str">
            <v>Đại học</v>
          </cell>
          <cell r="AM760" t="str">
            <v>Bác sĩ</v>
          </cell>
          <cell r="AN760" t="str">
            <v>Đa khoa</v>
          </cell>
          <cell r="AU760" t="str">
            <v>A2</v>
          </cell>
          <cell r="AW760" t="str">
            <v>Cơ bản</v>
          </cell>
          <cell r="AY760" t="str">
            <v>Tày</v>
          </cell>
        </row>
        <row r="761">
          <cell r="A761" t="str">
            <v>BV1260</v>
          </cell>
          <cell r="B761">
            <v>755</v>
          </cell>
          <cell r="C761" t="str">
            <v>Hoàng Thị Thảo Nương</v>
          </cell>
          <cell r="D761" t="str">
            <v>BV1260</v>
          </cell>
          <cell r="G761" t="str">
            <v>020197005434, ngày cấp 24/6/2021</v>
          </cell>
          <cell r="I761" t="str">
            <v>28/12/1997</v>
          </cell>
          <cell r="J761">
            <v>28</v>
          </cell>
          <cell r="V761" t="str">
            <v>Thị trấn Lộc Bình, huyện Lộc Bình, tỉnh Lạng Sơn</v>
          </cell>
          <cell r="W761">
            <v>45260</v>
          </cell>
          <cell r="AA761">
            <v>0</v>
          </cell>
          <cell r="AC761" t="str">
            <v>Nhi</v>
          </cell>
          <cell r="AE761" t="str">
            <v>Viên chức</v>
          </cell>
          <cell r="AH761" t="str">
            <v>2.34</v>
          </cell>
          <cell r="AI761">
            <v>1</v>
          </cell>
          <cell r="AK761">
            <v>45510</v>
          </cell>
          <cell r="AL761" t="str">
            <v>Đại học</v>
          </cell>
          <cell r="AM761" t="str">
            <v>Bác sĩ</v>
          </cell>
          <cell r="AN761" t="str">
            <v>Đa khoa</v>
          </cell>
          <cell r="AU761" t="str">
            <v>Anh bậc 3</v>
          </cell>
          <cell r="AY761" t="str">
            <v>Tày</v>
          </cell>
        </row>
        <row r="762">
          <cell r="A762" t="str">
            <v>BV1261</v>
          </cell>
          <cell r="B762">
            <v>756</v>
          </cell>
          <cell r="C762" t="str">
            <v>Đinh Tố Uyên</v>
          </cell>
          <cell r="D762" t="str">
            <v>BV1261</v>
          </cell>
          <cell r="G762" t="str">
            <v>020198007296, ngày cấp 14/2/2023</v>
          </cell>
          <cell r="I762" t="str">
            <v>23/4/1998</v>
          </cell>
          <cell r="J762">
            <v>28</v>
          </cell>
          <cell r="V762" t="str">
            <v>Khối Đèo Giang, phường Chi Lăng, thành phố Lạng Sơn</v>
          </cell>
          <cell r="W762">
            <v>45260</v>
          </cell>
          <cell r="AA762">
            <v>0</v>
          </cell>
          <cell r="AC762" t="str">
            <v>Nhi</v>
          </cell>
          <cell r="AE762" t="str">
            <v>Viên chức</v>
          </cell>
          <cell r="AH762" t="str">
            <v>2.34</v>
          </cell>
          <cell r="AI762">
            <v>1</v>
          </cell>
          <cell r="AK762">
            <v>45510</v>
          </cell>
          <cell r="AL762" t="str">
            <v>Đại học</v>
          </cell>
          <cell r="AM762" t="str">
            <v>Bác sĩ</v>
          </cell>
          <cell r="AN762" t="str">
            <v>Đa khoa</v>
          </cell>
          <cell r="AU762" t="str">
            <v>Anh bậc 4</v>
          </cell>
          <cell r="AY762" t="str">
            <v>Nùng</v>
          </cell>
        </row>
        <row r="763">
          <cell r="A763" t="str">
            <v>BV1267</v>
          </cell>
          <cell r="B763">
            <v>757</v>
          </cell>
          <cell r="C763" t="str">
            <v>Trần Văn Tuyến</v>
          </cell>
          <cell r="D763" t="str">
            <v>BV1267</v>
          </cell>
          <cell r="G763" t="str">
            <v>001092022720</v>
          </cell>
          <cell r="I763" t="str">
            <v>19/9/1992</v>
          </cell>
          <cell r="J763">
            <v>33</v>
          </cell>
          <cell r="K763" t="str">
            <v>001092022720</v>
          </cell>
          <cell r="L763" t="str">
            <v>21/4/2021</v>
          </cell>
          <cell r="V763" t="str">
            <v>Na Dương, Lộc Bình, Lạng Sơn</v>
          </cell>
          <cell r="W763">
            <v>45261</v>
          </cell>
          <cell r="AA763">
            <v>0</v>
          </cell>
          <cell r="AC763" t="str">
            <v>Cấp cứu</v>
          </cell>
          <cell r="AE763" t="str">
            <v>Viên chức</v>
          </cell>
          <cell r="AH763" t="str">
            <v>2.34</v>
          </cell>
          <cell r="AI763">
            <v>1</v>
          </cell>
          <cell r="AK763">
            <v>45536</v>
          </cell>
          <cell r="AL763" t="str">
            <v>Đại học</v>
          </cell>
          <cell r="AM763" t="str">
            <v>Bác sĩ</v>
          </cell>
          <cell r="AN763" t="str">
            <v>Đa khoa</v>
          </cell>
          <cell r="AU763" t="str">
            <v>TOEFL ITP 387đ</v>
          </cell>
          <cell r="AW763" t="str">
            <v>Cơ bản</v>
          </cell>
          <cell r="AY763" t="str">
            <v>Kinh</v>
          </cell>
        </row>
        <row r="764">
          <cell r="A764" t="str">
            <v>BV1262</v>
          </cell>
          <cell r="B764">
            <v>758</v>
          </cell>
          <cell r="C764" t="str">
            <v>Hoàng Thanh Dung</v>
          </cell>
          <cell r="D764" t="str">
            <v>BV1262</v>
          </cell>
          <cell r="G764" t="str">
            <v>020301006110</v>
          </cell>
          <cell r="I764" t="str">
            <v>14/09/2001</v>
          </cell>
          <cell r="J764">
            <v>24</v>
          </cell>
          <cell r="K764" t="str">
            <v>020301006110</v>
          </cell>
          <cell r="L764" t="str">
            <v>25/6/2021</v>
          </cell>
          <cell r="V764" t="str">
            <v>Thị trấn Lộc Bình, huyện Lộc Bình, tỉnh Lạng Sơn</v>
          </cell>
          <cell r="W764">
            <v>45250</v>
          </cell>
          <cell r="AA764">
            <v>0</v>
          </cell>
          <cell r="AC764" t="str">
            <v>Cấp cứu</v>
          </cell>
          <cell r="AE764" t="str">
            <v>Viên chức</v>
          </cell>
          <cell r="AH764" t="str">
            <v>2.34</v>
          </cell>
          <cell r="AI764">
            <v>1</v>
          </cell>
          <cell r="AK764">
            <v>45616</v>
          </cell>
          <cell r="AL764" t="str">
            <v>Đại học</v>
          </cell>
          <cell r="AM764" t="str">
            <v>Điều dưỡng ĐH</v>
          </cell>
          <cell r="AU764" t="str">
            <v>Toeic 250đ</v>
          </cell>
          <cell r="AW764" t="str">
            <v>Cơ bản</v>
          </cell>
          <cell r="AY764" t="str">
            <v>Tày</v>
          </cell>
        </row>
        <row r="765">
          <cell r="A765" t="str">
            <v>BV1263</v>
          </cell>
          <cell r="B765">
            <v>759</v>
          </cell>
          <cell r="C765" t="str">
            <v>Nông Thị Hồng</v>
          </cell>
          <cell r="D765" t="str">
            <v>BV1263</v>
          </cell>
          <cell r="G765" t="str">
            <v>020302004841</v>
          </cell>
          <cell r="I765" t="str">
            <v>01/11/2002</v>
          </cell>
          <cell r="J765">
            <v>23</v>
          </cell>
          <cell r="K765" t="str">
            <v>020302004841</v>
          </cell>
          <cell r="L765" t="str">
            <v>31/5/2021</v>
          </cell>
          <cell r="V765" t="str">
            <v>Xã Tân Văn, huyện Bình Gia, tỉnh Lạng Sơn</v>
          </cell>
          <cell r="W765">
            <v>45250</v>
          </cell>
          <cell r="AA765">
            <v>0</v>
          </cell>
          <cell r="AC765" t="str">
            <v>Ngoại Thận - Tiết niệu</v>
          </cell>
          <cell r="AE765" t="str">
            <v>HĐ có thời hạn</v>
          </cell>
          <cell r="AH765" t="str">
            <v>2.10</v>
          </cell>
          <cell r="AI765">
            <v>1</v>
          </cell>
          <cell r="AK765">
            <v>45524</v>
          </cell>
          <cell r="AL765" t="str">
            <v>Đại học</v>
          </cell>
          <cell r="AM765" t="str">
            <v>Điều dưỡng CĐ</v>
          </cell>
          <cell r="AY765" t="str">
            <v>Tày</v>
          </cell>
        </row>
        <row r="766">
          <cell r="A766" t="str">
            <v>BV1264</v>
          </cell>
          <cell r="B766">
            <v>760</v>
          </cell>
          <cell r="C766" t="str">
            <v>Nguyễn Thị Lượng</v>
          </cell>
          <cell r="D766" t="str">
            <v>BV1264</v>
          </cell>
          <cell r="G766" t="str">
            <v>027302008129</v>
          </cell>
          <cell r="I766" t="str">
            <v>28/11/2002</v>
          </cell>
          <cell r="J766">
            <v>23</v>
          </cell>
          <cell r="K766" t="str">
            <v>027302008129</v>
          </cell>
          <cell r="L766" t="str">
            <v>07/11/2021</v>
          </cell>
          <cell r="V766" t="str">
            <v>Xã Đại Lai, Huyện Gia Bình, tỉnh Bắc Ninh</v>
          </cell>
          <cell r="W766">
            <v>45250</v>
          </cell>
          <cell r="AA766">
            <v>0</v>
          </cell>
          <cell r="AC766" t="str">
            <v>HSTC-CĐ</v>
          </cell>
          <cell r="AE766" t="str">
            <v>Viên chức</v>
          </cell>
          <cell r="AH766" t="str">
            <v>2.10</v>
          </cell>
          <cell r="AI766">
            <v>1</v>
          </cell>
          <cell r="AK766">
            <v>45524</v>
          </cell>
          <cell r="AL766" t="str">
            <v>Đại học</v>
          </cell>
          <cell r="AM766" t="str">
            <v>Điều dưỡng CĐ</v>
          </cell>
          <cell r="AY766" t="str">
            <v>Kinh</v>
          </cell>
        </row>
        <row r="767">
          <cell r="A767" t="str">
            <v>BV1265</v>
          </cell>
          <cell r="B767">
            <v>761</v>
          </cell>
          <cell r="C767" t="str">
            <v>Dương Thị Uyên</v>
          </cell>
          <cell r="D767" t="str">
            <v>BV1265</v>
          </cell>
          <cell r="G767" t="str">
            <v>020302003749</v>
          </cell>
          <cell r="I767" t="str">
            <v>17/05/2002</v>
          </cell>
          <cell r="J767">
            <v>24</v>
          </cell>
          <cell r="K767" t="str">
            <v>020302003749</v>
          </cell>
          <cell r="L767" t="str">
            <v>16/9/2022</v>
          </cell>
          <cell r="V767" t="str">
            <v>Phố Đức Tâm, thị trấn Văn Quan, huyện Văn Quan, tỉnh Lạng Sơn</v>
          </cell>
          <cell r="W767">
            <v>45250</v>
          </cell>
          <cell r="AA767" t="e">
            <v>#N/A</v>
          </cell>
          <cell r="AC767" t="e">
            <v>#N/A</v>
          </cell>
          <cell r="AE767" t="e">
            <v>#N/A</v>
          </cell>
          <cell r="AH767" t="str">
            <v>2.10</v>
          </cell>
          <cell r="AI767">
            <v>1</v>
          </cell>
          <cell r="AK767">
            <v>45524</v>
          </cell>
          <cell r="AL767" t="str">
            <v>Đại học</v>
          </cell>
          <cell r="AM767" t="e">
            <v>#N/A</v>
          </cell>
          <cell r="AY767" t="str">
            <v>Nùng</v>
          </cell>
        </row>
        <row r="768">
          <cell r="A768" t="str">
            <v>BV1266</v>
          </cell>
          <cell r="B768">
            <v>762</v>
          </cell>
          <cell r="C768" t="str">
            <v>Nguyễn Thị Vân Anh</v>
          </cell>
          <cell r="D768" t="str">
            <v>BV1266</v>
          </cell>
          <cell r="G768" t="str">
            <v>020199003406</v>
          </cell>
          <cell r="I768" t="str">
            <v>8/10/1999</v>
          </cell>
          <cell r="J768">
            <v>26</v>
          </cell>
          <cell r="K768" t="str">
            <v>020199003406</v>
          </cell>
          <cell r="L768" t="str">
            <v>26/5/2023</v>
          </cell>
          <cell r="V768" t="str">
            <v>Thị trấn Bình Gia, huyện Bình Gia, tỉnh Lạng Sơn</v>
          </cell>
          <cell r="W768">
            <v>45252</v>
          </cell>
          <cell r="AA768">
            <v>0</v>
          </cell>
          <cell r="AC768" t="str">
            <v>Cấp Cứu</v>
          </cell>
          <cell r="AE768" t="str">
            <v>Viên chức</v>
          </cell>
          <cell r="AH768" t="str">
            <v>2.34</v>
          </cell>
          <cell r="AI768">
            <v>1</v>
          </cell>
          <cell r="AK768">
            <v>45536</v>
          </cell>
          <cell r="AL768" t="str">
            <v>Đại học</v>
          </cell>
          <cell r="AM768" t="str">
            <v>Bác sĩ</v>
          </cell>
          <cell r="AU768" t="str">
            <v>Anh B1</v>
          </cell>
          <cell r="AW768" t="str">
            <v>Cơ bản</v>
          </cell>
          <cell r="AY768" t="str">
            <v>Nùng</v>
          </cell>
        </row>
        <row r="769">
          <cell r="A769" t="str">
            <v>BV1268</v>
          </cell>
          <cell r="B769">
            <v>763</v>
          </cell>
          <cell r="C769" t="str">
            <v>Nông Thị Kim Xuyến</v>
          </cell>
          <cell r="D769" t="str">
            <v>BV1268</v>
          </cell>
          <cell r="G769" t="str">
            <v>020301003517</v>
          </cell>
          <cell r="I769" t="str">
            <v>11/12/2001</v>
          </cell>
          <cell r="J769">
            <v>24</v>
          </cell>
          <cell r="K769" t="str">
            <v>020301003517</v>
          </cell>
          <cell r="L769" t="str">
            <v>10/5/2021</v>
          </cell>
          <cell r="V769" t="str">
            <v>Thôn Bản Viễn, xã Hoàng Đồng, thành phố Lạng Sơn</v>
          </cell>
          <cell r="W769">
            <v>45271</v>
          </cell>
          <cell r="AA769">
            <v>0</v>
          </cell>
          <cell r="AC769" t="str">
            <v>Chấn thương - Bỏng</v>
          </cell>
          <cell r="AE769" t="str">
            <v>HĐ có thời hạn</v>
          </cell>
          <cell r="AH769" t="str">
            <v>2.34</v>
          </cell>
          <cell r="AI769">
            <v>1</v>
          </cell>
          <cell r="AK769">
            <v>45637</v>
          </cell>
          <cell r="AL769" t="str">
            <v>Đại học</v>
          </cell>
          <cell r="AM769" t="str">
            <v>Điều dưỡng ĐH</v>
          </cell>
          <cell r="AU769" t="str">
            <v>Anh bậc 3</v>
          </cell>
          <cell r="AW769" t="str">
            <v>Cơ bản</v>
          </cell>
          <cell r="AY769" t="str">
            <v>Tày</v>
          </cell>
        </row>
        <row r="770">
          <cell r="A770" t="str">
            <v>BV1247</v>
          </cell>
          <cell r="B770">
            <v>764</v>
          </cell>
          <cell r="C770" t="str">
            <v>Nguyễn Thùy Dương</v>
          </cell>
          <cell r="D770" t="str">
            <v>BV1247</v>
          </cell>
          <cell r="I770">
            <v>35455</v>
          </cell>
          <cell r="J770">
            <v>29</v>
          </cell>
          <cell r="V770" t="str">
            <v>Thị trấn Hữu Lũng, huyện Hữu Lũng, tỉnh Lạng Sơn</v>
          </cell>
          <cell r="W770" t="str">
            <v>01/7/2023</v>
          </cell>
          <cell r="X770" t="str">
            <v/>
          </cell>
          <cell r="Y770" t="str">
            <v/>
          </cell>
          <cell r="AA770">
            <v>0</v>
          </cell>
          <cell r="AC770" t="str">
            <v>Nhi</v>
          </cell>
          <cell r="AE770" t="str">
            <v>HĐ có thời hạn</v>
          </cell>
          <cell r="AH770" t="str">
            <v>2.34</v>
          </cell>
          <cell r="AI770">
            <v>1</v>
          </cell>
          <cell r="AK770">
            <v>45399</v>
          </cell>
          <cell r="AL770" t="str">
            <v>Đại học</v>
          </cell>
          <cell r="AM770" t="str">
            <v>Bác sĩ</v>
          </cell>
          <cell r="AN770" t="str">
            <v>Đa khoa</v>
          </cell>
          <cell r="AW770" t="str">
            <v>Cơ bản</v>
          </cell>
          <cell r="AY770" t="str">
            <v>Tày</v>
          </cell>
        </row>
        <row r="771">
          <cell r="A771" t="str">
            <v>BV1249</v>
          </cell>
          <cell r="B771">
            <v>765</v>
          </cell>
          <cell r="C771" t="str">
            <v>Hà Huy Hoàng</v>
          </cell>
          <cell r="D771" t="str">
            <v>BV1249</v>
          </cell>
          <cell r="H771">
            <v>29677</v>
          </cell>
          <cell r="J771">
            <v>45</v>
          </cell>
          <cell r="T771" t="str">
            <v/>
          </cell>
          <cell r="U771" t="str">
            <v/>
          </cell>
          <cell r="V771" t="str">
            <v>19/1 ngõ 66 Đèo Giang, phường Chi Lăng, thành phố Lạng Sơn</v>
          </cell>
          <cell r="W771" t="str">
            <v>01/8/2023</v>
          </cell>
          <cell r="X771" t="str">
            <v/>
          </cell>
          <cell r="Y771" t="str">
            <v/>
          </cell>
          <cell r="AA771">
            <v>0</v>
          </cell>
          <cell r="AC771" t="str">
            <v>HCQT</v>
          </cell>
          <cell r="AE771" t="str">
            <v>HĐ có thời hạn</v>
          </cell>
          <cell r="AH771">
            <v>1.68</v>
          </cell>
          <cell r="AI771">
            <v>2</v>
          </cell>
          <cell r="AK771">
            <v>45689</v>
          </cell>
          <cell r="AM771" t="str">
            <v>Bảo vệ</v>
          </cell>
          <cell r="AY771" t="str">
            <v>Tày</v>
          </cell>
        </row>
        <row r="772">
          <cell r="A772" t="str">
            <v>BV1248</v>
          </cell>
          <cell r="B772">
            <v>766</v>
          </cell>
          <cell r="C772" t="str">
            <v>Lành Tuấn An</v>
          </cell>
          <cell r="D772" t="str">
            <v>BV1248</v>
          </cell>
          <cell r="H772">
            <v>31520</v>
          </cell>
          <cell r="J772">
            <v>40</v>
          </cell>
          <cell r="T772" t="str">
            <v/>
          </cell>
          <cell r="U772" t="str">
            <v/>
          </cell>
          <cell r="V772" t="str">
            <v>Thôn Bản Viễn, xã Hoàng Đồng, thành phố Lạng Sơn</v>
          </cell>
          <cell r="W772" t="str">
            <v>01/8/2023</v>
          </cell>
          <cell r="X772" t="str">
            <v/>
          </cell>
          <cell r="Y772" t="str">
            <v/>
          </cell>
          <cell r="AA772">
            <v>0</v>
          </cell>
          <cell r="AC772" t="str">
            <v>HCQT</v>
          </cell>
          <cell r="AE772" t="str">
            <v>HĐ có thời hạn</v>
          </cell>
          <cell r="AH772">
            <v>1.68</v>
          </cell>
          <cell r="AI772">
            <v>2</v>
          </cell>
          <cell r="AK772">
            <v>45689</v>
          </cell>
          <cell r="AM772" t="str">
            <v>Bảo vệ</v>
          </cell>
          <cell r="AY772" t="str">
            <v>Tày</v>
          </cell>
        </row>
        <row r="773">
          <cell r="A773" t="str">
            <v>BV1250</v>
          </cell>
          <cell r="B773">
            <v>767</v>
          </cell>
          <cell r="C773" t="str">
            <v>Vy Văn Quy</v>
          </cell>
          <cell r="D773" t="str">
            <v>BV1250</v>
          </cell>
          <cell r="H773">
            <v>25949</v>
          </cell>
          <cell r="J773">
            <v>55</v>
          </cell>
          <cell r="T773" t="str">
            <v/>
          </cell>
          <cell r="U773" t="str">
            <v/>
          </cell>
          <cell r="V773" t="str">
            <v>Tổ 1 khối 6, thị trấn Cao Lộc, huyện Cao Lộc, tỉnh Lạng Sơn</v>
          </cell>
          <cell r="W773" t="str">
            <v>01/8/2023</v>
          </cell>
          <cell r="X773" t="str">
            <v/>
          </cell>
          <cell r="Y773" t="str">
            <v/>
          </cell>
          <cell r="AA773">
            <v>0</v>
          </cell>
          <cell r="AC773" t="str">
            <v>HCQT</v>
          </cell>
          <cell r="AE773" t="str">
            <v>HĐ có thời hạn</v>
          </cell>
          <cell r="AH773">
            <v>1.54</v>
          </cell>
          <cell r="AI773">
            <v>4</v>
          </cell>
          <cell r="AK773">
            <v>45689</v>
          </cell>
          <cell r="AM773" t="str">
            <v>NVPV</v>
          </cell>
          <cell r="AY773" t="str">
            <v>Tày</v>
          </cell>
        </row>
        <row r="774">
          <cell r="A774" t="str">
            <v>BV1168</v>
          </cell>
          <cell r="B774">
            <v>768</v>
          </cell>
          <cell r="C774" t="str">
            <v>Hoàng Tuấn Hưng</v>
          </cell>
          <cell r="D774" t="str">
            <v>BV1168</v>
          </cell>
          <cell r="H774">
            <v>35592</v>
          </cell>
          <cell r="J774">
            <v>29</v>
          </cell>
          <cell r="V774" t="str">
            <v>F3A, khu N18, khối 5 thị trấn Cao Lộc, huyện Cao Lộc, tỉnh Lạng Sơn</v>
          </cell>
          <cell r="W774" t="str">
            <v>15/11/2021</v>
          </cell>
          <cell r="X774" t="str">
            <v>01/11/2023</v>
          </cell>
          <cell r="AA774">
            <v>0</v>
          </cell>
          <cell r="AC774" t="str">
            <v>Ngoại Thận - Tiết niệu</v>
          </cell>
          <cell r="AE774" t="str">
            <v>Viên chức</v>
          </cell>
          <cell r="AH774" t="e">
            <v>#N/A</v>
          </cell>
          <cell r="AI774" t="e">
            <v>#N/A</v>
          </cell>
          <cell r="AK774" t="e">
            <v>#N/A</v>
          </cell>
          <cell r="AL774" t="str">
            <v>Đại học</v>
          </cell>
          <cell r="AM774" t="str">
            <v>Bác sĩ</v>
          </cell>
          <cell r="AN774" t="str">
            <v>Đa khoa</v>
          </cell>
          <cell r="AY774" t="str">
            <v>Tày</v>
          </cell>
        </row>
        <row r="775">
          <cell r="A775" t="str">
            <v>BV1269</v>
          </cell>
          <cell r="B775">
            <v>769</v>
          </cell>
          <cell r="C775" t="str">
            <v>Ngô Thị Thanh</v>
          </cell>
          <cell r="I775" t="str">
            <v>19/12/1988</v>
          </cell>
          <cell r="J775">
            <v>37</v>
          </cell>
          <cell r="V775" t="str">
            <v>Khối 5, phường Đông Kinh, thành phố Lạng Sơn</v>
          </cell>
          <cell r="W775">
            <v>45293</v>
          </cell>
          <cell r="AA775">
            <v>0</v>
          </cell>
          <cell r="AC775" t="str">
            <v>KSNK</v>
          </cell>
          <cell r="AE775" t="str">
            <v>HĐ có thời hạn</v>
          </cell>
          <cell r="AH775" t="e">
            <v>#N/A</v>
          </cell>
          <cell r="AI775" t="e">
            <v>#N/A</v>
          </cell>
          <cell r="AK775" t="e">
            <v>#N/A</v>
          </cell>
          <cell r="AM775" t="str">
            <v>NVPV</v>
          </cell>
        </row>
        <row r="776">
          <cell r="A776" t="str">
            <v>BV1271</v>
          </cell>
          <cell r="B776">
            <v>770</v>
          </cell>
          <cell r="C776" t="str">
            <v>Hoàng Thu Hà</v>
          </cell>
          <cell r="I776" t="str">
            <v>22/6/2001</v>
          </cell>
          <cell r="J776">
            <v>25</v>
          </cell>
          <cell r="V776" t="str">
            <v>Xã Hợp Thành, Huyện Cao Lộc, tỉnh Lạng Sơn</v>
          </cell>
          <cell r="W776">
            <v>45293</v>
          </cell>
          <cell r="AA776">
            <v>0</v>
          </cell>
          <cell r="AC776" t="str">
            <v>Ngoại TK-LN</v>
          </cell>
          <cell r="AE776" t="str">
            <v>Viên chức</v>
          </cell>
          <cell r="AH776" t="str">
            <v>2.34</v>
          </cell>
          <cell r="AI776">
            <v>1</v>
          </cell>
          <cell r="AK776">
            <v>45659</v>
          </cell>
          <cell r="AL776" t="str">
            <v>Đại học</v>
          </cell>
          <cell r="AM776" t="str">
            <v>Điều dưỡng ĐH</v>
          </cell>
        </row>
        <row r="777">
          <cell r="A777" t="str">
            <v>BV1273</v>
          </cell>
          <cell r="B777">
            <v>771</v>
          </cell>
          <cell r="C777" t="str">
            <v>Nguyễn Thị Hiền</v>
          </cell>
          <cell r="I777" t="str">
            <v>10/3/1997</v>
          </cell>
          <cell r="J777">
            <v>29</v>
          </cell>
          <cell r="V777" t="str">
            <v>Xã Quảng Thạch, huyện Quảng Xương, tỉnh Thanh Hóa</v>
          </cell>
          <cell r="W777">
            <v>45337</v>
          </cell>
          <cell r="AA777">
            <v>0</v>
          </cell>
          <cell r="AC777" t="str">
            <v>Dược</v>
          </cell>
          <cell r="AE777" t="str">
            <v>Viên chức</v>
          </cell>
          <cell r="AH777" t="str">
            <v>2.34</v>
          </cell>
          <cell r="AI777" t="str">
            <v>85% bậc 1</v>
          </cell>
          <cell r="AK777">
            <v>45703</v>
          </cell>
          <cell r="AL777" t="str">
            <v>Đại học</v>
          </cell>
          <cell r="AM777" t="str">
            <v>Dược sỹ ĐH</v>
          </cell>
          <cell r="AY777" t="str">
            <v>kinh</v>
          </cell>
        </row>
        <row r="778">
          <cell r="A778" t="str">
            <v>BV1274</v>
          </cell>
          <cell r="B778">
            <v>772</v>
          </cell>
          <cell r="C778" t="str">
            <v>Phan Thị Ái Vân</v>
          </cell>
          <cell r="I778" t="str">
            <v>01/01/1994</v>
          </cell>
          <cell r="J778">
            <v>32</v>
          </cell>
          <cell r="V778" t="str">
            <v>Xã Tân Tiến, huyện Tràng Định, tỉnh Lạng Sơn</v>
          </cell>
          <cell r="W778">
            <v>45323</v>
          </cell>
          <cell r="AA778">
            <v>0</v>
          </cell>
          <cell r="AC778" t="str">
            <v>Nội Tổng hợp</v>
          </cell>
          <cell r="AE778" t="str">
            <v>Viên chức</v>
          </cell>
          <cell r="AH778" t="str">
            <v>2.10</v>
          </cell>
          <cell r="AI778">
            <v>1</v>
          </cell>
          <cell r="AK778">
            <v>45597</v>
          </cell>
          <cell r="AL778" t="str">
            <v>Cao đẳng</v>
          </cell>
          <cell r="AM778" t="str">
            <v>Điều dưỡng CĐ</v>
          </cell>
          <cell r="AY778" t="str">
            <v>tày</v>
          </cell>
        </row>
        <row r="779">
          <cell r="A779" t="str">
            <v>BV1275</v>
          </cell>
          <cell r="B779">
            <v>773</v>
          </cell>
          <cell r="C779" t="str">
            <v>Bế Quốc Tuân</v>
          </cell>
          <cell r="H779" t="str">
            <v>17/04/1997</v>
          </cell>
          <cell r="J779">
            <v>29</v>
          </cell>
          <cell r="V779" t="str">
            <v>Xã Đình Lập, huyện Đình Lập, tỉnh Lạng Sơn</v>
          </cell>
          <cell r="W779">
            <v>45323</v>
          </cell>
          <cell r="AA779" t="e">
            <v>#N/A</v>
          </cell>
          <cell r="AC779" t="e">
            <v>#N/A</v>
          </cell>
          <cell r="AE779" t="e">
            <v>#N/A</v>
          </cell>
          <cell r="AH779" t="str">
            <v>2.34</v>
          </cell>
          <cell r="AI779">
            <v>1</v>
          </cell>
          <cell r="AK779">
            <v>45597</v>
          </cell>
          <cell r="AL779" t="str">
            <v>Đại học</v>
          </cell>
          <cell r="AM779" t="e">
            <v>#N/A</v>
          </cell>
          <cell r="AY779" t="str">
            <v>tày</v>
          </cell>
        </row>
        <row r="780">
          <cell r="A780" t="str">
            <v>BV1253</v>
          </cell>
          <cell r="B780">
            <v>774</v>
          </cell>
          <cell r="C780" t="str">
            <v>Trần Thị Hồng Hạnh</v>
          </cell>
          <cell r="I780" t="str">
            <v>04/11/1998</v>
          </cell>
          <cell r="J780">
            <v>27</v>
          </cell>
          <cell r="V780" t="str">
            <v>Thôn 1, xã Đào Viên, huyện Tràng Định, tỉnh Lạng Sơn</v>
          </cell>
          <cell r="W780">
            <v>45337</v>
          </cell>
          <cell r="AA780">
            <v>0</v>
          </cell>
          <cell r="AC780" t="str">
            <v>Lão - CXK</v>
          </cell>
          <cell r="AE780" t="str">
            <v>HĐ có thời hạn</v>
          </cell>
          <cell r="AH780" t="str">
            <v>2.34</v>
          </cell>
          <cell r="AI780">
            <v>1</v>
          </cell>
          <cell r="AK780">
            <v>45641</v>
          </cell>
          <cell r="AL780" t="str">
            <v>Đại học</v>
          </cell>
          <cell r="AM780" t="str">
            <v>Bác sĩ</v>
          </cell>
        </row>
        <row r="781">
          <cell r="A781" t="str">
            <v>BV1276</v>
          </cell>
          <cell r="B781">
            <v>775</v>
          </cell>
          <cell r="C781" t="str">
            <v>Lương Thị Lan Hương</v>
          </cell>
          <cell r="G781" t="str">
            <v>020198005844</v>
          </cell>
          <cell r="I781" t="str">
            <v>20/02/1998</v>
          </cell>
          <cell r="J781">
            <v>28</v>
          </cell>
          <cell r="K781" t="str">
            <v>020198005844</v>
          </cell>
          <cell r="L781" t="str">
            <v>13/8/2021</v>
          </cell>
          <cell r="M781" t="str">
            <v>Cục Cảnh sát quản lý hành chính về trật tự xã hội</v>
          </cell>
          <cell r="V781" t="str">
            <v>Kháng Chiến, huyện Tràng Định, tỉnh Lạng Sơn</v>
          </cell>
          <cell r="W781" t="str">
            <v>02/4/2024</v>
          </cell>
          <cell r="AA781">
            <v>0</v>
          </cell>
          <cell r="AC781" t="str">
            <v>CĐHA</v>
          </cell>
          <cell r="AE781" t="str">
            <v>Viên chức</v>
          </cell>
          <cell r="AH781" t="str">
            <v>2.34</v>
          </cell>
          <cell r="AI781">
            <v>1</v>
          </cell>
          <cell r="AK781">
            <v>45659</v>
          </cell>
          <cell r="AL781" t="str">
            <v>Đại học</v>
          </cell>
          <cell r="AM781" t="str">
            <v>Bác sĩ</v>
          </cell>
        </row>
        <row r="782">
          <cell r="A782" t="str">
            <v>BV1093</v>
          </cell>
          <cell r="B782">
            <v>776</v>
          </cell>
          <cell r="C782" t="str">
            <v>Triệu Thị Liễu</v>
          </cell>
          <cell r="G782" t="str">
            <v>020198001129</v>
          </cell>
          <cell r="I782" t="str">
            <v>04/11/1998</v>
          </cell>
          <cell r="J782">
            <v>27</v>
          </cell>
          <cell r="K782" t="str">
            <v>020198001129</v>
          </cell>
          <cell r="L782" t="str">
            <v>29/4/2021</v>
          </cell>
          <cell r="M782" t="str">
            <v>Công an tỉnh Lạng Sơn</v>
          </cell>
          <cell r="V782" t="str">
            <v>Xã Vĩnh Yên, Huyện Bình Gia, Tỉnh Lạng Sơn</v>
          </cell>
          <cell r="W782" t="str">
            <v>11/3/2024</v>
          </cell>
          <cell r="AA782">
            <v>0</v>
          </cell>
          <cell r="AC782" t="str">
            <v>Ngoại Tiêu hóa</v>
          </cell>
          <cell r="AE782" t="str">
            <v>Viên chức</v>
          </cell>
          <cell r="AH782" t="str">
            <v>2.41</v>
          </cell>
          <cell r="AI782">
            <v>2</v>
          </cell>
          <cell r="AK782">
            <v>45629</v>
          </cell>
          <cell r="AL782" t="str">
            <v>Cao đẳng</v>
          </cell>
          <cell r="AM782" t="str">
            <v>Điều dưỡng CĐ</v>
          </cell>
          <cell r="AY782" t="str">
            <v>Dao</v>
          </cell>
        </row>
        <row r="783">
          <cell r="A783" t="str">
            <v>BV1278</v>
          </cell>
          <cell r="B783">
            <v>777</v>
          </cell>
          <cell r="C783" t="str">
            <v>Vũ Trần Hiếu</v>
          </cell>
          <cell r="G783" t="str">
            <v>020096005224</v>
          </cell>
          <cell r="H783" t="str">
            <v>22/04/1996</v>
          </cell>
          <cell r="J783">
            <v>30</v>
          </cell>
          <cell r="K783" t="str">
            <v>020096005224</v>
          </cell>
          <cell r="L783" t="str">
            <v>05/3/2022</v>
          </cell>
          <cell r="M783" t="str">
            <v>Cục Cảnh sát quản lý hành chính về trật tự xã hội</v>
          </cell>
          <cell r="V783" t="str">
            <v>Thị trấn Bắc Sơn, huyện Bắc Sơn, tỉnh Lạng Sơn</v>
          </cell>
          <cell r="W783" t="str">
            <v>15/4/2024</v>
          </cell>
          <cell r="AA783">
            <v>0</v>
          </cell>
          <cell r="AC783" t="str">
            <v>Chấn thương - Bỏng</v>
          </cell>
          <cell r="AE783" t="str">
            <v>HĐ có thời hạn</v>
          </cell>
          <cell r="AH783" t="str">
            <v>2.34</v>
          </cell>
          <cell r="AI783">
            <v>1</v>
          </cell>
          <cell r="AK783">
            <v>45658</v>
          </cell>
          <cell r="AL783" t="str">
            <v>Đại học</v>
          </cell>
          <cell r="AM783" t="str">
            <v>Bác sĩ</v>
          </cell>
        </row>
        <row r="784">
          <cell r="A784" t="str">
            <v>BV1279</v>
          </cell>
          <cell r="B784">
            <v>778</v>
          </cell>
          <cell r="C784" t="str">
            <v>Dương Đức Anh</v>
          </cell>
          <cell r="G784" t="str">
            <v>020202003960</v>
          </cell>
          <cell r="H784">
            <v>37564</v>
          </cell>
          <cell r="J784">
            <v>23</v>
          </cell>
          <cell r="K784" t="str">
            <v>020202003960</v>
          </cell>
          <cell r="L784" t="str">
            <v>01/9/2021</v>
          </cell>
          <cell r="M784" t="str">
            <v>Cục Cảnh sát quản lý hành chính về trật tự xã hội</v>
          </cell>
          <cell r="V784" t="str">
            <v>Thị trấn Cao Lộc, huyện Cao Lộc, Lạng Sơn</v>
          </cell>
          <cell r="W784" t="str">
            <v>15/4/2024</v>
          </cell>
          <cell r="AA784">
            <v>0</v>
          </cell>
          <cell r="AC784" t="str">
            <v>CĐHA</v>
          </cell>
          <cell r="AE784" t="str">
            <v>HĐ có thời hạn</v>
          </cell>
          <cell r="AH784" t="str">
            <v>2.10</v>
          </cell>
          <cell r="AI784">
            <v>1</v>
          </cell>
          <cell r="AK784">
            <v>45658</v>
          </cell>
          <cell r="AL784" t="str">
            <v>Cao đẳng</v>
          </cell>
          <cell r="AM784" t="str">
            <v>KTY CĐ</v>
          </cell>
          <cell r="AY784" t="str">
            <v>Kinh</v>
          </cell>
        </row>
        <row r="785">
          <cell r="A785" t="str">
            <v>BV1281</v>
          </cell>
          <cell r="B785">
            <v>779</v>
          </cell>
          <cell r="C785" t="str">
            <v>Hoàng Việt Hưng</v>
          </cell>
          <cell r="G785" t="str">
            <v>020099003830</v>
          </cell>
          <cell r="H785" t="str">
            <v>13/6/1999</v>
          </cell>
          <cell r="J785">
            <v>27</v>
          </cell>
          <cell r="K785" t="str">
            <v>020099003830</v>
          </cell>
          <cell r="L785" t="str">
            <v>30/6/2023</v>
          </cell>
          <cell r="M785" t="str">
            <v>Cục Cảnh sát quản lý hành chính về trật tự xã hội</v>
          </cell>
          <cell r="V785" t="str">
            <v>Xã Hoàng Văn Thụ, huyện Văn Lãng, tỉnh Lạng Sơn</v>
          </cell>
          <cell r="W785" t="str">
            <v>01/7/2024</v>
          </cell>
          <cell r="AA785">
            <v>0</v>
          </cell>
          <cell r="AC785" t="str">
            <v>Mắt</v>
          </cell>
          <cell r="AE785" t="str">
            <v>Viên chức</v>
          </cell>
          <cell r="AH785" t="str">
            <v>2.34</v>
          </cell>
          <cell r="AI785" t="str">
            <v>85% Bậc 1</v>
          </cell>
          <cell r="AK785">
            <v>45748</v>
          </cell>
          <cell r="AL785" t="str">
            <v>Đại học</v>
          </cell>
          <cell r="AM785" t="str">
            <v>Bác sĩ</v>
          </cell>
          <cell r="AY785" t="str">
            <v>tày</v>
          </cell>
        </row>
        <row r="786">
          <cell r="A786" t="str">
            <v>BV1282</v>
          </cell>
          <cell r="B786">
            <v>780</v>
          </cell>
          <cell r="C786" t="str">
            <v>Vi Văn Phong</v>
          </cell>
          <cell r="G786" t="str">
            <v>020096004642</v>
          </cell>
          <cell r="H786" t="str">
            <v>07/12/1996</v>
          </cell>
          <cell r="J786">
            <v>29</v>
          </cell>
          <cell r="K786" t="str">
            <v>020096004642</v>
          </cell>
          <cell r="L786" t="str">
            <v>20/8/2022</v>
          </cell>
          <cell r="M786" t="str">
            <v>Cục Cảnh sát quản lý hành chính về trật tự xã hội</v>
          </cell>
          <cell r="V786" t="str">
            <v>Khối 3, phường Đông Kinh, TP. Lạng Sơn, tỉnh Lạng Sơn</v>
          </cell>
          <cell r="W786" t="str">
            <v>01/7/2024</v>
          </cell>
          <cell r="AA786">
            <v>0</v>
          </cell>
          <cell r="AC786" t="str">
            <v>HSTC-CĐ</v>
          </cell>
          <cell r="AE786" t="str">
            <v>Viên chức</v>
          </cell>
          <cell r="AH786" t="str">
            <v>2.34</v>
          </cell>
          <cell r="AI786" t="str">
            <v>85% Bậc 1</v>
          </cell>
          <cell r="AK786">
            <v>45748</v>
          </cell>
          <cell r="AL786" t="str">
            <v>Đại học</v>
          </cell>
          <cell r="AM786" t="str">
            <v>Bác sĩ</v>
          </cell>
          <cell r="AY786" t="str">
            <v>tày</v>
          </cell>
        </row>
        <row r="787">
          <cell r="A787" t="str">
            <v>BV1283</v>
          </cell>
          <cell r="B787">
            <v>781</v>
          </cell>
          <cell r="C787" t="str">
            <v>Nguyễn Thu Thủy</v>
          </cell>
          <cell r="G787" t="str">
            <v>020197008599</v>
          </cell>
          <cell r="I787" t="str">
            <v>22/02/1997</v>
          </cell>
          <cell r="J787">
            <v>29</v>
          </cell>
          <cell r="K787" t="str">
            <v>020197008599</v>
          </cell>
          <cell r="L787" t="str">
            <v>29/12/2024</v>
          </cell>
          <cell r="M787" t="str">
            <v>Cục Cảnh sát quản lý hành chính về trật tự xã hội</v>
          </cell>
          <cell r="V787" t="str">
            <v>Xã Đồng Tân, huyện Hữu Lũng, tỉnh Lạng Sơn</v>
          </cell>
          <cell r="W787" t="str">
            <v>01/7/2024</v>
          </cell>
          <cell r="AA787">
            <v>0</v>
          </cell>
          <cell r="AC787" t="str">
            <v>Nhi</v>
          </cell>
          <cell r="AE787" t="str">
            <v>Viên chức</v>
          </cell>
          <cell r="AH787" t="str">
            <v>2.34</v>
          </cell>
          <cell r="AI787" t="str">
            <v>85% Bậc 1</v>
          </cell>
          <cell r="AK787">
            <v>45748</v>
          </cell>
          <cell r="AL787" t="str">
            <v>Đại học</v>
          </cell>
          <cell r="AM787" t="str">
            <v>Bác sĩ</v>
          </cell>
          <cell r="AY787" t="str">
            <v>kinh</v>
          </cell>
        </row>
        <row r="788">
          <cell r="A788" t="str">
            <v>BV1285</v>
          </cell>
          <cell r="B788">
            <v>782</v>
          </cell>
          <cell r="C788" t="str">
            <v>Hoàng Hải Yến</v>
          </cell>
          <cell r="G788" t="str">
            <v>020196008669</v>
          </cell>
          <cell r="I788" t="str">
            <v>16/12/1996</v>
          </cell>
          <cell r="J788">
            <v>29</v>
          </cell>
          <cell r="K788" t="str">
            <v>020196008669</v>
          </cell>
          <cell r="L788" t="str">
            <v>28/9/2021</v>
          </cell>
          <cell r="M788" t="str">
            <v>Cục Cảnh sát quản lý hành chính về trật tự xã hội</v>
          </cell>
          <cell r="V788" t="str">
            <v>Khối 8, phường Đông Kinh, TP. Lạng Sơn, tỉnh Lạng Sơn</v>
          </cell>
          <cell r="W788" t="str">
            <v>01/7/2024</v>
          </cell>
          <cell r="AA788">
            <v>0</v>
          </cell>
          <cell r="AC788" t="str">
            <v>Lão - CXK</v>
          </cell>
          <cell r="AE788" t="str">
            <v>Viên chức</v>
          </cell>
          <cell r="AH788" t="str">
            <v>2.34</v>
          </cell>
          <cell r="AI788">
            <v>1</v>
          </cell>
          <cell r="AK788">
            <v>45474</v>
          </cell>
          <cell r="AL788" t="str">
            <v>Đại học</v>
          </cell>
          <cell r="AM788" t="str">
            <v>Thạc sỹ</v>
          </cell>
          <cell r="AN788" t="str">
            <v>Nội khoa</v>
          </cell>
          <cell r="AY788" t="str">
            <v>tày</v>
          </cell>
        </row>
        <row r="789">
          <cell r="A789" t="str">
            <v>BV1288</v>
          </cell>
          <cell r="B789">
            <v>783</v>
          </cell>
          <cell r="C789" t="str">
            <v>Hoàng Thùy Ngân</v>
          </cell>
          <cell r="I789" t="str">
            <v>26/10/2000</v>
          </cell>
          <cell r="J789">
            <v>25</v>
          </cell>
          <cell r="K789" t="str">
            <v>020300005186</v>
          </cell>
          <cell r="L789" t="str">
            <v>11/8/2021</v>
          </cell>
          <cell r="M789" t="str">
            <v>Cục Cảnh sát quản lý hành chính về trật tự xã hội</v>
          </cell>
          <cell r="V789" t="str">
            <v>Thôn Nà Rào, xã Long Đống, huyện Bắc Sơn</v>
          </cell>
          <cell r="W789">
            <v>45540</v>
          </cell>
          <cell r="AA789">
            <v>0</v>
          </cell>
          <cell r="AC789" t="str">
            <v>Ngoại Thận - Tiết niệu</v>
          </cell>
          <cell r="AE789" t="str">
            <v>Viên chức</v>
          </cell>
          <cell r="AH789" t="str">
            <v>2.34</v>
          </cell>
          <cell r="AI789" t="str">
            <v>85% bậc 1</v>
          </cell>
          <cell r="AK789">
            <v>45905</v>
          </cell>
          <cell r="AL789" t="str">
            <v>Đại học</v>
          </cell>
          <cell r="AM789" t="str">
            <v>Điều dưỡng ĐH</v>
          </cell>
        </row>
        <row r="790">
          <cell r="A790" t="str">
            <v>BV1289</v>
          </cell>
          <cell r="B790">
            <v>784</v>
          </cell>
          <cell r="C790" t="str">
            <v>Nguyễn Nhật Hạ</v>
          </cell>
          <cell r="I790" t="str">
            <v>28/8/2002</v>
          </cell>
          <cell r="J790">
            <v>23</v>
          </cell>
          <cell r="K790" t="str">
            <v>020302000473</v>
          </cell>
          <cell r="L790">
            <v>44311</v>
          </cell>
          <cell r="M790" t="str">
            <v>Cục Cảnh sát quản lý hành chính về trật tự xã hội</v>
          </cell>
          <cell r="V790" t="str">
            <v>Khối phố Tân Thành, thị trấn Bình Gia, huyện Bình Gia, tỉnh Lạng Sơn</v>
          </cell>
          <cell r="W790">
            <v>45580</v>
          </cell>
          <cell r="AA790">
            <v>0</v>
          </cell>
          <cell r="AC790" t="str">
            <v>Lão - CXK</v>
          </cell>
          <cell r="AE790" t="str">
            <v>Viên chức</v>
          </cell>
          <cell r="AH790" t="str">
            <v>2.10</v>
          </cell>
          <cell r="AI790" t="str">
            <v>85% bậc 1</v>
          </cell>
          <cell r="AK790">
            <v>45853</v>
          </cell>
          <cell r="AL790" t="str">
            <v>Cao đẳng</v>
          </cell>
          <cell r="AM790" t="str">
            <v>Điều dưỡng CĐ</v>
          </cell>
        </row>
        <row r="791">
          <cell r="A791" t="str">
            <v>BV1292</v>
          </cell>
          <cell r="B791">
            <v>785</v>
          </cell>
          <cell r="C791" t="str">
            <v>Trần Thu Hà</v>
          </cell>
          <cell r="I791" t="str">
            <v>07/8/2003</v>
          </cell>
          <cell r="J791">
            <v>22</v>
          </cell>
          <cell r="K791" t="str">
            <v>020303006704</v>
          </cell>
          <cell r="L791" t="str">
            <v>12/6/2021</v>
          </cell>
          <cell r="M791" t="str">
            <v>Cục Cảnh sát quản lý hành chính về trật tự xã hội</v>
          </cell>
          <cell r="V791" t="str">
            <v>Xã Điểm He, huyện Văn Quan, tỉnh Lạng Sơn</v>
          </cell>
          <cell r="W791">
            <v>45597</v>
          </cell>
          <cell r="AA791">
            <v>0</v>
          </cell>
          <cell r="AC791" t="str">
            <v>HSTC-CĐ</v>
          </cell>
          <cell r="AE791" t="str">
            <v>HĐ có thời hạn</v>
          </cell>
          <cell r="AH791" t="str">
            <v>2.10</v>
          </cell>
          <cell r="AI791" t="str">
            <v>85% bậc 1</v>
          </cell>
          <cell r="AK791">
            <v>45870</v>
          </cell>
          <cell r="AL791" t="str">
            <v>Cao đẳng</v>
          </cell>
          <cell r="AM791" t="str">
            <v>Điều dưỡng CĐ</v>
          </cell>
        </row>
        <row r="792">
          <cell r="A792" t="str">
            <v>BV1291</v>
          </cell>
          <cell r="B792">
            <v>786</v>
          </cell>
          <cell r="C792" t="str">
            <v>Hoàng Tiến Hùng</v>
          </cell>
          <cell r="H792" t="str">
            <v>03/7/2003</v>
          </cell>
          <cell r="J792">
            <v>23</v>
          </cell>
          <cell r="K792" t="str">
            <v>020203001990</v>
          </cell>
          <cell r="L792" t="str">
            <v>16/4/2021</v>
          </cell>
          <cell r="M792" t="str">
            <v>Cục Cảnh sát quản lý hành chính về trật tự xã hội</v>
          </cell>
          <cell r="V792" t="str">
            <v>Xã Điểm He, huyện Văn Quan, tỉnh Lạng Sơn</v>
          </cell>
          <cell r="W792">
            <v>45597</v>
          </cell>
          <cell r="AA792">
            <v>0</v>
          </cell>
          <cell r="AC792" t="str">
            <v>Chấn thương - Bỏng</v>
          </cell>
          <cell r="AE792" t="str">
            <v>Viên chức</v>
          </cell>
          <cell r="AH792" t="str">
            <v>2.10</v>
          </cell>
          <cell r="AI792" t="str">
            <v>85% bậc 1</v>
          </cell>
          <cell r="AK792">
            <v>45870</v>
          </cell>
          <cell r="AL792" t="str">
            <v>Cao đẳng</v>
          </cell>
          <cell r="AM792" t="str">
            <v>Điều dưỡng CĐ</v>
          </cell>
        </row>
        <row r="793">
          <cell r="A793" t="str">
            <v>BV1293</v>
          </cell>
          <cell r="B793">
            <v>787</v>
          </cell>
          <cell r="C793" t="str">
            <v>Lý Hoàng Anh Tuấn</v>
          </cell>
          <cell r="H793" t="str">
            <v>23/01/2002</v>
          </cell>
          <cell r="J793">
            <v>24</v>
          </cell>
          <cell r="K793" t="str">
            <v>020202002533</v>
          </cell>
          <cell r="L793" t="str">
            <v>17/9/2021</v>
          </cell>
          <cell r="M793" t="str">
            <v>Cục Cảnh sát quản lý hành chính về trật tự xã hội</v>
          </cell>
          <cell r="V793" t="str">
            <v>Xã Thống Nhất, huyện Lộc Bình, tỉnh Lạng Sơn</v>
          </cell>
          <cell r="W793">
            <v>45597</v>
          </cell>
          <cell r="AA793" t="e">
            <v>#N/A</v>
          </cell>
          <cell r="AC793" t="e">
            <v>#N/A</v>
          </cell>
          <cell r="AE793" t="e">
            <v>#N/A</v>
          </cell>
          <cell r="AH793" t="str">
            <v>2.10</v>
          </cell>
          <cell r="AI793" t="str">
            <v>85% bậc 1</v>
          </cell>
          <cell r="AK793">
            <v>45870</v>
          </cell>
          <cell r="AL793" t="str">
            <v>Cao đẳng</v>
          </cell>
          <cell r="AM793" t="e">
            <v>#N/A</v>
          </cell>
        </row>
        <row r="794">
          <cell r="A794" t="str">
            <v>BV1294</v>
          </cell>
          <cell r="B794">
            <v>788</v>
          </cell>
          <cell r="C794" t="str">
            <v>Nông Hoa Cúc</v>
          </cell>
          <cell r="I794" t="str">
            <v>28/10/2003</v>
          </cell>
          <cell r="J794">
            <v>22</v>
          </cell>
          <cell r="K794" t="str">
            <v>020303002040</v>
          </cell>
          <cell r="L794" t="str">
            <v>25/4/2021</v>
          </cell>
          <cell r="M794" t="str">
            <v>Cục Cảnh sát quản lý hành chính về trật tự xã hội</v>
          </cell>
          <cell r="V794" t="str">
            <v>Xã Lợi Bác, huyện Lộc Bình, tỉnh Lạng Sơn</v>
          </cell>
          <cell r="W794">
            <v>45597</v>
          </cell>
          <cell r="AA794">
            <v>0</v>
          </cell>
          <cell r="AC794" t="str">
            <v>Ngoại Tiêu hóa</v>
          </cell>
          <cell r="AE794" t="str">
            <v>HĐ có thời hạn</v>
          </cell>
          <cell r="AH794" t="str">
            <v>2.10</v>
          </cell>
          <cell r="AI794" t="str">
            <v>85% bậc 1</v>
          </cell>
          <cell r="AK794">
            <v>45870</v>
          </cell>
          <cell r="AL794" t="str">
            <v>Cao đẳng</v>
          </cell>
          <cell r="AM794" t="str">
            <v>Điều dưỡng CĐ</v>
          </cell>
        </row>
        <row r="795">
          <cell r="A795" t="str">
            <v>BV1295</v>
          </cell>
          <cell r="B795">
            <v>789</v>
          </cell>
          <cell r="C795" t="str">
            <v>Hoàng Thị Mai</v>
          </cell>
          <cell r="I795" t="str">
            <v>07/10/1991</v>
          </cell>
          <cell r="J795">
            <v>34</v>
          </cell>
          <cell r="K795" t="str">
            <v>020191008463</v>
          </cell>
          <cell r="L795" t="str">
            <v>05/4/2022</v>
          </cell>
          <cell r="M795" t="str">
            <v>Cục Cảnh sát quản lý hành chính về trật tự xã hội</v>
          </cell>
          <cell r="V795" t="str">
            <v>Xã Hoàng Đồng, thành phố Lạng Sơn, tỉnh Lạng Sơn</v>
          </cell>
          <cell r="W795">
            <v>45597</v>
          </cell>
          <cell r="AA795">
            <v>0</v>
          </cell>
          <cell r="AC795" t="str">
            <v>Nội Tiêu hóa</v>
          </cell>
          <cell r="AE795" t="str">
            <v>Viên chức</v>
          </cell>
          <cell r="AH795" t="str">
            <v>2.10</v>
          </cell>
          <cell r="AI795" t="str">
            <v>85% bậc 1</v>
          </cell>
          <cell r="AK795">
            <v>45870</v>
          </cell>
          <cell r="AL795" t="str">
            <v>Cao đẳng</v>
          </cell>
          <cell r="AM795" t="str">
            <v>Điều dưỡng CĐ</v>
          </cell>
        </row>
        <row r="796">
          <cell r="A796" t="str">
            <v>BV1296</v>
          </cell>
          <cell r="B796">
            <v>790</v>
          </cell>
          <cell r="C796" t="str">
            <v>Hoàng Thị Năm</v>
          </cell>
          <cell r="I796" t="str">
            <v>03/11/2001</v>
          </cell>
          <cell r="J796">
            <v>24</v>
          </cell>
          <cell r="K796" t="str">
            <v>020301000202</v>
          </cell>
          <cell r="L796" t="str">
            <v>08/4/2021</v>
          </cell>
          <cell r="M796" t="str">
            <v>Cục Cảnh sát quản lý hành chính về trật tự xã hội</v>
          </cell>
          <cell r="V796" t="str">
            <v>Phường Chi Lăng, thành phố Lạng Sơn, tỉnh Lạng Sơn</v>
          </cell>
          <cell r="W796">
            <v>45597</v>
          </cell>
          <cell r="AA796">
            <v>0</v>
          </cell>
          <cell r="AC796" t="str">
            <v>Nội Tổng hợp</v>
          </cell>
          <cell r="AE796" t="str">
            <v>Viên chức</v>
          </cell>
          <cell r="AH796" t="str">
            <v>2.10</v>
          </cell>
          <cell r="AI796" t="str">
            <v>85% bậc 1</v>
          </cell>
          <cell r="AK796">
            <v>45870</v>
          </cell>
          <cell r="AL796" t="str">
            <v>Cao đẳng</v>
          </cell>
          <cell r="AM796" t="str">
            <v>Điều dưỡng CĐ</v>
          </cell>
        </row>
        <row r="797">
          <cell r="A797" t="str">
            <v>BV0897</v>
          </cell>
          <cell r="B797">
            <v>791</v>
          </cell>
          <cell r="C797" t="str">
            <v>Mông Thị Bích Thùy</v>
          </cell>
          <cell r="D797" t="str">
            <v>BV0897</v>
          </cell>
          <cell r="E797" t="str">
            <v>2020298236</v>
          </cell>
          <cell r="G797" t="str">
            <v xml:space="preserve">CCCD: 020197000299; Ngày cấp 10/04/2021; Nơi cấp: Cục trưởng cục cảnh sát quản lý hành chính về trật tự xã hội </v>
          </cell>
          <cell r="I797" t="str">
            <v>25/08/1997</v>
          </cell>
          <cell r="J797">
            <v>28</v>
          </cell>
          <cell r="K797" t="str">
            <v>082303682</v>
          </cell>
          <cell r="L797" t="str">
            <v>07/9/2013</v>
          </cell>
          <cell r="M797" t="str">
            <v>CA tỉnh Lạng Sơn</v>
          </cell>
          <cell r="O797" t="str">
            <v>Xã Hợp Thành, huyện Cao Lộc, tỉnh Lạng Sơn</v>
          </cell>
          <cell r="S797" t="str">
            <v>Xã Hợp Thành, huyện Cao Lộc, tỉnh Lạng Sơn</v>
          </cell>
          <cell r="V797" t="str">
            <v>Số 215 Văn Vỉ, phường Chi Lăng, thành phố Lạng Sơn</v>
          </cell>
          <cell r="W797" t="str">
            <v>17/4/2019</v>
          </cell>
          <cell r="AA797">
            <v>0</v>
          </cell>
          <cell r="AB797" t="str">
            <v>TĐ012</v>
          </cell>
          <cell r="AC797" t="str">
            <v>HSTC-CĐ</v>
          </cell>
          <cell r="AD797">
            <v>0</v>
          </cell>
          <cell r="AE797" t="str">
            <v>Viên chức</v>
          </cell>
          <cell r="AG797">
            <v>0</v>
          </cell>
          <cell r="AH797" t="e">
            <v>#N/A</v>
          </cell>
          <cell r="AI797" t="e">
            <v>#N/A</v>
          </cell>
          <cell r="AK797" t="e">
            <v>#N/A</v>
          </cell>
          <cell r="AL797" t="str">
            <v>Đại học</v>
          </cell>
          <cell r="AM797" t="str">
            <v>Điều dưỡng ĐH</v>
          </cell>
          <cell r="AO797" t="str">
            <v>CĐ y tế Lạng Sơn</v>
          </cell>
          <cell r="AQ797" t="str">
            <v>12/12</v>
          </cell>
          <cell r="AY797" t="str">
            <v>Tày</v>
          </cell>
        </row>
        <row r="798">
          <cell r="A798" t="str">
            <v>BV1326</v>
          </cell>
          <cell r="C798" t="str">
            <v>Nguyễn Thị Mừng</v>
          </cell>
          <cell r="D798" t="str">
            <v>BV1326</v>
          </cell>
          <cell r="I798" t="str">
            <v>17/10/1982</v>
          </cell>
          <cell r="J798">
            <v>43</v>
          </cell>
          <cell r="K798" t="str">
            <v>001183051164</v>
          </cell>
          <cell r="L798" t="str">
            <v>24/3/2023</v>
          </cell>
          <cell r="M798" t="str">
            <v>Cục Cảnh sát quản lý hành chính về trật tự xã hội</v>
          </cell>
          <cell r="V798" t="str">
            <v>Phường Đông Kinh, tỉnh Lạng Sơn</v>
          </cell>
          <cell r="W798">
            <v>45770</v>
          </cell>
          <cell r="AA798">
            <v>0</v>
          </cell>
          <cell r="AC798" t="str">
            <v>Kiểm soát nhiễm khuẩn</v>
          </cell>
          <cell r="AE798" t="str">
            <v>HĐ có thời hạn</v>
          </cell>
          <cell r="AH798" t="str">
            <v>1.54</v>
          </cell>
          <cell r="AI798">
            <v>4</v>
          </cell>
          <cell r="AK798">
            <v>45770</v>
          </cell>
          <cell r="AM798" t="str">
            <v>Nhân viên phục vụ</v>
          </cell>
        </row>
        <row r="799">
          <cell r="A799" t="str">
            <v>BV1324</v>
          </cell>
          <cell r="C799" t="str">
            <v>Nguyễn Thu Hương</v>
          </cell>
          <cell r="D799" t="str">
            <v>BV1324</v>
          </cell>
          <cell r="I799" t="str">
            <v>21/4/1995</v>
          </cell>
          <cell r="J799">
            <v>31</v>
          </cell>
          <cell r="K799" t="str">
            <v>020195004323</v>
          </cell>
          <cell r="L799" t="str">
            <v>09/05/2021</v>
          </cell>
          <cell r="M799" t="str">
            <v>Cục Cảnh sát quản lý hành chính về trật tự xã hội</v>
          </cell>
          <cell r="V799" t="str">
            <v>3/59, Đèo Giang, Khối Cửa Bắc, Phường Lương Văn Tri, tỉnh Lạng Sơn</v>
          </cell>
          <cell r="W799">
            <v>45839</v>
          </cell>
          <cell r="AA799">
            <v>0</v>
          </cell>
          <cell r="AC799" t="str">
            <v>Hành chính Quản trị</v>
          </cell>
          <cell r="AE799" t="str">
            <v>HĐ có thời hạn</v>
          </cell>
          <cell r="AH799">
            <v>2.34</v>
          </cell>
          <cell r="AI799">
            <v>1</v>
          </cell>
          <cell r="AK799">
            <v>45839</v>
          </cell>
          <cell r="AL799" t="str">
            <v>Đại học</v>
          </cell>
          <cell r="AM799" t="str">
            <v>Luật Kinh tế</v>
          </cell>
        </row>
        <row r="800">
          <cell r="A800" t="str">
            <v>BV1325</v>
          </cell>
          <cell r="C800" t="str">
            <v>Đặng Tuấn Phong</v>
          </cell>
          <cell r="D800" t="str">
            <v>BV1325</v>
          </cell>
          <cell r="H800" t="str">
            <v>06/03/1997</v>
          </cell>
          <cell r="J800">
            <v>29</v>
          </cell>
          <cell r="K800" t="str">
            <v>020097008691</v>
          </cell>
          <cell r="L800" t="str">
            <v>09/01/2022</v>
          </cell>
          <cell r="M800" t="str">
            <v>Cục Cảnh sát quản lý hành chính về trật tự xã hội</v>
          </cell>
          <cell r="V800" t="str">
            <v>146 Trần Hưng Đạo, phường Lương Văn Tri, tỉnh Lạng Sơn</v>
          </cell>
          <cell r="W800">
            <v>45854</v>
          </cell>
          <cell r="AA800">
            <v>0</v>
          </cell>
          <cell r="AC800" t="str">
            <v>Tâm thần - Thần kinh</v>
          </cell>
          <cell r="AE800" t="str">
            <v>Viên chức</v>
          </cell>
          <cell r="AH800" t="str">
            <v>2,10</v>
          </cell>
          <cell r="AI800" t="str">
            <v>85% bậc 1</v>
          </cell>
          <cell r="AK800">
            <v>46128</v>
          </cell>
          <cell r="AL800" t="str">
            <v>Cao đẳng</v>
          </cell>
          <cell r="AM800" t="str">
            <v>Điều dưỡng</v>
          </cell>
        </row>
        <row r="801">
          <cell r="A801" t="str">
            <v>BV1327</v>
          </cell>
          <cell r="C801" t="str">
            <v>Triệu Phương Huyền</v>
          </cell>
          <cell r="D801" t="str">
            <v>BV1327</v>
          </cell>
          <cell r="I801" t="str">
            <v>28/5/2001</v>
          </cell>
          <cell r="J801">
            <v>25</v>
          </cell>
          <cell r="K801" t="str">
            <v>020301006641</v>
          </cell>
          <cell r="L801" t="str">
            <v>04/6/2023</v>
          </cell>
          <cell r="M801" t="str">
            <v>Cục Cảnh sát quản lý hành chính về trật tự xã hội</v>
          </cell>
          <cell r="V801" t="str">
            <v>Số 39 ngõ 161 Bến Bắc, phường Tam Thanh, Lạng Sơn</v>
          </cell>
          <cell r="W801">
            <v>45894</v>
          </cell>
          <cell r="AA801">
            <v>0</v>
          </cell>
          <cell r="AC801" t="str">
            <v>Lão - Cơ xương khớp</v>
          </cell>
          <cell r="AE801" t="str">
            <v>Viên chức</v>
          </cell>
          <cell r="AH801" t="str">
            <v>2,10</v>
          </cell>
          <cell r="AI801" t="str">
            <v>85% bậc 1</v>
          </cell>
          <cell r="AK801">
            <v>46167</v>
          </cell>
          <cell r="AL801" t="str">
            <v>Cao đẳng</v>
          </cell>
          <cell r="AM801" t="str">
            <v>Điều dưỡng</v>
          </cell>
        </row>
        <row r="802">
          <cell r="A802" t="str">
            <v>BV1328</v>
          </cell>
          <cell r="C802" t="str">
            <v>Lành Văn Đông</v>
          </cell>
          <cell r="D802" t="str">
            <v>BV1328</v>
          </cell>
          <cell r="H802" t="str">
            <v>26/4/1987</v>
          </cell>
          <cell r="J802">
            <v>39</v>
          </cell>
          <cell r="K802" t="str">
            <v>020087013063</v>
          </cell>
          <cell r="L802" t="str">
            <v>16/09/2021</v>
          </cell>
          <cell r="M802" t="str">
            <v>Cục Cảnh sát quản lý hành chính về trật tự xã hội</v>
          </cell>
          <cell r="V802" t="str">
            <v>Thôn Hoàng Tâm, phường Tam Thanh, tỉnh Lạng Sơn</v>
          </cell>
          <cell r="W802">
            <v>45915</v>
          </cell>
          <cell r="AA802">
            <v>0</v>
          </cell>
          <cell r="AC802" t="str">
            <v>Ngoại Tiêu hoá</v>
          </cell>
          <cell r="AE802" t="str">
            <v>Viên chức</v>
          </cell>
          <cell r="AH802" t="str">
            <v>2,10</v>
          </cell>
          <cell r="AI802" t="str">
            <v>85% bậc 1</v>
          </cell>
          <cell r="AK802">
            <v>46188</v>
          </cell>
          <cell r="AL802" t="str">
            <v>Cao đẳng</v>
          </cell>
          <cell r="AM802" t="str">
            <v>Điều dưỡng</v>
          </cell>
        </row>
        <row r="803">
          <cell r="A803" t="str">
            <v>BV1329</v>
          </cell>
          <cell r="C803" t="str">
            <v>Chu Văn Bộ</v>
          </cell>
          <cell r="D803" t="str">
            <v>BV1329</v>
          </cell>
          <cell r="H803">
            <v>25492</v>
          </cell>
          <cell r="J803">
            <v>56</v>
          </cell>
          <cell r="K803" t="str">
            <v>020069005917</v>
          </cell>
          <cell r="L803" t="str">
            <v>25/5/2021</v>
          </cell>
          <cell r="M803" t="str">
            <v>Cục Cảnh sát quản lý hành chính về trật tự xã hội</v>
          </cell>
          <cell r="V803" t="str">
            <v>Khối 9, phường Đông Kinh, tỉnh Lạng Sơn</v>
          </cell>
          <cell r="W803">
            <v>45919</v>
          </cell>
          <cell r="AA803">
            <v>0</v>
          </cell>
          <cell r="AC803" t="str">
            <v>Hành chính Quản trị</v>
          </cell>
          <cell r="AE803" t="str">
            <v>HĐ có thời hạn</v>
          </cell>
          <cell r="AH803" t="e">
            <v>#N/A</v>
          </cell>
          <cell r="AI803" t="e">
            <v>#N/A</v>
          </cell>
          <cell r="AK803" t="e">
            <v>#N/A</v>
          </cell>
          <cell r="AL803" t="str">
            <v>Bảo vệ</v>
          </cell>
          <cell r="AM803" t="str">
            <v>Bảo vệ</v>
          </cell>
        </row>
        <row r="804">
          <cell r="A804" t="str">
            <v>BV1330</v>
          </cell>
          <cell r="C804" t="str">
            <v>Vi Thị Bình</v>
          </cell>
          <cell r="D804" t="str">
            <v>BV1330</v>
          </cell>
          <cell r="I804" t="str">
            <v>12/4/2003</v>
          </cell>
          <cell r="J804">
            <v>23</v>
          </cell>
          <cell r="K804" t="str">
            <v>020303003694</v>
          </cell>
          <cell r="L804" t="str">
            <v>09/5/2021</v>
          </cell>
          <cell r="M804" t="str">
            <v>Cục Cảnh sát quản lý hành chính về trật tự xã hội</v>
          </cell>
          <cell r="V804" t="str">
            <v>Thôn Nà Lầm, xã Chiến Thắng, tỉnh Lạng Sơn</v>
          </cell>
          <cell r="W804">
            <v>45922</v>
          </cell>
          <cell r="AA804">
            <v>0</v>
          </cell>
          <cell r="AC804" t="str">
            <v>Nội Tim mạch</v>
          </cell>
          <cell r="AE804" t="str">
            <v>HĐ có thời hạn</v>
          </cell>
          <cell r="AH804" t="str">
            <v>2,10</v>
          </cell>
          <cell r="AI804" t="str">
            <v>85% bậc 1</v>
          </cell>
          <cell r="AK804">
            <v>46195</v>
          </cell>
          <cell r="AL804" t="str">
            <v>Cao đẳng</v>
          </cell>
          <cell r="AM804" t="str">
            <v>Điều dưỡng</v>
          </cell>
        </row>
        <row r="805">
          <cell r="A805" t="str">
            <v>BV1331</v>
          </cell>
          <cell r="C805" t="str">
            <v>Hoàng Thị Thu Huyền</v>
          </cell>
          <cell r="D805" t="str">
            <v>BV1331</v>
          </cell>
          <cell r="I805" t="str">
            <v>12/02/1994</v>
          </cell>
          <cell r="J805">
            <v>32</v>
          </cell>
          <cell r="K805" t="str">
            <v>020194001591</v>
          </cell>
          <cell r="L805" t="str">
            <v>30/8/2021</v>
          </cell>
          <cell r="M805" t="str">
            <v>Cục Cảnh sát quản lý hành chính về trật tự xã hội</v>
          </cell>
          <cell r="V805" t="str">
            <v>Khối 11, phường Kỹ Lừa, tỉnh Lạng Sơn</v>
          </cell>
          <cell r="W805">
            <v>45931</v>
          </cell>
          <cell r="AA805">
            <v>0</v>
          </cell>
          <cell r="AC805" t="str">
            <v>Hoá sinh - Vi sinh</v>
          </cell>
          <cell r="AE805" t="str">
            <v>Viên chức</v>
          </cell>
          <cell r="AH805">
            <v>2.34</v>
          </cell>
          <cell r="AI805" t="str">
            <v>1</v>
          </cell>
          <cell r="AK805">
            <v>45931</v>
          </cell>
          <cell r="AL805" t="str">
            <v>Đại học</v>
          </cell>
          <cell r="AM805" t="str">
            <v>Kỹ thuật Xét nghiệm Y học</v>
          </cell>
        </row>
        <row r="806">
          <cell r="A806" t="str">
            <v>BV1332</v>
          </cell>
          <cell r="C806" t="str">
            <v>Dương Thị Thanh Ngọc</v>
          </cell>
          <cell r="D806" t="str">
            <v>BV1332</v>
          </cell>
          <cell r="I806" t="str">
            <v>20/4/2003</v>
          </cell>
          <cell r="J806">
            <v>23</v>
          </cell>
          <cell r="K806" t="str">
            <v>020303001599</v>
          </cell>
          <cell r="L806" t="str">
            <v>04/4/2003</v>
          </cell>
          <cell r="M806" t="str">
            <v>Cục Cảnh sát quản lý hành chính về trật tự xã hội</v>
          </cell>
          <cell r="V806" t="str">
            <v>Thôn Đông Đằng, Xã Bắc Sơn, Tỉnh Lạng Sơn</v>
          </cell>
          <cell r="W806">
            <v>45931</v>
          </cell>
          <cell r="AA806">
            <v>0</v>
          </cell>
          <cell r="AC806" t="str">
            <v>Hồi sức tích cực - Chống độc</v>
          </cell>
          <cell r="AE806" t="str">
            <v>Viên chức</v>
          </cell>
          <cell r="AH806">
            <v>2.34</v>
          </cell>
          <cell r="AI806" t="str">
            <v>Thời gian tập sự 12 tháng, hưởng 85% lương từ ngày 01/10/2025.</v>
          </cell>
          <cell r="AK806">
            <v>46296</v>
          </cell>
          <cell r="AL806" t="str">
            <v>Đại học</v>
          </cell>
          <cell r="AM806" t="str">
            <v>Điều dưỡng</v>
          </cell>
        </row>
        <row r="807">
          <cell r="A807" t="str">
            <v>BV1333</v>
          </cell>
          <cell r="C807" t="str">
            <v>Vy Thị Vâng</v>
          </cell>
          <cell r="D807" t="str">
            <v>BV1333</v>
          </cell>
          <cell r="I807" t="str">
            <v>29/05/1998</v>
          </cell>
          <cell r="J807">
            <v>28</v>
          </cell>
          <cell r="K807" t="str">
            <v>020198003237</v>
          </cell>
          <cell r="L807" t="str">
            <v>12/7/2021</v>
          </cell>
          <cell r="M807" t="str">
            <v>Cục Cảnh sát quản lý hành chính về trật tự xã hội</v>
          </cell>
          <cell r="V807" t="str">
            <v>Thôn Bách Hoá, xã Thiện Long, tỉnh Lạng Sơn</v>
          </cell>
          <cell r="W807">
            <v>45931</v>
          </cell>
          <cell r="AA807">
            <v>0</v>
          </cell>
          <cell r="AC807" t="str">
            <v>Nội Tiêu hóa</v>
          </cell>
          <cell r="AE807" t="str">
            <v>Viên chức</v>
          </cell>
          <cell r="AH807" t="str">
            <v>2,10</v>
          </cell>
          <cell r="AI807" t="str">
            <v>Thời gian tập sự 09 tháng, hưởng 85% lương từ ngày 01/10/2025.</v>
          </cell>
          <cell r="AK807">
            <v>46204</v>
          </cell>
          <cell r="AL807" t="str">
            <v>Cao đẳng</v>
          </cell>
          <cell r="AM807" t="str">
            <v>Điều dưỡng</v>
          </cell>
        </row>
        <row r="808">
          <cell r="A808" t="str">
            <v>BV1334</v>
          </cell>
          <cell r="C808" t="str">
            <v>Lưu Bảo Hoan</v>
          </cell>
          <cell r="D808" t="str">
            <v>BV1334</v>
          </cell>
          <cell r="H808" t="str">
            <v>21/7/1978</v>
          </cell>
          <cell r="J808">
            <v>47</v>
          </cell>
          <cell r="K808" t="str">
            <v>020078012316</v>
          </cell>
          <cell r="L808" t="str">
            <v>01/6/2021</v>
          </cell>
          <cell r="M808" t="str">
            <v>Cục Cảnh sát quản lý hành chính về trật tự xã hội</v>
          </cell>
          <cell r="V808" t="str">
            <v>Khối 7, phường Tam Tahnh, tỉnh Lạng Sơn</v>
          </cell>
          <cell r="W808">
            <v>45938</v>
          </cell>
          <cell r="AA808">
            <v>0</v>
          </cell>
          <cell r="AC808" t="str">
            <v>Hành chính Quản trị</v>
          </cell>
          <cell r="AE808" t="str">
            <v>HĐ có thời hạn</v>
          </cell>
          <cell r="AH808">
            <v>2.67</v>
          </cell>
          <cell r="AI808" t="str">
            <v>2</v>
          </cell>
          <cell r="AK808">
            <v>45938</v>
          </cell>
          <cell r="AL808" t="str">
            <v>Đại học</v>
          </cell>
          <cell r="AM808" t="str">
            <v>Xây dựng</v>
          </cell>
        </row>
        <row r="809">
          <cell r="A809" t="str">
            <v>BV1335</v>
          </cell>
          <cell r="C809" t="str">
            <v>Phương Xuân Bách</v>
          </cell>
          <cell r="D809" t="str">
            <v>BV1335</v>
          </cell>
          <cell r="H809" t="str">
            <v>15/10/1968</v>
          </cell>
          <cell r="J809">
            <v>57</v>
          </cell>
          <cell r="K809" t="str">
            <v>020068001242</v>
          </cell>
          <cell r="L809" t="str">
            <v>24/4/2021</v>
          </cell>
          <cell r="M809" t="str">
            <v>Cục Cảnh sát quản lý hành chính về trật tự xã hội</v>
          </cell>
          <cell r="V809" t="str">
            <v>Khối Đồi Chè, phường Tam Thanh, tỉnh Lạng Sơn</v>
          </cell>
          <cell r="W809">
            <v>45962</v>
          </cell>
          <cell r="AA809">
            <v>0</v>
          </cell>
          <cell r="AC809" t="str">
            <v>Hành chính Quản trị</v>
          </cell>
          <cell r="AE809" t="str">
            <v>HĐ có thời hạn</v>
          </cell>
          <cell r="AH809" t="e">
            <v>#N/A</v>
          </cell>
          <cell r="AI809" t="e">
            <v>#N/A</v>
          </cell>
          <cell r="AK809" t="e">
            <v>#N/A</v>
          </cell>
          <cell r="AM809" t="str">
            <v>Bảo vệ</v>
          </cell>
        </row>
        <row r="810">
          <cell r="A810" t="str">
            <v>BV1336</v>
          </cell>
          <cell r="C810" t="str">
            <v>Hoàng Quốc Khánh</v>
          </cell>
          <cell r="D810" t="str">
            <v>BV1336</v>
          </cell>
          <cell r="H810" t="str">
            <v>24/9/2000</v>
          </cell>
          <cell r="J810">
            <v>25</v>
          </cell>
          <cell r="K810" t="str">
            <v>020200006773</v>
          </cell>
          <cell r="L810" t="str">
            <v>20/3/2025</v>
          </cell>
          <cell r="M810" t="str">
            <v>Cục Cảnh sát quản lý hành chính về trật tự xã hội</v>
          </cell>
          <cell r="V810" t="str">
            <v>Xã Nan Dương, tỉnh Lạng Sơn</v>
          </cell>
          <cell r="W810">
            <v>45964</v>
          </cell>
          <cell r="AA810">
            <v>0</v>
          </cell>
          <cell r="AC810" t="str">
            <v>Cấp cứu</v>
          </cell>
          <cell r="AE810" t="str">
            <v>Viên chức</v>
          </cell>
          <cell r="AH810">
            <v>2.34</v>
          </cell>
          <cell r="AI810" t="str">
            <v>Thời gian tập sự 09 tháng, hưởng 85% lương từ ngày 03/11/2025 hết ngày 02/8/2026</v>
          </cell>
          <cell r="AK810">
            <v>46237</v>
          </cell>
          <cell r="AL810" t="str">
            <v>Đại học</v>
          </cell>
          <cell r="AM810" t="str">
            <v>Bác sĩ Y khoa</v>
          </cell>
        </row>
        <row r="811">
          <cell r="A811" t="str">
            <v>BV1337</v>
          </cell>
          <cell r="C811" t="str">
            <v>Liễu Thị Mẫn</v>
          </cell>
          <cell r="D811" t="str">
            <v>BV1337</v>
          </cell>
          <cell r="I811" t="str">
            <v>17/7/1999</v>
          </cell>
          <cell r="J811">
            <v>26</v>
          </cell>
          <cell r="K811" t="str">
            <v>020199005638</v>
          </cell>
          <cell r="L811" t="str">
            <v>21/8/2024</v>
          </cell>
          <cell r="M811" t="str">
            <v>Cục Cảnh sát quản lý hành chính về trật tự xã hội</v>
          </cell>
          <cell r="V811" t="str">
            <v>Thôn Phú Thịnh, xã Đồng Đăng, tỉnh Lạng Sơn</v>
          </cell>
          <cell r="W811">
            <v>45964</v>
          </cell>
          <cell r="AA811" t="e">
            <v>#N/A</v>
          </cell>
          <cell r="AC811" t="str">
            <v>Nội Thận - Tiết niệu - Lọc máu</v>
          </cell>
          <cell r="AE811" t="e">
            <v>#N/A</v>
          </cell>
          <cell r="AH811">
            <v>2.34</v>
          </cell>
          <cell r="AI811" t="str">
            <v>Thời gian tập sự 09 tháng, hưởng 85% lương từ ngày 03/11/2025</v>
          </cell>
          <cell r="AK811">
            <v>46237</v>
          </cell>
          <cell r="AL811" t="str">
            <v>Đại học</v>
          </cell>
          <cell r="AM811" t="str">
            <v>Bác sĩ Y khoa</v>
          </cell>
        </row>
        <row r="812">
          <cell r="A812" t="str">
            <v>BV1338</v>
          </cell>
          <cell r="C812" t="str">
            <v>Lương Duy Minh</v>
          </cell>
          <cell r="D812" t="str">
            <v>BV1338</v>
          </cell>
          <cell r="H812" t="str">
            <v>15/5/1997</v>
          </cell>
          <cell r="J812">
            <v>29</v>
          </cell>
          <cell r="K812" t="str">
            <v>020097005885</v>
          </cell>
          <cell r="L812" t="str">
            <v>09/5/2021</v>
          </cell>
          <cell r="M812" t="str">
            <v>Cục Cảnh sát quản lý hành chính về trật tự xã hội</v>
          </cell>
          <cell r="V812" t="str">
            <v>Số 136 Phai Vệ, phường Đông Kinh, tỉnh Lạng Sơn</v>
          </cell>
          <cell r="W812">
            <v>45964</v>
          </cell>
          <cell r="AA812">
            <v>0</v>
          </cell>
          <cell r="AC812" t="str">
            <v>Ngoại Thần kinh - Lồng ngực</v>
          </cell>
          <cell r="AE812" t="str">
            <v>HĐ có thời hạn</v>
          </cell>
          <cell r="AH812">
            <v>2.34</v>
          </cell>
          <cell r="AI812" t="str">
            <v>Thời gian tập sự 09 tháng, hưởng 85% lương từ ngày 03/11/2025</v>
          </cell>
          <cell r="AK812">
            <v>46237</v>
          </cell>
          <cell r="AL812" t="str">
            <v>Đại học</v>
          </cell>
          <cell r="AM812" t="str">
            <v>Bác sĩ Y khoa</v>
          </cell>
        </row>
        <row r="813">
          <cell r="A813" t="str">
            <v>BV1339</v>
          </cell>
          <cell r="C813" t="str">
            <v>Nguyễn Xuân Nam</v>
          </cell>
          <cell r="D813" t="str">
            <v>BV1339</v>
          </cell>
          <cell r="H813" t="str">
            <v>15/10/1998</v>
          </cell>
          <cell r="J813">
            <v>27</v>
          </cell>
          <cell r="K813" t="str">
            <v>024098008421</v>
          </cell>
          <cell r="L813" t="str">
            <v>19/9/2023</v>
          </cell>
          <cell r="M813" t="str">
            <v>Cục Cảnh sát quản lý hành chính về trật tự xã hội</v>
          </cell>
          <cell r="V813" t="str">
            <v>Phường Kỳ Lừa, tỉnh Lạng Sơn</v>
          </cell>
          <cell r="W813">
            <v>45964</v>
          </cell>
          <cell r="AA813">
            <v>0</v>
          </cell>
          <cell r="AC813" t="str">
            <v>Nhi</v>
          </cell>
          <cell r="AE813" t="str">
            <v>HĐ có thời hạn</v>
          </cell>
          <cell r="AH813">
            <v>2.34</v>
          </cell>
          <cell r="AI813" t="str">
            <v>Thời gian tập sự 09 tháng, hưởng 85% lương từ ngày 03/11/2025</v>
          </cell>
          <cell r="AK813">
            <v>46237</v>
          </cell>
          <cell r="AL813" t="str">
            <v>Đại học</v>
          </cell>
          <cell r="AM813" t="str">
            <v>Bác sĩ Y khoa</v>
          </cell>
        </row>
        <row r="814">
          <cell r="A814" t="str">
            <v>BV1340</v>
          </cell>
          <cell r="C814" t="str">
            <v>Trịnh Vân Trang</v>
          </cell>
          <cell r="D814" t="str">
            <v>BV1340</v>
          </cell>
          <cell r="I814" t="str">
            <v>7/2/1999</v>
          </cell>
          <cell r="J814">
            <v>27</v>
          </cell>
          <cell r="K814" t="str">
            <v>020199003451</v>
          </cell>
          <cell r="L814" t="str">
            <v>2/2/2024</v>
          </cell>
          <cell r="M814" t="str">
            <v>Cục Cảnh sát quản lý hành chính về trật tự xã hội</v>
          </cell>
          <cell r="V814" t="str">
            <v>phường Đông Kinh, tỉnh Lạng Sơn</v>
          </cell>
          <cell r="W814">
            <v>45964</v>
          </cell>
          <cell r="AA814">
            <v>0</v>
          </cell>
          <cell r="AC814" t="str">
            <v>Nội Tổng hợp</v>
          </cell>
          <cell r="AE814" t="str">
            <v>Viên chức</v>
          </cell>
          <cell r="AH814">
            <v>2.34</v>
          </cell>
          <cell r="AI814" t="str">
            <v>Thời gian tập sự 09 tháng, hưởng 85% lương từ ngày 03/11/2025</v>
          </cell>
          <cell r="AK814">
            <v>46237</v>
          </cell>
          <cell r="AL814" t="str">
            <v>Đại học</v>
          </cell>
          <cell r="AM814" t="str">
            <v>Bác sĩ Y khoa</v>
          </cell>
        </row>
        <row r="815">
          <cell r="A815" t="str">
            <v>BV1341</v>
          </cell>
          <cell r="C815" t="str">
            <v>Lâm Văn Lương</v>
          </cell>
          <cell r="D815" t="str">
            <v>BV1341</v>
          </cell>
          <cell r="I815" t="str">
            <v>28/02/1996</v>
          </cell>
          <cell r="J815">
            <v>30</v>
          </cell>
          <cell r="K815" t="str">
            <v>020096004522</v>
          </cell>
          <cell r="L815" t="str">
            <v>01/4/2022</v>
          </cell>
          <cell r="M815" t="str">
            <v>Cục Cảnh sát quản lý hành chính về trật tự xã hội</v>
          </cell>
          <cell r="V815" t="str">
            <v>Thôn Nà Thì, xã Thống Nhất, tỉnh Lạng Sơn</v>
          </cell>
          <cell r="W815">
            <v>45964</v>
          </cell>
          <cell r="AA815">
            <v>0</v>
          </cell>
          <cell r="AC815" t="str">
            <v>Chấn thương - Bỏng</v>
          </cell>
          <cell r="AE815" t="str">
            <v>HĐ có thời hạn</v>
          </cell>
          <cell r="AH815">
            <v>2.34</v>
          </cell>
          <cell r="AI815" t="str">
            <v>Thời gian tập sự 09 tháng, hưởng 85% lương từ ngày 03/11/2025</v>
          </cell>
          <cell r="AK815">
            <v>46237</v>
          </cell>
          <cell r="AL815" t="str">
            <v>Đại học</v>
          </cell>
          <cell r="AM815" t="str">
            <v>Bác sĩ Y khoa</v>
          </cell>
        </row>
        <row r="816">
          <cell r="A816" t="str">
            <v>BV1342</v>
          </cell>
          <cell r="C816" t="str">
            <v xml:space="preserve">Dương Thị Hương </v>
          </cell>
          <cell r="D816" t="str">
            <v>BV1342</v>
          </cell>
          <cell r="I816" t="str">
            <v>02/02/2000</v>
          </cell>
          <cell r="J816">
            <v>26</v>
          </cell>
          <cell r="K816" t="str">
            <v>020300003355</v>
          </cell>
          <cell r="L816" t="str">
            <v>28/01/2025</v>
          </cell>
          <cell r="M816" t="str">
            <v>Bộ Công an</v>
          </cell>
          <cell r="V816" t="str">
            <v>Thôn An Ninh, xã Hưng Vũ, tỉnh Lạng Sơn</v>
          </cell>
          <cell r="W816">
            <v>45964</v>
          </cell>
          <cell r="AA816">
            <v>0</v>
          </cell>
          <cell r="AC816" t="str">
            <v>Ngoại Tiêu hoá</v>
          </cell>
          <cell r="AE816" t="str">
            <v>Viên chức</v>
          </cell>
          <cell r="AH816" t="e">
            <v>#N/A</v>
          </cell>
          <cell r="AI816" t="e">
            <v>#N/A</v>
          </cell>
          <cell r="AK816" t="e">
            <v>#N/A</v>
          </cell>
          <cell r="AL816" t="str">
            <v>Cao đẳng</v>
          </cell>
          <cell r="AM816" t="str">
            <v>Điều dưỡng</v>
          </cell>
        </row>
        <row r="817">
          <cell r="A817" t="str">
            <v>BV1343</v>
          </cell>
          <cell r="C817" t="str">
            <v>Đặng Thị Minh Thu</v>
          </cell>
          <cell r="D817" t="str">
            <v>BV1343</v>
          </cell>
          <cell r="I817" t="str">
            <v>08/10/2004</v>
          </cell>
          <cell r="J817">
            <v>21</v>
          </cell>
          <cell r="K817" t="str">
            <v>020304003786</v>
          </cell>
          <cell r="L817" t="str">
            <v>17/12/2021</v>
          </cell>
          <cell r="M817" t="str">
            <v>Cục Cảnh sát quản lý hành chính về trật tự xã hội</v>
          </cell>
          <cell r="V817" t="str">
            <v>Xã Thống Nhất, tỉnh Lạng Sơn</v>
          </cell>
          <cell r="W817">
            <v>45964</v>
          </cell>
          <cell r="AA817">
            <v>0</v>
          </cell>
          <cell r="AC817" t="str">
            <v>Chấn thương - Bỏng</v>
          </cell>
          <cell r="AE817" t="str">
            <v>HĐ có thời hạn</v>
          </cell>
          <cell r="AH817" t="str">
            <v>2.10</v>
          </cell>
          <cell r="AI817" t="str">
            <v>Thời gian tập sự 09 tháng, hưởng 85% lương từ ngày 03/11/2025</v>
          </cell>
          <cell r="AK817">
            <v>46237</v>
          </cell>
          <cell r="AL817" t="str">
            <v>Cao đẳng</v>
          </cell>
          <cell r="AM817" t="str">
            <v>Điều dưỡng</v>
          </cell>
        </row>
        <row r="818">
          <cell r="A818" t="str">
            <v>BV1344</v>
          </cell>
          <cell r="C818" t="str">
            <v>Lương Thị Thùy</v>
          </cell>
          <cell r="D818" t="str">
            <v>BV1344</v>
          </cell>
          <cell r="I818" t="str">
            <v>25/01/2004</v>
          </cell>
          <cell r="J818">
            <v>22</v>
          </cell>
          <cell r="K818" t="str">
            <v>020304004565</v>
          </cell>
          <cell r="L818" t="str">
            <v>28/9/2021</v>
          </cell>
          <cell r="M818" t="str">
            <v>Cục Cảnh sát quản lý hành chính về trật tự xã hội</v>
          </cell>
          <cell r="V818" t="str">
            <v>Thôn Ngọc Quyến, xã Bình Gia, tỉnh Lạng Sơn</v>
          </cell>
          <cell r="W818">
            <v>45964</v>
          </cell>
          <cell r="AA818">
            <v>0</v>
          </cell>
          <cell r="AC818" t="str">
            <v>Chấn thương - Bỏng</v>
          </cell>
          <cell r="AE818" t="str">
            <v>Viên chức</v>
          </cell>
          <cell r="AH818" t="str">
            <v>2,10</v>
          </cell>
          <cell r="AI818" t="str">
            <v>Thời gian tập sự 09 tháng, hưởng 85% lương từ ngày 03/11/2025</v>
          </cell>
          <cell r="AK818">
            <v>46237</v>
          </cell>
          <cell r="AL818" t="str">
            <v>Cao đẳng</v>
          </cell>
          <cell r="AM818" t="str">
            <v>Điều dưỡng</v>
          </cell>
        </row>
        <row r="819">
          <cell r="A819" t="str">
            <v>BV1345</v>
          </cell>
          <cell r="C819" t="str">
            <v>Hoàng Thị Vân</v>
          </cell>
          <cell r="D819" t="str">
            <v>BV1345</v>
          </cell>
          <cell r="I819" t="str">
            <v>11/12/2004</v>
          </cell>
          <cell r="J819">
            <v>21</v>
          </cell>
          <cell r="K819" t="str">
            <v>020304001618</v>
          </cell>
          <cell r="L819" t="str">
            <v>28/4/2021</v>
          </cell>
          <cell r="M819" t="str">
            <v>Cục Cảnh sát quản lý hành chính về trật tự xã hội</v>
          </cell>
          <cell r="V819" t="str">
            <v>Thôn Bản Téng, xã Tri Lễ, tỉnh Lạng Sơn</v>
          </cell>
          <cell r="W819">
            <v>45964</v>
          </cell>
          <cell r="AA819">
            <v>0</v>
          </cell>
          <cell r="AC819" t="str">
            <v>Lão - Cơ xương khớp</v>
          </cell>
          <cell r="AE819" t="str">
            <v>HĐ có thời hạn</v>
          </cell>
          <cell r="AH819" t="str">
            <v>2.72</v>
          </cell>
          <cell r="AI819">
            <v>3</v>
          </cell>
          <cell r="AK819" t="str">
            <v>01/2/2026</v>
          </cell>
          <cell r="AL819" t="str">
            <v>Cao đẳng</v>
          </cell>
          <cell r="AM819" t="str">
            <v>Điều dưỡng</v>
          </cell>
        </row>
        <row r="820">
          <cell r="A820" t="str">
            <v>BV1346</v>
          </cell>
          <cell r="C820" t="str">
            <v>Hoàng Thị Thùy Linh</v>
          </cell>
          <cell r="D820" t="str">
            <v>BV1346</v>
          </cell>
          <cell r="I820" t="str">
            <v>04/03/2004</v>
          </cell>
          <cell r="J820">
            <v>22</v>
          </cell>
          <cell r="K820" t="str">
            <v>020304006133</v>
          </cell>
          <cell r="L820" t="str">
            <v>12/7/2021</v>
          </cell>
          <cell r="M820" t="str">
            <v>Cục Cảnh sát quản lý hành chính về trật tự xã hội</v>
          </cell>
          <cell r="V820" t="str">
            <v>Phường Kỳ Lừa, tỉnh Lạng Sơn</v>
          </cell>
          <cell r="W820">
            <v>45964</v>
          </cell>
          <cell r="AA820">
            <v>0</v>
          </cell>
          <cell r="AC820" t="str">
            <v>Hồi sức tích cực - Chống độc</v>
          </cell>
          <cell r="AE820" t="str">
            <v>HĐ có thời hạn</v>
          </cell>
          <cell r="AH820" t="str">
            <v>2,10</v>
          </cell>
          <cell r="AI820" t="str">
            <v>Thời gian tập sự 09 tháng, hưởng 85% lương từ ngày 03/11/2025</v>
          </cell>
          <cell r="AK820">
            <v>46237</v>
          </cell>
          <cell r="AL820" t="str">
            <v>Cao đẳng</v>
          </cell>
          <cell r="AM820" t="str">
            <v>Điều dưỡng</v>
          </cell>
        </row>
        <row r="821">
          <cell r="A821" t="str">
            <v>BV1347</v>
          </cell>
          <cell r="C821" t="str">
            <v>Hoàng Khánh Vinh</v>
          </cell>
          <cell r="D821" t="str">
            <v>BV1347</v>
          </cell>
          <cell r="I821" t="str">
            <v>07/11/2002</v>
          </cell>
          <cell r="J821">
            <v>23</v>
          </cell>
          <cell r="K821" t="str">
            <v>020202004024</v>
          </cell>
          <cell r="L821" t="str">
            <v>28/6/2022</v>
          </cell>
          <cell r="M821" t="str">
            <v>Cục Cảnh sát quản lý hành chính về trật tự xã hội</v>
          </cell>
          <cell r="V821" t="str">
            <v>Thôn Pò Pheo, xã Na Sầm, tỉnh Lạng Sơn</v>
          </cell>
          <cell r="W821">
            <v>45964</v>
          </cell>
          <cell r="AA821">
            <v>0</v>
          </cell>
          <cell r="AC821" t="str">
            <v>Cấp cứu</v>
          </cell>
          <cell r="AE821" t="str">
            <v>Viên chức</v>
          </cell>
          <cell r="AH821" t="str">
            <v>2,10</v>
          </cell>
          <cell r="AI821" t="str">
            <v>Thời gian tập sự 09 tháng, hưởng 85% lương từ ngày 03/11/2025</v>
          </cell>
          <cell r="AK821">
            <v>46237</v>
          </cell>
          <cell r="AL821" t="str">
            <v>Cao đẳng</v>
          </cell>
          <cell r="AM821" t="str">
            <v>Điều dưỡng</v>
          </cell>
        </row>
        <row r="822">
          <cell r="A822" t="str">
            <v>BV1348</v>
          </cell>
          <cell r="C822" t="str">
            <v>Hoàng Văn Thân</v>
          </cell>
          <cell r="D822" t="str">
            <v>BV1348</v>
          </cell>
          <cell r="H822" t="str">
            <v>11/3/2004</v>
          </cell>
          <cell r="J822">
            <v>22</v>
          </cell>
          <cell r="K822" t="str">
            <v>020204000751</v>
          </cell>
          <cell r="L822" t="str">
            <v>29/03/2021</v>
          </cell>
          <cell r="M822" t="str">
            <v>Cục Cảnh sát quản lý hành chính về trật tự xã hội</v>
          </cell>
          <cell r="V822" t="str">
            <v>Thôn Hồng Phong 1, xã Vũ Lễ, tỉnh Lạng Sơn</v>
          </cell>
          <cell r="W822">
            <v>45964</v>
          </cell>
          <cell r="AA822">
            <v>0</v>
          </cell>
          <cell r="AC822" t="str">
            <v>Hồi sức tích cực - Chống độc</v>
          </cell>
          <cell r="AE822" t="str">
            <v>Viên chức</v>
          </cell>
          <cell r="AH822">
            <v>2.1</v>
          </cell>
          <cell r="AI822" t="str">
            <v>85% bậc 1</v>
          </cell>
          <cell r="AK822">
            <v>46237</v>
          </cell>
          <cell r="AL822" t="str">
            <v>Cao đẳng</v>
          </cell>
          <cell r="AM822" t="str">
            <v>Điều dưỡng</v>
          </cell>
        </row>
        <row r="823">
          <cell r="A823" t="str">
            <v>BV1349</v>
          </cell>
          <cell r="C823" t="str">
            <v>Nguyễn Thị Hương</v>
          </cell>
          <cell r="D823" t="str">
            <v>BV1349</v>
          </cell>
          <cell r="I823" t="str">
            <v>12/02/2001</v>
          </cell>
          <cell r="J823">
            <v>25</v>
          </cell>
          <cell r="K823" t="str">
            <v>020301004545</v>
          </cell>
          <cell r="L823" t="str">
            <v>27/6/2021</v>
          </cell>
          <cell r="M823" t="str">
            <v>Cục Cảnh sát quản lý hành chính về trật tự xã hội</v>
          </cell>
          <cell r="V823" t="str">
            <v>Thôn Tân Yên, Xã Hữu Liên, tỉnh Lạng Sơn</v>
          </cell>
          <cell r="W823">
            <v>45950</v>
          </cell>
          <cell r="AA823" t="e">
            <v>#N/A</v>
          </cell>
          <cell r="AC823" t="str">
            <v>Ngoại Thận - Tiết niệu</v>
          </cell>
          <cell r="AE823" t="e">
            <v>#N/A</v>
          </cell>
          <cell r="AH823" t="str">
            <v>2,10</v>
          </cell>
          <cell r="AI823" t="str">
            <v>Thời gian tập sự 09 tháng, hưởng 85% lương từ ngày 20/10/2025</v>
          </cell>
          <cell r="AK823">
            <v>46223</v>
          </cell>
          <cell r="AL823" t="str">
            <v>Cao đẳng</v>
          </cell>
          <cell r="AM823" t="str">
            <v>Điều dưỡng</v>
          </cell>
        </row>
        <row r="824">
          <cell r="A824" t="str">
            <v>BV1350</v>
          </cell>
          <cell r="C824" t="str">
            <v>Hoàng Thị Phương Dung</v>
          </cell>
          <cell r="D824" t="str">
            <v>BV1350</v>
          </cell>
          <cell r="I824" t="str">
            <v>24/9/2004</v>
          </cell>
          <cell r="J824">
            <v>21</v>
          </cell>
          <cell r="K824" t="str">
            <v>020304000733</v>
          </cell>
          <cell r="L824" t="str">
            <v>14/8/2021</v>
          </cell>
          <cell r="M824" t="str">
            <v>Cục Cảnh sát quản lý hành chính về trật tự xã hội</v>
          </cell>
          <cell r="V824" t="str">
            <v xml:space="preserve">Thôn Pò Đứa - Pò Mỏ, phường Đông Kinh, tỉnh Lạng Sơn </v>
          </cell>
          <cell r="W824">
            <v>45964</v>
          </cell>
          <cell r="AA824">
            <v>0</v>
          </cell>
          <cell r="AC824" t="str">
            <v>Chấn thương - Bỏng</v>
          </cell>
          <cell r="AE824" t="str">
            <v>HĐ có thời hạn</v>
          </cell>
          <cell r="AH824" t="str">
            <v>2,10</v>
          </cell>
          <cell r="AI824" t="str">
            <v>Thời gian tập sự 09 tháng, hưởng 85% lương từ ngày 03/11/2025</v>
          </cell>
          <cell r="AK824">
            <v>46237</v>
          </cell>
          <cell r="AL824" t="str">
            <v>Cao đẳng</v>
          </cell>
          <cell r="AM824" t="str">
            <v>Điều dưỡng</v>
          </cell>
        </row>
        <row r="825">
          <cell r="A825" t="str">
            <v>BV1351</v>
          </cell>
          <cell r="C825" t="str">
            <v>Hoàng Thùy Linh</v>
          </cell>
          <cell r="D825" t="str">
            <v>BV1351</v>
          </cell>
          <cell r="I825" t="str">
            <v>16/11/2000</v>
          </cell>
          <cell r="J825">
            <v>25</v>
          </cell>
          <cell r="K825" t="str">
            <v>020300006879</v>
          </cell>
          <cell r="L825" t="str">
            <v>27/7/2022</v>
          </cell>
          <cell r="M825" t="str">
            <v>Cục Cảnh sát quản lý hành chính về trật tự xã hội</v>
          </cell>
          <cell r="V825" t="str">
            <v>số 53 Thác Mạ 7,Phường Đông Kinh, tỉnh Lạng Sơn</v>
          </cell>
          <cell r="W825">
            <v>45971</v>
          </cell>
          <cell r="AA825">
            <v>0</v>
          </cell>
          <cell r="AC825" t="str">
            <v>Hồi sức tích cực - Chống độc</v>
          </cell>
          <cell r="AE825" t="str">
            <v>Viên chức</v>
          </cell>
          <cell r="AH825" t="e">
            <v>#N/A</v>
          </cell>
          <cell r="AI825" t="e">
            <v>#N/A</v>
          </cell>
          <cell r="AK825" t="e">
            <v>#N/A</v>
          </cell>
          <cell r="AL825" t="str">
            <v>Đại học</v>
          </cell>
          <cell r="AM825" t="str">
            <v>Bác sĩ Y khoa</v>
          </cell>
        </row>
        <row r="826">
          <cell r="A826" t="str">
            <v>BV1352</v>
          </cell>
          <cell r="C826" t="str">
            <v>Hoàng Thị Kim Ngân</v>
          </cell>
          <cell r="D826" t="str">
            <v>BV1352</v>
          </cell>
          <cell r="I826" t="str">
            <v>01/03/2002</v>
          </cell>
          <cell r="J826">
            <v>24</v>
          </cell>
          <cell r="K826" t="str">
            <v>020302000732</v>
          </cell>
          <cell r="L826" t="str">
            <v>31/01/2023</v>
          </cell>
          <cell r="M826" t="str">
            <v>Cục Cảnh sát quản lý hành chính về trật tự xã hội</v>
          </cell>
          <cell r="V826" t="str">
            <v>Thôn Ra Lá, xã Bắc Sơn, tỉnh Lạng Sơn</v>
          </cell>
          <cell r="W826">
            <v>45972</v>
          </cell>
          <cell r="AA826">
            <v>0</v>
          </cell>
          <cell r="AC826" t="str">
            <v>Hồi sức tích cực - Chống độc</v>
          </cell>
          <cell r="AE826" t="str">
            <v>HĐ có thời hạn</v>
          </cell>
          <cell r="AH826">
            <v>2.34</v>
          </cell>
          <cell r="AI826" t="str">
            <v>85% bậc 1</v>
          </cell>
          <cell r="AK826">
            <v>46337</v>
          </cell>
          <cell r="AL826" t="str">
            <v>Đại học</v>
          </cell>
          <cell r="AM826" t="str">
            <v>Điều dưỡng</v>
          </cell>
        </row>
        <row r="827">
          <cell r="A827" t="str">
            <v>BV1353</v>
          </cell>
          <cell r="C827" t="str">
            <v>Nguyễn Thị Định</v>
          </cell>
          <cell r="D827" t="str">
            <v>BV1353</v>
          </cell>
          <cell r="I827" t="str">
            <v>23/10/1995</v>
          </cell>
          <cell r="J827">
            <v>30</v>
          </cell>
          <cell r="K827" t="str">
            <v>027195008291</v>
          </cell>
          <cell r="L827" t="str">
            <v>18/11/2021</v>
          </cell>
          <cell r="M827" t="str">
            <v>Cục Cảnh sát quản lý hành chính về trật tự xã hội</v>
          </cell>
          <cell r="V827" t="str">
            <v>Thôn Đồng Thủy, xã Tân Thành, tỉnh Lạng Sơn</v>
          </cell>
          <cell r="W827">
            <v>45972</v>
          </cell>
          <cell r="AA827">
            <v>0</v>
          </cell>
          <cell r="AC827" t="str">
            <v>Cấp cứu</v>
          </cell>
          <cell r="AE827" t="str">
            <v>Viên chức</v>
          </cell>
          <cell r="AH827">
            <v>2.1</v>
          </cell>
          <cell r="AI827">
            <v>1</v>
          </cell>
          <cell r="AK827">
            <v>45972</v>
          </cell>
          <cell r="AL827" t="str">
            <v>Cao đẳng</v>
          </cell>
          <cell r="AM827" t="str">
            <v>Điều dưỡng</v>
          </cell>
        </row>
        <row r="828">
          <cell r="A828" t="str">
            <v>BV1354</v>
          </cell>
          <cell r="C828" t="str">
            <v>Nguyễn Sơn Tùng</v>
          </cell>
          <cell r="D828" t="str">
            <v>BV1354</v>
          </cell>
          <cell r="H828" t="str">
            <v>30/5/2000</v>
          </cell>
          <cell r="J828">
            <v>26</v>
          </cell>
          <cell r="K828" t="str">
            <v>020200006452</v>
          </cell>
          <cell r="L828" t="str">
            <v>11/6/2023</v>
          </cell>
          <cell r="M828" t="str">
            <v>Cục Cảnh sát quản lý hành chính về trật tự xã hội</v>
          </cell>
          <cell r="V828" t="str">
            <v>Số 27 ngõ 247 đường Lê Lợi, phường Đông Kinh, tỉnh Lạng Sơn</v>
          </cell>
          <cell r="W828">
            <v>45978</v>
          </cell>
          <cell r="AA828">
            <v>0</v>
          </cell>
          <cell r="AC828" t="str">
            <v>Nội Tim mạch</v>
          </cell>
          <cell r="AE828" t="str">
            <v>Viên chức</v>
          </cell>
          <cell r="AH828">
            <v>2.34</v>
          </cell>
          <cell r="AI828" t="str">
            <v>85% bậc 1</v>
          </cell>
          <cell r="AK828">
            <v>46251</v>
          </cell>
          <cell r="AL828" t="str">
            <v>Đại học</v>
          </cell>
          <cell r="AM828" t="str">
            <v>Bác sĩ Y khoa</v>
          </cell>
        </row>
        <row r="829">
          <cell r="A829" t="str">
            <v>BV1355</v>
          </cell>
          <cell r="C829" t="str">
            <v>Vi Thu Hường</v>
          </cell>
          <cell r="D829" t="str">
            <v>BV1355</v>
          </cell>
          <cell r="I829" t="str">
            <v>26/12/2003</v>
          </cell>
          <cell r="J829">
            <v>22</v>
          </cell>
          <cell r="K829" t="str">
            <v>020303001218</v>
          </cell>
          <cell r="L829" t="str">
            <v>01/4/2021</v>
          </cell>
          <cell r="M829" t="str">
            <v>Cục Cảnh sát quản lý hành chính về trật tự xã hội</v>
          </cell>
          <cell r="V829" t="str">
            <v>Thôn làng trung, xã Chi Lăng, tỉnh Lạng Sơn</v>
          </cell>
          <cell r="W829">
            <v>45985</v>
          </cell>
          <cell r="AA829">
            <v>0</v>
          </cell>
          <cell r="AC829" t="str">
            <v>Cấp cứu</v>
          </cell>
          <cell r="AE829" t="str">
            <v>HĐ có thời hạn</v>
          </cell>
          <cell r="AH829">
            <v>2.1</v>
          </cell>
          <cell r="AI829" t="str">
            <v>85% bậc 1</v>
          </cell>
          <cell r="AK829">
            <v>46258</v>
          </cell>
          <cell r="AL829" t="str">
            <v>Cao đẳng</v>
          </cell>
          <cell r="AM829" t="str">
            <v>Điều dưỡng</v>
          </cell>
        </row>
        <row r="830">
          <cell r="A830" t="str">
            <v>BV1356</v>
          </cell>
          <cell r="C830" t="str">
            <v>Nguyễn Mai Hương</v>
          </cell>
          <cell r="D830" t="str">
            <v>BV1356</v>
          </cell>
          <cell r="I830" t="str">
            <v>09/08/2002</v>
          </cell>
          <cell r="J830">
            <v>23</v>
          </cell>
          <cell r="K830" t="str">
            <v>020302007536</v>
          </cell>
          <cell r="L830" t="str">
            <v>10/5/2021</v>
          </cell>
          <cell r="M830" t="str">
            <v>Cục Cảnh sát quản lý hành chính về trật tự xã hội</v>
          </cell>
          <cell r="V830" t="str">
            <v>Khối Cửa Bắc, phường Lương Văn Tri, tỉnh Lạng Sơn</v>
          </cell>
          <cell r="W830">
            <v>45992</v>
          </cell>
          <cell r="AA830">
            <v>0</v>
          </cell>
          <cell r="AC830" t="str">
            <v>Dược</v>
          </cell>
          <cell r="AE830" t="str">
            <v>Viên chức</v>
          </cell>
          <cell r="AH830">
            <v>2.34</v>
          </cell>
          <cell r="AI830" t="str">
            <v>85% bậc 1</v>
          </cell>
          <cell r="AK830">
            <v>46357</v>
          </cell>
          <cell r="AL830" t="str">
            <v>Đại học</v>
          </cell>
          <cell r="AM830" t="str">
            <v>Dược</v>
          </cell>
        </row>
        <row r="831">
          <cell r="A831" t="str">
            <v>BV1357</v>
          </cell>
          <cell r="C831" t="str">
            <v>Nguyễn Thiên Trang</v>
          </cell>
          <cell r="D831" t="str">
            <v>BV1357</v>
          </cell>
          <cell r="I831" t="str">
            <v>24/11/1991</v>
          </cell>
          <cell r="J831">
            <v>34</v>
          </cell>
          <cell r="K831" t="str">
            <v>082191008250</v>
          </cell>
          <cell r="L831" t="str">
            <v>09/5/2021</v>
          </cell>
          <cell r="M831" t="str">
            <v>Cục Cảnh sát quản lý hành chính về trật tự xã hội</v>
          </cell>
          <cell r="V831" t="str">
            <v>Số 185 Trần Quang Khải, phường Lương Văn Tri, tỉnh Lạng Sơn</v>
          </cell>
          <cell r="W831">
            <v>45992</v>
          </cell>
          <cell r="AA831">
            <v>0</v>
          </cell>
          <cell r="AC831" t="str">
            <v>Dược</v>
          </cell>
          <cell r="AE831" t="str">
            <v>Viên chức</v>
          </cell>
          <cell r="AH831">
            <v>2.1</v>
          </cell>
          <cell r="AI831" t="str">
            <v>85% bậc 1</v>
          </cell>
          <cell r="AK831">
            <v>46266</v>
          </cell>
          <cell r="AL831" t="str">
            <v>Cao đẳng</v>
          </cell>
          <cell r="AM831" t="str">
            <v>Dược</v>
          </cell>
        </row>
        <row r="832">
          <cell r="A832" t="str">
            <v>BV1314</v>
          </cell>
          <cell r="C832" t="str">
            <v>Triệu Thị Hồng Nhung</v>
          </cell>
          <cell r="D832" t="str">
            <v>BV1314</v>
          </cell>
          <cell r="I832" t="str">
            <v>23/3/2003</v>
          </cell>
          <cell r="J832">
            <v>23</v>
          </cell>
          <cell r="K832" t="str">
            <v>020303006368</v>
          </cell>
          <cell r="L832" t="str">
            <v>14/08/2021</v>
          </cell>
          <cell r="M832" t="str">
            <v>Cục Cảnh sát quản lý hành chính về trật tự xã hội</v>
          </cell>
          <cell r="V832" t="str">
            <v>Thôn Khuổi Sả Xã Đoàn Kết Tỉnh Lạng Sơn</v>
          </cell>
          <cell r="W832">
            <v>45783</v>
          </cell>
          <cell r="AA832">
            <v>0</v>
          </cell>
          <cell r="AC832" t="str">
            <v>Cấp cứu</v>
          </cell>
          <cell r="AE832" t="str">
            <v>HĐ có thời hạn</v>
          </cell>
          <cell r="AH832" t="str">
            <v>2.10</v>
          </cell>
          <cell r="AI832" t="str">
            <v>85% bậc 1</v>
          </cell>
          <cell r="AK832">
            <v>46059</v>
          </cell>
          <cell r="AL832" t="str">
            <v>Cao đẳng</v>
          </cell>
          <cell r="AM832" t="str">
            <v>Điều dưỡng</v>
          </cell>
        </row>
        <row r="833">
          <cell r="A833" t="str">
            <v>BV1303</v>
          </cell>
          <cell r="C833" t="str">
            <v>Nông Thị Tình</v>
          </cell>
          <cell r="D833" t="str">
            <v>BV1303</v>
          </cell>
          <cell r="I833" t="str">
            <v>12/12/2001</v>
          </cell>
          <cell r="J833">
            <v>24</v>
          </cell>
          <cell r="K833" t="str">
            <v>020301006277</v>
          </cell>
          <cell r="L833" t="str">
            <v>22/09/2021</v>
          </cell>
          <cell r="M833" t="str">
            <v>Cục Cảnh sát quản lý hành chính về trật tự xã hội</v>
          </cell>
          <cell r="V833" t="str">
            <v>Thôn Lũng Cải, xã Tú Xuyên, huyện Văn Quan, tỉnh Lạng Sơn</v>
          </cell>
          <cell r="W833">
            <v>45339</v>
          </cell>
          <cell r="AA833" t="e">
            <v>#N/A</v>
          </cell>
          <cell r="AC833" t="str">
            <v>Hồi sức Tích cực - Chống độc</v>
          </cell>
          <cell r="AE833" t="e">
            <v>#N/A</v>
          </cell>
          <cell r="AH833" t="str">
            <v>2.34</v>
          </cell>
          <cell r="AI833" t="str">
            <v>85% Bậc 1</v>
          </cell>
          <cell r="AK833">
            <v>45705</v>
          </cell>
          <cell r="AL833" t="str">
            <v>Đại học</v>
          </cell>
          <cell r="AM833" t="str">
            <v>Điều dưỡng</v>
          </cell>
        </row>
        <row r="834">
          <cell r="A834" t="str">
            <v>BV1317</v>
          </cell>
          <cell r="C834" t="str">
            <v>Lục Thị Thanh Mai</v>
          </cell>
          <cell r="D834" t="str">
            <v>BV1317</v>
          </cell>
          <cell r="I834" t="str">
            <v>1/7/1995</v>
          </cell>
          <cell r="J834">
            <v>31</v>
          </cell>
          <cell r="K834" t="str">
            <v>020195004599</v>
          </cell>
          <cell r="L834" t="str">
            <v>09/05/2021</v>
          </cell>
          <cell r="M834" t="str">
            <v>Cục Cảnh sát quản lý hành chính về trật tự xã hội</v>
          </cell>
          <cell r="V834" t="str">
            <v>Khối 4   - Phường Đông Kinh  - Tỉnh Lạng Sơn</v>
          </cell>
          <cell r="W834">
            <v>45783</v>
          </cell>
          <cell r="AA834">
            <v>0</v>
          </cell>
          <cell r="AC834" t="str">
            <v xml:space="preserve">Ung bướu - Y học hạt nhân </v>
          </cell>
          <cell r="AE834" t="str">
            <v>HĐ có thời hạn</v>
          </cell>
          <cell r="AH834" t="str">
            <v>2.34</v>
          </cell>
          <cell r="AI834">
            <v>1</v>
          </cell>
          <cell r="AK834">
            <v>45783</v>
          </cell>
          <cell r="AL834" t="str">
            <v>Đại học</v>
          </cell>
          <cell r="AM834" t="str">
            <v>Điều dưỡng</v>
          </cell>
        </row>
        <row r="835">
          <cell r="A835" t="str">
            <v>BV1304</v>
          </cell>
          <cell r="C835" t="str">
            <v>Trương Thị Thanh Giang</v>
          </cell>
          <cell r="D835" t="str">
            <v>BV1304</v>
          </cell>
          <cell r="I835" t="str">
            <v>05/09/2003</v>
          </cell>
          <cell r="J835">
            <v>22</v>
          </cell>
          <cell r="K835" t="str">
            <v>020303007961</v>
          </cell>
          <cell r="L835" t="str">
            <v>25/08/2021</v>
          </cell>
          <cell r="M835" t="str">
            <v>Cục Cảnh sát quản lý hành chính về trật tự xã hội</v>
          </cell>
          <cell r="V835" t="str">
            <v>Xã Hoà Lạc, huyện Hữu Lũng, tỉnh Lạng Sơn</v>
          </cell>
          <cell r="W835">
            <v>45698</v>
          </cell>
          <cell r="AA835">
            <v>0</v>
          </cell>
          <cell r="AC835" t="str">
            <v>Chấn thương - Bỏng</v>
          </cell>
          <cell r="AE835" t="str">
            <v>Viên chức</v>
          </cell>
          <cell r="AH835" t="str">
            <v>2.10</v>
          </cell>
          <cell r="AI835" t="str">
            <v>85% Bậc 1</v>
          </cell>
          <cell r="AK835">
            <v>45971</v>
          </cell>
          <cell r="AL835" t="str">
            <v>Cao đẳng</v>
          </cell>
          <cell r="AM835" t="str">
            <v>Điều dưỡng</v>
          </cell>
        </row>
        <row r="836">
          <cell r="A836" t="str">
            <v>BV1315</v>
          </cell>
          <cell r="C836" t="str">
            <v>Hoàng Thị Hương Lan</v>
          </cell>
          <cell r="D836" t="str">
            <v>BV1315</v>
          </cell>
          <cell r="I836" t="str">
            <v>26/7/2000</v>
          </cell>
          <cell r="J836">
            <v>25</v>
          </cell>
          <cell r="K836" t="str">
            <v>020300000631</v>
          </cell>
          <cell r="L836" t="str">
            <v>11/4/2021</v>
          </cell>
          <cell r="M836" t="str">
            <v>Cục Cảnh sát quản lý hành chính về trật tự xã hội</v>
          </cell>
          <cell r="V836" t="str">
            <v>Bản Viển, Xã Tam Thanh, Tỉnh Lạng Sơn</v>
          </cell>
          <cell r="W836">
            <v>45783</v>
          </cell>
          <cell r="AA836" t="e">
            <v>#N/A</v>
          </cell>
          <cell r="AC836" t="str">
            <v>Nội Tổng hợp</v>
          </cell>
          <cell r="AE836" t="e">
            <v>#N/A</v>
          </cell>
          <cell r="AH836" t="str">
            <v>2.10</v>
          </cell>
          <cell r="AI836">
            <v>1</v>
          </cell>
          <cell r="AK836">
            <v>45783</v>
          </cell>
          <cell r="AL836" t="str">
            <v>Cao đẳng</v>
          </cell>
          <cell r="AM836" t="str">
            <v>Điều dưỡng</v>
          </cell>
        </row>
        <row r="837">
          <cell r="A837" t="str">
            <v>BV1312</v>
          </cell>
          <cell r="C837" t="str">
            <v>Dương Thị Duyên</v>
          </cell>
          <cell r="D837" t="str">
            <v>BV1312</v>
          </cell>
          <cell r="I837" t="str">
            <v>19/02/2003</v>
          </cell>
          <cell r="J837">
            <v>23</v>
          </cell>
          <cell r="K837" t="str">
            <v>020303001535</v>
          </cell>
          <cell r="L837" t="str">
            <v>04/04/2021</v>
          </cell>
          <cell r="M837" t="str">
            <v>Cục Cảnh sát quản lý hành chính về trật tự xã hội</v>
          </cell>
          <cell r="V837" t="str">
            <v>số nhà 32, ngõ 2, đường Nguyễn Đình Chiểu, phường Đông Kinh, tỉnh Lạng Sơn</v>
          </cell>
          <cell r="W837">
            <v>45783</v>
          </cell>
          <cell r="AA837">
            <v>0</v>
          </cell>
          <cell r="AC837" t="str">
            <v>Nội Tiêu hóa</v>
          </cell>
          <cell r="AE837" t="str">
            <v>Viên chức</v>
          </cell>
          <cell r="AH837" t="str">
            <v>2.10</v>
          </cell>
          <cell r="AI837" t="str">
            <v>85% bậc 1</v>
          </cell>
          <cell r="AK837">
            <v>46059</v>
          </cell>
          <cell r="AL837" t="str">
            <v>Cao đẳng</v>
          </cell>
          <cell r="AM837" t="str">
            <v>Điều dưỡng</v>
          </cell>
        </row>
        <row r="838">
          <cell r="A838" t="str">
            <v>BV1321</v>
          </cell>
          <cell r="C838" t="str">
            <v>Nguyễn Thị Hồng</v>
          </cell>
          <cell r="D838" t="str">
            <v>BV1321</v>
          </cell>
          <cell r="I838" t="str">
            <v>26/01/2000</v>
          </cell>
          <cell r="J838">
            <v>26</v>
          </cell>
          <cell r="K838" t="str">
            <v>020300007395</v>
          </cell>
          <cell r="L838" t="str">
            <v>08/01/2025</v>
          </cell>
          <cell r="M838" t="str">
            <v>Cục Cảnh sát quản lý hành chính về trật tự xã hội</v>
          </cell>
          <cell r="V838" t="str">
            <v>Thôn Khau Đắng Xã Khánh Khê Tỉnh Lạng Sơn</v>
          </cell>
          <cell r="W838">
            <v>45810</v>
          </cell>
          <cell r="AA838">
            <v>0</v>
          </cell>
          <cell r="AC838" t="str">
            <v>Ngoại Thận - Tiết niệu</v>
          </cell>
          <cell r="AE838" t="str">
            <v>HĐ có thời hạn</v>
          </cell>
          <cell r="AH838" t="str">
            <v>2.10</v>
          </cell>
          <cell r="AI838" t="str">
            <v>85% bậc 1</v>
          </cell>
          <cell r="AK838">
            <v>46059</v>
          </cell>
          <cell r="AL838" t="str">
            <v>Cao đẳng</v>
          </cell>
          <cell r="AM838" t="str">
            <v>Điều dưỡng</v>
          </cell>
        </row>
        <row r="839">
          <cell r="A839" t="str">
            <v>BV1309</v>
          </cell>
          <cell r="C839" t="str">
            <v>Hoàng Thị Hương</v>
          </cell>
          <cell r="D839" t="str">
            <v>BV1309</v>
          </cell>
          <cell r="I839" t="str">
            <v>16/6/1975</v>
          </cell>
          <cell r="J839">
            <v>51</v>
          </cell>
          <cell r="K839" t="str">
            <v>020175000553</v>
          </cell>
          <cell r="L839" t="str">
            <v>07/4/2021</v>
          </cell>
          <cell r="M839" t="str">
            <v>Cục Cảnh sát quản lý hành chính về trật tự xã hội</v>
          </cell>
          <cell r="V839" t="str">
            <v>Số 248 khu Bản Kho, thị trấn Lộc Bình, tỉnh Lạng Sơn</v>
          </cell>
          <cell r="W839">
            <v>45748</v>
          </cell>
          <cell r="AA839">
            <v>0</v>
          </cell>
          <cell r="AC839" t="str">
            <v>Ngoại Thận - Tiết niệu</v>
          </cell>
          <cell r="AE839" t="str">
            <v>HĐ có thời hạn</v>
          </cell>
          <cell r="AH839">
            <v>1.65</v>
          </cell>
          <cell r="AI839">
            <v>1</v>
          </cell>
          <cell r="AK839">
            <v>45689</v>
          </cell>
          <cell r="AM839" t="str">
            <v>Hộ lý </v>
          </cell>
        </row>
        <row r="840">
          <cell r="A840" t="str">
            <v>BV1300</v>
          </cell>
          <cell r="C840" t="str">
            <v>Phan Thị Xuân</v>
          </cell>
          <cell r="D840" t="str">
            <v>BV1300</v>
          </cell>
          <cell r="I840" t="str">
            <v>21/5/1999</v>
          </cell>
          <cell r="J840">
            <v>27</v>
          </cell>
          <cell r="K840" t="str">
            <v>020199005155</v>
          </cell>
          <cell r="L840" t="str">
            <v>27/5/2024</v>
          </cell>
          <cell r="M840" t="str">
            <v>Cục Cảnh sát quản lý hành chính về trật tự xã hội</v>
          </cell>
          <cell r="V840" t="str">
            <v>Thôn Kéo Tào, xã Hợp Thành, huyện Cao Lộc, TP Lạng Sơn</v>
          </cell>
          <cell r="W840">
            <v>45698</v>
          </cell>
          <cell r="AA840">
            <v>0</v>
          </cell>
          <cell r="AC840" t="str">
            <v>Ngoại Tiêu hoá</v>
          </cell>
          <cell r="AE840" t="str">
            <v>HĐ có thời hạn</v>
          </cell>
          <cell r="AH840" t="str">
            <v>2.34</v>
          </cell>
          <cell r="AI840">
            <v>1</v>
          </cell>
          <cell r="AK840">
            <v>45698</v>
          </cell>
          <cell r="AL840" t="str">
            <v>Đại học</v>
          </cell>
          <cell r="AM840" t="str">
            <v>Điều dưỡng</v>
          </cell>
        </row>
        <row r="841">
          <cell r="A841" t="str">
            <v>BV1301</v>
          </cell>
          <cell r="C841" t="str">
            <v>Hoàng Mùi Nảy</v>
          </cell>
          <cell r="D841" t="str">
            <v>BV1301</v>
          </cell>
          <cell r="I841" t="str">
            <v>20/02/2000</v>
          </cell>
          <cell r="J841">
            <v>26</v>
          </cell>
          <cell r="K841" t="str">
            <v>020300003798</v>
          </cell>
          <cell r="L841" t="str">
            <v>27/6/2021</v>
          </cell>
          <cell r="M841" t="str">
            <v>Cục Cảnh sát quản lý hành chính về trật tự xã hội</v>
          </cell>
          <cell r="V841" t="str">
            <v>Thôn Ngàn Pặc, xã Công Sơn huyện Cao Lộc, tỉnh Lạng Sơn</v>
          </cell>
          <cell r="W841">
            <v>45673</v>
          </cell>
          <cell r="AA841">
            <v>0</v>
          </cell>
          <cell r="AC841" t="str">
            <v>Ngoại Tiêu hoá</v>
          </cell>
          <cell r="AE841" t="str">
            <v>HĐ có thời hạn</v>
          </cell>
          <cell r="AH841" t="str">
            <v>2.10</v>
          </cell>
          <cell r="AI841" t="str">
            <v>85% Bậc 1</v>
          </cell>
          <cell r="AK841">
            <v>45932</v>
          </cell>
          <cell r="AL841" t="str">
            <v>Cao đẳng</v>
          </cell>
          <cell r="AM841" t="str">
            <v>Điều dưỡng</v>
          </cell>
        </row>
        <row r="842">
          <cell r="A842" t="str">
            <v>BV1234</v>
          </cell>
          <cell r="C842" t="str">
            <v>Vũ Hoàng Mai Linh</v>
          </cell>
          <cell r="D842" t="str">
            <v>BV1234</v>
          </cell>
          <cell r="I842" t="str">
            <v>25/02/1998</v>
          </cell>
          <cell r="J842">
            <v>28</v>
          </cell>
          <cell r="K842" t="str">
            <v>020198006454</v>
          </cell>
          <cell r="L842" t="str">
            <v>09/3/2023</v>
          </cell>
          <cell r="M842" t="str">
            <v>Cục Cảnh sát quản lý hành chính về trật tự xã hội</v>
          </cell>
          <cell r="V842" t="str">
            <v>91, Trần Quang Khải, phường Chi Lăng, TP Lạng Sơn, tỉnh Lạng Sơn</v>
          </cell>
          <cell r="W842">
            <v>45047</v>
          </cell>
          <cell r="AA842">
            <v>0</v>
          </cell>
          <cell r="AC842" t="str">
            <v>Chấn thương - Bỏng</v>
          </cell>
          <cell r="AE842" t="str">
            <v>Viên chức</v>
          </cell>
          <cell r="AH842" t="e">
            <v>#N/A</v>
          </cell>
          <cell r="AI842" t="e">
            <v>#N/A</v>
          </cell>
          <cell r="AK842" t="e">
            <v>#N/A</v>
          </cell>
          <cell r="AL842" t="str">
            <v>Bác sĩ đa khoa</v>
          </cell>
          <cell r="AM842" t="str">
            <v>Bác sĩ đa khoa</v>
          </cell>
        </row>
        <row r="843">
          <cell r="A843" t="str">
            <v>BV1320</v>
          </cell>
          <cell r="C843" t="str">
            <v>Nguyễn Thị Thu</v>
          </cell>
          <cell r="D843" t="str">
            <v>BV1320</v>
          </cell>
          <cell r="I843" t="str">
            <v>10/2/1996</v>
          </cell>
          <cell r="J843">
            <v>30</v>
          </cell>
          <cell r="K843" t="str">
            <v>027196010687</v>
          </cell>
          <cell r="L843" t="str">
            <v>12/9/2022</v>
          </cell>
          <cell r="M843" t="str">
            <v>Cục Cảnh sát quản lý hành chính về trật tự xã hội</v>
          </cell>
          <cell r="V843" t="str">
            <v>50 ngõ 6 đường Văn Miếu, phường Lương Văn Chi, tỉnh Lạng Sơn</v>
          </cell>
          <cell r="W843">
            <v>45810</v>
          </cell>
          <cell r="AA843">
            <v>0</v>
          </cell>
          <cell r="AC843" t="str">
            <v>Chấn thương - Bỏng</v>
          </cell>
          <cell r="AE843" t="str">
            <v>Viên chức</v>
          </cell>
          <cell r="AH843" t="str">
            <v>2.10</v>
          </cell>
          <cell r="AI843" t="str">
            <v>85% bậc 1</v>
          </cell>
          <cell r="AK843">
            <v>46059</v>
          </cell>
          <cell r="AL843" t="str">
            <v>Cao đẳng</v>
          </cell>
          <cell r="AM843" t="str">
            <v>Điều dưỡng</v>
          </cell>
        </row>
        <row r="844">
          <cell r="A844" t="str">
            <v>BV1302</v>
          </cell>
          <cell r="C844" t="str">
            <v>Nguyễn Thị Thảo</v>
          </cell>
          <cell r="D844" t="str">
            <v>BV1302</v>
          </cell>
          <cell r="I844" t="str">
            <v>30/01/1997</v>
          </cell>
          <cell r="J844">
            <v>29</v>
          </cell>
          <cell r="K844" t="str">
            <v>020197003727</v>
          </cell>
          <cell r="L844" t="str">
            <v>11/08/2021</v>
          </cell>
          <cell r="M844" t="str">
            <v>Cục Cảnh sát quản lý hành chính về trật tự xã hội</v>
          </cell>
          <cell r="V844" t="str">
            <v>Thôn Còn Quyền, xã Đồng Đăng, tỉnh Lạng Sơn</v>
          </cell>
          <cell r="W844">
            <v>45339</v>
          </cell>
          <cell r="AA844">
            <v>0</v>
          </cell>
          <cell r="AC844" t="str">
            <v>Ngoại Thần kinh - Lồng ngực</v>
          </cell>
          <cell r="AE844" t="str">
            <v>Viên chức</v>
          </cell>
          <cell r="AH844" t="str">
            <v>2.10</v>
          </cell>
          <cell r="AI844" t="str">
            <v>85% Bậc 1</v>
          </cell>
          <cell r="AK844">
            <v>45978</v>
          </cell>
          <cell r="AL844" t="str">
            <v>Cao đẳng</v>
          </cell>
          <cell r="AM844" t="str">
            <v>Điều dưỡng</v>
          </cell>
        </row>
        <row r="845">
          <cell r="A845" t="str">
            <v>BV1155</v>
          </cell>
          <cell r="C845" t="str">
            <v>Nguyễn Thị Quỳnh Hương</v>
          </cell>
          <cell r="D845" t="str">
            <v>BV1155</v>
          </cell>
          <cell r="I845" t="str">
            <v>15/7/1996</v>
          </cell>
          <cell r="J845">
            <v>29</v>
          </cell>
          <cell r="K845" t="str">
            <v>020196007438</v>
          </cell>
          <cell r="L845" t="str">
            <v xml:space="preserve"> 28/9/2021 </v>
          </cell>
          <cell r="M845" t="str">
            <v>Cục Cảnh sát quản lý hành chính về trật tự xã hội</v>
          </cell>
          <cell r="V845" t="str">
            <v>Số nhà 12/38 đường Mỹ Sơn, khối 8, phường Vĩnh Trại, TP Lạng Sơn</v>
          </cell>
          <cell r="W845">
            <v>45691</v>
          </cell>
          <cell r="AA845">
            <v>0</v>
          </cell>
          <cell r="AC845" t="str">
            <v>Truyền nhiễm</v>
          </cell>
          <cell r="AE845" t="str">
            <v>Viên chức</v>
          </cell>
          <cell r="AH845" t="e">
            <v>#N/A</v>
          </cell>
          <cell r="AI845" t="e">
            <v>#N/A</v>
          </cell>
          <cell r="AK845" t="e">
            <v>#N/A</v>
          </cell>
          <cell r="AL845" t="str">
            <v>Bác sĩ đa khoa</v>
          </cell>
          <cell r="AM845" t="str">
            <v>Bác sĩ đa khoa</v>
          </cell>
        </row>
        <row r="846">
          <cell r="A846" t="str">
            <v>BV1310</v>
          </cell>
          <cell r="C846" t="str">
            <v>Đường Ngọc Châm</v>
          </cell>
          <cell r="D846" t="str">
            <v>BV1310</v>
          </cell>
          <cell r="I846" t="str">
            <v>25/2/1995</v>
          </cell>
          <cell r="J846">
            <v>31</v>
          </cell>
          <cell r="K846" t="str">
            <v>020195010566</v>
          </cell>
          <cell r="L846" t="str">
            <v>11/11/2022</v>
          </cell>
          <cell r="M846" t="str">
            <v>Cục Cảnh sát quản lý hành chính về trật tự xã hội</v>
          </cell>
          <cell r="V846" t="str">
            <v>Thôn Pò Cại, Phường Kỳ Lừa, Tỉnh Lạng Sơn</v>
          </cell>
          <cell r="W846">
            <v>45783</v>
          </cell>
          <cell r="AA846">
            <v>0</v>
          </cell>
          <cell r="AC846" t="str">
            <v>Truyền nhiễm</v>
          </cell>
          <cell r="AE846" t="str">
            <v>Viên chức</v>
          </cell>
          <cell r="AH846" t="str">
            <v>2.34</v>
          </cell>
          <cell r="AI846">
            <v>1</v>
          </cell>
          <cell r="AK846">
            <v>45783</v>
          </cell>
          <cell r="AL846" t="str">
            <v>Đại học</v>
          </cell>
          <cell r="AM846" t="str">
            <v>Bác sĩ Y khoa</v>
          </cell>
        </row>
        <row r="847">
          <cell r="A847" t="str">
            <v>BV1316</v>
          </cell>
          <cell r="C847" t="str">
            <v>Lâm Thị Kim Liên</v>
          </cell>
          <cell r="D847" t="str">
            <v>BV1316</v>
          </cell>
          <cell r="I847" t="str">
            <v>26/3/2002</v>
          </cell>
          <cell r="J847">
            <v>24</v>
          </cell>
          <cell r="K847" t="str">
            <v>020302006447</v>
          </cell>
          <cell r="L847" t="str">
            <v>28/09/2021</v>
          </cell>
          <cell r="M847" t="str">
            <v>Cục Cảnh sát quản lý hành chính về trật tự xã hội</v>
          </cell>
          <cell r="V847" t="str">
            <v>Thôn Pản Pẻn, Xã Hồng Phong, Tỉnh Lạng Sơn</v>
          </cell>
          <cell r="W847">
            <v>45783</v>
          </cell>
          <cell r="AA847">
            <v>0</v>
          </cell>
          <cell r="AC847" t="str">
            <v>Truyền nhiễm</v>
          </cell>
          <cell r="AE847" t="str">
            <v>Viên chức</v>
          </cell>
          <cell r="AH847" t="str">
            <v>2.10</v>
          </cell>
          <cell r="AI847" t="str">
            <v>85% bậc 1</v>
          </cell>
          <cell r="AK847">
            <v>46059</v>
          </cell>
          <cell r="AL847" t="str">
            <v>Cao đẳng</v>
          </cell>
          <cell r="AM847" t="str">
            <v>Điều dưỡng</v>
          </cell>
        </row>
        <row r="848">
          <cell r="A848" t="str">
            <v>BV1299</v>
          </cell>
          <cell r="C848" t="str">
            <v>Lương Thị Phương Linh</v>
          </cell>
          <cell r="D848" t="str">
            <v>BV1299</v>
          </cell>
          <cell r="I848" t="str">
            <v>20/09/1998</v>
          </cell>
          <cell r="J848">
            <v>27</v>
          </cell>
          <cell r="K848" t="str">
            <v>020198000972</v>
          </cell>
          <cell r="L848" t="str">
            <v>13/09/2023</v>
          </cell>
          <cell r="M848" t="str">
            <v>Cục Cảnh sát quản lý hành chính về trật tự xã hội</v>
          </cell>
          <cell r="V848" t="str">
            <v>Số nhà 43 đường Bông Lau , tổ 3 khối 14 phường Hoàng Văn Thụ , Thành phố lạng sơn</v>
          </cell>
          <cell r="W848">
            <v>45673</v>
          </cell>
          <cell r="AA848">
            <v>0</v>
          </cell>
          <cell r="AC848" t="str">
            <v>Dược</v>
          </cell>
          <cell r="AE848" t="str">
            <v>Viên chức</v>
          </cell>
          <cell r="AH848" t="str">
            <v>2.10</v>
          </cell>
          <cell r="AI848">
            <v>1</v>
          </cell>
          <cell r="AK848">
            <v>45932</v>
          </cell>
          <cell r="AL848" t="str">
            <v>Cao đẳng</v>
          </cell>
          <cell r="AM848" t="str">
            <v>Dược</v>
          </cell>
        </row>
        <row r="849">
          <cell r="A849" t="str">
            <v>BV1319</v>
          </cell>
          <cell r="C849" t="str">
            <v>Đặng Phương Thảo</v>
          </cell>
          <cell r="D849" t="str">
            <v>BV1319</v>
          </cell>
          <cell r="I849" t="str">
            <v>12/1/2001</v>
          </cell>
          <cell r="J849">
            <v>25</v>
          </cell>
          <cell r="K849" t="str">
            <v>030301014212</v>
          </cell>
          <cell r="L849" t="str">
            <v>08/07/2022</v>
          </cell>
          <cell r="M849" t="str">
            <v>Cục Cảnh sát quản lý hành chính về trật tự xã hội</v>
          </cell>
          <cell r="V849" t="str">
            <v>Tân Lập, phường Đông Kinh, Tỉnh Lạng Sơn</v>
          </cell>
          <cell r="W849">
            <v>45783</v>
          </cell>
          <cell r="AA849">
            <v>0</v>
          </cell>
          <cell r="AC849" t="str">
            <v>Huyết học - Truyền máu</v>
          </cell>
          <cell r="AE849" t="str">
            <v>HĐ có thời hạn</v>
          </cell>
          <cell r="AH849" t="str">
            <v>2.34</v>
          </cell>
          <cell r="AI849" t="str">
            <v>85% bậc 1</v>
          </cell>
          <cell r="AK849">
            <v>46148</v>
          </cell>
          <cell r="AL849" t="str">
            <v>Đại học</v>
          </cell>
          <cell r="AM849" t="str">
            <v>kỹ thuật xét nghiệm y học</v>
          </cell>
        </row>
        <row r="850">
          <cell r="A850" t="str">
            <v>BV1214</v>
          </cell>
          <cell r="C850" t="str">
            <v>Phạm Quốc Khánh</v>
          </cell>
          <cell r="D850" t="str">
            <v>BV1214</v>
          </cell>
          <cell r="H850">
            <v>35397</v>
          </cell>
          <cell r="J850">
            <v>29</v>
          </cell>
          <cell r="K850" t="str">
            <v>020096003142</v>
          </cell>
          <cell r="L850" t="str">
            <v>13/2/2022</v>
          </cell>
          <cell r="M850" t="str">
            <v>Cục Cảnh sát quản lý hành chính về trật tự xã hội</v>
          </cell>
          <cell r="V850" t="str">
            <v>Thị trấn Bình Gia, huyện Bình Gia, tỉnh Lạng Sơn</v>
          </cell>
          <cell r="W850">
            <v>45698</v>
          </cell>
          <cell r="AA850">
            <v>0</v>
          </cell>
          <cell r="AC850" t="str">
            <v>Chẩn đoán hình ảnh</v>
          </cell>
          <cell r="AE850" t="str">
            <v>HĐ có thời hạn</v>
          </cell>
          <cell r="AH850" t="str">
            <v>2.34</v>
          </cell>
          <cell r="AI850">
            <v>1</v>
          </cell>
          <cell r="AK850">
            <v>45698</v>
          </cell>
          <cell r="AL850" t="str">
            <v>Đại học</v>
          </cell>
          <cell r="AM850" t="str">
            <v>Bác sĩ y khoa</v>
          </cell>
        </row>
        <row r="851">
          <cell r="A851" t="str">
            <v>BV1311</v>
          </cell>
          <cell r="C851" t="str">
            <v>Nguyễn Quang Duy</v>
          </cell>
          <cell r="D851" t="str">
            <v>BV1311</v>
          </cell>
          <cell r="H851" t="str">
            <v>29/11/2002</v>
          </cell>
          <cell r="J851">
            <v>23</v>
          </cell>
          <cell r="K851" t="str">
            <v>020202007126</v>
          </cell>
          <cell r="L851" t="str">
            <v>31/05/2021</v>
          </cell>
          <cell r="M851" t="str">
            <v>Cục Cảnh sát quản lý hành chính về trật tự xã hội</v>
          </cell>
          <cell r="V851" t="str">
            <v>Thôn Đoàn Kết, xã Chi Lăng, tỉnh Lạng Sơn</v>
          </cell>
          <cell r="W851">
            <v>45783</v>
          </cell>
          <cell r="AA851" t="e">
            <v>#N/A</v>
          </cell>
          <cell r="AC851" t="str">
            <v>Chẩn đoán hình ảnh</v>
          </cell>
          <cell r="AE851" t="e">
            <v>#N/A</v>
          </cell>
          <cell r="AH851" t="str">
            <v>2.10</v>
          </cell>
          <cell r="AI851" t="str">
            <v>85% bậc 1</v>
          </cell>
          <cell r="AK851">
            <v>46059</v>
          </cell>
          <cell r="AL851" t="str">
            <v>Cao đẳng</v>
          </cell>
          <cell r="AM851" t="str">
            <v>Kỹ thuật hình ảnh Y học</v>
          </cell>
        </row>
        <row r="852">
          <cell r="A852" t="str">
            <v>BV1323</v>
          </cell>
          <cell r="C852" t="str">
            <v>Nguyễn Thị Ngọc Anh</v>
          </cell>
          <cell r="D852" t="str">
            <v>BV1323</v>
          </cell>
          <cell r="I852" t="str">
            <v>22/9/2001</v>
          </cell>
          <cell r="J852">
            <v>24</v>
          </cell>
          <cell r="K852" t="str">
            <v>020301004621</v>
          </cell>
          <cell r="L852" t="str">
            <v>26/8/2022</v>
          </cell>
          <cell r="M852" t="str">
            <v>Cục Cảnh sát quản lý hành chính về trật tự xã hội</v>
          </cell>
          <cell r="V852" t="str">
            <v>Khối 2, phường Đông Kinh, tỉnh Lạng Sơn</v>
          </cell>
          <cell r="W852">
            <v>45810</v>
          </cell>
          <cell r="AA852">
            <v>0</v>
          </cell>
          <cell r="AC852" t="str">
            <v>Kiểm soát nhiễm khuẩn</v>
          </cell>
          <cell r="AE852" t="str">
            <v>Viên chức</v>
          </cell>
          <cell r="AH852" t="str">
            <v>2.34</v>
          </cell>
          <cell r="AI852" t="str">
            <v>85% bậc 1</v>
          </cell>
          <cell r="AK852">
            <v>46148</v>
          </cell>
          <cell r="AL852" t="str">
            <v>Đại học</v>
          </cell>
          <cell r="AM852" t="str">
            <v>Y tế công cộng</v>
          </cell>
        </row>
        <row r="853">
          <cell r="A853" t="str">
            <v>BV1305</v>
          </cell>
          <cell r="C853" t="str">
            <v>Tô Thị Hiếu </v>
          </cell>
          <cell r="D853" t="str">
            <v>BV1305</v>
          </cell>
          <cell r="I853" t="str">
            <v>06/10/1985</v>
          </cell>
          <cell r="J853">
            <v>40</v>
          </cell>
          <cell r="K853" t="str">
            <v>020185010442</v>
          </cell>
          <cell r="L853" t="str">
            <v>18/11/2021</v>
          </cell>
          <cell r="M853" t="str">
            <v>Cục Cảnh sát quản lý hành chính về trật tự xã hội</v>
          </cell>
          <cell r="V853" t="str">
            <v>Tổ 3 Khối 6, phường Đông Kinh, thành phố Lạng Sơn</v>
          </cell>
          <cell r="W853">
            <v>45664</v>
          </cell>
          <cell r="AA853">
            <v>0</v>
          </cell>
          <cell r="AC853" t="str">
            <v>Kiểm soát nhiễm khuẩn</v>
          </cell>
          <cell r="AE853" t="str">
            <v>HĐ có thời hạn</v>
          </cell>
          <cell r="AH853" t="e">
            <v>#N/A</v>
          </cell>
          <cell r="AI853" t="e">
            <v>#N/A</v>
          </cell>
          <cell r="AK853" t="e">
            <v>#N/A</v>
          </cell>
          <cell r="AM853" t="str">
            <v>Nhân viên phục vụ</v>
          </cell>
        </row>
        <row r="854">
          <cell r="A854" t="str">
            <v>BV1307</v>
          </cell>
          <cell r="C854" t="str">
            <v>Lý Thị Phương</v>
          </cell>
          <cell r="D854" t="str">
            <v>BV1307</v>
          </cell>
          <cell r="I854" t="str">
            <v>27/10/1990</v>
          </cell>
          <cell r="J854">
            <v>35</v>
          </cell>
          <cell r="K854" t="str">
            <v>020190005412</v>
          </cell>
          <cell r="L854" t="str">
            <v>27/6/2021</v>
          </cell>
          <cell r="M854" t="str">
            <v>Cục Cảnh sát quản lý hành chính về trật tự xã hội</v>
          </cell>
          <cell r="V854" t="str">
            <v>Xã Thụy Hùng, huyện Cao Lộc, tỉnh Lạng Sơn</v>
          </cell>
          <cell r="W854">
            <v>45748</v>
          </cell>
          <cell r="AA854">
            <v>0</v>
          </cell>
          <cell r="AC854" t="str">
            <v>Kiểm soát nhiễm khuẩn</v>
          </cell>
          <cell r="AE854" t="str">
            <v>HĐ có thời hạn</v>
          </cell>
          <cell r="AH854" t="str">
            <v>1.54</v>
          </cell>
          <cell r="AI854">
            <v>4</v>
          </cell>
          <cell r="AK854">
            <v>45748</v>
          </cell>
          <cell r="AM854" t="str">
            <v>Nhân viên phục vụ</v>
          </cell>
        </row>
        <row r="855">
          <cell r="A855" t="str">
            <v>BV1306</v>
          </cell>
          <cell r="C855" t="str">
            <v>Lương Ngọc Phách</v>
          </cell>
          <cell r="D855" t="str">
            <v>BV1306</v>
          </cell>
          <cell r="H855" t="str">
            <v>18/8/1969</v>
          </cell>
          <cell r="J855">
            <v>56</v>
          </cell>
          <cell r="K855" t="str">
            <v>020069000441</v>
          </cell>
          <cell r="L855" t="str">
            <v>29/3/2021</v>
          </cell>
          <cell r="M855" t="str">
            <v>Cục Cảnh sát quản lý hành chính về trật tự xã hội</v>
          </cell>
          <cell r="V855" t="str">
            <v>Tổ 3, khối 6, thị trấn Cao Lộc, huyện Cao Lộc, tỉnh Lạng Sơn</v>
          </cell>
          <cell r="W855">
            <v>45748</v>
          </cell>
          <cell r="AC855" t="str">
            <v>Hành chính Quản trị</v>
          </cell>
          <cell r="AE855" t="str">
            <v>HĐ có thời hạn</v>
          </cell>
          <cell r="AH855" t="e">
            <v>#N/A</v>
          </cell>
          <cell r="AI855" t="e">
            <v>#N/A</v>
          </cell>
          <cell r="AK855" t="e">
            <v>#N/A</v>
          </cell>
          <cell r="AM855" t="str">
            <v>Bảo vệ</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3.3.2025"/>
      <sheetName val="Trang_tính1"/>
      <sheetName val="19.6.2026"/>
      <sheetName val="28.5.2026 (2)"/>
      <sheetName val="28.5.2026"/>
      <sheetName val="22.5.2026"/>
      <sheetName val="08.5.2026"/>
      <sheetName val="27.3.2026"/>
      <sheetName val="09.02.2026"/>
      <sheetName val="14.01.2025"/>
      <sheetName val="18.12.2025 (2)"/>
      <sheetName val="18.12.2025"/>
      <sheetName val="01.12.2025"/>
      <sheetName val="11.11.2025"/>
      <sheetName val="30.9.2025"/>
      <sheetName val="29.8.2025"/>
      <sheetName val="05.8.2025"/>
      <sheetName val="03.7.2025"/>
      <sheetName val="26.6.2025"/>
      <sheetName val="07.5.2025"/>
      <sheetName val="16.4.2025"/>
      <sheetName val="01.4.2025"/>
      <sheetName val="19.2.2025"/>
      <sheetName val="12.02.2025"/>
      <sheetName val="06.01.2025"/>
      <sheetName val="04.11.2024"/>
      <sheetName val="23.9.2024"/>
      <sheetName val="30.8.2024"/>
      <sheetName val="01.8.2024"/>
      <sheetName val="DS FULL"/>
      <sheetName val="đã nghỉ"/>
      <sheetName val="DS Dược"/>
      <sheetName val="Mã Chức danh NN"/>
      <sheetName val="Mã phạm vi"/>
    </sheetNames>
    <sheetDataSet>
      <sheetData sheetId="0" refreshError="1"/>
      <sheetData sheetId="1" refreshError="1"/>
      <sheetData sheetId="2" refreshError="1">
        <row r="9">
          <cell r="A9" t="str">
            <v>BV0004</v>
          </cell>
          <cell r="B9">
            <v>1</v>
          </cell>
          <cell r="C9" t="str">
            <v>000730/LS-CCHN</v>
          </cell>
          <cell r="D9" t="str">
            <v>Nguyễn Văn Thắng</v>
          </cell>
          <cell r="E9" t="str">
            <v>000730/LS-CCHN</v>
          </cell>
          <cell r="F9" t="str">
            <v>26/04/2013</v>
          </cell>
          <cell r="G9" t="str">
            <v>Khám bệnh chữa bệnh Nội khoa</v>
          </cell>
          <cell r="H9" t="str">
            <v>Từ 07:00 đến 11:30 và từ 13:30 đến 17:00 từ thứ hai đến thứ sáu, thời gian trực và làm việc ngoài giờ theo phân công của Lãnh đạo</v>
          </cell>
          <cell r="I9" t="str">
            <v>Khám bệnh</v>
          </cell>
          <cell r="J9" t="str">
            <v>Bác sĩ khoa Khám bệnh. Phụ trách khoa</v>
          </cell>
          <cell r="K9" t="str">
            <v>Bác sĩ khoa Khám bệnh. Phụ trách khoa</v>
          </cell>
          <cell r="L9" t="str">
            <v>07:00 đến 11:30 và từ 13:30 đến 17:00 thứ bảy, chủ nhật; Phòng khám đa khoa Trường Sinh</v>
          </cell>
        </row>
        <row r="10">
          <cell r="A10" t="str">
            <v>BV0201</v>
          </cell>
          <cell r="B10">
            <v>2</v>
          </cell>
          <cell r="C10" t="str">
            <v>000534/LS-CCHN</v>
          </cell>
          <cell r="D10" t="str">
            <v>Trần Thị Hoàng Anh</v>
          </cell>
          <cell r="E10" t="str">
            <v>000534/LS-CCHN</v>
          </cell>
          <cell r="F10" t="str">
            <v>11/12/2022</v>
          </cell>
          <cell r="G10" t="str">
            <v>Thực hiện phạm vi hoạt động chuyên môn theo quy định tại Thông tư số 26/2015/TTLT-BYT-BNV ngày 07/10/2015 quy định mã số, tiêu chuẩn chức danh nghề nghiệp điều dưỡng, hộ sinh, kỹ thuật y</v>
          </cell>
          <cell r="H10" t="str">
            <v>Từ 07:00 đến 11:30 và từ 13:30 đến 17:00 từ thứ hai đến thứ sáu, thời gian trực và làm việc ngoài giờ theo phân công của Lãnh đạo</v>
          </cell>
          <cell r="I10" t="str">
            <v>Khám bệnh</v>
          </cell>
          <cell r="J10" t="str">
            <v>Điều dưỡng khoa Khám bệnh.</v>
          </cell>
          <cell r="K10" t="str">
            <v>Điều dưỡng khoa Khám bệnh</v>
          </cell>
          <cell r="L10">
            <v>0</v>
          </cell>
        </row>
        <row r="11">
          <cell r="A11" t="str">
            <v>BV0167</v>
          </cell>
          <cell r="B11">
            <v>3</v>
          </cell>
          <cell r="C11" t="str">
            <v>001052/LS-CCHN</v>
          </cell>
          <cell r="D11" t="str">
            <v>Hoàng Thị Nga</v>
          </cell>
          <cell r="E11" t="str">
            <v>001052/LS-CCHN</v>
          </cell>
          <cell r="F11" t="str">
            <v>11/12/2022</v>
          </cell>
          <cell r="G11" t="str">
            <v>Thực hiện phạm vi hoạt động chuyên môn theo quy định tại Thông tư số 26/2015/TTLT-BYT-BNV ngày 07/10/2015 quy định mã số, tiêu chuẩn chức danh nghề nghiệp điều dưỡng, hộ sinh, kỹ thuật y</v>
          </cell>
          <cell r="H11" t="str">
            <v>Từ 07:00 đến 11:30 và từ 13:30 đến 17:00 từ thứ hai đến thứ sáu, thời gian trực và làm việc ngoài giờ theo phân công của Lãnh đạo</v>
          </cell>
          <cell r="I11" t="str">
            <v>Khám bệnh</v>
          </cell>
          <cell r="J11" t="str">
            <v>Điều dưỡng khoa Khám bệnh.</v>
          </cell>
          <cell r="K11" t="str">
            <v>Điều dưỡng khoa Khám bệnh</v>
          </cell>
          <cell r="L11">
            <v>0</v>
          </cell>
        </row>
        <row r="12">
          <cell r="A12" t="str">
            <v>BV1174</v>
          </cell>
          <cell r="B12">
            <v>4</v>
          </cell>
          <cell r="C12" t="str">
            <v>001361/LS-CCHN</v>
          </cell>
          <cell r="D12" t="str">
            <v>Nông Thị Bích Hà</v>
          </cell>
          <cell r="E12" t="str">
            <v>001361/LS-CCHN</v>
          </cell>
          <cell r="G12" t="str">
            <v>Theo Quy định tại Thông tư số 12/2011/TT-BYT ngày 15/3/2011 của Bộ Y tế quy định tiêu chuẩn các ngạch viên chức hộ sinh</v>
          </cell>
          <cell r="H12" t="str">
            <v>Từ 07:00 đến 11:30 và từ 13:30 đến 17:00 từ thứ hai đến thứ sáu, thời gian trực và làm việc ngoài giờ theo phân công của Lãnh đạo</v>
          </cell>
          <cell r="I12" t="str">
            <v>Khám bệnh</v>
          </cell>
          <cell r="J12" t="str">
            <v>Hộ sinh, khoa Khám bệnh</v>
          </cell>
          <cell r="K12" t="str">
            <v>Hộ sinh khoa Khám bệnh</v>
          </cell>
        </row>
        <row r="13">
          <cell r="A13" t="str">
            <v>BV0410</v>
          </cell>
          <cell r="B13">
            <v>2</v>
          </cell>
          <cell r="C13" t="str">
            <v>001012/LS-CCHN</v>
          </cell>
          <cell r="D13" t="str">
            <v>Vy Lan Anh</v>
          </cell>
          <cell r="E13" t="str">
            <v>001012/LS-CCHN</v>
          </cell>
          <cell r="F13" t="str">
            <v>24/06/2013</v>
          </cell>
          <cell r="G13" t="str">
            <v>Theo quy định tại Quyết định số 41/2005/QĐ-BNV ngày 22/4/2005 của Bộ trưởng Bộ Nội vụ về việc ban hành tiêu chuẩn nghiệp vụ các ngạch viên chức y tế điều dưỡng</v>
          </cell>
          <cell r="H13" t="str">
            <v>Từ 07:00 đến 11:30 và từ 13:30 đến 17:00 từ thứ hai đến thứ sáu, thời gian trực và làm việc ngoài giờ theo phân công của Lãnh đạo</v>
          </cell>
          <cell r="I13" t="str">
            <v>Khám bệnh</v>
          </cell>
          <cell r="J13" t="str">
            <v>Hộ sinh, khoa Khám bệnh</v>
          </cell>
          <cell r="K13" t="str">
            <v>Điều dưỡng khoa Khám bệnh</v>
          </cell>
          <cell r="L13">
            <v>0</v>
          </cell>
        </row>
        <row r="14">
          <cell r="A14" t="str">
            <v>BV0038</v>
          </cell>
          <cell r="B14">
            <v>6</v>
          </cell>
          <cell r="C14" t="str">
            <v>000380/LS-CCHN</v>
          </cell>
          <cell r="D14" t="str">
            <v>Đàm Thúy Ngân</v>
          </cell>
          <cell r="E14" t="str">
            <v>000380/LS-CCHN</v>
          </cell>
          <cell r="F14" t="str">
            <v>11/12/2022</v>
          </cell>
          <cell r="G14" t="str">
            <v>Thực hiện phạm vi hoạt động chuyên môn theo quy định tại Thông tư số 26/2015/TTLT-BYT-BNV ngày 07/10/2015 quy định mã số, tiêu chuẩn chức danh nghề nghiệp điều dưỡng, hộ sinh, kỹ thuật y</v>
          </cell>
          <cell r="H14" t="str">
            <v>Từ 07:00 đến 11:30 và từ 13:30 đến 17:00 từ thứ hai đến thứ sáu, thời gian trực và làm việc ngoài giờ theo phân công của Lãnh đạo</v>
          </cell>
          <cell r="I14" t="str">
            <v>Khám bệnh</v>
          </cell>
          <cell r="J14" t="str">
            <v>Điều dưỡng khoa Khám bệnh.</v>
          </cell>
          <cell r="K14" t="str">
            <v>Điều dưỡng khoa Khám bệnh</v>
          </cell>
          <cell r="L14">
            <v>0</v>
          </cell>
        </row>
        <row r="15">
          <cell r="A15" t="str">
            <v>BV0031</v>
          </cell>
          <cell r="B15">
            <v>7</v>
          </cell>
          <cell r="C15" t="str">
            <v>000756/LS-CCHN</v>
          </cell>
          <cell r="D15" t="str">
            <v>Trần Thị Liễu Thúy</v>
          </cell>
          <cell r="E15" t="str">
            <v>000756/LS-CCHN</v>
          </cell>
          <cell r="F15" t="str">
            <v>11/12/2022</v>
          </cell>
          <cell r="G15" t="str">
            <v>Thực hiện phạm vi hoạt động chuyên môn theo quy định tại Thông tư số 26/2015/TTLT-BYT-BNV ngày 07/10/2015 quy định mã số, tiêu chuẩn chức danh nghề nghiệp điều dưỡng, hộ sinh, kỹ thuật y</v>
          </cell>
          <cell r="H15" t="str">
            <v>Từ 07:00 đến 11:30 và từ 13:30 đến 17:00 từ thứ hai đến thứ sáu, thời gian trực và làm việc ngoài giờ theo phân công của Lãnh đạo</v>
          </cell>
          <cell r="I15" t="str">
            <v>Khám bệnh</v>
          </cell>
          <cell r="J15" t="str">
            <v>Điều dưỡng khoa Khám bệnh.</v>
          </cell>
          <cell r="K15" t="str">
            <v>Điều dưỡng khoa Khám bệnh</v>
          </cell>
          <cell r="L15">
            <v>0</v>
          </cell>
        </row>
        <row r="16">
          <cell r="A16" t="str">
            <v>BV0013</v>
          </cell>
          <cell r="B16">
            <v>8</v>
          </cell>
          <cell r="C16" t="str">
            <v>000379/LS-CCHN</v>
          </cell>
          <cell r="D16" t="str">
            <v>Trương Mai Phương</v>
          </cell>
          <cell r="E16" t="str">
            <v>000379/LS-CCHN</v>
          </cell>
          <cell r="F16" t="str">
            <v>11/12/2022</v>
          </cell>
          <cell r="G16" t="str">
            <v>Thực hiện phạm vi hoạt động chuyên môn theo quy định tại Thông tư số 26/2015/TTLT-BYT-BNV ngày 07/10/2015 quy định mã số, tiêu chuẩn chức danh nghề nghiệp điều dưỡng, hộ sinh, kỹ thuật y</v>
          </cell>
          <cell r="H16" t="str">
            <v>Từ 07:00 đến 11:30 và từ 13:30 đến 17:00 từ thứ hai đến thứ sáu, thời gian trực và làm việc ngoài giờ theo phân công của Lãnh đạo</v>
          </cell>
          <cell r="I16" t="str">
            <v>Khám bệnh</v>
          </cell>
          <cell r="J16" t="str">
            <v>Điều dưỡng khoa Khám bệnh.</v>
          </cell>
          <cell r="K16" t="str">
            <v>Điều dưỡng khoa Khám bệnh</v>
          </cell>
          <cell r="L16">
            <v>0</v>
          </cell>
        </row>
        <row r="17">
          <cell r="A17" t="str">
            <v>BV0012</v>
          </cell>
          <cell r="B17">
            <v>9</v>
          </cell>
          <cell r="C17" t="str">
            <v>000224/LS-CCHN</v>
          </cell>
          <cell r="D17" t="str">
            <v>Trần Bích Phương</v>
          </cell>
          <cell r="E17" t="str">
            <v>000224/LS-CCHN</v>
          </cell>
          <cell r="F17" t="str">
            <v>11/12/2022</v>
          </cell>
          <cell r="G17" t="str">
            <v>Thực hiện phạm vi hoạt động chuyên môn theo quy định tại Thông tư số 26/2015/TTLT-BYT-BNV ngày 07/10/2015 quy định mã số, tiêu chuẩn chức danh nghề nghiệp điều dưỡng, hộ sinh, kỹ thuật y</v>
          </cell>
          <cell r="H17" t="str">
            <v>Từ 07:00 đến 11:30 và từ 13:30 đến 17:00 từ thứ hai đến thứ sáu, thời gian trực và làm việc ngoài giờ theo phân công của Lãnh đạo</v>
          </cell>
          <cell r="I17" t="str">
            <v>Khám bệnh</v>
          </cell>
          <cell r="J17" t="str">
            <v>Điều dưỡng khoa Khám bệnh.</v>
          </cell>
          <cell r="K17" t="str">
            <v>Điều dưỡng khoa Khám bệnh</v>
          </cell>
          <cell r="L17">
            <v>0</v>
          </cell>
        </row>
        <row r="18">
          <cell r="A18" t="str">
            <v>BV1081</v>
          </cell>
          <cell r="B18">
            <v>10</v>
          </cell>
          <cell r="C18" t="str">
            <v>004026/LS-CCHN</v>
          </cell>
          <cell r="D18" t="str">
            <v>Vy Thị Sinh</v>
          </cell>
          <cell r="E18" t="str">
            <v>004026/LS-CCHN</v>
          </cell>
          <cell r="F18" t="str">
            <v>21/10/2020</v>
          </cell>
          <cell r="G18" t="str">
            <v>Thực hiện phạm vi hoạt động chuyên môn theo quy định tại Thông tư số 26/2015/TTLT-BYT-BNV ngày 07/10/2015 quy định mã số, tiêu chuẩn chức danh nghề nghiệp điều dưỡng, hộ sinh, kỹ thuật y</v>
          </cell>
          <cell r="H18" t="str">
            <v>Từ 07:00 đến 11:30 và từ 13:30 đến 17:00 từ thứ hai đến thứ sáu, thời gian trực và làm việc ngoài giờ theo phân công của Lãnh đạo</v>
          </cell>
          <cell r="I18" t="str">
            <v>Khám bệnh</v>
          </cell>
          <cell r="J18" t="str">
            <v>Điều dưỡng khoa Khám bệnh.</v>
          </cell>
          <cell r="K18" t="str">
            <v>Điều dưỡng khoa Khám bệnh</v>
          </cell>
          <cell r="L18">
            <v>0</v>
          </cell>
        </row>
        <row r="19">
          <cell r="A19" t="str">
            <v>BV0009</v>
          </cell>
          <cell r="B19">
            <v>11</v>
          </cell>
          <cell r="C19" t="str">
            <v>000378/LS-CCHN</v>
          </cell>
          <cell r="D19" t="str">
            <v>Hoàng Hải Yến</v>
          </cell>
          <cell r="E19" t="str">
            <v>000378/LS-CCHN</v>
          </cell>
          <cell r="F19" t="str">
            <v>01/06/2016</v>
          </cell>
          <cell r="G19" t="str">
            <v>Thực hiện phạm vi hoạt động chuyên môn theo quy định tại Thông tư số 26/2015/TTLT-BYT-BNV ngày 07/10/2015 quy định mã số, tiêu chuẩn chức danh nghề nghiệp điều dưỡng, hộ sinh, kỹ thuật y</v>
          </cell>
          <cell r="H19" t="str">
            <v>Từ 07:00 đến 11:30 và từ 13:30 đến 17:00 từ thứ hai đến thứ sáu, thời gian trực và làm việc ngoài giờ theo phân công của Lãnh đạo</v>
          </cell>
          <cell r="I19" t="str">
            <v>Khám bệnh</v>
          </cell>
          <cell r="J19" t="str">
            <v>Điều dưỡng khoa Khám bệnh.</v>
          </cell>
          <cell r="K19" t="str">
            <v>Điều dưỡng khoa Khám bệnh</v>
          </cell>
          <cell r="L19">
            <v>0</v>
          </cell>
        </row>
        <row r="20">
          <cell r="A20" t="str">
            <v>BV0170</v>
          </cell>
          <cell r="B20">
            <v>12</v>
          </cell>
          <cell r="C20" t="str">
            <v>001622/LS-CCHN</v>
          </cell>
          <cell r="D20" t="str">
            <v>Trần Thị Hải Yến</v>
          </cell>
          <cell r="E20" t="str">
            <v>001622/LS-CCHN</v>
          </cell>
          <cell r="F20" t="str">
            <v>16/09/2013</v>
          </cell>
          <cell r="G20" t="str">
            <v>Theo quy định tại Quyết định số 41/2005/QĐ-BNV ngày 22/4/2005 của Bộ trưởng Bộ Nội vụ về việc ban hành tiêu chuẩn nghiệp vụ các ngạch viên chức y tế điều dưỡng</v>
          </cell>
          <cell r="H20" t="str">
            <v>Từ 07:00 đến 11:30 và từ 13:30 đến 17:00 từ thứ hai đến thứ sáu, thời gian trực và làm việc ngoài giờ theo phân công của Lãnh đạo</v>
          </cell>
          <cell r="I20" t="str">
            <v>Khám bệnh</v>
          </cell>
          <cell r="J20" t="str">
            <v>Điều dưỡng khoa Khám bệnh.</v>
          </cell>
          <cell r="K20" t="str">
            <v>Điều dưỡng khoa Khám bệnh</v>
          </cell>
          <cell r="L20">
            <v>0</v>
          </cell>
        </row>
        <row r="21">
          <cell r="A21" t="str">
            <v>BV0898</v>
          </cell>
          <cell r="B21">
            <v>13</v>
          </cell>
          <cell r="C21" t="str">
            <v>004047/LS-CCHN</v>
          </cell>
          <cell r="D21" t="str">
            <v>Lương Thị Huế</v>
          </cell>
          <cell r="E21" t="str">
            <v>004047/LS-CCHN</v>
          </cell>
          <cell r="F21" t="str">
            <v>20/11/2020</v>
          </cell>
          <cell r="G21" t="str">
            <v>Thực hiện phạm vi hoạt động chuyên môn theo quy định tại Thông tư số 26/2015/TTLT-BYT-BNV ngày 07/10/2015 quy định mã số, tiêu chuẩn chức danh nghề nghiệp điều dưỡng, hộ sinh, kỹ thuật y</v>
          </cell>
          <cell r="H21" t="str">
            <v>Từ 07:00 đến 11:30 và từ 13:30 đến 17:00 từ thứ hai đến thứ sáu, thời gian trực và làm việc ngoài giờ theo phân công của Lãnh đạo</v>
          </cell>
          <cell r="I21" t="str">
            <v>Khám bệnh</v>
          </cell>
          <cell r="J21" t="str">
            <v>Điều dưỡng khoa Khám bệnh.</v>
          </cell>
          <cell r="K21" t="str">
            <v>Điều dưỡng khoa Khám bệnh</v>
          </cell>
          <cell r="L21">
            <v>0</v>
          </cell>
        </row>
        <row r="22">
          <cell r="A22" t="str">
            <v>BV0864</v>
          </cell>
          <cell r="B22">
            <v>14</v>
          </cell>
          <cell r="C22" t="str">
            <v>002111/LS-CCHN</v>
          </cell>
          <cell r="D22" t="str">
            <v>Nông Thu Phương</v>
          </cell>
          <cell r="E22" t="str">
            <v>002111/LS-CCHN</v>
          </cell>
          <cell r="F22" t="str">
            <v>30/10/2017</v>
          </cell>
          <cell r="G22" t="str">
            <v>Thực hiện phạm vi hoạt động chuyên môn theo quy định tại Thông tư số 26/2015/TTLT-BYT-BNV ngày 07/10/2015 quy định mã số, tiêu chuẩn chức danh nghề nghiệp điều dưỡng, hộ sinh, kỹ thuật y</v>
          </cell>
          <cell r="H22" t="str">
            <v>Từ 07:00 đến 11:30 và từ 13:30 đến 17:00 từ thứ hai đến thứ sáu, thời gian trực và làm việc ngoài giờ theo phân công của Lãnh đạo</v>
          </cell>
          <cell r="I22" t="str">
            <v>Khám bệnh</v>
          </cell>
          <cell r="J22" t="str">
            <v>Điều dưỡng khoa Khám bệnh.</v>
          </cell>
          <cell r="K22" t="str">
            <v>Điều dưỡng khoa Khám bệnh</v>
          </cell>
          <cell r="L22">
            <v>0</v>
          </cell>
        </row>
        <row r="23">
          <cell r="A23" t="str">
            <v>BV0431</v>
          </cell>
          <cell r="B23">
            <v>15</v>
          </cell>
          <cell r="C23" t="str">
            <v>001029/LS-CCHN</v>
          </cell>
          <cell r="D23" t="str">
            <v>Liễu Kim Hoa</v>
          </cell>
          <cell r="E23" t="str">
            <v>001029/LS-CCHN</v>
          </cell>
          <cell r="F23" t="str">
            <v>11/12/2022</v>
          </cell>
          <cell r="G23" t="str">
            <v>Thực hiện phạm vi hoạt động chuyên môn theo quy định tại Thông tư số 26/2015/TTLT-BYT-BNV ngày 07/10/2015 quy định mã số, tiêu chuẩn chức danh nghề nghiệp điều dưỡng, hộ sinh, kỹ thuật y</v>
          </cell>
          <cell r="H23" t="str">
            <v>Từ 07:00 đến 11:30 và từ 13:30 đến 17:00 từ thứ hai đến thứ sáu, thời gian trực và làm việc ngoài giờ theo phân công của Lãnh đạo</v>
          </cell>
          <cell r="I23" t="str">
            <v>Khám bệnh</v>
          </cell>
          <cell r="J23" t="str">
            <v>Điều dưỡng khoa Khám bệnh.</v>
          </cell>
          <cell r="K23" t="str">
            <v>Điều dưỡng khoa Khám bệnh</v>
          </cell>
          <cell r="L23">
            <v>0</v>
          </cell>
        </row>
        <row r="24">
          <cell r="A24" t="str">
            <v>BV0016</v>
          </cell>
          <cell r="B24">
            <v>16</v>
          </cell>
          <cell r="C24" t="str">
            <v>000742/LS-CCHN</v>
          </cell>
          <cell r="D24" t="str">
            <v>Hoàng Thị Cả</v>
          </cell>
          <cell r="E24" t="str">
            <v>000742/LS-CCHN</v>
          </cell>
          <cell r="F24" t="str">
            <v>24/06/2013</v>
          </cell>
          <cell r="G24" t="str">
            <v>Theo quy định tại Quyết định số 41/2005/QĐ-BNV ngày 22/4/2005 của Bộ trưởng Bộ Nội vụ về việc ban hành tiêu chuẩn nghiệp vụ các ngạch viên chức y tế điều dưỡng</v>
          </cell>
          <cell r="H24" t="str">
            <v>Từ 07:00 đến 11:30 và từ 13:30 đến 17:00 từ thứ hai đến thứ sáu, thời gian trực và làm việc ngoài giờ theo phân công của Lãnh đạo</v>
          </cell>
          <cell r="I24" t="str">
            <v>Khám bệnh</v>
          </cell>
          <cell r="J24" t="str">
            <v>Điều dưỡng khoa Khám bệnh.</v>
          </cell>
          <cell r="K24" t="str">
            <v>Điều dưỡng khoa Khám bệnh</v>
          </cell>
          <cell r="L24">
            <v>0</v>
          </cell>
        </row>
        <row r="25">
          <cell r="A25" t="str">
            <v>BV0290</v>
          </cell>
          <cell r="B25">
            <v>17</v>
          </cell>
          <cell r="C25" t="str">
            <v>000969/LS-CCHN</v>
          </cell>
          <cell r="D25" t="str">
            <v>Ngọ Thị Ngoan</v>
          </cell>
          <cell r="E25" t="str">
            <v>000969/LS-CCHN</v>
          </cell>
          <cell r="F25" t="str">
            <v>11/01/2023</v>
          </cell>
          <cell r="G25" t="str">
            <v>Thực hiện phạm vi hoạt động chuyên môn theo Thông tư số 26/2015/TTLT-BYT-BNV ngày 07/10/2015 quy định  mã số, tiêu chuẩn chức danh nghề nghiệp, điều dưỡng, hộ sinh, kỹ thuật y</v>
          </cell>
          <cell r="H25" t="str">
            <v>Từ 07:00 đến 11:30 và từ 13:30 đến 17:00 từ thứ hai đến thứ sáu, thời gian trực và làm việc ngoài giờ theo phân công của Lãnh đạo</v>
          </cell>
          <cell r="I25" t="str">
            <v>Khám bệnh</v>
          </cell>
          <cell r="J25" t="str">
            <v>Hộ sinh khoa Khám bệnh</v>
          </cell>
          <cell r="K25" t="str">
            <v>Hộ sinh khoa Khám bệnh</v>
          </cell>
          <cell r="L25">
            <v>0</v>
          </cell>
        </row>
        <row r="26">
          <cell r="D26" t="str">
            <v>KHOA CẤP CỨU</v>
          </cell>
          <cell r="I26" t="e">
            <v>#N/A</v>
          </cell>
        </row>
        <row r="27">
          <cell r="A27" t="str">
            <v>BV0049</v>
          </cell>
          <cell r="B27">
            <v>18</v>
          </cell>
          <cell r="C27" t="str">
            <v>000765/LS-CCHN</v>
          </cell>
          <cell r="D27" t="str">
            <v>Đinh Vĩnh Thái</v>
          </cell>
          <cell r="E27" t="str">
            <v>000765/LS-CCHN</v>
          </cell>
          <cell r="F27" t="str">
            <v>11/12/2022</v>
          </cell>
          <cell r="G27" t="str">
            <v>Khám bệnh, chữa bệnh chuyên khoa Hồi sức cấp cứu</v>
          </cell>
          <cell r="H27" t="str">
            <v>Từ 07:00 đến 11:30 và từ 13:30 đến 17:00 từ thứ hai đến thứ sáu, thời gian trực và làm việc ngoài giờ theo phân công của Lãnh đạo</v>
          </cell>
          <cell r="I27" t="str">
            <v>Cấp cứu</v>
          </cell>
          <cell r="J27" t="str">
            <v>Bác sĩ khoa Cấp cứu - Trưởng khoa.</v>
          </cell>
          <cell r="K27" t="str">
            <v>Bác sĩ khoa Cấp cứu - Trưởng khoa.</v>
          </cell>
          <cell r="L27">
            <v>0</v>
          </cell>
        </row>
        <row r="28">
          <cell r="A28" t="str">
            <v>BV0848</v>
          </cell>
          <cell r="B28">
            <v>19</v>
          </cell>
          <cell r="C28" t="str">
            <v>003284/LS-CCHN</v>
          </cell>
          <cell r="D28" t="str">
            <v>Lành Thị Quỳnh Nga</v>
          </cell>
          <cell r="E28" t="str">
            <v>003284/LS-CCHN</v>
          </cell>
          <cell r="F28" t="str">
            <v>06/07/2018</v>
          </cell>
          <cell r="G28" t="str">
            <v>Khám bệnh, chữa bệnh Nội khoa; Hồi sức cấp cứu</v>
          </cell>
          <cell r="H28" t="str">
            <v>Từ 07:00 đến 11:30 và từ 13:30 đến 17:00 từ thứ hai đến thứ sáu, thời gian trực và làm việc ngoài giờ theo phân công của Lãnh đạo</v>
          </cell>
          <cell r="I28" t="str">
            <v>Cấp cứu</v>
          </cell>
          <cell r="J28" t="str">
            <v>Bác sĩ khoa Cấp cứu.</v>
          </cell>
          <cell r="K28" t="str">
            <v>Bác sĩ khoa Cấp cứu</v>
          </cell>
          <cell r="L28">
            <v>0</v>
          </cell>
        </row>
        <row r="29">
          <cell r="A29" t="str">
            <v>BV0890</v>
          </cell>
          <cell r="B29">
            <v>-17</v>
          </cell>
          <cell r="C29" t="str">
            <v>004162/LS-CCHN</v>
          </cell>
          <cell r="D29" t="str">
            <v>Nông Quốc Thiên</v>
          </cell>
          <cell r="E29" t="str">
            <v>004162/LS-CCHN</v>
          </cell>
          <cell r="F29" t="str">
            <v>06/04/2021</v>
          </cell>
          <cell r="G29" t="str">
            <v>Khám bệnh, chữa bệnh Nội khoa, Hồi sức cấp cứu</v>
          </cell>
          <cell r="H29" t="str">
            <v>Từ 07:00 đến 11:30 và từ 13:30 đến 17:00 từ thứ hai đến thứ sáu, thời gian trực và làm việc ngoài giờ theo phân công của Lãnh đạo</v>
          </cell>
          <cell r="I29" t="str">
            <v>Cấp cứu</v>
          </cell>
          <cell r="J29" t="str">
            <v>Bác sĩ khoa Cấp cứu.</v>
          </cell>
          <cell r="K29" t="str">
            <v>Bác sĩ khoa Cấp cứu</v>
          </cell>
          <cell r="L29" t="str">
            <v>`</v>
          </cell>
        </row>
        <row r="30">
          <cell r="A30" t="str">
            <v>BV0929</v>
          </cell>
          <cell r="B30">
            <v>21</v>
          </cell>
          <cell r="C30" t="str">
            <v>004235/LS-CCHN</v>
          </cell>
          <cell r="D30" t="str">
            <v>Triệu Thị Hạ</v>
          </cell>
          <cell r="E30" t="str">
            <v>004235/LS-CCHN</v>
          </cell>
          <cell r="F30" t="str">
            <v>10/06/2021</v>
          </cell>
          <cell r="G30" t="str">
            <v>Thực hiện phạm vi hoạt động chuyên môn theo Thông tư số 26/2015/TTLT-BYT-BNV ngày 07/10/2015 quy định  mã số, tiêu chuẩn chức danh nghề nghiệp, điều dưỡng, hộ sinh, kỹ thuật y</v>
          </cell>
          <cell r="H30" t="str">
            <v>Từ 07:00 đến 11:30 và từ 13:30 đến 17:00 từ thứ hai đến thứ sáu, thời gian trực và làm việc ngoài giờ theo phân công của Lãnh đạo</v>
          </cell>
          <cell r="I30" t="str">
            <v>Cấp cứu</v>
          </cell>
          <cell r="J30" t="str">
            <v>Bác sĩ khoa Cấp cứu.</v>
          </cell>
          <cell r="K30" t="str">
            <v>Bác sĩ khoa Cấp cứu</v>
          </cell>
          <cell r="L30">
            <v>0</v>
          </cell>
        </row>
        <row r="31">
          <cell r="A31" t="str">
            <v>BV0959</v>
          </cell>
          <cell r="B31">
            <v>22</v>
          </cell>
          <cell r="C31" t="str">
            <v>004296/LS-CCHN</v>
          </cell>
          <cell r="D31" t="str">
            <v>Liễu Thị Ngân</v>
          </cell>
          <cell r="E31" t="str">
            <v>004296/LS-CCHN</v>
          </cell>
          <cell r="F31" t="str">
            <v>20/07/2021</v>
          </cell>
          <cell r="G31" t="str">
            <v>Khám bệnh chữa bệnh Nội khoa</v>
          </cell>
          <cell r="H31" t="str">
            <v>Từ 07:00 đến 11:30 và từ 13:30 đến 17:00 từ thứ hai đến thứ sáu, thời gian trực và làm việc ngoài giờ theo phân công của Lãnh đạo</v>
          </cell>
          <cell r="I31" t="str">
            <v>Cấp cứu</v>
          </cell>
          <cell r="J31" t="str">
            <v>Bác sĩ khoa Cấp cứu.</v>
          </cell>
          <cell r="K31" t="str">
            <v>Bác sĩ khoa Cấp cứu</v>
          </cell>
          <cell r="L31">
            <v>0</v>
          </cell>
        </row>
        <row r="32">
          <cell r="A32" t="str">
            <v>BV1267</v>
          </cell>
          <cell r="B32">
            <v>23</v>
          </cell>
          <cell r="C32" t="str">
            <v>050361/BYT-CCHN</v>
          </cell>
          <cell r="D32" t="str">
            <v>Trần Văn Tuyến</v>
          </cell>
          <cell r="E32" t="str">
            <v>050361/BYT-CCHN</v>
          </cell>
          <cell r="F32" t="str">
            <v>01/04/2024</v>
          </cell>
          <cell r="G32" t="str">
            <v>Khám bệnh, chữa bệnh chuyên khoa Nội</v>
          </cell>
          <cell r="H32" t="str">
            <v>Từ 07:00 đến 11:30 và từ 13:30 đến 17:00 từ thứ hai đến thứ sáu, thời gian trực và làm việc ngoài giờ theo phân công của Lãnh đạo</v>
          </cell>
          <cell r="I32" t="str">
            <v>Cấp cứu</v>
          </cell>
          <cell r="J32" t="str">
            <v>Bác sĩ khoa Cấp cứu.</v>
          </cell>
          <cell r="K32" t="str">
            <v>Bác sĩ khoa Cấp cứu</v>
          </cell>
          <cell r="L32">
            <v>0</v>
          </cell>
        </row>
        <row r="33">
          <cell r="A33" t="str">
            <v>BV1233</v>
          </cell>
          <cell r="B33">
            <v>18</v>
          </cell>
          <cell r="C33" t="str">
            <v>000067/LS-GPHN</v>
          </cell>
          <cell r="D33" t="str">
            <v>Lê Thị Lệ</v>
          </cell>
          <cell r="E33" t="str">
            <v>000067/LS-GPHN</v>
          </cell>
          <cell r="F33">
            <v>45472</v>
          </cell>
          <cell r="G33" t="str">
            <v>Chuyên khoa Nội khoa</v>
          </cell>
          <cell r="H33" t="str">
            <v>Từ 07:00 đến 11:30 và từ 13:30 đến 17:00 từ thứ hai đến thứ sáu, thời gian trực và làm việc ngoài giờ theo phân công của Lãnh đạo</v>
          </cell>
          <cell r="I33" t="str">
            <v>Cấp Cứu</v>
          </cell>
          <cell r="J33" t="str">
            <v>Bác sĩ khoa Cấp cứu</v>
          </cell>
          <cell r="K33" t="str">
            <v>Bác sĩ khoa Cấp Cứu</v>
          </cell>
        </row>
        <row r="34">
          <cell r="A34" t="str">
            <v>BV1336</v>
          </cell>
          <cell r="B34">
            <v>8</v>
          </cell>
          <cell r="C34" t="str">
            <v>000371/LS-GPHN</v>
          </cell>
          <cell r="D34" t="str">
            <v>Hoàng Quốc Khánh</v>
          </cell>
          <cell r="E34" t="str">
            <v>000371/LS-GPHN</v>
          </cell>
          <cell r="F34">
            <v>47752</v>
          </cell>
          <cell r="G34" t="str">
            <v>Y khoa</v>
          </cell>
          <cell r="H34" t="str">
            <v>Từ 07:00 đến 11:30 và từ 13:30 đến 17:00 từ thứ hai đến thứ sáu, thời gian trực và làm việc ngoài giờ theo phân công của Lãnh đạo</v>
          </cell>
          <cell r="I34" t="str">
            <v>Cấp cứu</v>
          </cell>
          <cell r="J34" t="str">
            <v>Bác sĩ khoa Cấp cứu</v>
          </cell>
          <cell r="K34" t="str">
            <v>Bác sĩ khoa Cấp cứu</v>
          </cell>
        </row>
        <row r="35">
          <cell r="A35" t="str">
            <v>BV1266</v>
          </cell>
          <cell r="B35">
            <v>8</v>
          </cell>
          <cell r="C35" t="str">
            <v>000519/LS-GPHN</v>
          </cell>
          <cell r="D35" t="str">
            <v>Nguyễn Thị Vân Anh</v>
          </cell>
          <cell r="E35" t="str">
            <v>000519/LS-GPHN</v>
          </cell>
          <cell r="F35">
            <v>46126</v>
          </cell>
          <cell r="G35" t="str">
            <v>Y khoa</v>
          </cell>
          <cell r="H35" t="str">
            <v>Từ 07:00 đến 11:30 và từ 13:30 đến 17:00 từ thứ hai đến thứ sáu, thời gian trực và làm việc ngoài giờ theo phân công của Lãnh đạo</v>
          </cell>
          <cell r="I35" t="str">
            <v>Cấp Cứu</v>
          </cell>
          <cell r="J35" t="str">
            <v>Bác sĩ khoa Cấp cứu</v>
          </cell>
          <cell r="L35">
            <v>0</v>
          </cell>
        </row>
        <row r="36">
          <cell r="A36" t="str">
            <v>BV0331</v>
          </cell>
          <cell r="B36">
            <v>27</v>
          </cell>
          <cell r="C36" t="str">
            <v>000381/LS-CCHN</v>
          </cell>
          <cell r="D36" t="str">
            <v>Hoàng Thị Thúy</v>
          </cell>
          <cell r="E36" t="str">
            <v>000381/LS-CCHN</v>
          </cell>
          <cell r="F36" t="str">
            <v>11/12/2022</v>
          </cell>
          <cell r="G36" t="str">
            <v>Thực hiện phạm vi hoạt động chuyên môn theo quy định tại Thông tư số 26/2015/TTLT-BYT-BNV ngày 07/10/2015 quy định mã số, tiêu chuẩn chức danh nghề nghiệp điều dưỡng, hộ sinh, kỹ thuật y</v>
          </cell>
          <cell r="H36" t="str">
            <v>Từ 07:00 đến 11:30 và từ 13:30 đến 17:00 từ thứ hai đến thứ sáu, thời gian trực và làm việc ngoài giờ theo phân công của Lãnh đạo</v>
          </cell>
          <cell r="I36" t="str">
            <v>Cấp cứu</v>
          </cell>
          <cell r="J36" t="str">
            <v>Điều dưỡng khoa Cấp cứu.</v>
          </cell>
          <cell r="K36" t="str">
            <v>Điều dưỡng khoa Cấp cứu</v>
          </cell>
          <cell r="L36">
            <v>0</v>
          </cell>
        </row>
        <row r="37">
          <cell r="A37" t="str">
            <v>BV0059</v>
          </cell>
          <cell r="B37">
            <v>28</v>
          </cell>
          <cell r="C37" t="str">
            <v>000780/LS-CCHN</v>
          </cell>
          <cell r="D37" t="str">
            <v>Dương Thị Niên</v>
          </cell>
          <cell r="E37" t="str">
            <v>000780/LS-CCHN</v>
          </cell>
          <cell r="F37" t="str">
            <v>11/12/2022</v>
          </cell>
          <cell r="G37" t="str">
            <v>Thực hiện phạm vi hoạt động chuyên môn theo quy định tại Thông tư số 26/2015/TTLT-BYT-BNV ngày 07/10/2015 quy định mã số, tiêu chuẩn chức danh nghề nghiệp điều dưỡng, hộ sinh, kỹ thuật y</v>
          </cell>
          <cell r="H37" t="str">
            <v>Từ 07:00 đến 11:30 và từ 13:30 đến 17:00 từ thứ hai đến thứ sáu, thời gian trực và làm việc ngoài giờ theo phân công của Lãnh đạo</v>
          </cell>
          <cell r="I37" t="str">
            <v>Cấp cứu</v>
          </cell>
          <cell r="J37" t="str">
            <v>Điều dưỡng khoa Cấp cứu- Điều dưỡng trưởng</v>
          </cell>
          <cell r="K37" t="str">
            <v>Điều dưỡng khoa Cấp cứu- Điều dưỡng trưởng</v>
          </cell>
          <cell r="L37">
            <v>0</v>
          </cell>
        </row>
        <row r="38">
          <cell r="A38" t="str">
            <v>BV1262</v>
          </cell>
          <cell r="B38">
            <v>29</v>
          </cell>
          <cell r="C38" t="str">
            <v>000208/LS-GPHN</v>
          </cell>
          <cell r="D38" t="str">
            <v>Hoàng Thanh Dung</v>
          </cell>
          <cell r="E38" t="str">
            <v>000208/LS-GPHN</v>
          </cell>
          <cell r="F38">
            <v>45708</v>
          </cell>
          <cell r="G38" t="str">
            <v>Điều dưỡng</v>
          </cell>
          <cell r="H38" t="str">
            <v>Từ 07:00 đến 11:30 và từ 13:30 đến 17:00 từ thứ hai đến thứ sáu, thời gian trực và làm việc ngoài giờ theo phân công của Lãnh đạo</v>
          </cell>
          <cell r="I38" t="str">
            <v>Cấp cứu</v>
          </cell>
          <cell r="J38" t="str">
            <v>Điều dưỡng khoa cấp cứu</v>
          </cell>
          <cell r="K38" t="str">
            <v>Điều dưỡng khoa Cấp cứu</v>
          </cell>
        </row>
        <row r="39">
          <cell r="A39" t="str">
            <v>BV0863</v>
          </cell>
          <cell r="B39">
            <v>30</v>
          </cell>
          <cell r="C39" t="str">
            <v>003268/LS-CCHN</v>
          </cell>
          <cell r="D39" t="str">
            <v>Hứa Thanh Thùy</v>
          </cell>
          <cell r="E39" t="str">
            <v>003268/LS-CCHN</v>
          </cell>
          <cell r="F39" t="str">
            <v>07/06/2018</v>
          </cell>
          <cell r="G39" t="str">
            <v>Thực hiện phạm vi hoạt động chuyên môn theo quy định tại Thông tư số 26/2015/TTLT-BYT-BNV ngày 07/10/2015 quy định mã số, tiêu chuẩn chức danh nghề nghiệp điều dưỡng, hộ sinh, kỹ thuật y</v>
          </cell>
          <cell r="H39" t="str">
            <v>Từ 07:00 đến 11:30 và từ 13:30 đến 17:00 từ thứ hai đến thứ sáu, thời gian trực và làm việc ngoài giờ theo phân công của Lãnh đạo</v>
          </cell>
          <cell r="I39" t="str">
            <v>Cấp cứu</v>
          </cell>
          <cell r="J39" t="str">
            <v>Điều dưỡng khoa Cấp cứu.</v>
          </cell>
          <cell r="K39" t="str">
            <v>Điều dưỡng khoa Cấp cứu</v>
          </cell>
          <cell r="L39">
            <v>0</v>
          </cell>
        </row>
        <row r="40">
          <cell r="A40" t="str">
            <v>BV0136</v>
          </cell>
          <cell r="B40">
            <v>31</v>
          </cell>
          <cell r="C40" t="str">
            <v>000832/LS-CCHN</v>
          </cell>
          <cell r="D40" t="str">
            <v>Lâm Thị Thiện</v>
          </cell>
          <cell r="E40" t="str">
            <v>000832/LS-CCHN</v>
          </cell>
          <cell r="F40" t="str">
            <v>11/01/2023</v>
          </cell>
          <cell r="G40" t="str">
            <v>Thực hiện phạm vi hoạt động chuyên môn theo Thông tư số 26/2015/TTLT-BYT-BNV ngày 07/10/2015 quy định  mã số, tiêu chuẩn chức danh nghề nghiệp, điều dưỡng, hộ sinh, kỹ thuật y</v>
          </cell>
          <cell r="H40" t="str">
            <v>Từ 07:00 đến 11:30 và từ 13:30 đến 17:00 từ thứ hai đến thứ sáu, thời gian trực và làm việc ngoài giờ theo phân công của Lãnh đạo</v>
          </cell>
          <cell r="I40" t="str">
            <v>Cấp cứu</v>
          </cell>
          <cell r="J40" t="str">
            <v>Điều dưỡng khoa Cấp cứu.</v>
          </cell>
          <cell r="K40" t="str">
            <v>Điều dưỡng khoa Cấp cứu</v>
          </cell>
          <cell r="L40">
            <v>0</v>
          </cell>
        </row>
        <row r="41">
          <cell r="A41" t="str">
            <v>BV0870</v>
          </cell>
          <cell r="B41">
            <v>32</v>
          </cell>
          <cell r="C41" t="str">
            <v>003711/LS-CCHN</v>
          </cell>
          <cell r="D41" t="str">
            <v>Chu Thị Hoa</v>
          </cell>
          <cell r="E41" t="str">
            <v>003711/LS-CCHN</v>
          </cell>
          <cell r="F41" t="str">
            <v>17/04/2020</v>
          </cell>
          <cell r="G41" t="str">
            <v>Thực hiện phạm vi hoạt động chuyên môn theo quy định tại Thông tư số 26/2015/TTLT-BYT-BNV ngày 07/10/2015 quy định mã số, tiêu chuẩn chức danh nghề nghiệp điều dưỡng, hộ sinh, kỹ thuật y</v>
          </cell>
          <cell r="H41" t="str">
            <v>Từ 07:00 đến 11:30 và từ 13:30 đến 17:00 từ thứ hai đến thứ sáu, thời gian trực và làm việc ngoài giờ theo phân công của Lãnh đạo</v>
          </cell>
          <cell r="I41" t="str">
            <v>Cấp cứu</v>
          </cell>
          <cell r="J41" t="str">
            <v>Điều dưỡng khoa Cấp cứu.</v>
          </cell>
          <cell r="K41" t="str">
            <v>Điều dưỡng khoa Cấp cứu</v>
          </cell>
          <cell r="L41">
            <v>0</v>
          </cell>
        </row>
        <row r="42">
          <cell r="A42" t="str">
            <v>BV0061</v>
          </cell>
          <cell r="B42">
            <v>33</v>
          </cell>
          <cell r="C42" t="str">
            <v>000777/LS-CCHN</v>
          </cell>
          <cell r="D42" t="str">
            <v>Thi Văn Thắng</v>
          </cell>
          <cell r="E42" t="str">
            <v>000777/LS-CCHN</v>
          </cell>
          <cell r="F42" t="str">
            <v>11/01/2023</v>
          </cell>
          <cell r="G42" t="str">
            <v>Thực hiện phạm vi hoạt động chuyên môn theo Thông tư số 26/2015/TTLT-BYT-BNV ngày 07/10/2015 quy định  mã số, tiêu chuẩn chức danh nghề nghiệp, điều dưỡng, hộ sinh, kỹ thuật y</v>
          </cell>
          <cell r="H42" t="str">
            <v>Từ 07:00 đến 11:30 và từ 13:30 đến 17:00 từ thứ hai đến thứ sáu, thời gian trực và làm việc ngoài giờ theo phân công của Lãnh đạo</v>
          </cell>
          <cell r="I42" t="str">
            <v>Cấp cứu</v>
          </cell>
          <cell r="J42" t="str">
            <v>Điều dưỡng khoa Cấp cứu / Nội Tiêu hóa / P. Điều dưỡng</v>
          </cell>
          <cell r="K42" t="str">
            <v>Điều dưỡng khoa Cấp cứu / Nội Tiêu hóa / P. Điều dưỡng</v>
          </cell>
          <cell r="L42">
            <v>0</v>
          </cell>
        </row>
        <row r="43">
          <cell r="A43" t="str">
            <v>BV0218</v>
          </cell>
          <cell r="B43">
            <v>34</v>
          </cell>
          <cell r="C43" t="str">
            <v>000740/LS-CCHN</v>
          </cell>
          <cell r="D43" t="str">
            <v>Thi Thị Thiện</v>
          </cell>
          <cell r="E43" t="str">
            <v>000740/LS-CCHN</v>
          </cell>
          <cell r="F43" t="str">
            <v>24/06/2013</v>
          </cell>
          <cell r="G43" t="str">
            <v>Theo quy định tại Quyết định số 41/2005/QĐ-BNV ngày 22/4/2005 của Bộ trưởng Bộ Nội vụ về việc ban hành tiêu chuẩn nghiệp vụ các ngạch viên chức y tế điều dưỡng</v>
          </cell>
          <cell r="H43" t="str">
            <v>Từ 07:00 đến 11:30 và từ 13:30 đến 17:00 từ thứ hai đến thứ sáu, thời gian trực và làm việc ngoài giờ theo phân công của Lãnh đạo</v>
          </cell>
          <cell r="I43" t="str">
            <v>Cấp cứu</v>
          </cell>
          <cell r="J43" t="str">
            <v>Điều dưỡng khoa Cấp cứu  / HSTC-CĐ</v>
          </cell>
          <cell r="K43" t="str">
            <v>Điều dưỡng khoa HSTC-CĐ</v>
          </cell>
          <cell r="L43">
            <v>0</v>
          </cell>
        </row>
        <row r="44">
          <cell r="A44" t="str">
            <v>BV0899</v>
          </cell>
          <cell r="B44">
            <v>35</v>
          </cell>
          <cell r="C44" t="str">
            <v>003801/LS-CCHN</v>
          </cell>
          <cell r="D44" t="str">
            <v>Lăng Thị Lỷ</v>
          </cell>
          <cell r="E44" t="str">
            <v>003801/LS-CCHN</v>
          </cell>
          <cell r="F44" t="str">
            <v>21/07/2020</v>
          </cell>
          <cell r="G44" t="str">
            <v>Thực hiện phạm vi hoạt động chuyên môn theo quy định tại Thông tư số 26/2015/TTLT-BYT-BNV ngày 07/10/2015 quy định mã số, tiêu chuẩn chức danh nghề nghiệp điều dưỡng, hộ sinh, kỹ thuật y</v>
          </cell>
          <cell r="H44" t="str">
            <v>Từ 07:00 đến 11:30 và từ 13:30 đến 17:00 từ thứ hai đến thứ sáu, thời gian trực và làm việc ngoài giờ theo phân công của Lãnh đạo</v>
          </cell>
          <cell r="I44" t="str">
            <v>Cấp cứu</v>
          </cell>
          <cell r="J44" t="str">
            <v>Điều dưỡng khoa Cấp cứu.</v>
          </cell>
          <cell r="K44" t="str">
            <v>Điều dưỡng khoa Cấp cứu</v>
          </cell>
          <cell r="L44">
            <v>0</v>
          </cell>
        </row>
        <row r="45">
          <cell r="A45" t="str">
            <v>BV0872</v>
          </cell>
          <cell r="B45">
            <v>36</v>
          </cell>
          <cell r="C45" t="str">
            <v>003717/LS-CCHN</v>
          </cell>
          <cell r="D45" t="str">
            <v>Dương Thị Thời</v>
          </cell>
          <cell r="E45" t="str">
            <v>003717/LS-CCHN</v>
          </cell>
          <cell r="F45" t="str">
            <v>22/05/2020</v>
          </cell>
          <cell r="G45" t="str">
            <v>Thực hiện phạm vi hoạt động chuyên môn theo quy định tại Thông tư số 26/2015/TTLT-BYT-BNV ngày 07/10/2015 quy định mã số, tiêu chuẩn chức danh nghề nghiệp điều dưỡng, hộ sinh, kỹ thuật y</v>
          </cell>
          <cell r="H45" t="str">
            <v>Từ 07:00 đến 11:30 và từ 13:30 đến 17:00 từ thứ hai đến thứ sáu, thời gian trực và làm việc ngoài giờ theo phân công của Lãnh đạo</v>
          </cell>
          <cell r="I45" t="str">
            <v>Cấp cứu</v>
          </cell>
          <cell r="J45" t="str">
            <v>Điều dưỡng khoa Cấp cứu.</v>
          </cell>
          <cell r="K45" t="str">
            <v>Điều dưỡng khoa Cấp cứu</v>
          </cell>
          <cell r="L45">
            <v>0</v>
          </cell>
        </row>
        <row r="46">
          <cell r="A46" t="str">
            <v>BV0721</v>
          </cell>
          <cell r="B46">
            <v>37</v>
          </cell>
          <cell r="C46" t="str">
            <v>002164/LS-CCHN</v>
          </cell>
          <cell r="D46" t="str">
            <v>Phương Trung Hữu</v>
          </cell>
          <cell r="E46" t="str">
            <v>002164/LS-CCHN</v>
          </cell>
          <cell r="F46" t="str">
            <v>29/12/2017</v>
          </cell>
          <cell r="G46" t="str">
            <v>Thực hiện phạm vi hoạt động chuyên môn theo quy định tại Thông tư số 26/2015/TTLT-BYT-BNV ngày 07/10/2015 quy định mã số, tiêu chuẩn chức danh nghề nghiệp điều dưỡng, hộ sinh, kỹ thuật y</v>
          </cell>
          <cell r="H46" t="str">
            <v>Từ 07:00 đến 11:30 và từ 13:30 đến 17:00 từ thứ hai đến thứ sáu, thời gian trực và làm việc ngoài giờ theo phân công của Lãnh đạo</v>
          </cell>
          <cell r="I46" t="str">
            <v>Cấp cứu</v>
          </cell>
          <cell r="J46" t="str">
            <v>Điều dưỡng khoa Cấp cứu.</v>
          </cell>
          <cell r="K46" t="str">
            <v>Điều dưỡng khoa Cấp cứu</v>
          </cell>
          <cell r="L46">
            <v>0</v>
          </cell>
        </row>
        <row r="47">
          <cell r="A47" t="str">
            <v>BV1074</v>
          </cell>
          <cell r="B47">
            <v>38</v>
          </cell>
          <cell r="C47" t="str">
            <v>004406/LS-CCHN</v>
          </cell>
          <cell r="D47" t="str">
            <v>Nông Thị Điệp</v>
          </cell>
          <cell r="E47" t="str">
            <v>004406/LS-CCHN</v>
          </cell>
          <cell r="F47" t="str">
            <v>20/12/2021</v>
          </cell>
          <cell r="G47" t="str">
            <v>Thực hiện phạm vi hoạt động chuyên môn theo quy định tại Thông tư số 26/2015/TTLT-BYT-BNV ngày 07/10/2015 quy định mã số, tiêu chuẩn chức danh nghề nghiệp điều dưỡng, hộ sinh, kỹ thuật y</v>
          </cell>
          <cell r="H47" t="str">
            <v>Từ 07:00 đến 11:30 và từ 13:30 đến 17:00 từ thứ hai đến thứ sáu, thời gian trực và làm việc ngoài giờ theo phân công của Lãnh đạo</v>
          </cell>
          <cell r="I47" t="str">
            <v>Cấp cứu</v>
          </cell>
          <cell r="J47" t="str">
            <v>Điều dưỡng khoa Cấp cứu / Ngoại TK-LN / P. Điều dưỡng</v>
          </cell>
          <cell r="K47" t="str">
            <v>Điều dưỡng khoa Cấp cứu / Ngoại TK-LN / P. Điều dưỡng</v>
          </cell>
          <cell r="L47">
            <v>0</v>
          </cell>
        </row>
        <row r="48">
          <cell r="A48" t="str">
            <v>BV1073</v>
          </cell>
          <cell r="B48">
            <v>39</v>
          </cell>
          <cell r="C48" t="str">
            <v>004397/LS-CCHN</v>
          </cell>
          <cell r="D48" t="str">
            <v>Hà Mạnh Chí</v>
          </cell>
          <cell r="E48" t="str">
            <v>004397/LS-CCHN</v>
          </cell>
          <cell r="F48" t="str">
            <v>20/12/2021</v>
          </cell>
          <cell r="G48" t="str">
            <v>Thực hiện phạm vi hoạt động chuyên môn theo quy định tại Thông tư số 26/2015/TTLT-BYT-BNV ngày 07/10/2015 quy định mã số, tiêu chuẩn chức danh nghề nghiệp điều dưỡng, hộ sinh, kỹ thuật y</v>
          </cell>
          <cell r="H48" t="str">
            <v>Từ 07:00 đến 11:30 và từ 13:30 đến 17:00 từ thứ hai đến thứ sáu, thời gian trực và làm việc ngoài giờ theo phân công của Lãnh đạo</v>
          </cell>
          <cell r="I48" t="str">
            <v>Cấp cứu</v>
          </cell>
          <cell r="J48" t="str">
            <v>Điều dưỡng khoa Cấp cứu / Ngoại TK-LN / P. Điều dưỡng</v>
          </cell>
          <cell r="K48" t="str">
            <v>Điều dưỡng khoa Cấp cứu / Ngoại TK-LN / P. Điều dưỡng</v>
          </cell>
          <cell r="L48">
            <v>0</v>
          </cell>
        </row>
        <row r="49">
          <cell r="A49" t="str">
            <v>BV1058</v>
          </cell>
          <cell r="B49">
            <v>40</v>
          </cell>
          <cell r="C49" t="str">
            <v>004405/LS-CCHN</v>
          </cell>
          <cell r="D49" t="str">
            <v>Nguyễn Thị Linh</v>
          </cell>
          <cell r="E49" t="str">
            <v>004405/LS-CCHN</v>
          </cell>
          <cell r="F49" t="str">
            <v>20/12/2021</v>
          </cell>
          <cell r="G49" t="str">
            <v>Thực hiện phạm vi hoạt động chuyên môn theo quy định tại Thông tư số 26/2015/TTLT-BYT-BNV ngày 07/10/2015 quy định mã số, tiêu chuẩn chức danh nghề nghiệp điều dưỡng, hộ sinh, kỹ thuật y</v>
          </cell>
          <cell r="H49" t="str">
            <v>Từ 07:00 đến 11:30 và từ 13:30 đến 17:00 từ thứ hai đến thứ sáu, thời gian trực và làm việc ngoài giờ theo phân công của Lãnh đạo</v>
          </cell>
          <cell r="I49" t="str">
            <v>Cấp cứu</v>
          </cell>
          <cell r="J49" t="str">
            <v>Điều dưỡng khoa Cấp cứu.</v>
          </cell>
          <cell r="K49" t="str">
            <v>Điều dưỡng khoa Cấp cứu</v>
          </cell>
          <cell r="L49">
            <v>0</v>
          </cell>
        </row>
        <row r="50">
          <cell r="A50" t="str">
            <v>BV1076</v>
          </cell>
          <cell r="B50">
            <v>41</v>
          </cell>
          <cell r="C50" t="str">
            <v>004391/LS-CCHN</v>
          </cell>
          <cell r="D50" t="str">
            <v>Phùng Trung Đức</v>
          </cell>
          <cell r="E50" t="str">
            <v>004391/LS-CCHN</v>
          </cell>
          <cell r="F50" t="str">
            <v>20/12/2021</v>
          </cell>
          <cell r="G50" t="str">
            <v>Thực hiện phạm vi hoạt động chuyên môn theo quy định tại Thông tư số 26/2015/TTLT-BYT-BNV ngày 07/10/2015 quy định mã số, tiêu chuẩn chức danh nghề nghiệp điều dưỡng, hộ sinh, kỹ thuật y</v>
          </cell>
          <cell r="H50" t="str">
            <v>Từ 07:00 đến 11:30 và từ 13:30 đến 17:00 từ thứ hai đến thứ sáu, thời gian trực và làm việc ngoài giờ theo phân công của Lãnh đạo</v>
          </cell>
          <cell r="I50" t="str">
            <v>Cấp cứu</v>
          </cell>
          <cell r="J50" t="str">
            <v>Điều dưỡng khoa Cấp cứu / Ngoại Thận - Tiết niệu / P. Điều dưỡng</v>
          </cell>
          <cell r="K50" t="str">
            <v>Điều dưỡng khoa Cấp cứu / Ngoại Thận - Tiết niệu / P. Điều dưỡng</v>
          </cell>
          <cell r="L50">
            <v>0</v>
          </cell>
        </row>
        <row r="51">
          <cell r="A51" t="str">
            <v>BV1057</v>
          </cell>
          <cell r="B51">
            <v>42</v>
          </cell>
          <cell r="C51" t="str">
            <v>004396/LS-CCHN</v>
          </cell>
          <cell r="D51" t="str">
            <v>Phạm Thị Thảo Uyên</v>
          </cell>
          <cell r="E51" t="str">
            <v>004396/LS-CCHN</v>
          </cell>
          <cell r="F51" t="str">
            <v>20/12/2021</v>
          </cell>
          <cell r="G51" t="str">
            <v>Thực hiện phạm vi hoạt động chuyên môn theo quy định tại Thông tư số 26/2015/TTLT-BYT-BNV ngày 07/10/2015 quy định mã số, tiêu chuẩn chức danh nghề nghiệp điều dưỡng, hộ sinh, kỹ thuật y</v>
          </cell>
          <cell r="H51" t="str">
            <v>Từ 07:00 đến 11:30 và từ 13:30 đến 17:00 từ thứ hai đến thứ sáu, thời gian trực và làm việc ngoài giờ theo phân công của Lãnh đạo</v>
          </cell>
          <cell r="I51" t="str">
            <v>Cấp cứu</v>
          </cell>
          <cell r="J51" t="str">
            <v>Điều dưỡng khoa Cấp cứu.</v>
          </cell>
          <cell r="K51" t="str">
            <v>Điều dưỡng khoa Cấp cứu</v>
          </cell>
          <cell r="L51">
            <v>0</v>
          </cell>
        </row>
        <row r="52">
          <cell r="A52" t="str">
            <v>BV0060</v>
          </cell>
          <cell r="B52">
            <v>43</v>
          </cell>
          <cell r="C52" t="str">
            <v>000781/LS-CCHN</v>
          </cell>
          <cell r="D52" t="str">
            <v>Bế Thị Thắm</v>
          </cell>
          <cell r="E52" t="str">
            <v>000781/LS-CCHN</v>
          </cell>
          <cell r="F52" t="str">
            <v>24/06/2013</v>
          </cell>
          <cell r="G52" t="str">
            <v>Theo quy định tại Quyết định số 41/2005/QĐ-BNV ngày 22/4/2005 của Bộ trưởng Bộ Nội vụ về việc ban hành tiêu chuẩn nghiệp vụ các ngạch viên chức y tế điều dưỡng</v>
          </cell>
          <cell r="H52" t="str">
            <v>Từ 07:00 đến 11:30 và từ 13:30 đến 17:00 từ thứ hai đến thứ sáu, thời gian trực và làm việc ngoài giờ theo phân công của Lãnh đạo</v>
          </cell>
          <cell r="I52" t="str">
            <v>Cấp cứu</v>
          </cell>
          <cell r="J52" t="str">
            <v>Điều dưỡng khoa Cấp cứu / Nội Tiêu hóa / P. Điều dưỡng</v>
          </cell>
          <cell r="K52" t="str">
            <v>Điều dưỡng khoa Cấp cứu / Nội Tiêu hóa / P. Điều dưỡng</v>
          </cell>
          <cell r="L52">
            <v>0</v>
          </cell>
        </row>
        <row r="53">
          <cell r="A53" t="str">
            <v>BV1194</v>
          </cell>
          <cell r="B53">
            <v>44</v>
          </cell>
          <cell r="C53" t="str">
            <v>005703/LS-CCHN</v>
          </cell>
          <cell r="D53" t="str">
            <v>Lăng Nhật Cương</v>
          </cell>
          <cell r="E53" t="str">
            <v>005703/LS-CCHN</v>
          </cell>
          <cell r="F53" t="str">
            <v>24/10/2023</v>
          </cell>
          <cell r="G53" t="str">
            <v>Thực hiện phạm vi hoạt động chuyên môn theo Thông tư số 26/2015/TTLT-BYT-BNV ngày 07/10/2015 quy định  mã số, tiêu chuẩn chức danh nghề nghiệp, điều dưỡng, hộ sinh, kỹ thuật y</v>
          </cell>
          <cell r="H53" t="str">
            <v>Từ 07:00 đến 11:30 và từ 13:30 đến 17:00 từ thứ hai đến thứ sáu, thời gian trực và làm việc ngoài giờ theo phân công của Lãnh đạo</v>
          </cell>
          <cell r="I53" t="str">
            <v>Cấp cứu</v>
          </cell>
          <cell r="J53" t="str">
            <v>Điều dưỡng khoa cấp cứu / HSTC-CĐ</v>
          </cell>
          <cell r="K53" t="str">
            <v>Điều dưỡng khoa HSTC-CĐ</v>
          </cell>
          <cell r="L53">
            <v>0</v>
          </cell>
        </row>
        <row r="54">
          <cell r="D54" t="str">
            <v>KHOA HỒI SỨC TÍCH CỰC - CHỐNG ĐỘC</v>
          </cell>
          <cell r="I54" t="e">
            <v>#N/A</v>
          </cell>
        </row>
        <row r="55">
          <cell r="A55" t="str">
            <v>BV0096</v>
          </cell>
          <cell r="B55">
            <v>45</v>
          </cell>
          <cell r="C55" t="str">
            <v>000767/LS-CCHN</v>
          </cell>
          <cell r="D55" t="str">
            <v>Hoàng Mạnh Cương</v>
          </cell>
          <cell r="E55" t="str">
            <v>000767/LS-CCHN</v>
          </cell>
          <cell r="F55">
            <v>41449</v>
          </cell>
          <cell r="G55" t="str">
            <v>Khám bệnh, chữa bệnh Hồi sức cấp cứu</v>
          </cell>
          <cell r="H55" t="str">
            <v>Từ 07:00 đến 11:30 và từ 13:30 đến 17:00 từ thứ hai đến thứ sáu, thời gian trực và làm việc ngoài giờ theo phân công của Lãnh đạo</v>
          </cell>
          <cell r="I55" t="str">
            <v>HSTC-CĐ</v>
          </cell>
          <cell r="J55" t="str">
            <v>Bác sĩ khoa Hồi sức tích cực - Chống độc, Phó giám đốc Bệnh viện</v>
          </cell>
          <cell r="K55" t="str">
            <v>Phó giám đốc bác sĩ khoa HSTC-CĐ</v>
          </cell>
          <cell r="L55" t="str">
            <v>Từ 11:40 đến 13:20 và từ 17:10 đến 21:00 thứ hai đến thứ sáu; từ 07:00 đến 21:00 thứ bảy, chủ nhật hằng tuần. Tại Phòng khám chuyên khoa Nội số 5 Bông Lau</v>
          </cell>
        </row>
        <row r="56">
          <cell r="A56" t="str">
            <v>BV0774</v>
          </cell>
          <cell r="B56">
            <v>46</v>
          </cell>
          <cell r="C56" t="str">
            <v>003456/LS-CCHN</v>
          </cell>
          <cell r="D56" t="str">
            <v>Nguyễn Thành Đô</v>
          </cell>
          <cell r="E56" t="str">
            <v>003456/LS-CCHN</v>
          </cell>
          <cell r="F56" t="str">
            <v>17/05/2019</v>
          </cell>
          <cell r="G56" t="str">
            <v>Khám bệnh, chữa bệnh Nội khoa; Hồi sức cấp cứu</v>
          </cell>
          <cell r="H56" t="str">
            <v>Từ 07:00 đến 11:30 và từ 13:30 đến 17:00 từ thứ hai đến thứ sáu, thời gian trực và làm việc ngoài giờ theo phân công của Lãnh đạo</v>
          </cell>
          <cell r="I56" t="str">
            <v>HSTC-CĐ</v>
          </cell>
          <cell r="J56" t="str">
            <v>Bác sĩ khoa Hồi sức tích cực - Chống độc. Phụ trách khoa</v>
          </cell>
          <cell r="K56" t="str">
            <v>Bác sĩ khoa Hồi sức tích cực - Chống độc.</v>
          </cell>
          <cell r="L56">
            <v>0</v>
          </cell>
        </row>
        <row r="57">
          <cell r="A57" t="str">
            <v>BV0773</v>
          </cell>
          <cell r="B57">
            <v>47</v>
          </cell>
          <cell r="C57" t="str">
            <v>003519/LS-CCHN</v>
          </cell>
          <cell r="D57" t="str">
            <v>Dương Tuấn Minh</v>
          </cell>
          <cell r="E57" t="str">
            <v>003519/LS-CCHN</v>
          </cell>
          <cell r="F57" t="str">
            <v>17/07/2019</v>
          </cell>
          <cell r="G57" t="str">
            <v>Khám bệnh, chữa bệnh Nội khoa, Hồi sức cấp cứu</v>
          </cell>
          <cell r="H57" t="str">
            <v>Từ 07:00 đến 11:30 và từ 13:30 đến 17:00 từ thứ hai đến thứ sáu, thời gian trực và làm việc ngoài giờ theo phân công của Lãnh đạo</v>
          </cell>
          <cell r="I57" t="str">
            <v>HSTC-CĐ</v>
          </cell>
          <cell r="J57" t="str">
            <v>Bác sĩ khoa Hồi sức tích cực - Chống độc.</v>
          </cell>
          <cell r="K57" t="str">
            <v>Bác sĩ khoa HSTC-CĐ</v>
          </cell>
          <cell r="L57">
            <v>0</v>
          </cell>
        </row>
        <row r="58">
          <cell r="A58" t="str">
            <v>BV0960</v>
          </cell>
          <cell r="B58">
            <v>48</v>
          </cell>
          <cell r="C58" t="str">
            <v>004295/LS-CCHN</v>
          </cell>
          <cell r="D58" t="str">
            <v>Đào Thị Hồng Nhung</v>
          </cell>
          <cell r="E58" t="str">
            <v>004295/LS-CCHN</v>
          </cell>
          <cell r="F58" t="str">
            <v>20/07/2021</v>
          </cell>
          <cell r="G58" t="str">
            <v>Khám bệnh chữa bệnh Nội khoa</v>
          </cell>
          <cell r="H58" t="str">
            <v>Từ 07:00 đến 11:30 và từ 13:30 đến 17:00 từ thứ hai đến thứ sáu, thời gian trực và làm việc ngoài giờ theo phân công của Lãnh đạo</v>
          </cell>
          <cell r="I58" t="str">
            <v>HSTC-CĐ</v>
          </cell>
          <cell r="J58" t="str">
            <v>Bác sĩ khoa Hồi sức tích cực - Chống độc.</v>
          </cell>
          <cell r="K58" t="str">
            <v>Bác sĩ khoa HSTC-CĐ</v>
          </cell>
          <cell r="L58">
            <v>0</v>
          </cell>
        </row>
        <row r="59">
          <cell r="A59" t="str">
            <v>BV1282</v>
          </cell>
          <cell r="B59">
            <v>49</v>
          </cell>
          <cell r="C59" t="str">
            <v>005668/LS-CCHN</v>
          </cell>
          <cell r="D59" t="str">
            <v>Vi Văn Phong</v>
          </cell>
          <cell r="E59" t="str">
            <v>005668/LS-CCHN</v>
          </cell>
          <cell r="G59" t="str">
            <v>Khám bệnh, chữa bệnh đa khoa</v>
          </cell>
          <cell r="H59" t="str">
            <v>Từ 07:00 đến 11:30 và từ 13:30 đến 17:00 từ thứ hai đến thứ sáu, thời gian trực và làm việc ngoài giờ theo phân công của Lãnh đạo</v>
          </cell>
          <cell r="I59" t="str">
            <v>HSTC-CĐ</v>
          </cell>
          <cell r="J59" t="str">
            <v>Bác sĩ, Khoa Hồi sức tích cực - Chống độc</v>
          </cell>
          <cell r="K59" t="str">
            <v>Bác sĩ khoa HSTC-CĐ</v>
          </cell>
        </row>
        <row r="60">
          <cell r="A60" t="str">
            <v>BV1229</v>
          </cell>
          <cell r="B60">
            <v>50</v>
          </cell>
          <cell r="C60" t="str">
            <v>000040/LS-GPHN</v>
          </cell>
          <cell r="D60" t="str">
            <v>Dương Thị Chang</v>
          </cell>
          <cell r="E60" t="str">
            <v>000040/LS-GPHN</v>
          </cell>
          <cell r="G60" t="str">
            <v>Chuyên khoa Nội khoa</v>
          </cell>
          <cell r="H60" t="str">
            <v>Từ 07:00 đến 11:30 và từ 13:30 đến 17:00 từ thứ hai đến thứ sáu, thời gian trực và làm việc ngoài giờ theo phân công của Lãnh đạo</v>
          </cell>
          <cell r="I60" t="str">
            <v>HSTC-CĐ</v>
          </cell>
          <cell r="J60" t="str">
            <v>Bác sĩ, Khoa Hồi sức tích cực - Chống độc</v>
          </cell>
          <cell r="K60" t="str">
            <v>Bác sĩ khoa HSTC-CĐ</v>
          </cell>
        </row>
        <row r="61">
          <cell r="A61" t="str">
            <v>BV1351</v>
          </cell>
          <cell r="B61">
            <v>5</v>
          </cell>
          <cell r="C61" t="str">
            <v>000399/LS-GPHN</v>
          </cell>
          <cell r="D61" t="str">
            <v>Hoàng Thùy Linh</v>
          </cell>
          <cell r="E61" t="str">
            <v>000399/LS-GPHN</v>
          </cell>
          <cell r="F61">
            <v>45964</v>
          </cell>
          <cell r="G61" t="str">
            <v>Y khoa</v>
          </cell>
          <cell r="H61" t="str">
            <v>Từ 07:00 đến 11:30 và từ 13:30 đến 17:00 từ thứ hai đến thứ sáu, thời gian trực và làm việc ngoài giờ theo phân công của Lãnh đạo</v>
          </cell>
          <cell r="I61" t="str">
            <v>HSTC-CĐ</v>
          </cell>
          <cell r="J61" t="str">
            <v>Bác sĩ khoa Hồi sức tích cực - Chống độc.</v>
          </cell>
          <cell r="K61" t="str">
            <v>Bác sĩ khoa HSTC-CĐ</v>
          </cell>
        </row>
        <row r="62">
          <cell r="A62" t="str">
            <v>BV0940</v>
          </cell>
          <cell r="B62">
            <v>52</v>
          </cell>
          <cell r="C62" t="str">
            <v>004232/LS-CCHN</v>
          </cell>
          <cell r="D62" t="str">
            <v>Vũ Hoàng Đức</v>
          </cell>
          <cell r="E62" t="str">
            <v>004232/LS-CCHN</v>
          </cell>
          <cell r="F62" t="str">
            <v>10/06/2021</v>
          </cell>
          <cell r="G62" t="str">
            <v>Khám bệnh, chữa bệnh Nội khoa, Hồi sức cấp cứu</v>
          </cell>
          <cell r="H62" t="str">
            <v>Từ 07:00 đến 11:30 và từ 13:30 đến 17:00 từ thứ hai đến thứ sáu, thời gian trực và làm việc ngoài giờ theo phân công của Lãnh đạo</v>
          </cell>
          <cell r="I62" t="str">
            <v>HSTC-CĐ</v>
          </cell>
          <cell r="J62" t="str">
            <v>Bác sĩ khoa Hồi sức tích cực - Chống độc.</v>
          </cell>
          <cell r="K62" t="str">
            <v>Bác sĩ khoa HSTC-CĐ</v>
          </cell>
          <cell r="L62">
            <v>0</v>
          </cell>
        </row>
        <row r="63">
          <cell r="A63" t="str">
            <v>BV0053</v>
          </cell>
          <cell r="B63">
            <v>53</v>
          </cell>
          <cell r="C63" t="str">
            <v>000769/LS-CCHN</v>
          </cell>
          <cell r="D63" t="str">
            <v>Lê Thị Hà</v>
          </cell>
          <cell r="E63" t="str">
            <v>000769/LS-CCHN</v>
          </cell>
          <cell r="F63" t="str">
            <v>11/01/2023</v>
          </cell>
          <cell r="G63" t="str">
            <v>Thực hiện phạm vi hoạt động chuyên môn theo Thông tư số 26/2015/TTLT-BYT-BNV ngày 07/10/2015 quy định  mã số, tiêu chuẩn chức danh nghề nghiệp, điều dưỡng, hộ sinh, kỹ thuật y</v>
          </cell>
          <cell r="H63" t="str">
            <v>Từ 07:00 đến 11:30 và từ 13:30 đến 17:00 từ thứ hai đến thứ sáu, thời gian trực và làm việc ngoài giờ theo phân công của Lãnh đạo</v>
          </cell>
          <cell r="I63" t="str">
            <v>HSTC-CĐ</v>
          </cell>
          <cell r="J63" t="str">
            <v>Điều dưỡng khoa Hồi sức tích cực - Chống độc; Điều dưỡng trưởng</v>
          </cell>
          <cell r="K63" t="str">
            <v>Điều dưỡng khoa Hồi sức tích cực - Chống độc; Điều dưỡng trưởng</v>
          </cell>
          <cell r="L63">
            <v>0</v>
          </cell>
        </row>
        <row r="64">
          <cell r="A64" t="str">
            <v>BV0072</v>
          </cell>
          <cell r="B64">
            <v>54</v>
          </cell>
          <cell r="C64" t="str">
            <v>001089/LS-CCHN</v>
          </cell>
          <cell r="D64" t="str">
            <v>Nông Văn Lập</v>
          </cell>
          <cell r="E64" t="str">
            <v>001089/LS-CCHN</v>
          </cell>
          <cell r="F64" t="str">
            <v>11/01/2023</v>
          </cell>
          <cell r="G64" t="str">
            <v>Thực hiện phạm vi hoạt động chuyên môn theo Thông tư số 26/2015/TTLT-BYT-BNV ngày 07/10/2015 quy định  mã số, tiêu chuẩn chức danh nghề nghiệp, điều dưỡng, hộ sinh, kỹ thuật y</v>
          </cell>
          <cell r="H64" t="str">
            <v>Từ 07:00 đến 11:30 và từ 13:30 đến 17:00 từ thứ hai đến thứ sáu, thời gian trực và làm việc ngoài giờ theo phân công của Lãnh đạo</v>
          </cell>
          <cell r="I64" t="str">
            <v>HSTC-CĐ</v>
          </cell>
          <cell r="J64" t="str">
            <v>Điều dưỡng khoa Hồi sức tích cực - Chống độc.</v>
          </cell>
          <cell r="K64" t="str">
            <v>Điều dưỡng khoa HSTC-CĐ</v>
          </cell>
          <cell r="L64">
            <v>0</v>
          </cell>
        </row>
        <row r="65">
          <cell r="A65" t="str">
            <v>BV0833</v>
          </cell>
          <cell r="B65">
            <v>55</v>
          </cell>
          <cell r="C65" t="str">
            <v>003672/LS-CCHN</v>
          </cell>
          <cell r="D65" t="str">
            <v>Nông Thị Khánh Linh</v>
          </cell>
          <cell r="E65" t="str">
            <v>003672/LS-CCHN</v>
          </cell>
          <cell r="F65" t="str">
            <v>22/01/2020</v>
          </cell>
          <cell r="G65" t="str">
            <v>Thực hiện phạm vi hoạt động chuyên môn theo quy định tại Thông tư số 26/2015/TTLT-BYT-BNV ngày 07/10/2015 quy định mã số, tiêu chuẩn chức danh nghề nghiệp điều dưỡng, hộ sinh, kỹ thuật y</v>
          </cell>
          <cell r="H65" t="str">
            <v>Từ 07:00 đến 11:30 và từ 13:30 đến 17:00 từ thứ hai đến thứ sáu, thời gian trực và làm việc ngoài giờ theo phân công của Lãnh đạo</v>
          </cell>
          <cell r="I65" t="str">
            <v>HSTC-CĐ</v>
          </cell>
          <cell r="J65" t="str">
            <v>Điều dưỡng khoa Hồi sức tích cực - Chống độc.</v>
          </cell>
          <cell r="K65" t="str">
            <v>Điều dưỡng khoa HSTC-CĐ</v>
          </cell>
          <cell r="L65">
            <v>0</v>
          </cell>
        </row>
        <row r="66">
          <cell r="A66" t="str">
            <v>BV0859</v>
          </cell>
          <cell r="B66">
            <v>56</v>
          </cell>
          <cell r="C66" t="str">
            <v>003721/LS-CCHN</v>
          </cell>
          <cell r="D66" t="str">
            <v>Trần Nhật Lê</v>
          </cell>
          <cell r="E66" t="str">
            <v>003721/LS-CCHN</v>
          </cell>
          <cell r="F66" t="str">
            <v>22/05/2020</v>
          </cell>
          <cell r="G66" t="str">
            <v>Thực hiện phạm vi hoạt động chuyên môn theo quy định tại Thông tư số 26/2015/TTLT-BYT-BNV ngày 07/10/2015 quy định mã số, tiêu chuẩn chức danh nghề nghiệp điều dưỡng, hộ sinh, kỹ thuật y</v>
          </cell>
          <cell r="H66" t="str">
            <v>Từ 07:00 đến 11:30 và từ 13:30 đến 17:00 từ thứ hai đến thứ sáu, thời gian trực và làm việc ngoài giờ theo phân công của Lãnh đạo</v>
          </cell>
          <cell r="I66" t="str">
            <v>HSTC-CĐ</v>
          </cell>
          <cell r="J66" t="str">
            <v>Điều dưỡng khoa Hồi sức tích cực - Chống độc.</v>
          </cell>
          <cell r="K66" t="str">
            <v>Điều dưỡng khoa HSTC-CĐ</v>
          </cell>
          <cell r="L66">
            <v>0</v>
          </cell>
        </row>
        <row r="67">
          <cell r="A67" t="str">
            <v>BV0860</v>
          </cell>
          <cell r="B67">
            <v>57</v>
          </cell>
          <cell r="C67" t="str">
            <v>002078/LS-CCHN</v>
          </cell>
          <cell r="D67" t="str">
            <v>Hoàng Quang Thụy</v>
          </cell>
          <cell r="E67" t="str">
            <v>002078/LS-CCHN</v>
          </cell>
          <cell r="F67" t="str">
            <v>29/08/2017</v>
          </cell>
          <cell r="G67" t="str">
            <v>Thực hiện phạm vi hoạt động chuyên môn theo quy định tại Thông tư số 26/2015/TTLT-BYT-BNV ngày 07/10/2015 quy định mã số, tiêu chuẩn chức danh nghề nghiệp điều dưỡng, hộ sinh, kỹ thuật y</v>
          </cell>
          <cell r="H67" t="str">
            <v>Từ 07:00 đến 11:30 và từ 13:30 đến 17:00 từ thứ hai đến thứ sáu, thời gian trực và làm việc ngoài giờ theo phân công của Lãnh đạo</v>
          </cell>
          <cell r="I67" t="str">
            <v>HSTC-CĐ</v>
          </cell>
          <cell r="J67" t="str">
            <v>Điều dưỡng khoa Hồi sức tích cực - Chống độc.</v>
          </cell>
          <cell r="K67" t="str">
            <v>Điều dưỡng khoa HSTC-CĐ</v>
          </cell>
          <cell r="L67">
            <v>0</v>
          </cell>
        </row>
        <row r="68">
          <cell r="A68" t="str">
            <v>BV0057</v>
          </cell>
          <cell r="B68">
            <v>58</v>
          </cell>
          <cell r="C68" t="str">
            <v>000773/LS-CCHN</v>
          </cell>
          <cell r="D68" t="str">
            <v>Bế Thị Quyên</v>
          </cell>
          <cell r="E68" t="str">
            <v>000773/LS-CCHN</v>
          </cell>
          <cell r="F68" t="str">
            <v>11/01/2023</v>
          </cell>
          <cell r="G68" t="str">
            <v>Thực hiện phạm vi hoạt động chuyên môn theo Thông tư số 26/2015/TTLT-BYT-BNV ngày 07/10/2015 quy định  mã số, tiêu chuẩn chức danh nghề nghiệp, điều dưỡng, hộ sinh, kỹ thuật y</v>
          </cell>
          <cell r="H68" t="str">
            <v>Từ 07:00 đến 11:30 và từ 13:30 đến 17:00 từ thứ hai đến thứ sáu, thời gian trực và làm việc ngoài giờ theo phân công của Lãnh đạo</v>
          </cell>
          <cell r="I68" t="str">
            <v>HSTC-CĐ</v>
          </cell>
          <cell r="J68" t="str">
            <v>Điều dưỡng khoa Hồi sức tích cực - Chống độc.</v>
          </cell>
          <cell r="K68" t="str">
            <v>Điều dưỡng khoa HSTC-CĐ</v>
          </cell>
          <cell r="L68">
            <v>0</v>
          </cell>
        </row>
        <row r="69">
          <cell r="A69" t="str">
            <v>BV0054</v>
          </cell>
          <cell r="B69">
            <v>59</v>
          </cell>
          <cell r="C69" t="str">
            <v>000771/LS-CCHN</v>
          </cell>
          <cell r="D69" t="str">
            <v>Lương Thị Thuyên</v>
          </cell>
          <cell r="E69" t="str">
            <v>000771/LS-CCHN</v>
          </cell>
          <cell r="F69" t="str">
            <v>11/01/2023</v>
          </cell>
          <cell r="G69" t="str">
            <v>Thực hiện phạm vi hoạt động chuyên môn theo Thông tư số 26/2015/TTLT-BYT-BNV ngày 07/10/2015 quy định  mã số, tiêu chuẩn chức danh nghề nghiệp, điều dưỡng, hộ sinh, kỹ thuật y</v>
          </cell>
          <cell r="H69" t="str">
            <v>Từ 07:00 đến 11:30 và từ 13:30 đến 17:00 từ thứ hai đến thứ sáu, thời gian trực và làm việc ngoài giờ theo phân công của Lãnh đạo</v>
          </cell>
          <cell r="I69" t="str">
            <v>HSTC-CĐ</v>
          </cell>
          <cell r="J69" t="str">
            <v>Điều dưỡng khoa Hồi sức tích cực - Chống độc.</v>
          </cell>
          <cell r="K69" t="str">
            <v>Điều dưỡng khoa HSTC-CĐ</v>
          </cell>
          <cell r="L69">
            <v>0</v>
          </cell>
        </row>
        <row r="70">
          <cell r="A70" t="str">
            <v>BV0967</v>
          </cell>
          <cell r="B70">
            <v>60</v>
          </cell>
          <cell r="C70" t="str">
            <v>004302/LS-CCHN</v>
          </cell>
          <cell r="D70" t="str">
            <v>Đàm Quốc Huỳnh</v>
          </cell>
          <cell r="E70" t="str">
            <v>004302/LS-CCHN</v>
          </cell>
          <cell r="F70" t="str">
            <v>20/07/2021</v>
          </cell>
          <cell r="G70" t="str">
            <v>Thực hiện phạm vi hoạt động chuyên môn theo quy định tại Thông tư số 26/2015/TTLT-BYT-BNV ngày 07/10/2015 quy định mã số, tiêu chuẩn chức danh nghề nghiệp điều dưỡng, hộ sinh, kỹ thuật y</v>
          </cell>
          <cell r="H70" t="str">
            <v>Từ 07:00 đến 11:30 và từ 13:30 đến 17:00 từ thứ hai đến thứ sáu, thời gian trực và làm việc ngoài giờ theo phân công của Lãnh đạo</v>
          </cell>
          <cell r="I70" t="str">
            <v>HSTC-CĐ</v>
          </cell>
          <cell r="J70" t="str">
            <v>Điều dưỡng khoa Hồi sức tích cực - Chống độc.</v>
          </cell>
          <cell r="K70" t="str">
            <v>Điều dưỡng khoa HSTC-CĐ</v>
          </cell>
          <cell r="L70">
            <v>0</v>
          </cell>
        </row>
        <row r="71">
          <cell r="A71" t="str">
            <v>BV0717</v>
          </cell>
          <cell r="B71">
            <v>61</v>
          </cell>
          <cell r="C71" t="str">
            <v>003317/LS-CCHN</v>
          </cell>
          <cell r="D71" t="str">
            <v>Nguyễn Tiến Hưng</v>
          </cell>
          <cell r="E71" t="str">
            <v>003317/LS-CCHN</v>
          </cell>
          <cell r="F71" t="str">
            <v>28/06/2018</v>
          </cell>
          <cell r="G71" t="str">
            <v>Thực hiện phạm vi hoạt động chuyên môn theo quy định tại Thông tư số 26/2015/TTLT-BYT-BNV ngày 07/10/2015 quy định mã số, tiêu chuẩn chức danh nghề nghiệp điều dưỡng, hộ sinh, kỹ thuật y</v>
          </cell>
          <cell r="H71" t="str">
            <v>Từ 07:00 đến 11:30 và từ 13:30 đến 17:00 từ thứ hai đến thứ sáu, thời gian trực và làm việc ngoài giờ theo phân công của Lãnh đạo</v>
          </cell>
          <cell r="I71" t="str">
            <v>HSTC-CĐ</v>
          </cell>
          <cell r="J71" t="str">
            <v>Điều dưỡng khoa Hồi sức tích cực - Chống độc.</v>
          </cell>
          <cell r="K71" t="str">
            <v>Điều dưỡng khoa HSTC-CĐ</v>
          </cell>
          <cell r="L71">
            <v>0</v>
          </cell>
        </row>
        <row r="72">
          <cell r="A72" t="str">
            <v>BV0714</v>
          </cell>
          <cell r="B72">
            <v>62</v>
          </cell>
          <cell r="C72" t="str">
            <v>003316/LS-CCHN</v>
          </cell>
          <cell r="D72" t="str">
            <v>Lương Thị Ly</v>
          </cell>
          <cell r="E72" t="str">
            <v>003316/LS-CCHN</v>
          </cell>
          <cell r="F72" t="str">
            <v>28/06/2018</v>
          </cell>
          <cell r="G72" t="str">
            <v>Thực hiện phạm vi hoạt động chuyên môn theo quy định tại Thông tư số 26/2015/TTLT-BYT-BNV ngày 07/10/2015 quy định mã số, tiêu chuẩn chức danh nghề nghiệp điều dưỡng, hộ sinh, kỹ thuật y</v>
          </cell>
          <cell r="H72" t="str">
            <v>Từ 07:00 đến 11:30 và từ 13:30 đến 17:00 từ thứ hai đến thứ sáu, thời gian trực và làm việc ngoài giờ theo phân công của Lãnh đạo</v>
          </cell>
          <cell r="I72" t="str">
            <v>HSTC-CĐ</v>
          </cell>
          <cell r="J72" t="str">
            <v>Điều dưỡng khoa Hồi sức tích cực - Chống độc.</v>
          </cell>
          <cell r="K72" t="str">
            <v>Điều dưỡng khoa HSTC-CĐ</v>
          </cell>
          <cell r="L72">
            <v>0</v>
          </cell>
        </row>
        <row r="73">
          <cell r="A73" t="str">
            <v>BV0715</v>
          </cell>
          <cell r="B73">
            <v>63</v>
          </cell>
          <cell r="C73" t="str">
            <v>003347/LS-CCHN</v>
          </cell>
          <cell r="D73" t="str">
            <v>Đoàn Thanh Thủy</v>
          </cell>
          <cell r="E73" t="str">
            <v>003347/LS-CCHN</v>
          </cell>
          <cell r="F73" t="str">
            <v>17/08/2018</v>
          </cell>
          <cell r="G73" t="str">
            <v>Thực hiện phạm vi hoạt động chuyên môn theo quy định tại Thông tư số 26/2015/TTLT-BYT-BNV ngày 07/10/2015 quy định mã số, tiêu chuẩn chức danh nghề nghiệp điều dưỡng, hộ sinh, kỹ thuật y</v>
          </cell>
          <cell r="H73" t="str">
            <v>Từ 07:00 đến 11:30 và từ 13:30 đến 17:00 từ thứ hai đến thứ sáu, thời gian trực và làm việc ngoài giờ theo phân công của Lãnh đạo</v>
          </cell>
          <cell r="I73" t="str">
            <v>HSTC-CĐ</v>
          </cell>
          <cell r="J73" t="str">
            <v>Điều dưỡng khoa Hồi sức tích cực - Chống độc.</v>
          </cell>
          <cell r="K73" t="str">
            <v>Điều dưỡng khoa HSTC-CĐ</v>
          </cell>
          <cell r="L73">
            <v>0</v>
          </cell>
        </row>
        <row r="74">
          <cell r="A74" t="str">
            <v>BV0082</v>
          </cell>
          <cell r="B74">
            <v>64</v>
          </cell>
          <cell r="C74" t="str">
            <v>000800/LS-CCHN</v>
          </cell>
          <cell r="D74" t="str">
            <v>Hà Thị Kiều Oanh</v>
          </cell>
          <cell r="E74" t="str">
            <v>000800/LS-CCHN</v>
          </cell>
          <cell r="F74" t="str">
            <v>11/01/2023</v>
          </cell>
          <cell r="G74" t="str">
            <v>Thực hiện phạm vi hoạt động chuyên môn theo Thông tư số 26/2015/TTLT-BYT-BNV ngày 07/10/2015 quy định  mã số, tiêu chuẩn chức danh nghề nghiệp, điều dưỡng, hộ sinh, kỹ thuật y</v>
          </cell>
          <cell r="H74" t="str">
            <v>Từ 07:00 đến 11:30 và từ 13:30 đến 17:00 từ thứ hai đến thứ sáu, thời gian trực và làm việc ngoài giờ theo phân công của Lãnh đạo</v>
          </cell>
          <cell r="I74" t="str">
            <v>HSTC-CĐ</v>
          </cell>
          <cell r="J74" t="str">
            <v>Điều dưỡng khoa Hồi sức tích cực - Chống độc.</v>
          </cell>
          <cell r="K74" t="str">
            <v>Điều dưỡng khoa HSTC-CĐ</v>
          </cell>
          <cell r="L74">
            <v>0</v>
          </cell>
        </row>
        <row r="75">
          <cell r="A75" t="str">
            <v>BV0069</v>
          </cell>
          <cell r="B75">
            <v>65</v>
          </cell>
          <cell r="C75" t="str">
            <v>000783/LS-CCHN</v>
          </cell>
          <cell r="D75" t="str">
            <v>Hoàng Thị SLao</v>
          </cell>
          <cell r="E75" t="str">
            <v>000783/LS-CCHN</v>
          </cell>
          <cell r="F75" t="str">
            <v>11/01/2023</v>
          </cell>
          <cell r="G75" t="str">
            <v>Thực hiện phạm vi hoạt động chuyên môn theo Thông tư số 26/2015/TTLT-BYT-BNV ngày 07/10/2015 quy định  mã số, tiêu chuẩn chức danh nghề nghiệp, điều dưỡng, hộ sinh, kỹ thuật y</v>
          </cell>
          <cell r="H75" t="str">
            <v>Từ 07:00 đến 11:30 và từ 13:30 đến 17:00 từ thứ hai đến thứ sáu, thời gian trực và làm việc ngoài giờ theo phân công của Lãnh đạo</v>
          </cell>
          <cell r="I75" t="str">
            <v>HSTC-CĐ</v>
          </cell>
          <cell r="J75" t="str">
            <v>Điều dưỡng khoa Hồi sức tích cực - Chống độc.</v>
          </cell>
          <cell r="K75" t="str">
            <v>Điều dưỡng khoa HSTC-CĐ</v>
          </cell>
          <cell r="L75">
            <v>0</v>
          </cell>
        </row>
        <row r="76">
          <cell r="A76" t="str">
            <v>BV1053</v>
          </cell>
          <cell r="B76">
            <v>66</v>
          </cell>
          <cell r="C76" t="str">
            <v>004234/LS-CCHN</v>
          </cell>
          <cell r="D76" t="str">
            <v>Đỗ Thị Lan Hương</v>
          </cell>
          <cell r="E76" t="str">
            <v>004234/LS-CCHN</v>
          </cell>
          <cell r="F76" t="str">
            <v>10/06/2021</v>
          </cell>
          <cell r="G76" t="str">
            <v>Thực hiện phạm vi hoạt động chuyên môn theo quy định tại Thông tư số 26/2015/TTLT-BYT-BNV ngày 07/10/2015 quy định mã số, tiêu chuẩn chức danh nghề nghiệp điều dưỡng, hộ sinh, kỹ thuật y</v>
          </cell>
          <cell r="H76" t="str">
            <v>Từ 07:00 đến 11:30 và từ 13:30 đến 17:00 từ thứ hai đến thứ sáu, thời gian trực và làm việc ngoài giờ theo phân công của Lãnh đạo</v>
          </cell>
          <cell r="I76" t="str">
            <v>HSTC-CĐ</v>
          </cell>
          <cell r="J76" t="str">
            <v>Điều dưỡng khoa Hồi sức tích cực - Chống độc.</v>
          </cell>
          <cell r="K76" t="str">
            <v>Điều dưỡng khoa HSTC-CĐ</v>
          </cell>
          <cell r="L76">
            <v>0</v>
          </cell>
        </row>
        <row r="77">
          <cell r="A77" t="str">
            <v>BV1052</v>
          </cell>
          <cell r="B77">
            <v>67</v>
          </cell>
          <cell r="C77" t="str">
            <v>004301/LS-CCHN</v>
          </cell>
          <cell r="D77" t="str">
            <v>Hoàng Thị Sao</v>
          </cell>
          <cell r="E77" t="str">
            <v>004301/LS-CCHN</v>
          </cell>
          <cell r="F77" t="str">
            <v>20/07/2021</v>
          </cell>
          <cell r="G77" t="str">
            <v>Thực hiện phạm vi hoạt động chuyên môn theo quy định tại Thông tư số 26/2015/TTLT-BYT-BNV ngày 07/10/2015 quy định mã số, tiêu chuẩn chức danh nghề nghiệp điều dưỡng, hộ sinh, kỹ thuật y</v>
          </cell>
          <cell r="H77" t="str">
            <v>Từ 07:00 đến 11:30 và từ 13:30 đến 17:00 từ thứ hai đến thứ sáu, thời gian trực và làm việc ngoài giờ theo phân công của Lãnh đạo</v>
          </cell>
          <cell r="I77" t="str">
            <v>HSTC-CĐ</v>
          </cell>
          <cell r="J77" t="str">
            <v>Điều dưỡng khoa Hồi sức tích cực - Chống độc.</v>
          </cell>
          <cell r="K77" t="str">
            <v>Điều dưỡng khoa HSTC-CĐ</v>
          </cell>
          <cell r="L77">
            <v>0</v>
          </cell>
        </row>
        <row r="78">
          <cell r="A78" t="str">
            <v>BV1077</v>
          </cell>
          <cell r="B78">
            <v>68</v>
          </cell>
          <cell r="C78" t="str">
            <v>004376/LS-CCHN</v>
          </cell>
          <cell r="D78" t="str">
            <v>Hoàng Ngọc Châm</v>
          </cell>
          <cell r="E78" t="str">
            <v>004376/LS-CCHN</v>
          </cell>
          <cell r="F78" t="str">
            <v>05/11/2021</v>
          </cell>
          <cell r="G78" t="str">
            <v>Thực hiện phạm vi hoạt động chuyên môn theo quy định tại Thông tư số 26/2015/TTLT-BYT-BNV ngày 07/10/2015 quy định mã số, tiêu chuẩn chức danh nghề nghiệp điều dưỡng, hộ sinh, kỹ thuật y</v>
          </cell>
          <cell r="H78" t="str">
            <v>Từ 07:00 đến 11:30 và từ 13:30 đến 17:00 từ thứ hai đến thứ sáu, thời gian trực và làm việc ngoài giờ theo phân công của Lãnh đạo</v>
          </cell>
          <cell r="I78" t="str">
            <v>HSTC-CĐ</v>
          </cell>
          <cell r="J78" t="str">
            <v>Điều dưỡng khoa Hồi sức tích cực - Chống độc.</v>
          </cell>
          <cell r="K78" t="str">
            <v>Điều dưỡng khoa HSTC-CĐ</v>
          </cell>
          <cell r="L78">
            <v>0</v>
          </cell>
        </row>
        <row r="79">
          <cell r="A79" t="str">
            <v>BV1205</v>
          </cell>
          <cell r="B79">
            <v>69</v>
          </cell>
          <cell r="C79" t="str">
            <v>005719/LS-CCHN</v>
          </cell>
          <cell r="D79" t="str">
            <v>Phan Thị Thảo Uyên</v>
          </cell>
          <cell r="E79" t="str">
            <v>005719/LS-CCHN</v>
          </cell>
          <cell r="F79" t="str">
            <v>13/12/2023</v>
          </cell>
          <cell r="G79" t="str">
            <v>Thực hiện phạm vi hoạt động chuyên môn theo Thông tư số 26/2015/TTLT-BYT-BNV ngày 07/10/2015 quy định  mã số, tiêu chuẩn chức danh nghề nghiệp, điều dưỡng, hộ sinh, kỹ thuật y</v>
          </cell>
          <cell r="H79" t="str">
            <v>Từ 07:00 đến 11:30 và từ 13:30 đến 17:00 từ thứ hai đến thứ sáu, thời gian trực và làm việc ngoài giờ theo phân công của Lãnh đạo</v>
          </cell>
          <cell r="I79" t="str">
            <v>HSTC-CĐ</v>
          </cell>
          <cell r="J79" t="str">
            <v>Điều dưỡng khoa Hồi sức tích cực - Chống độc</v>
          </cell>
          <cell r="K79" t="str">
            <v>Điều dưỡng khoa HSTC-CĐ</v>
          </cell>
          <cell r="L79">
            <v>0</v>
          </cell>
        </row>
        <row r="80">
          <cell r="A80" t="str">
            <v>BV1264</v>
          </cell>
          <cell r="B80">
            <v>70</v>
          </cell>
          <cell r="C80" t="str">
            <v>000165/LS-GPHN</v>
          </cell>
          <cell r="D80" t="str">
            <v>Nguyễn Thị Lượng</v>
          </cell>
          <cell r="E80" t="str">
            <v>000165/LS-GPHN</v>
          </cell>
          <cell r="F80">
            <v>45581</v>
          </cell>
          <cell r="G80" t="str">
            <v>Điều dưỡng</v>
          </cell>
          <cell r="H80" t="str">
            <v>Từ 07:00 đến 11:30 và từ 13:30 đến 17:00 từ thứ hai đến thứ sáu, thời gian trực và làm việc ngoài giờ theo phân công của Lãnh đạo</v>
          </cell>
          <cell r="I80" t="str">
            <v>HSTC-CĐ</v>
          </cell>
          <cell r="J80" t="str">
            <v>Điều dưỡng khoa Hồi sức tích cực - Chống độc</v>
          </cell>
          <cell r="K80" t="str">
            <v>Điều dưỡng khoa HSTC-CĐ</v>
          </cell>
        </row>
        <row r="81">
          <cell r="A81" t="str">
            <v>BV1292</v>
          </cell>
          <cell r="C81" t="str">
            <v>000336/LS-GPHN</v>
          </cell>
          <cell r="D81" t="str">
            <v>Trần Thu Hà</v>
          </cell>
          <cell r="E81" t="str">
            <v>000336/LS-GPHN</v>
          </cell>
          <cell r="F81">
            <v>45905</v>
          </cell>
          <cell r="G81" t="str">
            <v>Điều dưỡng</v>
          </cell>
          <cell r="H81" t="str">
            <v>Từ 07:00 đến 11:30 và từ 13:30 đến 17:00 từ thứ hai đến thứ sáu, thời gian trực và làm việc ngoài giờ theo phân công của Lãnh đạo</v>
          </cell>
          <cell r="I81" t="str">
            <v>HSTC-CĐ</v>
          </cell>
          <cell r="J81" t="str">
            <v>Điều dưỡng khoa Hồi sức tích cực - chống độc</v>
          </cell>
          <cell r="K81" t="str">
            <v>Điều dưỡng khoa HSTC-CĐ</v>
          </cell>
        </row>
        <row r="82">
          <cell r="A82" t="str">
            <v>BV0869</v>
          </cell>
          <cell r="C82" t="str">
            <v>003345/LS-CCHN</v>
          </cell>
          <cell r="D82" t="str">
            <v>Lương Thùy Trang</v>
          </cell>
          <cell r="E82" t="str">
            <v>003345/LS-CCHN</v>
          </cell>
          <cell r="F82">
            <v>43329</v>
          </cell>
          <cell r="G82" t="str">
            <v>Điều dưỡng</v>
          </cell>
          <cell r="H82" t="str">
            <v>Từ 07:00 đến 11:30 và từ 13:30 đến 17:00 từ thứ hai đến thứ sáu, thời gian trực và làm việc ngoài giờ theo phân công của Lãnh đạo</v>
          </cell>
          <cell r="I82" t="str">
            <v>HSTC-CĐ</v>
          </cell>
          <cell r="J82" t="str">
            <v>Điều dưỡng khoa HSTC-CĐ</v>
          </cell>
          <cell r="K82" t="str">
            <v>Điều dưỡng khoa HSTC-CĐ</v>
          </cell>
        </row>
        <row r="83">
          <cell r="D83" t="str">
            <v>KHOA LÃO - CƠ XƯƠNG KHỚP</v>
          </cell>
          <cell r="I83" t="e">
            <v>#N/A</v>
          </cell>
        </row>
        <row r="84">
          <cell r="A84" t="str">
            <v>BV0077</v>
          </cell>
          <cell r="B84">
            <v>73</v>
          </cell>
          <cell r="C84" t="str">
            <v>000792/LS-CCHN</v>
          </cell>
          <cell r="D84" t="str">
            <v>Hoàng Thị Minh Hồng</v>
          </cell>
          <cell r="E84" t="str">
            <v>000792/LS-CCHN</v>
          </cell>
          <cell r="F84" t="str">
            <v>11/01/2023</v>
          </cell>
          <cell r="G84" t="str">
            <v>Khám bệnh, chữa bệnh Nội khoa</v>
          </cell>
          <cell r="H84" t="str">
            <v>Từ 07:00 đến 11:30 và từ 13:30 đến 17:00 từ thứ hai đến thứ sáu, thời gian trực và làm việc ngoài giờ theo phân công của Lãnh đạo</v>
          </cell>
          <cell r="I84" t="str">
            <v>Lão - CXK</v>
          </cell>
          <cell r="J84" t="str">
            <v>Bác sĩ khoa Lão - Cơ xương khớp - Phó trưởng khoa.</v>
          </cell>
          <cell r="K84" t="str">
            <v>Bác sĩ khoa Lão - Cơ xương khớp - Phó trưởng khoa.</v>
          </cell>
          <cell r="L84">
            <v>0</v>
          </cell>
        </row>
        <row r="85">
          <cell r="A85" t="str">
            <v>BV1285</v>
          </cell>
          <cell r="B85">
            <v>74</v>
          </cell>
          <cell r="C85" t="str">
            <v>000080/LS-GPHN</v>
          </cell>
          <cell r="D85" t="str">
            <v>Hoàng Hải Yến</v>
          </cell>
          <cell r="E85" t="str">
            <v>000080/LS-GPHN</v>
          </cell>
          <cell r="G85" t="str">
            <v>Chuyên khoa Nội khoa</v>
          </cell>
          <cell r="H85" t="str">
            <v>Từ 07:00 đến 11:30 và từ 13:30 đến 17:00 từ thứ hai đến thứ sáu, thời gian trực và làm việc ngoài giờ theo phân công của Lãnh đạo</v>
          </cell>
          <cell r="I85" t="str">
            <v>Lão - CXK</v>
          </cell>
          <cell r="J85" t="str">
            <v>Bác sĩ, khoa Lão - Cơ xương khớp</v>
          </cell>
          <cell r="K85" t="str">
            <v>Bác sĩ khoa Lão</v>
          </cell>
        </row>
        <row r="86">
          <cell r="A86" t="str">
            <v>BV1253</v>
          </cell>
          <cell r="B86">
            <v>7</v>
          </cell>
          <cell r="C86" t="str">
            <v>000366/LS-GPHN</v>
          </cell>
          <cell r="D86" t="str">
            <v>Trần Thị Hồng Hạnh</v>
          </cell>
          <cell r="E86" t="str">
            <v>000366/LS-GPHN</v>
          </cell>
          <cell r="F86">
            <v>45926</v>
          </cell>
          <cell r="G86" t="str">
            <v>Y khoa</v>
          </cell>
          <cell r="H86" t="str">
            <v>Từ 07:00 đến 11:30 và từ 13:30 đến 17:00 từ thứ hai đến thứ sáu, thời gian trực và làm việc ngoài giờ theo phân công của Lãnh đạo</v>
          </cell>
          <cell r="I86" t="str">
            <v>Lão - CXK</v>
          </cell>
          <cell r="J86" t="str">
            <v>Bác sĩ khoa Lão - Cơ xương khớp</v>
          </cell>
          <cell r="K86" t="str">
            <v>Bác sĩ khoa Lão</v>
          </cell>
        </row>
        <row r="87">
          <cell r="A87" t="str">
            <v>BV1359</v>
          </cell>
          <cell r="B87">
            <v>3</v>
          </cell>
          <cell r="C87" t="str">
            <v>000028/LS-GPHN</v>
          </cell>
          <cell r="D87" t="str">
            <v>Dương Thị Hồng Hà</v>
          </cell>
          <cell r="E87" t="str">
            <v>000028/LS-GPHN</v>
          </cell>
          <cell r="F87">
            <v>45457</v>
          </cell>
          <cell r="G87" t="str">
            <v>Y khoa</v>
          </cell>
          <cell r="H87" t="str">
            <v>Từ 07:00 đến 11:30 và từ 13:30 đến 17:00 từ thứ hai đến thứ sáu, thời gian trực và làm việc ngoài giờ theo phân công của Lãnh đạo</v>
          </cell>
          <cell r="I87" t="str">
            <v>Lão - CXK</v>
          </cell>
          <cell r="J87" t="str">
            <v>Bác sĩ khoa Lão - Cơ xương khớp</v>
          </cell>
        </row>
        <row r="88">
          <cell r="A88" t="str">
            <v>BV0071</v>
          </cell>
          <cell r="B88">
            <v>77</v>
          </cell>
          <cell r="C88" t="str">
            <v>000754/LS-CCHN</v>
          </cell>
          <cell r="D88" t="str">
            <v>Lành Thị Hồng Vân</v>
          </cell>
          <cell r="E88" t="str">
            <v>000754/LS-CCHN</v>
          </cell>
          <cell r="F88" t="str">
            <v>11/01/2023</v>
          </cell>
          <cell r="G88" t="str">
            <v>Thực hiện phạm vi hoạt động chuyên môn theo Thông tư số 26/2015/TTLT-BYT-BNV ngày 07/10/2015 quy định  mã số, tiêu chuẩn chức danh nghề nghiệp, điều dưỡng, hộ sinh, kỹ thuật y</v>
          </cell>
          <cell r="H88" t="str">
            <v>Từ 07:00 đến 11:30 và từ 13:30 đến 17:00 từ thứ hai đến thứ sáu, thời gian trực và làm việc ngoài giờ theo phân công của Lãnh đạo</v>
          </cell>
          <cell r="I88" t="str">
            <v>Lão - CXK</v>
          </cell>
          <cell r="J88" t="str">
            <v>Điều dưỡng khoa Lão - Cơ xương khớp.</v>
          </cell>
          <cell r="K88" t="str">
            <v>Điều dưỡng khoa Lão</v>
          </cell>
          <cell r="L88">
            <v>0</v>
          </cell>
        </row>
        <row r="89">
          <cell r="A89" t="str">
            <v>BV0210</v>
          </cell>
          <cell r="B89">
            <v>78</v>
          </cell>
          <cell r="C89" t="str">
            <v>000938/LS-CCHN</v>
          </cell>
          <cell r="D89" t="str">
            <v>Hoàng Thị Thu Huyền</v>
          </cell>
          <cell r="E89" t="str">
            <v>000938/LS-CCHN</v>
          </cell>
          <cell r="F89" t="str">
            <v>24/06/2013</v>
          </cell>
          <cell r="G89" t="str">
            <v>Theo quy định tại Quyết định số 41/2005/QĐ-BNV ngày 22/4/2005 của Bộ trưởng Bộ Nội vụ về việc ban hành tiêu chuẩn nghiệp vụ các ngạch viên chức y tế điều dưỡng</v>
          </cell>
          <cell r="H89" t="str">
            <v>Từ 07:00 đến 11:30 và từ 13:30 đến 17:00 từ thứ hai đến thứ sáu, thời gian trực và làm việc ngoài giờ theo phân công của Lãnh đạo</v>
          </cell>
          <cell r="I89" t="str">
            <v>Lão - CXK</v>
          </cell>
          <cell r="J89" t="str">
            <v>Điều dưỡng khoa Lão - Cơ xương khớp- Điều dưỡng trưởng</v>
          </cell>
          <cell r="K89" t="str">
            <v>Điều dưỡng khoa Lão - Cơ xương khớp- Điều dưỡng trưởng</v>
          </cell>
          <cell r="L89">
            <v>0</v>
          </cell>
        </row>
        <row r="90">
          <cell r="A90" t="str">
            <v>BV0716</v>
          </cell>
          <cell r="B90">
            <v>79</v>
          </cell>
          <cell r="C90" t="str">
            <v>003302/LS-CCHN</v>
          </cell>
          <cell r="D90" t="str">
            <v>Hoàng Thị Thao</v>
          </cell>
          <cell r="E90" t="str">
            <v>003302/LS-CCHN</v>
          </cell>
          <cell r="F90" t="str">
            <v>28/06/2018</v>
          </cell>
          <cell r="G90" t="str">
            <v>Thực hiện phạm vi hoạt động chuyên môn theo quy định tại Thông tư số 26/2015/TTLT-BYT-BNV ngày 07/10/2015 quy định mã số, tiêu chuẩn chức danh nghề nghiệp điều dưỡng, hộ sinh, kỹ thuật y</v>
          </cell>
          <cell r="H90" t="str">
            <v>Từ 07:00 đến 11:30 và từ 13:30 đến 17:00 từ thứ hai đến thứ sáu, thời gian trực và làm việc ngoài giờ theo phân công của Lãnh đạo</v>
          </cell>
          <cell r="I90" t="str">
            <v>Lão - CXK</v>
          </cell>
          <cell r="J90" t="str">
            <v>Điều dưỡng khoa Lão - Cơ xương khớp.</v>
          </cell>
          <cell r="K90" t="str">
            <v>Điều dưỡng khoa Lão</v>
          </cell>
          <cell r="L90">
            <v>0</v>
          </cell>
        </row>
        <row r="91">
          <cell r="A91" t="str">
            <v>BV1289</v>
          </cell>
          <cell r="C91" t="str">
            <v>000263/LS-GPHN</v>
          </cell>
          <cell r="D91" t="str">
            <v>Nguyễn Nhật Hạ</v>
          </cell>
          <cell r="E91" t="str">
            <v>000263/LS-GPHN</v>
          </cell>
          <cell r="F91">
            <v>45796</v>
          </cell>
          <cell r="G91" t="str">
            <v>Điều dưỡng</v>
          </cell>
          <cell r="H91" t="str">
            <v>Từ 07:00 đến 11:30 và từ 13:30 đến 17:00 từ thứ hai đến thứ sáu, thời gian trực và làm việc ngoài giờ theo phân công của Lãnh đạo</v>
          </cell>
          <cell r="I91" t="str">
            <v>Lão - CXK</v>
          </cell>
          <cell r="J91" t="str">
            <v>Điều dưỡng khoa Lão - Cơ xương khớp</v>
          </cell>
          <cell r="K91" t="str">
            <v>Điều dưỡng khoa Lão</v>
          </cell>
        </row>
        <row r="92">
          <cell r="A92" t="str">
            <v>BV1327</v>
          </cell>
          <cell r="C92" t="str">
            <v>000270/LS-GPHN</v>
          </cell>
          <cell r="D92" t="str">
            <v>Triệu Phương Huyền</v>
          </cell>
          <cell r="E92" t="str">
            <v>000270/LS-GPHN</v>
          </cell>
          <cell r="F92">
            <v>45796</v>
          </cell>
          <cell r="G92" t="str">
            <v>Điều dưỡng</v>
          </cell>
          <cell r="H92" t="str">
            <v>Từ 07:00 đến 11:30 và từ 13:30 đến 17:00 từ thứ hai đến thứ sáu, thời gian trực và làm việc ngoài giờ theo phân công của Lãnh đạo</v>
          </cell>
          <cell r="I92" t="str">
            <v>Lão - CXK</v>
          </cell>
          <cell r="J92" t="str">
            <v>Điều dưỡng khoa Lão - Cơ xương khớp</v>
          </cell>
          <cell r="K92" t="str">
            <v>Điều dưỡng khoa Lão</v>
          </cell>
        </row>
        <row r="93">
          <cell r="A93" t="str">
            <v>BV0160</v>
          </cell>
          <cell r="B93">
            <v>82</v>
          </cell>
          <cell r="C93" t="str">
            <v>000841/LS-CCHN</v>
          </cell>
          <cell r="D93" t="str">
            <v>Dương Thị Tám</v>
          </cell>
          <cell r="E93" t="str">
            <v>000841/LS-CCHN</v>
          </cell>
          <cell r="G93" t="str">
            <v>Theo quy định tại Quyết định số 41/2005/QĐ-BNV ngày 22/4/2005 của Bộ trưởng Bộ Nội vụ về việc ban hành tiêu chuẩn nghiệp vụ các ngạch viên chức y tế điều dưỡng</v>
          </cell>
          <cell r="H93" t="str">
            <v>Từ 07:00 đến 11:30 và từ 13:30 đến 17:00 từ thứ hai đến thứ sáu, thời gian trực và làm việc ngoài giờ theo phân công của Lãnh đạo</v>
          </cell>
          <cell r="I93" t="str">
            <v>Lão - CXK</v>
          </cell>
          <cell r="J93" t="str">
            <v>Hộ sinh, khoa Lão - Cơ xương khớp</v>
          </cell>
          <cell r="K93" t="str">
            <v>Hộ sinh khoa Lão</v>
          </cell>
        </row>
        <row r="94">
          <cell r="D94" t="str">
            <v>KHOA TÂM THẦN - THẦN KINH</v>
          </cell>
          <cell r="I94" t="e">
            <v>#N/A</v>
          </cell>
        </row>
        <row r="95">
          <cell r="A95" t="str">
            <v>BV0090</v>
          </cell>
          <cell r="B95">
            <v>83</v>
          </cell>
          <cell r="C95" t="str">
            <v>000106/LS-CCHN</v>
          </cell>
          <cell r="D95" t="str">
            <v>Đặng Huy Du</v>
          </cell>
          <cell r="E95" t="str">
            <v>000106/LS-CCHN</v>
          </cell>
          <cell r="F95">
            <v>41088</v>
          </cell>
          <cell r="G95" t="str">
            <v>Khám bệnh, chữa bệnh chuyên khoa Nội tổng hợp; Siêu âm, điện não đồ; Khám bệnh, chữa bệnh chuyên khoa Thần kinh.</v>
          </cell>
          <cell r="H95" t="str">
            <v>Từ 07:00 đến 11:30 và từ 13:30 đến 17:00 từ thứ hai đến thứ sáu, thời gian trực và làm việc ngoài giờ theo phân công của Lãnh đạo</v>
          </cell>
          <cell r="I95" t="str">
            <v>Tâm thần - Thần kinh</v>
          </cell>
          <cell r="J95" t="str">
            <v>Bác sĩ, Phó giám đốc Bệnh viện, phụ trách khoa Tâm thần - Thần kinh</v>
          </cell>
          <cell r="K95" t="str">
            <v>Phó giám đốc; phụ trách khoa TT-TK bác sĩ khoa Tâm thần - Thần kinh</v>
          </cell>
          <cell r="L95">
            <v>0</v>
          </cell>
        </row>
        <row r="96">
          <cell r="A96" t="str">
            <v>BV0190</v>
          </cell>
          <cell r="B96">
            <v>84</v>
          </cell>
          <cell r="C96" t="str">
            <v>000911/LS-CCHN</v>
          </cell>
          <cell r="D96" t="str">
            <v>Trịnh Xuân Trường</v>
          </cell>
          <cell r="E96" t="str">
            <v>000911/LS-CCHN</v>
          </cell>
          <cell r="F96" t="str">
            <v>21/11/2019</v>
          </cell>
          <cell r="G96" t="str">
            <v>Khám bệnh chữa bệnh Nội khoa</v>
          </cell>
          <cell r="H96" t="str">
            <v>Từ 07:00 đến 11:30 và từ 13:30 đến 17:00 từ thứ hai đến thứ sáu, thời gian trực và làm việc ngoài giờ theo phân công của Lãnh đạo</v>
          </cell>
          <cell r="I96" t="str">
            <v>Tâm thần - Thần kinh</v>
          </cell>
          <cell r="J96" t="str">
            <v>Bác sĩ khoa Tâm thần - Thần kinh.</v>
          </cell>
          <cell r="K96" t="str">
            <v>Bác sĩ khoa Tâm thần - Thần kinh</v>
          </cell>
          <cell r="L96">
            <v>0</v>
          </cell>
        </row>
        <row r="97">
          <cell r="A97" t="str">
            <v>BV0132</v>
          </cell>
          <cell r="B97">
            <v>85</v>
          </cell>
          <cell r="C97" t="str">
            <v>000827/LS-CCHN</v>
          </cell>
          <cell r="D97" t="str">
            <v>Hoàng Thị Khảo</v>
          </cell>
          <cell r="E97" t="str">
            <v>000827/LS-CCHN</v>
          </cell>
          <cell r="F97" t="str">
            <v>24/06/2013</v>
          </cell>
          <cell r="G97" t="str">
            <v>Khám bệnh chữa bệnh Nội khoa; chuyên khoa Thần kinh</v>
          </cell>
          <cell r="H97" t="str">
            <v>Từ 07:00 đến 11:30 và từ 13:30 đến 17:00 từ thứ hai đến thứ sáu, thời gian trực và làm việc ngoài giờ theo phân công của Lãnh đạo</v>
          </cell>
          <cell r="I97" t="str">
            <v>Tâm thần - Thần kinh</v>
          </cell>
          <cell r="J97" t="str">
            <v>Bác sĩ khoa Tâm thần - Thần kinh.</v>
          </cell>
          <cell r="K97" t="str">
            <v>Bác sĩ khoa Tâm thần - Thần kinh</v>
          </cell>
          <cell r="L97">
            <v>0</v>
          </cell>
        </row>
        <row r="98">
          <cell r="A98" t="str">
            <v>BV0956</v>
          </cell>
          <cell r="B98">
            <v>86</v>
          </cell>
          <cell r="C98" t="str">
            <v>002936/LS-CCHN</v>
          </cell>
          <cell r="D98" t="str">
            <v>Trịnh Thị Việt Hà</v>
          </cell>
          <cell r="E98" t="str">
            <v>002936/LS-CCHN</v>
          </cell>
          <cell r="F98" t="str">
            <v>13/02/2015</v>
          </cell>
          <cell r="G98" t="str">
            <v>Khám bệnh, chữa bệnh chuyên khoa Tâm thần - Thần kinh</v>
          </cell>
          <cell r="H98" t="str">
            <v>Từ 07:00 đến 11:30 và từ 13:30 đến 17:00 từ thứ hai đến thứ sáu, thời gian trực và làm việc ngoài giờ theo phân công của Lãnh đạo</v>
          </cell>
          <cell r="I98" t="str">
            <v>Tâm thần - Thần kinh</v>
          </cell>
          <cell r="J98" t="str">
            <v>Bác sĩ khoa Tâm thần - Thần kinh - Phó trưởng khoa.</v>
          </cell>
          <cell r="K98" t="str">
            <v>Bác sĩ khoa Tâm thần - Thần kinh - Phó trưởng khoa.</v>
          </cell>
        </row>
        <row r="99">
          <cell r="A99" t="str">
            <v>BV1111</v>
          </cell>
          <cell r="B99">
            <v>87</v>
          </cell>
          <cell r="C99" t="str">
            <v>005495/LS-CCHN</v>
          </cell>
          <cell r="D99" t="str">
            <v>Triệu Đoàn Thùy Linh</v>
          </cell>
          <cell r="E99" t="str">
            <v>005495/LS-CCHN</v>
          </cell>
          <cell r="F99" t="str">
            <v>16/11/2022</v>
          </cell>
          <cell r="G99" t="str">
            <v>Khám bệnh, chữa bệnh chuyên khoa Nội</v>
          </cell>
          <cell r="H99" t="str">
            <v>Từ 07:00 đến 11:30 và từ 13:30 đến 17:00 từ thứ hai đến thứ sáu, thời gian trực và làm việc ngoài giờ theo phân công của Lãnh đạo</v>
          </cell>
          <cell r="I99" t="str">
            <v>Tâm thần - Thần kinh</v>
          </cell>
          <cell r="J99" t="str">
            <v>Bác sĩ khoa Tâm thần - Thần kinh.</v>
          </cell>
          <cell r="K99" t="str">
            <v>Bác sĩ khoa Tâm thần - Thần kinh</v>
          </cell>
          <cell r="L99">
            <v>0</v>
          </cell>
        </row>
        <row r="100">
          <cell r="A100" t="str">
            <v>BV1159</v>
          </cell>
          <cell r="B100">
            <v>88</v>
          </cell>
          <cell r="C100" t="str">
            <v>005588/LS-CCHN</v>
          </cell>
          <cell r="D100" t="str">
            <v>Bùi Thị Thu Hà</v>
          </cell>
          <cell r="E100" t="str">
            <v>005588/LS-CCHN</v>
          </cell>
          <cell r="F100" t="str">
            <v xml:space="preserve"> 15/05/2023</v>
          </cell>
          <cell r="G100" t="str">
            <v>Khám bệnh, chữa bệnh chuyên khoa Nội</v>
          </cell>
          <cell r="H100" t="str">
            <v>Từ 07:00 đến 11:30 và từ 13:30 đến 17:00 từ thứ hai đến thứ sáu, thời gian trực và làm việc ngoài giờ theo phân công của Lãnh đạo</v>
          </cell>
          <cell r="I100" t="str">
            <v>Tâm thần - Thần kinh</v>
          </cell>
          <cell r="J100" t="str">
            <v>Bác sĩ khoa Tâm thần - Thần kinh.</v>
          </cell>
          <cell r="K100" t="str">
            <v>Bác sĩ khoa Tâm thần - Thần kinh</v>
          </cell>
          <cell r="L100">
            <v>0</v>
          </cell>
        </row>
        <row r="101">
          <cell r="A101" t="str">
            <v>BV1232</v>
          </cell>
          <cell r="B101">
            <v>89</v>
          </cell>
          <cell r="C101" t="str">
            <v>000195/LS-GPHN</v>
          </cell>
          <cell r="D101" t="str">
            <v>Hoàng Thu Hoài</v>
          </cell>
          <cell r="E101" t="str">
            <v>000195/LS-GPHN</v>
          </cell>
          <cell r="F101">
            <v>45657</v>
          </cell>
          <cell r="G101" t="str">
            <v>Nội khoa</v>
          </cell>
          <cell r="H101" t="str">
            <v>Từ 07:00 đến 11:30 và từ 13:30 đến 17:00 từ thứ hai đến thứ sáu, thời gian trực và làm việc ngoài giờ theo phân công của Lãnh đạo</v>
          </cell>
          <cell r="I101" t="str">
            <v>Tâm thần - Thần kinh</v>
          </cell>
          <cell r="J101" t="str">
            <v>Bác sĩ khoa Tâm thần - Thần kinh</v>
          </cell>
          <cell r="K101" t="str">
            <v>Bác sĩ khoa Tâm thần - Thần kinh</v>
          </cell>
        </row>
        <row r="102">
          <cell r="A102" t="str">
            <v>BV0102</v>
          </cell>
          <cell r="B102">
            <v>90</v>
          </cell>
          <cell r="C102" t="str">
            <v>000405/LS-CCHN</v>
          </cell>
          <cell r="D102" t="str">
            <v>Vi Thị Hiếu</v>
          </cell>
          <cell r="E102" t="str">
            <v>000405/LS-CCHN</v>
          </cell>
          <cell r="F102" t="str">
            <v>11/01/2023</v>
          </cell>
          <cell r="G102" t="str">
            <v>Thực hiện phạm vi hoạt động chuyên môn theo Thông tư số 26/2015/TTLT-BYT-BNV ngày 07/10/2015 quy định  mã số, tiêu chuẩn chức danh nghề nghiệp, điều dưỡng, hộ sinh, kỹ thuật y</v>
          </cell>
          <cell r="H102" t="str">
            <v>Từ 07:00 đến 11:30 và từ 13:30 đến 17:00 từ thứ hai đến thứ sáu, thời gian trực và làm việc ngoài giờ theo phân công của Lãnh đạo</v>
          </cell>
          <cell r="I102" t="str">
            <v>Tâm thần - Thần kinh</v>
          </cell>
          <cell r="J102" t="str">
            <v>Điều dưỡng khoa Tâm thần - Thần kinh- Điều dưỡng trưởng</v>
          </cell>
          <cell r="K102" t="str">
            <v>Điều dưỡng khoa Tâm thần - Thần kinh- Điều dưỡng trưởng</v>
          </cell>
          <cell r="L102">
            <v>0</v>
          </cell>
        </row>
        <row r="103">
          <cell r="A103" t="str">
            <v>BV1051</v>
          </cell>
          <cell r="B103">
            <v>91</v>
          </cell>
          <cell r="C103" t="str">
            <v>004307/LS-CCHN</v>
          </cell>
          <cell r="D103" t="str">
            <v>Sầm Thị Minh Thơ</v>
          </cell>
          <cell r="E103" t="str">
            <v>004307/LS-CCHN</v>
          </cell>
          <cell r="F103" t="str">
            <v>20/07/2021</v>
          </cell>
          <cell r="G103" t="str">
            <v>Thực hiện phạm vi hoạt động chuyên môn theo quy định tại Thông tư số 26/2015/TTLT-BYT-BNV ngày 07/10/2015 quy định mã số, tiêu chuẩn chức danh nghề nghiệp điều dưỡng, hộ sinh, kỹ thuật y</v>
          </cell>
          <cell r="H103" t="str">
            <v>Từ 07:00 đến 11:30 và từ 13:30 đến 17:00 từ thứ hai đến thứ sáu, thời gian trực và làm việc ngoài giờ theo phân công của Lãnh đạo</v>
          </cell>
          <cell r="I103" t="str">
            <v>Tâm thần - Thần kinh</v>
          </cell>
          <cell r="J103" t="str">
            <v>Điều dưỡng khoa Tâm thần - Thần kinh.</v>
          </cell>
          <cell r="K103" t="str">
            <v>Điều dưỡng khoa Tâm thần - Thần kinh</v>
          </cell>
          <cell r="L103">
            <v>0</v>
          </cell>
        </row>
        <row r="104">
          <cell r="A104" t="str">
            <v>BV1084</v>
          </cell>
          <cell r="B104">
            <v>92</v>
          </cell>
          <cell r="C104" t="str">
            <v>004543/LS-CCHN</v>
          </cell>
          <cell r="D104" t="str">
            <v>Lộc Thị Chang</v>
          </cell>
          <cell r="E104" t="str">
            <v>004543/LS-CCHN</v>
          </cell>
          <cell r="F104" t="str">
            <v>26/05/2022</v>
          </cell>
          <cell r="G104" t="str">
            <v>Thực hiện phạm vi hoạt động chuyên môn theo quy định tại Thông tư số 26/2015/TTLT-BYT-BNV ngày 07/10/2015 quy định mã số, tiêu chuẩn chức danh nghề nghiệp điều dưỡng, hộ sinh, kỹ thuật y</v>
          </cell>
          <cell r="H104" t="str">
            <v>Từ 07:00 đến 11:30 và từ 13:30 đến 17:00 từ thứ hai đến thứ sáu, thời gian trực và làm việc ngoài giờ theo phân công của Lãnh đạo</v>
          </cell>
          <cell r="I104" t="str">
            <v>Tâm thần - Thần kinh</v>
          </cell>
          <cell r="J104" t="str">
            <v>Điều dưỡng khoa Tâm thần - Thần kinh.</v>
          </cell>
          <cell r="K104" t="str">
            <v>Điều dưỡng khoa Tâm thần - Thần kinh</v>
          </cell>
          <cell r="L104">
            <v>0</v>
          </cell>
        </row>
        <row r="105">
          <cell r="A105" t="str">
            <v>BV0112</v>
          </cell>
          <cell r="B105">
            <v>93</v>
          </cell>
          <cell r="C105" t="str">
            <v>000804/LS-CCHN</v>
          </cell>
          <cell r="D105" t="str">
            <v>Hoàng Thị Mai Vân</v>
          </cell>
          <cell r="E105" t="str">
            <v>000804/LS-CCHN</v>
          </cell>
          <cell r="F105" t="str">
            <v>11/01/2023</v>
          </cell>
          <cell r="G105" t="str">
            <v>Thực hiện phạm vi hoạt động chuyên môn theo Thông tư số 26/2015/TTLT-BYT-BNV ngày 07/10/2015 quy định  mã số, tiêu chuẩn chức danh nghề nghiệp, điều dưỡng, hộ sinh, kỹ thuật y</v>
          </cell>
          <cell r="H105" t="str">
            <v>Từ 07:00 đến 11:30 và từ 13:30 đến 17:00 từ thứ hai đến thứ sáu, thời gian trực và làm việc ngoài giờ theo phân công của Lãnh đạo</v>
          </cell>
          <cell r="I105" t="str">
            <v>Tâm thần - Thần kinh</v>
          </cell>
          <cell r="J105" t="str">
            <v>Điều dưỡng khoa Tâm thần - Thần kinh.</v>
          </cell>
          <cell r="K105" t="str">
            <v>Điều dưỡng khoa Tâm thần - Thần kinh</v>
          </cell>
          <cell r="L105">
            <v>0</v>
          </cell>
        </row>
        <row r="106">
          <cell r="A106" t="str">
            <v>BV0114</v>
          </cell>
          <cell r="B106">
            <v>94</v>
          </cell>
          <cell r="C106" t="str">
            <v>000813/LS-CCHN</v>
          </cell>
          <cell r="D106" t="str">
            <v>Lăng Thị Huệ</v>
          </cell>
          <cell r="E106" t="str">
            <v>000813/LS-CCHN</v>
          </cell>
          <cell r="F106" t="str">
            <v>11/01/2023</v>
          </cell>
          <cell r="G106" t="str">
            <v>Thực hiện phạm vi hoạt động chuyên môn theo Thông tư số 26/2015/TTLT-BYT-BNV ngày 07/10/2015 quy định  mã số, tiêu chuẩn chức danh nghề nghiệp, điều dưỡng, hộ sinh, kỹ thuật y</v>
          </cell>
          <cell r="H106" t="str">
            <v>Từ 07:00 đến 11:30 và từ 13:30 đến 17:00 từ thứ hai đến thứ sáu, thời gian trực và làm việc ngoài giờ theo phân công của Lãnh đạo</v>
          </cell>
          <cell r="I106" t="str">
            <v>Tâm thần - Thần kinh</v>
          </cell>
          <cell r="J106" t="str">
            <v>Điều dưỡng khoa Tâm thần - Thần kinh / Khám bệnh / P. Điều dưỡng</v>
          </cell>
          <cell r="K106" t="str">
            <v>Điều dưỡng khoa Tâm thần - Thần kinh / Khám bệnh / P. Điều dưỡng</v>
          </cell>
          <cell r="L106">
            <v>0</v>
          </cell>
        </row>
        <row r="107">
          <cell r="A107" t="str">
            <v>BV0868</v>
          </cell>
          <cell r="B107">
            <v>95</v>
          </cell>
          <cell r="C107" t="str">
            <v>003675/LS-CCHN</v>
          </cell>
          <cell r="D107" t="str">
            <v>Nguyễn Thị Trang</v>
          </cell>
          <cell r="E107" t="str">
            <v>003675/LS-CCHN</v>
          </cell>
          <cell r="F107" t="str">
            <v>22/01/2020</v>
          </cell>
          <cell r="G107" t="str">
            <v>Thực hiện phạm vi hoạt động chuyên môn theo quy định tại Thông tư số 26/2015/TTLT-BYT-BNV ngày 07/10/2015 quy định mã số, tiêu chuẩn chức danh nghề nghiệp điều dưỡng, hộ sinh, kỹ thuật y</v>
          </cell>
          <cell r="H107" t="str">
            <v>Từ 07:00 đến 11:30 và từ 13:30 đến 17:00 từ thứ hai đến thứ sáu, thời gian trực và làm việc ngoài giờ theo phân công của Lãnh đạo</v>
          </cell>
          <cell r="I107" t="str">
            <v>Tâm thần - Thần kinh</v>
          </cell>
          <cell r="J107" t="str">
            <v>Điều dưỡng khoa Tâm thần - Thần kinh.</v>
          </cell>
          <cell r="K107" t="str">
            <v>Điều dưỡng khoa Tâm thần - Thần kinh</v>
          </cell>
          <cell r="L107">
            <v>0</v>
          </cell>
        </row>
        <row r="108">
          <cell r="A108" t="str">
            <v>BV0901</v>
          </cell>
          <cell r="B108">
            <v>96</v>
          </cell>
          <cell r="C108" t="str">
            <v>004118/LS-CCHN</v>
          </cell>
          <cell r="D108" t="str">
            <v>Hoàng Thị Khuyên</v>
          </cell>
          <cell r="E108" t="str">
            <v>004118/LS-CCHN</v>
          </cell>
          <cell r="F108" t="str">
            <v>08/02/2020</v>
          </cell>
          <cell r="G108" t="str">
            <v>Thực hiện phạm vi hoạt động chuyên môn theo quy định tại Thông tư số 26/2015/TTLT-BYT-BNV ngày 07/10/2015 quy định mã số, tiêu chuẩn chức danh nghề nghiệp điều dưỡng, hộ sinh, kỹ thuật y</v>
          </cell>
          <cell r="H108" t="str">
            <v>Từ 07:00 đến 11:30 và từ 13:30 đến 17:00 từ thứ hai đến thứ sáu, thời gian trực và làm việc ngoài giờ theo phân công của Lãnh đạo</v>
          </cell>
          <cell r="I108" t="str">
            <v>Tâm thần - Thần kinh</v>
          </cell>
          <cell r="J108" t="str">
            <v>Điều dưỡng khoa Tâm thần - Thần kinh.</v>
          </cell>
          <cell r="K108" t="str">
            <v>Điều dưỡng khoa Tâm thần - Thần kinh</v>
          </cell>
          <cell r="L108">
            <v>0</v>
          </cell>
        </row>
        <row r="109">
          <cell r="A109" t="str">
            <v>BV0975</v>
          </cell>
          <cell r="B109">
            <v>97</v>
          </cell>
          <cell r="C109" t="str">
            <v>004156/LS-CCHN</v>
          </cell>
          <cell r="D109" t="str">
            <v>Vi Thị Hoa</v>
          </cell>
          <cell r="E109" t="str">
            <v>004156/LS-CCHN</v>
          </cell>
          <cell r="F109" t="str">
            <v>06/04/2021</v>
          </cell>
          <cell r="G109" t="str">
            <v>Thực hiện phạm vi hoạt động chuyên môn theo quy định tại Thông tư số 26/2015/TTLT-BYT-BNV ngày 07/10/2015 quy định mã số, tiêu chuẩn chức danh nghề nghiệp điều dưỡng, hộ sinh, kỹ thuật y</v>
          </cell>
          <cell r="H109" t="str">
            <v>Từ 07:00 đến 11:30 và từ 13:30 đến 17:00 từ thứ hai đến thứ sáu, thời gian trực và làm việc ngoài giờ theo phân công của Lãnh đạo</v>
          </cell>
          <cell r="I109" t="str">
            <v>Tâm thần - Thần kinh</v>
          </cell>
          <cell r="J109" t="str">
            <v>Điều dưỡng khoa Tâm thần - Thần kinh.</v>
          </cell>
          <cell r="K109" t="str">
            <v>Điều dưỡng khoa Tâm thần - Thần kinh</v>
          </cell>
          <cell r="L109">
            <v>0</v>
          </cell>
        </row>
        <row r="110">
          <cell r="A110" t="str">
            <v>BV1149</v>
          </cell>
          <cell r="B110">
            <v>98</v>
          </cell>
          <cell r="C110" t="str">
            <v>000818/LS-CCHN</v>
          </cell>
          <cell r="D110" t="str">
            <v>Toàn Thu Linh</v>
          </cell>
          <cell r="E110" t="str">
            <v>000818/LS-CCHN</v>
          </cell>
          <cell r="F110" t="str">
            <v>11/01/2023</v>
          </cell>
          <cell r="G110" t="str">
            <v>Thực hiện phạm vi hoạt động chuyên môn theo Thông tư số 26/2015/TTLT-BYT-BNV ngày 07/10/2015 quy định  mã số, tiêu chuẩn chức danh nghề nghiệp, điều dưỡng, hộ sinh, kỹ thuật y</v>
          </cell>
          <cell r="H110" t="str">
            <v>Từ 07:00 đến 11:30 và từ 13:30 đến 17:00 từ thứ hai đến thứ sáu, thời gian trực và làm việc ngoài giờ theo phân công của Lãnh đạo</v>
          </cell>
          <cell r="I110" t="str">
            <v>Tâm thần - Thần kinh</v>
          </cell>
          <cell r="J110" t="str">
            <v>Điều dưỡng khoa Tâm thần - Thần kinh.</v>
          </cell>
          <cell r="K110" t="str">
            <v>Điều dưỡng khoa Tâm thần - Thần kinh</v>
          </cell>
          <cell r="L110">
            <v>0</v>
          </cell>
        </row>
        <row r="111">
          <cell r="A111" t="str">
            <v>BV0109</v>
          </cell>
          <cell r="B111">
            <v>99</v>
          </cell>
          <cell r="C111" t="str">
            <v>000805/LS-CCHN</v>
          </cell>
          <cell r="D111" t="str">
            <v>Đặng Thị Kiều</v>
          </cell>
          <cell r="E111" t="str">
            <v>000805/LS-CCHN</v>
          </cell>
          <cell r="F111" t="str">
            <v>11/01/2023</v>
          </cell>
          <cell r="G111" t="str">
            <v>Thực hiện phạm vi hoạt động chuyên môn theo Thông tư số 26/2015/TTLT-BYT-BNV ngày 07/10/2015 quy định  mã số, tiêu chuẩn chức danh nghề nghiệp, điều dưỡng, hộ sinh, kỹ thuật y</v>
          </cell>
          <cell r="H111" t="str">
            <v>Từ 07:00 đến 11:30 và từ 13:30 đến 17:00 từ thứ hai đến thứ sáu, thời gian trực và làm việc ngoài giờ theo phân công của Lãnh đạo</v>
          </cell>
          <cell r="I111" t="str">
            <v>Tâm thần - Thần kinh</v>
          </cell>
          <cell r="J111" t="str">
            <v>Điều dưỡng khoa Tâm thần - Thần kinh.</v>
          </cell>
          <cell r="K111" t="str">
            <v>Điều dưỡng khoa Tâm thần - Thần kinh</v>
          </cell>
          <cell r="L111">
            <v>0</v>
          </cell>
        </row>
        <row r="112">
          <cell r="A112" t="str">
            <v>BV0103</v>
          </cell>
          <cell r="B112">
            <v>100</v>
          </cell>
          <cell r="C112" t="str">
            <v>003320/LS-CCHN</v>
          </cell>
          <cell r="D112" t="str">
            <v>Nông Văn Đào</v>
          </cell>
          <cell r="E112" t="str">
            <v>003320/LS-CCHN</v>
          </cell>
          <cell r="F112" t="str">
            <v>20/07/2018</v>
          </cell>
          <cell r="G112" t="str">
            <v>Thực hiện phạm vi hoạt động chuyên môn theo quy định tại Thông tư số 26/2015/TTLT-BYT-BNV ngày 07/10/2015 quy định mã số, tiêu chuẩn chức danh nghề nghiệp điều dưỡng, hộ sinh, kỹ thuật y</v>
          </cell>
          <cell r="H112" t="str">
            <v>Từ 07:00 đến 11:30 và từ 13:30 đến 17:00 từ thứ hai đến thứ sáu, thời gian trực và làm việc ngoài giờ theo phân công của Lãnh đạo</v>
          </cell>
          <cell r="I112" t="str">
            <v>Tâm thần - Thần kinh</v>
          </cell>
          <cell r="J112" t="str">
            <v>Điều dưỡng khoa Tâm thần - Thần kinh.</v>
          </cell>
          <cell r="K112" t="str">
            <v>Điều dưỡng khoa Tâm thần - Thần kinh</v>
          </cell>
          <cell r="L112">
            <v>0</v>
          </cell>
        </row>
        <row r="113">
          <cell r="A113" t="str">
            <v>BV1325</v>
          </cell>
          <cell r="C113" t="str">
            <v>000306</v>
          </cell>
          <cell r="D113" t="str">
            <v>Đặng Tuấn Phong</v>
          </cell>
          <cell r="E113" t="str">
            <v>000306</v>
          </cell>
          <cell r="F113">
            <v>45849</v>
          </cell>
          <cell r="G113" t="str">
            <v>Điều dưỡng</v>
          </cell>
          <cell r="H113" t="str">
            <v>Từ 07:00 đến 11:30 và từ 13:30 đến 17:00 từ thứ hai đến thứ sáu, thời gian trực và làm việc ngoài giờ theo phân công của Lãnh đạo</v>
          </cell>
          <cell r="I113" t="str">
            <v>Tâm thần - Thần kinh</v>
          </cell>
          <cell r="J113" t="str">
            <v>Điều dưỡng khoa Tâm thần - Thần kinh / Khám bệnh / P. Điều dưỡng</v>
          </cell>
          <cell r="K113" t="str">
            <v>Điều dưỡng khoa Tâm thần - Thần kinh / Khám bệnh / P. Điều dưỡng</v>
          </cell>
        </row>
        <row r="114">
          <cell r="D114" t="str">
            <v>KHOA NỘI TỔNG HỢP</v>
          </cell>
          <cell r="I114" t="e">
            <v>#N/A</v>
          </cell>
        </row>
        <row r="115">
          <cell r="A115" t="str">
            <v>BV0051</v>
          </cell>
          <cell r="B115">
            <v>4</v>
          </cell>
          <cell r="C115" t="str">
            <v>000543/LS-CCHN</v>
          </cell>
          <cell r="D115" t="str">
            <v>Đỗ Quang Hiếu</v>
          </cell>
          <cell r="E115" t="str">
            <v>000543/LS-CCHN</v>
          </cell>
          <cell r="F115" t="str">
            <v>13/10/2016</v>
          </cell>
          <cell r="G115" t="str">
            <v>Khám bệnh, chữa bệnh Nội khoa, Hồi sức cấp cứu</v>
          </cell>
          <cell r="H115" t="str">
            <v>Từ 07:00 đến 11:30 và từ 13:30 đến 17:00 từ thứ hai đến thứ sáu, thời gian trực và làm việc ngoài giờ theo phân công của Lãnh đạo</v>
          </cell>
          <cell r="I115" t="str">
            <v>Nội Tổng hợp</v>
          </cell>
          <cell r="J115" t="str">
            <v>Bác sĩ, Phụ trách khoa Nội Tổng hợp</v>
          </cell>
          <cell r="K115" t="str">
            <v>Bác sĩ, Phụ trách khoa Nội Tổng hợp</v>
          </cell>
        </row>
        <row r="116">
          <cell r="A116" t="str">
            <v>BV0777</v>
          </cell>
          <cell r="B116">
            <v>103</v>
          </cell>
          <cell r="C116" t="str">
            <v>003440/LS-CCHN</v>
          </cell>
          <cell r="D116" t="str">
            <v>Bế Thị Ly La</v>
          </cell>
          <cell r="E116" t="str">
            <v>003440/LS-CCHN</v>
          </cell>
          <cell r="F116" t="str">
            <v>21/08/2019</v>
          </cell>
          <cell r="G116" t="str">
            <v>Khám bệnh, chữa bệnh Nội khoa</v>
          </cell>
          <cell r="H116" t="str">
            <v>Từ 07:00 đến 11:30 và từ 13:30 đến 17:00 từ thứ hai đến thứ sáu, thời gian trực và làm việc ngoài giờ theo phân công của Lãnh đạo</v>
          </cell>
          <cell r="I116" t="str">
            <v>Nội Tổng hợp</v>
          </cell>
          <cell r="J116" t="str">
            <v>Bác sĩ khoa Nội Tổng hợp.</v>
          </cell>
          <cell r="K116" t="str">
            <v>Bác sĩ khoa Nội Tổng hợp</v>
          </cell>
          <cell r="L116" t="str">
            <v>07:00 đến 11:30 và từ 13:30 đến 17:00 thứ bảy, chủ nhật; Phòng khám đa khoa Trường Sinh</v>
          </cell>
        </row>
        <row r="117">
          <cell r="A117" t="str">
            <v>BV0005</v>
          </cell>
          <cell r="B117">
            <v>104</v>
          </cell>
          <cell r="C117" t="str">
            <v>000428/LS-CCHN</v>
          </cell>
          <cell r="D117" t="str">
            <v>Hoàng Văn Hiệp</v>
          </cell>
          <cell r="E117" t="str">
            <v>000428/LS-CCHN</v>
          </cell>
          <cell r="F117" t="str">
            <v>11/12/2022</v>
          </cell>
          <cell r="G117" t="str">
            <v>Khám bệnh, chữa bệnh Nội khoa</v>
          </cell>
          <cell r="H117" t="str">
            <v>Từ 07:00 đến 11:30 và từ 13:30 đến 17:00 từ thứ hai đến thứ sáu, thời gian trực và làm việc ngoài giờ theo phân công của Lãnh đạo</v>
          </cell>
          <cell r="I117" t="str">
            <v>Nội Tổng hợp</v>
          </cell>
          <cell r="J117" t="str">
            <v>Bác sĩ khoa Nội Tổng hợp.</v>
          </cell>
          <cell r="K117" t="str">
            <v>bác sĩ khoa Nội Tổng hợp</v>
          </cell>
          <cell r="L117">
            <v>0</v>
          </cell>
        </row>
        <row r="118">
          <cell r="A118" t="str">
            <v>BV0957</v>
          </cell>
          <cell r="B118">
            <v>105</v>
          </cell>
          <cell r="C118" t="str">
            <v>004378/LS-CCHN</v>
          </cell>
          <cell r="D118" t="str">
            <v>Phương Thanh Tâm</v>
          </cell>
          <cell r="E118" t="str">
            <v>004378/LS-CCHN</v>
          </cell>
          <cell r="F118" t="str">
            <v>05/11/2021</v>
          </cell>
          <cell r="G118" t="str">
            <v>Khám bệnh, chữa bệnh nội khoa</v>
          </cell>
          <cell r="H118" t="str">
            <v>Từ 07:00 đến 11:30 và từ 13:30 đến 17:00 từ thứ hai đến thứ sáu, thời gian trực và làm việc ngoài giờ theo phân công của Lãnh đạo</v>
          </cell>
          <cell r="I118" t="str">
            <v>Nội Tổng hợp</v>
          </cell>
          <cell r="J118" t="str">
            <v>Bác sĩ khoa Nội Tổng hợp.</v>
          </cell>
          <cell r="K118" t="str">
            <v>Bác sĩ khoa Nội Tổng hợp</v>
          </cell>
          <cell r="L118">
            <v>0</v>
          </cell>
        </row>
        <row r="119">
          <cell r="A119" t="str">
            <v>BV0366</v>
          </cell>
          <cell r="B119">
            <v>106</v>
          </cell>
          <cell r="C119" t="str">
            <v>000044/LS-GPHN</v>
          </cell>
          <cell r="D119" t="str">
            <v>Hoàng Quốc Hưởng</v>
          </cell>
          <cell r="E119" t="str">
            <v>000044/LS-GPHN</v>
          </cell>
          <cell r="G119" t="str">
            <v>Chuyên khoa Nội khoa</v>
          </cell>
          <cell r="H119" t="str">
            <v>Từ 07:00 đến 11:30 và từ 13:30 đến 17:00 từ thứ hai đến thứ sáu, thời gian trực và làm việc ngoài giờ theo phân công của Lãnh đạo</v>
          </cell>
          <cell r="I119" t="str">
            <v>Nội Tổng hợp</v>
          </cell>
          <cell r="J119" t="str">
            <v>Bác sĩ khoa Nội Tổng hợp.</v>
          </cell>
          <cell r="K119" t="str">
            <v>Bác sĩ khoa Nội Tổng hợp</v>
          </cell>
        </row>
        <row r="120">
          <cell r="A120" t="str">
            <v>BV1257</v>
          </cell>
          <cell r="C120" t="str">
            <v>000311/LS-GPHN</v>
          </cell>
          <cell r="D120" t="str">
            <v>Vũ Phong Toàn</v>
          </cell>
          <cell r="E120" t="str">
            <v>000311/LS-GPHN</v>
          </cell>
          <cell r="F120">
            <v>45876</v>
          </cell>
          <cell r="G120" t="str">
            <v>Chuyên khoa Nội khoa</v>
          </cell>
          <cell r="H120" t="str">
            <v>Từ 07:00 đến 11:30 và từ 13:30 đến 17:00 từ thứ hai đến thứ sáu, thời gian trực và làm việc ngoài giờ theo phân công của Lãnh đạo</v>
          </cell>
          <cell r="I120" t="str">
            <v>Nội Tổng hợp</v>
          </cell>
          <cell r="J120" t="str">
            <v>Bac sĩ khoa Nội Tổng hợp</v>
          </cell>
          <cell r="K120" t="str">
            <v>Bác sĩ khoa Nội Tổng hợp</v>
          </cell>
        </row>
        <row r="121">
          <cell r="A121" t="str">
            <v>BV1340</v>
          </cell>
          <cell r="B121">
            <v>12</v>
          </cell>
          <cell r="C121" t="str">
            <v>000381/LS-GPHN</v>
          </cell>
          <cell r="D121" t="str">
            <v>Trịnh Vân Trang</v>
          </cell>
          <cell r="E121" t="str">
            <v>000381/LS-GPHN</v>
          </cell>
          <cell r="F121">
            <v>45940</v>
          </cell>
          <cell r="G121" t="str">
            <v>Y khoa</v>
          </cell>
          <cell r="H121" t="str">
            <v>Từ 07:00 đến 11:30 và từ 13:30 đến 17:00 từ thứ hai đến thứ sáu, thời gian trực và làm việc ngoài giờ theo phân công của Lãnh đạo</v>
          </cell>
          <cell r="I121" t="str">
            <v>Nội Tổng hợp</v>
          </cell>
          <cell r="J121" t="str">
            <v>Bac sĩ khoa Nội Tổng hợp</v>
          </cell>
          <cell r="K121" t="str">
            <v>Bác sĩ khoa Nội Tổng hợp</v>
          </cell>
        </row>
        <row r="122">
          <cell r="A122" t="str">
            <v>BV0101</v>
          </cell>
          <cell r="B122">
            <v>112</v>
          </cell>
          <cell r="C122" t="str">
            <v>000116/LS-GPHN</v>
          </cell>
          <cell r="D122" t="str">
            <v>Đàm Thùy Mai</v>
          </cell>
          <cell r="E122" t="str">
            <v>000116/LS-GPHN</v>
          </cell>
          <cell r="F122">
            <v>45511</v>
          </cell>
          <cell r="G122" t="str">
            <v>Điều dưỡng</v>
          </cell>
          <cell r="H122" t="str">
            <v>Từ 07:00 đến 11:30 và từ 13:30 đến 17:00 từ thứ hai đến thứ sáu, thời gian trực và làm việc ngoài giờ theo phân công của Lãnh đạo</v>
          </cell>
          <cell r="I122" t="str">
            <v>Nội Tổng hợp</v>
          </cell>
          <cell r="J122" t="str">
            <v>Điều dưỡng khoa  Nội Tổng hợp</v>
          </cell>
          <cell r="K122" t="str">
            <v>Điều dưỡng khoa Nội Tổng hợp</v>
          </cell>
          <cell r="L122">
            <v>0</v>
          </cell>
        </row>
        <row r="123">
          <cell r="A123" t="str">
            <v>BV0098</v>
          </cell>
          <cell r="B123">
            <v>110</v>
          </cell>
          <cell r="C123" t="str">
            <v>000809/LS-CCHN</v>
          </cell>
          <cell r="D123" t="str">
            <v>Nguyễn Kim Chung</v>
          </cell>
          <cell r="E123" t="str">
            <v>000809/LS-CCHN</v>
          </cell>
          <cell r="F123" t="str">
            <v>24/06/2013</v>
          </cell>
          <cell r="G123" t="str">
            <v>Theo quy định tại Quyết định số 41/2005/QĐ-BNV ngày 22/4/2005 của Bộ trưởng Bộ Nội vụ về việc ban hành tiêu chuẩn nghiệp vụ các ngạch viên chức y tế điều dưỡng</v>
          </cell>
          <cell r="H123" t="str">
            <v>Từ 07:00 đến 11:30 và từ 13:30 đến 17:00 từ thứ hai đến thứ sáu, thời gian trực và làm việc ngoài giờ theo phân công của Lãnh đạo</v>
          </cell>
          <cell r="I123" t="str">
            <v>Nội Tổng hợp</v>
          </cell>
          <cell r="J123" t="str">
            <v>Điều dưỡng khoa Nội Tổng hợp.</v>
          </cell>
          <cell r="K123" t="str">
            <v>Điều dưỡng khoa Nội Tổng hợp</v>
          </cell>
          <cell r="L123">
            <v>0</v>
          </cell>
        </row>
        <row r="124">
          <cell r="A124" t="str">
            <v>BV0343</v>
          </cell>
          <cell r="B124">
            <v>111</v>
          </cell>
          <cell r="C124" t="str">
            <v>001234/LS-CCHN</v>
          </cell>
          <cell r="D124" t="str">
            <v>Đoàn Thị Thanh Thúy</v>
          </cell>
          <cell r="E124" t="str">
            <v>001234/LS-CCHN</v>
          </cell>
          <cell r="F124" t="str">
            <v>19/07/2013</v>
          </cell>
          <cell r="G124" t="str">
            <v>Theo quy định tại Quyết định số 41/2005/QĐ-BNV ngày 22/4/2005 của Bộ trưởng Bộ Nội vụ về việc ban hành tiêu chuẩn nghiệp vụ các ngạch viên chức y tế điều dưỡng</v>
          </cell>
          <cell r="H124" t="str">
            <v>Từ 07:00 đến 11:30 và từ 13:30 đến 17:00 từ thứ hai đến thứ sáu, thời gian trực và làm việc ngoài giờ theo phân công của Lãnh đạo</v>
          </cell>
          <cell r="I124" t="str">
            <v>Nội Tổng hợp</v>
          </cell>
          <cell r="J124" t="str">
            <v>Điều dưỡng khoa Nội Tổng hợp- Điều dưỡng trưởng</v>
          </cell>
          <cell r="K124" t="str">
            <v>Điều dưỡng khoa Nội Tổng hợp- Điều dưỡng trưởng</v>
          </cell>
          <cell r="L124">
            <v>0</v>
          </cell>
        </row>
        <row r="125">
          <cell r="A125" t="str">
            <v>BV0068</v>
          </cell>
          <cell r="B125">
            <v>115</v>
          </cell>
          <cell r="C125" t="str">
            <v>000786/LS-CCHN</v>
          </cell>
          <cell r="D125" t="str">
            <v>Hoàng Thị Nga</v>
          </cell>
          <cell r="E125" t="str">
            <v>000786/LS-CCHN</v>
          </cell>
          <cell r="F125" t="str">
            <v>11/01/2023</v>
          </cell>
          <cell r="G125" t="str">
            <v>Thực hiện phạm vi hoạt động chuyên môn theo Thông tư số 26/2015/TTLT-BYT-BNV ngày 07/10/2015 quy định  mã số, tiêu chuẩn chức danh nghề nghiệp, điều dưỡng, hộ sinh, kỹ thuật y</v>
          </cell>
          <cell r="H125" t="str">
            <v>Từ 07:00 đến 11:30 và từ 13:30 đến 17:00 từ thứ hai đến thứ sáu, thời gian trực và làm việc ngoài giờ theo phân công của Lãnh đạo</v>
          </cell>
          <cell r="I125" t="str">
            <v>Nội Tổng hợp</v>
          </cell>
          <cell r="J125" t="str">
            <v>Điều dưỡng khoa Nội Tổng hợp</v>
          </cell>
          <cell r="K125" t="str">
            <v>Điều dưỡng khoa Nội Tổng hợp</v>
          </cell>
          <cell r="L125">
            <v>0</v>
          </cell>
        </row>
        <row r="126">
          <cell r="A126" t="str">
            <v>BV0980</v>
          </cell>
          <cell r="B126">
            <v>113</v>
          </cell>
          <cell r="C126" t="str">
            <v>004312/LS-CCHN</v>
          </cell>
          <cell r="D126" t="str">
            <v>Chu Đức Thịnh</v>
          </cell>
          <cell r="E126" t="str">
            <v>004312/LS-CCHN</v>
          </cell>
          <cell r="F126" t="str">
            <v>20/07/2021</v>
          </cell>
          <cell r="G126" t="str">
            <v>Thực hiện phạm vi hoạt động chuyên môn theo quy định tại Thông tư số 26/2015/TTLT-BYT-BNV ngày 07/10/2015 quy định mã số, tiêu chuẩn chức danh nghề nghiệp điều dưỡng, hộ sinh, kỹ thuật y</v>
          </cell>
          <cell r="H126" t="str">
            <v>Từ 07:00 đến 11:30 và từ 13:30 đến 17:00 từ thứ hai đến thứ sáu, thời gian trực và làm việc ngoài giờ theo phân công của Lãnh đạo</v>
          </cell>
          <cell r="I126" t="str">
            <v>Nội Tổng hợp</v>
          </cell>
          <cell r="J126" t="str">
            <v>Điều dưỡng khoa Nội Tổng hợp.</v>
          </cell>
          <cell r="K126" t="str">
            <v>Điều dưỡng khoa Nội Tổng hợp</v>
          </cell>
          <cell r="L126">
            <v>0</v>
          </cell>
        </row>
        <row r="127">
          <cell r="A127" t="str">
            <v>BV0143</v>
          </cell>
          <cell r="B127">
            <v>114</v>
          </cell>
          <cell r="C127" t="str">
            <v>000817/LS-CCHN</v>
          </cell>
          <cell r="D127" t="str">
            <v>Mã Thị Thu</v>
          </cell>
          <cell r="E127" t="str">
            <v>000817/LS-CCHN</v>
          </cell>
          <cell r="F127" t="str">
            <v>11/01/2023</v>
          </cell>
          <cell r="G127" t="str">
            <v>Thực hiện phạm vi hoạt động chuyên môn theo Thông tư số 26/2015/TTLT-BYT-BNV ngày 07/10/2015 quy định  mã số, tiêu chuẩn chức danh nghề nghiệp, điều dưỡng, hộ sinh, kỹ thuật y</v>
          </cell>
          <cell r="H127" t="str">
            <v>Từ 07:00 đến 11:30 và từ 13:30 đến 17:00 từ thứ hai đến thứ sáu, thời gian trực và làm việc ngoài giờ theo phân công của Lãnh đạo</v>
          </cell>
          <cell r="I127" t="str">
            <v>Nội Tổng hợp</v>
          </cell>
          <cell r="J127" t="str">
            <v>Điều dưỡng khoa Nội Tổng hợp.</v>
          </cell>
          <cell r="K127" t="str">
            <v>Điều dưỡng khoa Nội Tổng hợp</v>
          </cell>
          <cell r="L127">
            <v>0</v>
          </cell>
        </row>
        <row r="128">
          <cell r="A128" t="str">
            <v>BV0138</v>
          </cell>
          <cell r="B128">
            <v>115</v>
          </cell>
          <cell r="C128" t="str">
            <v>000835/LS-CCHN</v>
          </cell>
          <cell r="D128" t="str">
            <v>Nguyễn Thị Liên</v>
          </cell>
          <cell r="E128" t="str">
            <v>000835/LS-CCHN</v>
          </cell>
          <cell r="F128" t="str">
            <v>11/01/2023</v>
          </cell>
          <cell r="G128" t="str">
            <v>Thực hiện phạm vi hoạt động chuyên môn theo Thông tư số 26/2015/TTLT-BYT-BNV ngày 07/10/2015 quy định  mã số, tiêu chuẩn chức danh nghề nghiệp, điều dưỡng, hộ sinh, kỹ thuật y</v>
          </cell>
          <cell r="H128" t="str">
            <v>Từ 07:00 đến 11:30 và từ 13:30 đến 17:00 từ thứ hai đến thứ sáu, thời gian trực và làm việc ngoài giờ theo phân công của Lãnh đạo</v>
          </cell>
          <cell r="I128" t="str">
            <v>Nội Tổng hợp</v>
          </cell>
          <cell r="J128" t="str">
            <v>Điều dưỡng khoa Nội Tổng hợp.</v>
          </cell>
          <cell r="K128" t="str">
            <v>Điều dưỡng khoa Nội Tổng hợp</v>
          </cell>
          <cell r="L128">
            <v>0</v>
          </cell>
        </row>
        <row r="129">
          <cell r="A129" t="str">
            <v>BV0020</v>
          </cell>
          <cell r="B129">
            <v>116</v>
          </cell>
          <cell r="C129" t="str">
            <v>000746/LS-CCHN</v>
          </cell>
          <cell r="D129" t="str">
            <v>Nguyễn Thị Hiền</v>
          </cell>
          <cell r="E129" t="str">
            <v>000746/LS-CCHN</v>
          </cell>
          <cell r="F129" t="str">
            <v>11/01/2023</v>
          </cell>
          <cell r="G129" t="str">
            <v>Thực hiện phạm vi hoạt động chuyên môn theo Thông tư số 26/2015/TTLT-BYT-BNV ngày 07/10/2015 quy định  mã số, tiêu chuẩn chức danh nghề nghiệp, điều dưỡng, hộ sinh, kỹ thuật y</v>
          </cell>
          <cell r="H129" t="str">
            <v>Từ 07:00 đến 11:30 và từ 13:30 đến 17:00 từ thứ hai đến thứ sáu, thời gian trực và làm việc ngoài giờ theo phân công của Lãnh đạo</v>
          </cell>
          <cell r="I129" t="str">
            <v>Nội Tổng hợp</v>
          </cell>
          <cell r="J129" t="str">
            <v>Điều dưỡng khoa Nội Tổng hợp.</v>
          </cell>
          <cell r="K129" t="str">
            <v>Điều dưỡng khoa Nội Tổng hợp</v>
          </cell>
          <cell r="L129">
            <v>0</v>
          </cell>
        </row>
        <row r="130">
          <cell r="A130" t="str">
            <v>BV0782</v>
          </cell>
          <cell r="B130">
            <v>117</v>
          </cell>
          <cell r="C130" t="str">
            <v>003377/LS-CCHN</v>
          </cell>
          <cell r="D130" t="str">
            <v>Chu Thị Phượng</v>
          </cell>
          <cell r="E130" t="str">
            <v>003377/LS-CCHN</v>
          </cell>
          <cell r="F130" t="str">
            <v>17/10/2018</v>
          </cell>
          <cell r="G130" t="str">
            <v>Thực hiện phạm vi hoạt động chuyên môn theo quy định tại Thông tư số 26/2015/TTLT-BYT-BNV ngày 07/10/2015 quy định mã số, tiêu chuẩn chức danh nghề nghiệp điều dưỡng, hộ sinh, kỹ thuật y</v>
          </cell>
          <cell r="H130" t="str">
            <v>Từ 07:00 đến 11:30 và từ 13:30 đến 17:00 từ thứ hai đến thứ sáu, thời gian trực và làm việc ngoài giờ theo phân công của Lãnh đạo</v>
          </cell>
          <cell r="I130" t="str">
            <v>Nội Tổng hợp</v>
          </cell>
          <cell r="J130" t="str">
            <v>Điều dưỡng khoa Nội Tổng hợp.</v>
          </cell>
          <cell r="K130" t="str">
            <v>Điều dưỡng khoa Nội Tổng hợp</v>
          </cell>
          <cell r="L130">
            <v>0</v>
          </cell>
        </row>
        <row r="131">
          <cell r="A131" t="str">
            <v>BV0117</v>
          </cell>
          <cell r="B131">
            <v>118</v>
          </cell>
          <cell r="C131" t="str">
            <v>001347/LS-CCHN</v>
          </cell>
          <cell r="D131" t="str">
            <v>Ba Thị Quyên</v>
          </cell>
          <cell r="E131" t="str">
            <v>001347/LS-CCHN</v>
          </cell>
          <cell r="F131" t="str">
            <v>11/01/2023</v>
          </cell>
          <cell r="G131" t="str">
            <v>Thực hiện phạm vi hoạt động chuyên môn theo Thông tư số 26/2015/TTLT-BYT-BNV ngày 07/10/2015 quy định  mã số, tiêu chuẩn chức danh nghề nghiệp, điều dưỡng, hộ sinh, kỹ thuật y</v>
          </cell>
          <cell r="H131" t="str">
            <v>Từ 07:00 đến 11:30 và từ 13:30 đến 17:00 từ thứ hai đến thứ sáu, thời gian trực và làm việc ngoài giờ theo phân công của Lãnh đạo</v>
          </cell>
          <cell r="I131" t="str">
            <v>Nội Tổng hợp</v>
          </cell>
          <cell r="J131" t="str">
            <v>Điều dưỡng khoa Nội Tổng hợp.</v>
          </cell>
          <cell r="K131" t="str">
            <v>Điều dưỡng khoa Nội Tổng hợp</v>
          </cell>
          <cell r="L131">
            <v>0</v>
          </cell>
        </row>
        <row r="132">
          <cell r="A132" t="str">
            <v>BV0977</v>
          </cell>
          <cell r="B132">
            <v>119</v>
          </cell>
          <cell r="C132" t="str">
            <v>004306/LS-CCHN</v>
          </cell>
          <cell r="D132" t="str">
            <v>Hoàng Kim Tuyến</v>
          </cell>
          <cell r="E132" t="str">
            <v>004306/LS-CCHN</v>
          </cell>
          <cell r="F132" t="str">
            <v>20/07/2021</v>
          </cell>
          <cell r="G132" t="str">
            <v>Thực hiện phạm vi hoạt động chuyên môn theo quy định tại Thông tư số 26/2015/TTLT-BYT-BNV ngày 07/10/2015 quy định mã số, tiêu chuẩn chức danh nghề nghiệp điều dưỡng, hộ sinh, kỹ thuật y</v>
          </cell>
          <cell r="H132" t="str">
            <v>Từ 07:00 đến 11:30 và từ 13:30 đến 17:00 từ thứ hai đến thứ sáu, thời gian trực và làm việc ngoài giờ theo phân công của Lãnh đạo</v>
          </cell>
          <cell r="I132" t="str">
            <v>Nội Tổng hợp</v>
          </cell>
          <cell r="J132" t="str">
            <v>Điều dưỡng khoa Nội Tổng hợp.</v>
          </cell>
          <cell r="K132" t="str">
            <v>Điều dưỡng khoa Nội Tổng hợp</v>
          </cell>
          <cell r="L132">
            <v>0</v>
          </cell>
        </row>
        <row r="133">
          <cell r="A133" t="str">
            <v>BV1296</v>
          </cell>
          <cell r="C133" t="str">
            <v>000299/LS-GPHN</v>
          </cell>
          <cell r="D133" t="str">
            <v>Hoàng Thị Năm</v>
          </cell>
          <cell r="E133" t="str">
            <v>000299/LS-GPHN</v>
          </cell>
          <cell r="F133">
            <v>45849</v>
          </cell>
          <cell r="G133" t="str">
            <v>Điều dưỡng</v>
          </cell>
          <cell r="H133" t="str">
            <v>Từ 07:00 đến 11:30 và từ 13:30 đến 17:00 từ thứ hai đến thứ sáu, thời gian trực và làm việc ngoài giờ theo phân công của Lãnh đạo</v>
          </cell>
          <cell r="I133" t="str">
            <v>Nội Tổng hợp</v>
          </cell>
          <cell r="J133" t="str">
            <v>Điều dưỡng khoa Nội Tổng hợp</v>
          </cell>
          <cell r="K133" t="str">
            <v>Điều dưỡng khoa Nội Tổng hợp</v>
          </cell>
        </row>
        <row r="134">
          <cell r="A134" t="str">
            <v>BV1274</v>
          </cell>
          <cell r="C134" t="str">
            <v>000292/LS-GPHN</v>
          </cell>
          <cell r="D134" t="str">
            <v>Phan Thị Ái Vân</v>
          </cell>
          <cell r="E134" t="str">
            <v>000292/LS-GPHN</v>
          </cell>
          <cell r="F134">
            <v>45849</v>
          </cell>
          <cell r="G134" t="str">
            <v>Điều dưỡng</v>
          </cell>
          <cell r="H134" t="str">
            <v>Từ 07:00 đến 11:30 và từ 13:30 đến 17:00 từ thứ hai đến thứ sáu, thời gian trực và làm việc ngoài giờ theo phân công của Lãnh đạo</v>
          </cell>
          <cell r="I134" t="str">
            <v>Nội Tổng hợp</v>
          </cell>
          <cell r="J134" t="str">
            <v>Điều dưỡng khoa Nội tổng hợp</v>
          </cell>
          <cell r="K134" t="str">
            <v>Điều dưỡng khoa Nội Tổng hợp</v>
          </cell>
        </row>
        <row r="135">
          <cell r="D135" t="str">
            <v>KHOA NỘI TIÊU HÓA</v>
          </cell>
          <cell r="I135" t="e">
            <v>#N/A</v>
          </cell>
        </row>
        <row r="136">
          <cell r="A136" t="str">
            <v>BV0162</v>
          </cell>
          <cell r="B136">
            <v>122</v>
          </cell>
          <cell r="C136" t="str">
            <v>002911/LS-CCHN</v>
          </cell>
          <cell r="D136" t="str">
            <v>Bế Thái Hưng</v>
          </cell>
          <cell r="E136" t="str">
            <v>002911/LS-CCHN</v>
          </cell>
          <cell r="F136" t="str">
            <v>31/12/2014</v>
          </cell>
          <cell r="G136" t="str">
            <v>Khám bệnh chữa bệnh Nội khoa</v>
          </cell>
          <cell r="H136" t="str">
            <v>Từ 07:00 đến 11:30 và từ 13:30 đến 17:00 từ thứ hai đến thứ sáu, thời gian trực và làm việc ngoài giờ theo phân công của Lãnh đạo</v>
          </cell>
          <cell r="I136" t="str">
            <v>Nội Tiêu hóa</v>
          </cell>
          <cell r="J136" t="str">
            <v>Bác sĩ khoa Nội Tiêu hóa - Trưởng khoa.</v>
          </cell>
          <cell r="K136" t="str">
            <v>Bác sĩ khoa Nội Tiêu hóa - Trưởng khoa.</v>
          </cell>
          <cell r="L136" t="str">
            <v>Từ 07:00 đến 11:30 và từ 13:30 đến 17:00 Thứ bảy và chủ nhật hằng tuần, ngày nghỉ, ngày lễ. Tại Phòng khám đa khoa trung tâm Lạng Sơn</v>
          </cell>
        </row>
        <row r="137">
          <cell r="A137" t="str">
            <v>BV0676</v>
          </cell>
          <cell r="B137">
            <v>123</v>
          </cell>
          <cell r="C137" t="str">
            <v>003449/LS-CCHN</v>
          </cell>
          <cell r="D137" t="str">
            <v>Lương Văn Lực</v>
          </cell>
          <cell r="E137" t="str">
            <v>003449/LS-CCHN</v>
          </cell>
          <cell r="F137" t="str">
            <v>17/05/2019</v>
          </cell>
          <cell r="G137" t="str">
            <v>Khám bệnh, chữa bệnh Nội khoa</v>
          </cell>
          <cell r="H137" t="str">
            <v>Từ 07:00 đến 11:30 và từ 13:30 đến 17:00 từ thứ hai đến thứ sáu, thời gian trực và làm việc ngoài giờ theo phân công của Lãnh đạo</v>
          </cell>
          <cell r="I137" t="str">
            <v>Nội Tiêu hóa</v>
          </cell>
          <cell r="J137" t="str">
            <v>Bác sĩ khoa Nội tiêu hóa</v>
          </cell>
          <cell r="K137" t="str">
            <v>Bác sĩ khoa Nội Tiêu hóa</v>
          </cell>
          <cell r="L137">
            <v>0</v>
          </cell>
        </row>
        <row r="138">
          <cell r="A138" t="str">
            <v>BV0851</v>
          </cell>
          <cell r="B138">
            <v>124</v>
          </cell>
          <cell r="C138" t="str">
            <v>003983/LS-CCHN</v>
          </cell>
          <cell r="D138" t="str">
            <v>Hoàng Thị Anh Tú</v>
          </cell>
          <cell r="E138" t="str">
            <v>003983/LS-CCHN</v>
          </cell>
          <cell r="F138" t="str">
            <v>21/10/2020</v>
          </cell>
          <cell r="G138" t="str">
            <v>Khám bệnh, chữa bệnh Nội khoa</v>
          </cell>
          <cell r="H138" t="str">
            <v>Từ 07:00 đến 11:30 và từ 13:30 đến 17:00 từ thứ hai đến thứ sáu, thời gian trực và làm việc ngoài giờ theo phân công của Lãnh đạo</v>
          </cell>
          <cell r="I138" t="str">
            <v>Nội Tiêu hóa</v>
          </cell>
          <cell r="J138" t="str">
            <v>Bác sĩ khoa Nội Tiêu hóa.</v>
          </cell>
          <cell r="K138" t="str">
            <v>Bác sĩ khoa Nội Tiêu hóa</v>
          </cell>
          <cell r="L138">
            <v>0</v>
          </cell>
        </row>
        <row r="139">
          <cell r="A139" t="str">
            <v>BV0936</v>
          </cell>
          <cell r="B139">
            <v>125</v>
          </cell>
          <cell r="C139" t="str">
            <v>004236/LS-CCHN</v>
          </cell>
          <cell r="D139" t="str">
            <v>Lăng Thị Thảo</v>
          </cell>
          <cell r="E139" t="str">
            <v>004236/LS-CCHN</v>
          </cell>
          <cell r="F139" t="str">
            <v>10/06/2021</v>
          </cell>
          <cell r="G139" t="str">
            <v>Khám bệnh, chữa bệnh Nội khoa</v>
          </cell>
          <cell r="H139" t="str">
            <v>Từ 07:00 đến 11:30 và từ 13:30 đến 17:00 từ thứ hai đến thứ sáu, thời gian trực và làm việc ngoài giờ theo phân công của Lãnh đạo</v>
          </cell>
          <cell r="I139" t="str">
            <v>Nội Tiêu hóa</v>
          </cell>
          <cell r="J139" t="str">
            <v>Bác sĩ khoa Nội Tiêu hóa.</v>
          </cell>
          <cell r="K139" t="str">
            <v>Bác sĩ khoa Nội Tiêu hóa</v>
          </cell>
          <cell r="L139">
            <v>0</v>
          </cell>
        </row>
        <row r="140">
          <cell r="A140" t="str">
            <v>BV1039</v>
          </cell>
          <cell r="B140">
            <v>126</v>
          </cell>
          <cell r="C140" t="str">
            <v>004503/LS-CCHN</v>
          </cell>
          <cell r="D140" t="str">
            <v>Hoàng Thị Thêm</v>
          </cell>
          <cell r="E140" t="str">
            <v>004503/LS-CCHN</v>
          </cell>
          <cell r="F140" t="str">
            <v>06/04/2022</v>
          </cell>
          <cell r="G140" t="str">
            <v>Khám bệnh, chữa bệnh Nội khoa</v>
          </cell>
          <cell r="H140" t="str">
            <v>Từ 07:00 đến 11:30 và từ 13:30 đến 17:00 từ thứ hai đến thứ sáu, thời gian trực và làm việc ngoài giờ theo phân công của Lãnh đạo</v>
          </cell>
          <cell r="I140" t="str">
            <v>Nội Tiêu hóa</v>
          </cell>
          <cell r="J140" t="str">
            <v>Bác sĩ khoa Nội Tiêu hóa.</v>
          </cell>
          <cell r="K140" t="str">
            <v>Bác sĩ khoa Nội Tiêu hóa</v>
          </cell>
          <cell r="L140" t="str">
            <v>Từ 07:00 đến 11:30 và từ 13:30 đến 17:00 Thứ bảy và chủ nhật hằng tuần, ngày nghỉ, ngày lễ. Tại Phòng khám đa khoa Trường Sinh Hà Nội</v>
          </cell>
        </row>
        <row r="141">
          <cell r="A141" t="str">
            <v>BV1256</v>
          </cell>
          <cell r="C141" t="str">
            <v>000347/LS-GPHN</v>
          </cell>
          <cell r="D141" t="str">
            <v>Nông Thị Hồng Hạnh</v>
          </cell>
          <cell r="E141" t="str">
            <v>000347/LS-GPHN</v>
          </cell>
          <cell r="F141">
            <v>45908</v>
          </cell>
          <cell r="G141" t="str">
            <v>Chuyên khoa Nội khoa</v>
          </cell>
          <cell r="H141" t="str">
            <v>Từ 07:00 đến 11:30 và từ 13:30 đến 17:00 từ thứ hai đến thứ sáu, thời gian trực và làm việc ngoài giờ theo phân công của Lãnh đạo</v>
          </cell>
          <cell r="I141" t="str">
            <v>Nội Tiêu hóa</v>
          </cell>
          <cell r="J141" t="str">
            <v>Bác sĩ khoa Nội tiêu hóa</v>
          </cell>
          <cell r="K141" t="str">
            <v>Bác sĩ khoa Nội Tiêu hóa</v>
          </cell>
        </row>
        <row r="142">
          <cell r="A142" t="str">
            <v>BV0131</v>
          </cell>
          <cell r="B142">
            <v>128</v>
          </cell>
          <cell r="C142" t="str">
            <v>000826/LS-CCHN</v>
          </cell>
          <cell r="D142" t="str">
            <v>Hoàng Thị Thu</v>
          </cell>
          <cell r="E142" t="str">
            <v>000826/LS-CCHN</v>
          </cell>
          <cell r="F142" t="str">
            <v>11/01/2023</v>
          </cell>
          <cell r="G142" t="str">
            <v>Thực hiện phạm vi hoạt động chuyên môn theo Thông tư số 26/2015/TTLT-BYT-BNV ngày 07/10/2015 quy định  mã số, tiêu chuẩn chức danh nghề nghiệp, điều dưỡng, hộ sinh, kỹ thuật y</v>
          </cell>
          <cell r="H142" t="str">
            <v>Từ 07:00 đến 11:30 và từ 13:30 đến 17:00 từ thứ hai đến thứ sáu, thời gian trực và làm việc ngoài giờ theo phân công của Lãnh đạo</v>
          </cell>
          <cell r="I142" t="str">
            <v>Nội Tiêu hóa</v>
          </cell>
          <cell r="J142" t="str">
            <v>Điều dưỡng khoa Nội Tiêu hóa.</v>
          </cell>
          <cell r="K142" t="str">
            <v>Điều dưỡng khoa Nội Tiêu hóa</v>
          </cell>
          <cell r="L142">
            <v>0</v>
          </cell>
        </row>
        <row r="143">
          <cell r="A143" t="str">
            <v>BV0019</v>
          </cell>
          <cell r="B143">
            <v>129</v>
          </cell>
          <cell r="C143" t="str">
            <v>000738/LS-CCHN</v>
          </cell>
          <cell r="D143" t="str">
            <v>Bế Thị Liễu</v>
          </cell>
          <cell r="E143" t="str">
            <v>000738/LS-CCHN</v>
          </cell>
          <cell r="F143" t="str">
            <v>11/01/2023</v>
          </cell>
          <cell r="G143" t="str">
            <v>Thực hiện phạm vi hoạt động chuyên môn theo Thông tư số 26/2015/TTLT-BYT-BNV ngày 07/10/2015 quy định  mã số, tiêu chuẩn chức danh nghề nghiệp, điều dưỡng, hộ sinh, kỹ thuật y</v>
          </cell>
          <cell r="H143" t="str">
            <v>Từ 07:00 đến 11:30 và từ 13:30 đến 17:00 từ thứ hai đến thứ sáu, thời gian trực và làm việc ngoài giờ theo phân công của Lãnh đạo</v>
          </cell>
          <cell r="I143" t="str">
            <v>Nội Tiêu hóa</v>
          </cell>
          <cell r="J143" t="str">
            <v>Điều dưỡng khoa Nội Tiêu hóa.</v>
          </cell>
          <cell r="K143" t="str">
            <v>Điều dưỡng khoa Nội Tiêu hóa</v>
          </cell>
          <cell r="L143">
            <v>0</v>
          </cell>
        </row>
        <row r="144">
          <cell r="A144" t="str">
            <v>BV0139</v>
          </cell>
          <cell r="B144">
            <v>130</v>
          </cell>
          <cell r="C144" t="str">
            <v>000833/LS-CCHN</v>
          </cell>
          <cell r="D144" t="str">
            <v>Trần Thị Nhình</v>
          </cell>
          <cell r="E144" t="str">
            <v>000833/LS-CCHN</v>
          </cell>
          <cell r="F144" t="str">
            <v>11/01/2023</v>
          </cell>
          <cell r="G144" t="str">
            <v>Thực hiện phạm vi hoạt động chuyên môn theo Thông tư số 26/2015/TTLT-BYT-BNV ngày 07/10/2015 quy định  mã số, tiêu chuẩn chức danh nghề nghiệp, điều dưỡng, hộ sinh, kỹ thuật y</v>
          </cell>
          <cell r="H144" t="str">
            <v>Từ 07:00 đến 11:30 và từ 13:30 đến 17:00 từ thứ hai đến thứ sáu, thời gian trực và làm việc ngoài giờ theo phân công của Lãnh đạo</v>
          </cell>
          <cell r="I144" t="str">
            <v>Nội Tiêu hóa</v>
          </cell>
          <cell r="J144" t="str">
            <v>Điều dưỡng khoa Nội Tiêu hóa.</v>
          </cell>
          <cell r="K144" t="str">
            <v>Điều dưỡng khoa Nội Tiêu hóa</v>
          </cell>
          <cell r="L144">
            <v>0</v>
          </cell>
        </row>
        <row r="145">
          <cell r="A145" t="str">
            <v>BV0023</v>
          </cell>
          <cell r="B145">
            <v>131</v>
          </cell>
          <cell r="C145" t="str">
            <v>000747/LS-CCHN</v>
          </cell>
          <cell r="D145" t="str">
            <v>Nguyễn Thị Bích Ngọc</v>
          </cell>
          <cell r="E145" t="str">
            <v>000747/LS-CCHN</v>
          </cell>
          <cell r="F145" t="str">
            <v>11/01/2023</v>
          </cell>
          <cell r="G145" t="str">
            <v>Thực hiện phạm vi hoạt động chuyên môn theo Thông tư số 26/2015/TTLT-BYT-BNV ngày 07/10/2015 quy định  mã số, tiêu chuẩn chức danh nghề nghiệp, điều dưỡng, hộ sinh, kỹ thuật y</v>
          </cell>
          <cell r="H145" t="str">
            <v>Từ 07:00 đến 11:30 và từ 13:30 đến 17:00 từ thứ hai đến thứ sáu, thời gian trực và làm việc ngoài giờ theo phân công của Lãnh đạo</v>
          </cell>
          <cell r="I145" t="str">
            <v>Nội Tiêu hóa</v>
          </cell>
          <cell r="J145" t="str">
            <v>Điều dưỡng khoa Nội Tiêu hóa- Điều dưỡng trưởng</v>
          </cell>
          <cell r="K145" t="str">
            <v>Điều dưỡng khoa Nội Tiêu hóa- Điều dưỡng trưởng</v>
          </cell>
          <cell r="L145">
            <v>0</v>
          </cell>
        </row>
        <row r="146">
          <cell r="A146" t="str">
            <v>BV1082</v>
          </cell>
          <cell r="B146">
            <v>132</v>
          </cell>
          <cell r="C146" t="str">
            <v>004492/LS-CCHN</v>
          </cell>
          <cell r="D146" t="str">
            <v>Hoàng Thị Vinh</v>
          </cell>
          <cell r="E146" t="str">
            <v>004492/LS-CCHN</v>
          </cell>
          <cell r="F146" t="str">
            <v>06/04/2022</v>
          </cell>
          <cell r="G146" t="str">
            <v>Thực hiện phạm vi hoạt động chuyên môn theo quy định tại Thông tư số 26/2015/TTLT-BYT-BNV ngày 07/10/2015 quy định mã số, tiêu chuẩn chức danh nghề nghiệp điều dưỡng, hộ sinh, kỹ thuật y</v>
          </cell>
          <cell r="H146" t="str">
            <v>Từ 07:00 đến 11:30 và từ 13:30 đến 17:00 từ thứ hai đến thứ sáu, thời gian trực và làm việc ngoài giờ theo phân công của Lãnh đạo</v>
          </cell>
          <cell r="I146" t="str">
            <v>Nội Tiêu hóa</v>
          </cell>
          <cell r="J146" t="str">
            <v>Điều dưỡng khoa Nội Tiêu hóa</v>
          </cell>
          <cell r="K146" t="str">
            <v>Điều dưỡng khoa Nội Tiêu hóa</v>
          </cell>
          <cell r="L146">
            <v>0</v>
          </cell>
        </row>
        <row r="147">
          <cell r="A147" t="str">
            <v>BV0723</v>
          </cell>
          <cell r="B147">
            <v>133</v>
          </cell>
          <cell r="C147" t="str">
            <v>003303/LS-CCHN</v>
          </cell>
          <cell r="D147" t="str">
            <v>Hoàng Thị Mai Hồng</v>
          </cell>
          <cell r="E147" t="str">
            <v>003303/LS-CCHN</v>
          </cell>
          <cell r="F147" t="str">
            <v>28/06/2018</v>
          </cell>
          <cell r="G147" t="str">
            <v>Thực hiện phạm vi hoạt động chuyên môn theo quy định tại Thông tư số 26/2015/TTLT-BYT-BNV ngày 07/10/2015 quy định mã số, tiêu chuẩn chức danh nghề nghiệp điều dưỡng, hộ sinh, kỹ thuật y</v>
          </cell>
          <cell r="H147" t="str">
            <v>Từ 07:00 đến 11:30 và từ 13:30 đến 17:00 từ thứ hai đến thứ sáu, thời gian trực và làm việc ngoài giờ theo phân công của Lãnh đạo</v>
          </cell>
          <cell r="I147" t="str">
            <v>Nội Tiêu hóa</v>
          </cell>
          <cell r="J147" t="str">
            <v>Điều dưỡng khoa Nội Tiêu hóa.</v>
          </cell>
          <cell r="K147" t="str">
            <v>Điều dưỡng khoa Nội Tiêu hóa</v>
          </cell>
          <cell r="L147">
            <v>0</v>
          </cell>
        </row>
        <row r="148">
          <cell r="A148" t="str">
            <v>BV0345</v>
          </cell>
          <cell r="B148">
            <v>134</v>
          </cell>
          <cell r="C148" t="str">
            <v>000881/LS-CCHN</v>
          </cell>
          <cell r="D148" t="str">
            <v>Lâm Lệ Thu</v>
          </cell>
          <cell r="E148" t="str">
            <v>000881/LS-CCHN</v>
          </cell>
          <cell r="F148" t="str">
            <v>11/01/2023</v>
          </cell>
          <cell r="G148" t="str">
            <v>Thực hiện phạm vi hoạt động chuyên môn theo Thông tư số 26/2015/TTLT-BYT-BNV ngày 07/10/2015 quy định  mã số, tiêu chuẩn chức danh nghề nghiệp, điều dưỡng, hộ sinh, kỹ thuật y</v>
          </cell>
          <cell r="H148" t="str">
            <v>Từ 07:00 đến 11:30 và từ 13:30 đến 17:00 từ thứ hai đến thứ sáu, thời gian trực và làm việc ngoài giờ theo phân công của Lãnh đạo</v>
          </cell>
          <cell r="I148" t="str">
            <v>Nội Tiêu hóa</v>
          </cell>
          <cell r="J148" t="str">
            <v>Điều dưỡng khoa Nội Tiêu hóa.</v>
          </cell>
          <cell r="K148" t="str">
            <v>Điều dưỡng khoa Nội Tiêu hóa</v>
          </cell>
          <cell r="L148">
            <v>0</v>
          </cell>
        </row>
        <row r="149">
          <cell r="A149" t="str">
            <v>BV0903</v>
          </cell>
          <cell r="B149">
            <v>135</v>
          </cell>
          <cell r="C149" t="str">
            <v>003802/LS-CCHN</v>
          </cell>
          <cell r="D149" t="str">
            <v>Chu Văn Thưởng</v>
          </cell>
          <cell r="E149" t="str">
            <v>003802/LS-CCHN</v>
          </cell>
          <cell r="F149" t="str">
            <v>21/07/2020</v>
          </cell>
          <cell r="G149" t="str">
            <v>Thực hiện phạm vi hoạt động chuyên môn theo quy định tại Thông tư số 26/2015/TTLT-BYT-BNV ngày 07/10/2015 quy định mã số, tiêu chuẩn chức danh nghề nghiệp điều dưỡng, hộ sinh, kỹ thuật y</v>
          </cell>
          <cell r="H149" t="str">
            <v>Từ 07:00 đến 11:30 và từ 13:30 đến 17:00 từ thứ hai đến thứ sáu, thời gian trực và làm việc ngoài giờ theo phân công của Lãnh đạo</v>
          </cell>
          <cell r="I149" t="str">
            <v>Nội Tiêu hóa</v>
          </cell>
          <cell r="J149" t="str">
            <v>Điều dưỡng khoa Nội Tiêu hóa.</v>
          </cell>
          <cell r="K149" t="str">
            <v>Điều dưỡng khoa Nội Tiêu hóa</v>
          </cell>
          <cell r="L149">
            <v>0</v>
          </cell>
        </row>
        <row r="150">
          <cell r="A150" t="str">
            <v>BV0902</v>
          </cell>
          <cell r="B150">
            <v>136</v>
          </cell>
          <cell r="C150" t="str">
            <v>003712/LS-CCHN</v>
          </cell>
          <cell r="D150" t="str">
            <v>Vi Ngọc Anh</v>
          </cell>
          <cell r="E150" t="str">
            <v>003712/LS-CCHN</v>
          </cell>
          <cell r="F150" t="str">
            <v>17/04/2020</v>
          </cell>
          <cell r="G150" t="str">
            <v>Thực hiện phạm vi hoạt động chuyên môn theo quy định tại Thông tư số 26/2015/TTLT-BYT-BNV ngày 07/10/2015 quy định mã số, tiêu chuẩn chức danh nghề nghiệp điều dưỡng, hộ sinh, kỹ thuật y</v>
          </cell>
          <cell r="H150" t="str">
            <v>Từ 07:00 đến 11:30 và từ 13:30 đến 17:00 từ thứ hai đến thứ sáu, thời gian trực và làm việc ngoài giờ theo phân công của Lãnh đạo</v>
          </cell>
          <cell r="I150" t="str">
            <v>Nội Tiêu hóa</v>
          </cell>
          <cell r="J150" t="str">
            <v>Điều dưỡng khoa Nội Tiêu hóa.</v>
          </cell>
          <cell r="K150" t="str">
            <v>Điều dưỡng khoa Nội Tiêu hóa</v>
          </cell>
          <cell r="L150">
            <v>0</v>
          </cell>
        </row>
        <row r="151">
          <cell r="A151" t="str">
            <v>BV0904</v>
          </cell>
          <cell r="B151">
            <v>137</v>
          </cell>
          <cell r="C151" t="str">
            <v>003713/LS-CCHN</v>
          </cell>
          <cell r="D151" t="str">
            <v>Vy Thị Nga</v>
          </cell>
          <cell r="E151" t="str">
            <v>003713/LS-CCHN</v>
          </cell>
          <cell r="F151" t="str">
            <v>17/04/2020</v>
          </cell>
          <cell r="G151" t="str">
            <v>Thực hiện phạm vi hoạt động chuyên môn theo quy định tại Thông tư số 26/2015/TTLT-BYT-BNV ngày 07/10/2015 quy định mã số, tiêu chuẩn chức danh nghề nghiệp điều dưỡng, hộ sinh, kỹ thuật y</v>
          </cell>
          <cell r="H151" t="str">
            <v>Từ 07:00 đến 11:30 và từ 13:30 đến 17:00 từ thứ hai đến thứ sáu, thời gian trực và làm việc ngoài giờ theo phân công của Lãnh đạo</v>
          </cell>
          <cell r="I151" t="str">
            <v>Nội Tiêu hóa</v>
          </cell>
          <cell r="J151" t="str">
            <v>Điều dưỡng khoa Nội Tiêu hóa.</v>
          </cell>
          <cell r="K151" t="str">
            <v>Điều dưỡng khoa Nội Tiêu hóa</v>
          </cell>
          <cell r="L151">
            <v>0</v>
          </cell>
        </row>
        <row r="152">
          <cell r="A152" t="str">
            <v>BV0086</v>
          </cell>
          <cell r="B152">
            <v>138</v>
          </cell>
          <cell r="C152" t="str">
            <v>000895/LS-CCHN</v>
          </cell>
          <cell r="D152" t="str">
            <v>Triệu Thị Thanh Hòa</v>
          </cell>
          <cell r="E152" t="str">
            <v>000895/LS-CCHN</v>
          </cell>
          <cell r="F152" t="str">
            <v>24/06/2013</v>
          </cell>
          <cell r="G152" t="str">
            <v>Theo quy định tại Quyết định số 41/2005/QĐ-BNV ngày 22/4/2005 của Bộ trưởng Bộ Nội vụ về việc ban hành tiêu chuẩn nghiệp vụ các ngạch viên chức y tế điều dưỡng</v>
          </cell>
          <cell r="H152" t="str">
            <v>Từ 07:00 đến 11:30 và từ 13:30 đến 17:00 từ thứ hai đến thứ sáu, thời gian trực và làm việc ngoài giờ theo phân công của Lãnh đạo</v>
          </cell>
          <cell r="I152" t="str">
            <v>Nội Tiêu hóa</v>
          </cell>
          <cell r="J152" t="str">
            <v>Điều dưỡng, khoa Nội tiêu hóa</v>
          </cell>
          <cell r="K152" t="str">
            <v>Điều dưỡng khoa Nội Tiêu hóa</v>
          </cell>
        </row>
        <row r="153">
          <cell r="A153" t="str">
            <v>BV1295</v>
          </cell>
          <cell r="C153" t="str">
            <v>000268/LS-GPHN</v>
          </cell>
          <cell r="D153" t="str">
            <v>Hoàng Thị Mai</v>
          </cell>
          <cell r="E153" t="str">
            <v>000268/LS-GPHN</v>
          </cell>
          <cell r="F153">
            <v>45796</v>
          </cell>
          <cell r="G153" t="str">
            <v>Điều dưỡng</v>
          </cell>
          <cell r="H153" t="str">
            <v>Từ 07:00 đến 11:30 và từ 13:30 đến 17:00 từ thứ hai đến thứ sáu, thời gian trực và làm việc ngoài giờ theo phân công của Lãnh đạo</v>
          </cell>
          <cell r="I153" t="str">
            <v>Nội Tiêu hóa</v>
          </cell>
          <cell r="J153" t="str">
            <v>Điều dưỡng khoa Nội Tiêu hóa</v>
          </cell>
          <cell r="K153" t="str">
            <v>Điều dưỡng khoa Nội Tiêu hóa</v>
          </cell>
        </row>
        <row r="154">
          <cell r="A154" t="str">
            <v>BV1312</v>
          </cell>
          <cell r="C154" t="str">
            <v>000461/LS-GPHN</v>
          </cell>
          <cell r="D154" t="str">
            <v>Dương Thị Duyên</v>
          </cell>
          <cell r="E154" t="str">
            <v>000461/LS-GPHN</v>
          </cell>
          <cell r="F154">
            <v>46044</v>
          </cell>
          <cell r="G154" t="str">
            <v>Điều dưỡng</v>
          </cell>
          <cell r="H154" t="str">
            <v>Từ 07:00 đến 11:30 và từ 13:30 đến 17:00 từ thứ hai đến thứ sáu, thời gian trực và làm việc ngoài giờ theo phân công của Lãnh đạo</v>
          </cell>
          <cell r="I154" t="str">
            <v>Nội Tiêu hóa</v>
          </cell>
          <cell r="J154" t="str">
            <v>Điều dưỡng khoa Nội Tiêu hóa</v>
          </cell>
        </row>
        <row r="155">
          <cell r="D155" t="str">
            <v>KHOA NỘI THẬN - TIẾT NIỆU - LỌC MÁU</v>
          </cell>
          <cell r="I155" t="e">
            <v>#N/A</v>
          </cell>
        </row>
        <row r="156">
          <cell r="A156" t="str">
            <v>BV0145</v>
          </cell>
          <cell r="B156">
            <v>141</v>
          </cell>
          <cell r="C156" t="str">
            <v>000840/LS-CCHN</v>
          </cell>
          <cell r="D156" t="str">
            <v>Tạ Văn Hùng</v>
          </cell>
          <cell r="E156" t="str">
            <v>000840/LS-CCHN</v>
          </cell>
          <cell r="F156" t="str">
            <v>24/06/2013</v>
          </cell>
          <cell r="G156" t="str">
            <v>Khám bệnh chữa bệnh Nội khoa</v>
          </cell>
          <cell r="H156" t="str">
            <v>Từ 07:00 đến 11:30 và từ 13:30 đến 17:00 từ thứ hai đến thứ sáu, thời gian trực và làm việc ngoài giờ theo phân công của Lãnh đạo</v>
          </cell>
          <cell r="I156" t="str">
            <v>Nội Thận-TN-LM</v>
          </cell>
          <cell r="J156" t="str">
            <v>Bác sĩ khoa Nội Thận - Tiết niệu - Lọc máu - Trưởng khoa.</v>
          </cell>
          <cell r="K156" t="str">
            <v>Bác sĩ khoa Nội Thận - Tiết niệu - Lọc máu - Trưởng khoa.</v>
          </cell>
          <cell r="L156">
            <v>0</v>
          </cell>
        </row>
        <row r="157">
          <cell r="A157" t="str">
            <v>BV0146</v>
          </cell>
          <cell r="B157">
            <v>142</v>
          </cell>
          <cell r="C157" t="str">
            <v>000732/LS-CCHN</v>
          </cell>
          <cell r="D157" t="str">
            <v>Hà Long Sơn</v>
          </cell>
          <cell r="E157" t="str">
            <v>000732/LS-CCHN</v>
          </cell>
          <cell r="F157" t="str">
            <v>24/06/2013</v>
          </cell>
          <cell r="G157" t="str">
            <v>Khám bệnh chữa bệnh Nội khoa</v>
          </cell>
          <cell r="H157" t="str">
            <v>Từ 07:00 đến 11:30 và từ 13:30 đến 17:00 từ thứ hai đến thứ sáu, thời gian trực và làm việc ngoài giờ theo phân công của Lãnh đạo</v>
          </cell>
          <cell r="I157" t="str">
            <v>Nội Thận-TN-LM</v>
          </cell>
          <cell r="J157" t="str">
            <v>Bác sĩ khoa Nội Thận - Tiết niệu - Lọc máu - Phó trưởng khoa.</v>
          </cell>
          <cell r="K157" t="str">
            <v>Bác sĩ khoa Nội Thận - Tiết niệu - Lọc máu - Phó trưởng khoa.</v>
          </cell>
          <cell r="L157">
            <v>0</v>
          </cell>
        </row>
        <row r="158">
          <cell r="A158" t="str">
            <v>BV0845</v>
          </cell>
          <cell r="B158">
            <v>143</v>
          </cell>
          <cell r="C158" t="str">
            <v>003678/LS-CCHN</v>
          </cell>
          <cell r="D158" t="str">
            <v>Dương Thị Huyền Trang</v>
          </cell>
          <cell r="E158" t="str">
            <v>003678/LS-CCHN</v>
          </cell>
          <cell r="F158" t="str">
            <v>22/01/2020</v>
          </cell>
          <cell r="G158" t="str">
            <v>Khám bệnh chữa bệnh Nội khoa</v>
          </cell>
          <cell r="H158" t="str">
            <v>Từ 07:00 đến 11:30 và từ 13:30 đến 17:00 từ thứ hai đến thứ sáu, thời gian trực và làm việc ngoài giờ theo phân công của Lãnh đạo</v>
          </cell>
          <cell r="I158" t="str">
            <v>Nội Thận-TN-LM</v>
          </cell>
          <cell r="J158" t="str">
            <v>Bác sĩ khoa Nội Thận - Tiết niệu - Lọc máu.</v>
          </cell>
          <cell r="K158" t="str">
            <v>Bác sĩ khoa Nội Thận-TN-LM</v>
          </cell>
          <cell r="L158">
            <v>0</v>
          </cell>
        </row>
        <row r="159">
          <cell r="A159" t="str">
            <v>BV0681</v>
          </cell>
          <cell r="B159">
            <v>144</v>
          </cell>
          <cell r="C159" t="str">
            <v>002149/LS-CCHN</v>
          </cell>
          <cell r="D159" t="str">
            <v>Hoàng Thị Thoa</v>
          </cell>
          <cell r="E159" t="str">
            <v>002149/LS-CCHN</v>
          </cell>
          <cell r="F159">
            <v>43070</v>
          </cell>
          <cell r="G159" t="str">
            <v>Khám bệnh chữa bệnh Nội khoa</v>
          </cell>
          <cell r="H159" t="str">
            <v>Từ 07:00 đến 11:30 và từ 13:30 đến 17:00 từ thứ hai đến thứ sáu, thời gian trực và làm việc ngoài giờ theo phân công của Lãnh đạo</v>
          </cell>
          <cell r="I159" t="str">
            <v>Nội Thận-TN-LM</v>
          </cell>
          <cell r="J159" t="str">
            <v>Bác sĩ khoa Nội Thận - Tiết niệu - Lọc máu.</v>
          </cell>
          <cell r="K159" t="str">
            <v>Bác sĩ khoa Nội Thận-TN-LM</v>
          </cell>
          <cell r="L159">
            <v>0</v>
          </cell>
        </row>
        <row r="160">
          <cell r="A160" t="str">
            <v>BV0938</v>
          </cell>
          <cell r="B160">
            <v>145</v>
          </cell>
          <cell r="C160" t="str">
            <v>004178/LS-CCHN</v>
          </cell>
          <cell r="D160" t="str">
            <v>Hoàng Thị Phương Linh</v>
          </cell>
          <cell r="E160" t="str">
            <v>004178/LS-CCHN</v>
          </cell>
          <cell r="F160" t="str">
            <v>23/04/2021</v>
          </cell>
          <cell r="G160" t="str">
            <v>Khám bệnh chữa bệnh Nội khoa</v>
          </cell>
          <cell r="H160" t="str">
            <v>Từ 07:00 đến 11:30 và từ 13:30 đến 17:00 từ thứ hai đến thứ sáu, thời gian trực và làm việc ngoài giờ theo phân công của Lãnh đạo</v>
          </cell>
          <cell r="I160" t="str">
            <v>Nội Thận-TN-LM</v>
          </cell>
          <cell r="J160" t="str">
            <v>Bác sĩ khoa Nội Thận - Tiết niệu - Lọc máu.</v>
          </cell>
          <cell r="K160" t="str">
            <v>Bác sĩ khoa Nội Thận-TN-LM</v>
          </cell>
          <cell r="L160">
            <v>0</v>
          </cell>
        </row>
        <row r="161">
          <cell r="A161" t="str">
            <v>BV1258</v>
          </cell>
          <cell r="B161">
            <v>146</v>
          </cell>
          <cell r="C161" t="str">
            <v>005596/LS-CCHN</v>
          </cell>
          <cell r="D161" t="str">
            <v>Đường Ngọc Trang</v>
          </cell>
          <cell r="E161" t="str">
            <v>005596/LS-CCHN</v>
          </cell>
          <cell r="F161" t="str">
            <v>23/05/2023</v>
          </cell>
          <cell r="G161" t="str">
            <v>Khám bệnh, chữa bệnh chuyên khoa Nội</v>
          </cell>
          <cell r="H161" t="str">
            <v>Từ 07:00 đến 11:30 và từ 13:30 đến 17:00 từ thứ hai đến thứ sáu, thời gian trực và làm việc ngoài giờ theo phân công của Lãnh đạo</v>
          </cell>
          <cell r="I161" t="str">
            <v>Nội Thận-TN-LM</v>
          </cell>
          <cell r="J161" t="str">
            <v>Bác sĩ khoa Nội Thận - Tiết niệu - Lọc máu.</v>
          </cell>
          <cell r="K161" t="str">
            <v>Bác sĩ khoa Nội Thận-TN-LM</v>
          </cell>
          <cell r="L161">
            <v>0</v>
          </cell>
        </row>
        <row r="162">
          <cell r="A162" t="str">
            <v>BV0055</v>
          </cell>
          <cell r="B162">
            <v>151</v>
          </cell>
          <cell r="C162" t="str">
            <v>000778/LS-CCHN</v>
          </cell>
          <cell r="D162" t="str">
            <v>Hoàng Mạnh Châu</v>
          </cell>
          <cell r="E162" t="str">
            <v>000778/LS-CCHN</v>
          </cell>
          <cell r="F162" t="str">
            <v>11/01/2023</v>
          </cell>
          <cell r="G162" t="str">
            <v>Thực hiện phạm vi hoạt động chuyên môn theo Thông tư số 26/2015/TTLT-BYT-BNV ngày 07/10/2015 quy định  mã số, tiêu chuẩn chức danh nghề nghiệp, điều dưỡng, hộ sinh, kỹ thuật y</v>
          </cell>
          <cell r="H162" t="str">
            <v>Từ 07:00 đến 11:30 và từ 13:30 đến 17:00 từ thứ hai đến thứ sáu, thời gian trực và làm việc ngoài giờ theo phân công của Lãnh đạo</v>
          </cell>
          <cell r="I162" t="str">
            <v>Nội Thận-TN-LM</v>
          </cell>
          <cell r="J162" t="str">
            <v>Điều dưỡng khoa Nội Thận - Tiết niệu - Lọc máu</v>
          </cell>
          <cell r="K162" t="str">
            <v>Điều dưỡng khoa Nội Thận-TN-LM</v>
          </cell>
          <cell r="L162" t="str">
            <v>Từ 11:40 đến 13:00 và từ 17:10 đến 19:00 thứ hai đến thứ sáu; từ 07:30 đến 11:30 và từ 13:30 đến 17:00 thứ bảy, chủ nhật hằng tuần. Tại Phòng khám đa khoa Dr Toán</v>
          </cell>
        </row>
        <row r="163">
          <cell r="A163" t="str">
            <v>BV0147</v>
          </cell>
          <cell r="B163">
            <v>148</v>
          </cell>
          <cell r="C163" t="str">
            <v>000394/LS-CCHN</v>
          </cell>
          <cell r="D163" t="str">
            <v>Đinh Thị Nghĩa</v>
          </cell>
          <cell r="E163" t="str">
            <v>000394/LS-CCHN</v>
          </cell>
          <cell r="F163" t="str">
            <v>01/06/2016</v>
          </cell>
          <cell r="G163" t="str">
            <v>Thực hiện phạm vi hoạt động chuyên môn theo quy định tại Thông tư số 26/2015/TTLT-BYT-BNV ngày 07/10/2015 quy định mã số, tiêu chuẩn chức danh nghề nghiệp điều dưỡng, hộ sinh, kỹ thuật y</v>
          </cell>
          <cell r="H163" t="str">
            <v>Từ 07:00 đến 11:30 và từ 13:30 đến 17:00 từ thứ hai đến thứ sáu, thời gian trực và làm việc ngoài giờ theo phân công của Lãnh đạo</v>
          </cell>
          <cell r="I163" t="str">
            <v>Nội Thận-TN-LM</v>
          </cell>
          <cell r="J163" t="str">
            <v>Điều dưỡng khoa Nội Thận - Tiết niệu - Lọc máu.</v>
          </cell>
          <cell r="K163" t="str">
            <v>Điều dưỡng khoa Nội Thận-TN-LM</v>
          </cell>
          <cell r="L163">
            <v>0</v>
          </cell>
        </row>
        <row r="164">
          <cell r="A164" t="str">
            <v>BV0151</v>
          </cell>
          <cell r="B164">
            <v>149</v>
          </cell>
          <cell r="C164" t="str">
            <v>000397/LS-CCHN</v>
          </cell>
          <cell r="D164" t="str">
            <v>Thi Văn Hiển</v>
          </cell>
          <cell r="E164" t="str">
            <v>000397/LS-CCHN</v>
          </cell>
          <cell r="F164" t="str">
            <v>11/01/2023</v>
          </cell>
          <cell r="G164" t="str">
            <v>Thực hiện phạm vi hoạt động chuyên môn theo Thông tư số 26/2015/TTLT-BYT-BNV ngày 07/10/2015 quy định  mã số, tiêu chuẩn chức danh nghề nghiệp, điều dưỡng, hộ sinh, kỹ thuật y</v>
          </cell>
          <cell r="H164" t="str">
            <v>Từ 07:00 đến 11:30 và từ 13:30 đến 17:00 từ thứ hai đến thứ sáu, thời gian trực và làm việc ngoài giờ theo phân công của Lãnh đạo</v>
          </cell>
          <cell r="I164" t="str">
            <v>Nội Thận-TN-LM</v>
          </cell>
          <cell r="J164" t="str">
            <v>Điều dưỡng khoa Nội Thận - Tiết niệu - Lọc máu.</v>
          </cell>
          <cell r="K164" t="str">
            <v>Điều dưỡng khoa Nội Thận-TN-LM</v>
          </cell>
          <cell r="L164">
            <v>0</v>
          </cell>
        </row>
        <row r="165">
          <cell r="A165" t="str">
            <v>BV0223</v>
          </cell>
          <cell r="B165">
            <v>150</v>
          </cell>
          <cell r="C165" t="str">
            <v>000937/LS-CCHN</v>
          </cell>
          <cell r="D165" t="str">
            <v>Nguyễn Thị Phương</v>
          </cell>
          <cell r="E165" t="str">
            <v>000937/LS-CCHN</v>
          </cell>
          <cell r="F165" t="str">
            <v>11/01/2023</v>
          </cell>
          <cell r="G165" t="str">
            <v>Thực hiện phạm vi hoạt động chuyên môn theo Thông tư số 26/2015/TTLT-BYT-BNV ngày 07/10/2015 quy định  mã số, tiêu chuẩn chức danh nghề nghiệp, điều dưỡng, hộ sinh, kỹ thuật y</v>
          </cell>
          <cell r="H165" t="str">
            <v>Từ 07:00 đến 11:30 và từ 13:30 đến 17:00 từ thứ hai đến thứ sáu, thời gian trực và làm việc ngoài giờ theo phân công của Lãnh đạo</v>
          </cell>
          <cell r="I165" t="str">
            <v>Nội Thận-TN-LM</v>
          </cell>
          <cell r="J165" t="str">
            <v>Điều dưỡng khoa Nội Thận - Tiết niệu - Lọc máu- Điều dưỡng trưởng</v>
          </cell>
          <cell r="K165" t="str">
            <v>Điều dưỡng khoa Nội Thận - Tiết niệu - Lọc máu- Điều dưỡng trưởng</v>
          </cell>
          <cell r="L165">
            <v>0</v>
          </cell>
        </row>
        <row r="166">
          <cell r="A166" t="str">
            <v>BV0157</v>
          </cell>
          <cell r="B166">
            <v>151</v>
          </cell>
          <cell r="C166" t="str">
            <v>000842/LS-CCHN</v>
          </cell>
          <cell r="D166" t="str">
            <v>Hoàng Thị Lý</v>
          </cell>
          <cell r="E166" t="str">
            <v>000842/LS-CCHN</v>
          </cell>
          <cell r="F166" t="str">
            <v>11/01/2023</v>
          </cell>
          <cell r="G166" t="str">
            <v>Thực hiện phạm vi hoạt động chuyên môn theo Thông tư số 26/2015/TTLT-BYT-BNV ngày 07/10/2015 quy định  mã số, tiêu chuẩn chức danh nghề nghiệp, điều dưỡng, hộ sinh, kỹ thuật y</v>
          </cell>
          <cell r="H166" t="str">
            <v>Từ 07:00 đến 11:30 và từ 13:30 đến 17:00 từ thứ hai đến thứ sáu, thời gian trực và làm việc ngoài giờ theo phân công của Lãnh đạo</v>
          </cell>
          <cell r="I166" t="str">
            <v>Nội Thận-TN-LM</v>
          </cell>
          <cell r="J166" t="str">
            <v>Điều dưỡng khoa Nội Thận - Tiết niệu - Lọc máu.</v>
          </cell>
          <cell r="K166" t="str">
            <v>Điều dưỡng khoa Nội Thận-TN-LM</v>
          </cell>
          <cell r="L166">
            <v>0</v>
          </cell>
        </row>
        <row r="167">
          <cell r="A167" t="str">
            <v>BV0152</v>
          </cell>
          <cell r="B167">
            <v>152</v>
          </cell>
          <cell r="C167" t="str">
            <v>000843/LS-CCHN</v>
          </cell>
          <cell r="D167" t="str">
            <v>Hoàng Thị Thắm</v>
          </cell>
          <cell r="E167" t="str">
            <v>000843/LS-CCHN</v>
          </cell>
          <cell r="F167" t="str">
            <v>11/01/2023</v>
          </cell>
          <cell r="G167" t="str">
            <v>Thực hiện phạm vi hoạt động chuyên môn theo Thông tư số 26/2015/TTLT-BYT-BNV ngày 07/10/2015 quy định  mã số, tiêu chuẩn chức danh nghề nghiệp, điều dưỡng, hộ sinh, kỹ thuật y</v>
          </cell>
          <cell r="H167" t="str">
            <v>Từ 07:00 đến 11:30 và từ 13:30 đến 17:00 từ thứ hai đến thứ sáu, thời gian trực và làm việc ngoài giờ theo phân công của Lãnh đạo</v>
          </cell>
          <cell r="I167" t="str">
            <v>Nội Thận-TN-LM</v>
          </cell>
          <cell r="J167" t="str">
            <v>Điều dưỡng khoa Nội Thận - Tiết niệu - Lọc máu.</v>
          </cell>
          <cell r="K167" t="str">
            <v>Điều dưỡng khoa Nội Thận-TN-LM</v>
          </cell>
          <cell r="L167">
            <v>0</v>
          </cell>
        </row>
        <row r="168">
          <cell r="A168" t="str">
            <v>BV0158</v>
          </cell>
          <cell r="B168">
            <v>153</v>
          </cell>
          <cell r="C168" t="str">
            <v>000849/LS-CCHN</v>
          </cell>
          <cell r="D168" t="str">
            <v>Ma Thị Nhung</v>
          </cell>
          <cell r="E168" t="str">
            <v>000849/LS-CCHN</v>
          </cell>
          <cell r="F168" t="str">
            <v>24/06/2013</v>
          </cell>
          <cell r="G168" t="str">
            <v>Theo quy định tại Quyết định số 41/2005/QĐ-BNV ngày 22/4/2005 của Bộ trưởng Bộ Nội vụ về việc ban hành tiêu chuẩn nghiệp vụ các ngạch viên chức y tế điều dưỡng</v>
          </cell>
          <cell r="H168" t="str">
            <v>Từ 07:00 đến 11:30 và từ 13:30 đến 17:00 từ thứ hai đến thứ sáu, thời gian trực và làm việc ngoài giờ theo phân công của Lãnh đạo</v>
          </cell>
          <cell r="I168" t="str">
            <v>Nội Thận-TN-LM</v>
          </cell>
          <cell r="J168" t="str">
            <v>Điều dưỡng khoa Nội Thận - Tiết niệu - Lọc máu.</v>
          </cell>
          <cell r="K168" t="str">
            <v>Điều dưỡng khoa Nội Thận-TN-LM</v>
          </cell>
          <cell r="L168">
            <v>0</v>
          </cell>
        </row>
        <row r="169">
          <cell r="A169" t="str">
            <v>BV0156</v>
          </cell>
          <cell r="B169">
            <v>154</v>
          </cell>
          <cell r="C169" t="str">
            <v>000847/LS-CCHN</v>
          </cell>
          <cell r="D169" t="str">
            <v>Nông Công Trọng</v>
          </cell>
          <cell r="E169" t="str">
            <v>000847/LS-CCHN</v>
          </cell>
          <cell r="F169" t="str">
            <v>11/01/2023</v>
          </cell>
          <cell r="G169" t="str">
            <v>Thực hiện phạm vi hoạt động chuyên môn theo Thông tư số 26/2015/TTLT-BYT-BNV ngày 07/10/2015 quy định  mã số, tiêu chuẩn chức danh nghề nghiệp, điều dưỡng, hộ sinh, kỹ thuật y</v>
          </cell>
          <cell r="H169" t="str">
            <v>Từ 07:00 đến 11:30 và từ 13:30 đến 17:00 từ thứ hai đến thứ sáu, thời gian trực và làm việc ngoài giờ theo phân công của Lãnh đạo</v>
          </cell>
          <cell r="I169" t="str">
            <v>Nội Thận-TN-LM</v>
          </cell>
          <cell r="J169" t="str">
            <v>Điều dưỡng khoa Nội Thận - Tiết niệu - Lọc máu.</v>
          </cell>
          <cell r="K169" t="str">
            <v>Điều dưỡng khoa Nội Thận-TN-LM</v>
          </cell>
          <cell r="L169">
            <v>0</v>
          </cell>
        </row>
        <row r="170">
          <cell r="A170" t="str">
            <v>BV0784</v>
          </cell>
          <cell r="B170">
            <v>155</v>
          </cell>
          <cell r="C170" t="str">
            <v>003335/LS-CCHN</v>
          </cell>
          <cell r="D170" t="str">
            <v>Phạm Thu Thùy</v>
          </cell>
          <cell r="E170" t="str">
            <v>003335/LS-CCHN</v>
          </cell>
          <cell r="F170" t="str">
            <v>17/08/2018</v>
          </cell>
          <cell r="G170" t="str">
            <v>Thực hiện phạm vi hoạt động chuyên môn theo quy định tại Thông tư số 26/2015/TTLT-BYT-BNV ngày 07/10/2015 quy định mã số, tiêu chuẩn chức danh nghề nghiệp điều dưỡng, hộ sinh, kỹ thuật y</v>
          </cell>
          <cell r="H170" t="str">
            <v>Từ 07:00 đến 11:30 và từ 13:30 đến 17:00 từ thứ hai đến thứ sáu, thời gian trực và làm việc ngoài giờ theo phân công của Lãnh đạo</v>
          </cell>
          <cell r="I170" t="str">
            <v>Nội Thận-TN-LM</v>
          </cell>
          <cell r="J170" t="str">
            <v>Điều dưỡng khoa Nội Thận - Tiết niệu - Lọc máu.</v>
          </cell>
          <cell r="K170" t="str">
            <v>Điều dưỡng khoa Nội Thận-TN-LM</v>
          </cell>
          <cell r="L170">
            <v>0</v>
          </cell>
        </row>
        <row r="171">
          <cell r="A171" t="str">
            <v>BV0192</v>
          </cell>
          <cell r="B171">
            <v>156</v>
          </cell>
          <cell r="C171" t="str">
            <v>000925/LS-CCHN</v>
          </cell>
          <cell r="D171" t="str">
            <v>Phạm Thị Bình</v>
          </cell>
          <cell r="E171" t="str">
            <v>000925/LS-CCHN</v>
          </cell>
          <cell r="F171" t="str">
            <v>11/01/2023</v>
          </cell>
          <cell r="G171" t="str">
            <v>Thực hiện phạm vi hoạt động chuyên môn theo Thông tư số 26/2015/TTLT-BYT-BNV ngày 07/10/2015 quy định  mã số, tiêu chuẩn chức danh nghề nghiệp, điều dưỡng, hộ sinh, kỹ thuật y</v>
          </cell>
          <cell r="H171" t="str">
            <v>Từ 07:00 đến 11:30 và từ 13:30 đến 17:00 từ thứ hai đến thứ sáu, thời gian trực và làm việc ngoài giờ theo phân công của Lãnh đạo</v>
          </cell>
          <cell r="I171" t="str">
            <v>Nội Thận-TN-LM</v>
          </cell>
          <cell r="J171" t="str">
            <v>Điều dưỡng khoa Nội Thận - Tiết niệu - Lọc máu.</v>
          </cell>
          <cell r="K171" t="str">
            <v>Điều dưỡng khoa Nội Thận-TN-LM</v>
          </cell>
          <cell r="L171">
            <v>0</v>
          </cell>
        </row>
        <row r="172">
          <cell r="A172" t="str">
            <v>BV0907</v>
          </cell>
          <cell r="B172">
            <v>157</v>
          </cell>
          <cell r="C172" t="str">
            <v>003726/LS-CCHN</v>
          </cell>
          <cell r="D172" t="str">
            <v>Hoàng Tuấn Hưởng</v>
          </cell>
          <cell r="E172" t="str">
            <v>003726/LS-CCHN</v>
          </cell>
          <cell r="F172" t="str">
            <v>22/05/2020</v>
          </cell>
          <cell r="G172" t="str">
            <v>Thực hiện phạm vi hoạt động chuyên môn theo quy định tại Thông tư số 26/2015/TTLT-BYT-BNV ngày 07/10/2015 quy định mã số, tiêu chuẩn chức danh nghề nghiệp điều dưỡng, hộ sinh, kỹ thuật y</v>
          </cell>
          <cell r="H172" t="str">
            <v>Từ 07:00 đến 11:30 và từ 13:30 đến 17:00 từ thứ hai đến thứ sáu, thời gian trực và làm việc ngoài giờ theo phân công của Lãnh đạo</v>
          </cell>
          <cell r="I172" t="str">
            <v>Nội Thận-TN-LM</v>
          </cell>
          <cell r="J172" t="str">
            <v>Điều dưỡng khoa Nội Thận - Tiết niệu - Lọc máu.</v>
          </cell>
          <cell r="K172" t="str">
            <v>Điều dưỡng khoa Nội Thận-TN-LM</v>
          </cell>
          <cell r="L172">
            <v>0</v>
          </cell>
        </row>
        <row r="173">
          <cell r="A173" t="str">
            <v>BV1054</v>
          </cell>
          <cell r="B173">
            <v>158</v>
          </cell>
          <cell r="C173" t="str">
            <v>005497/LS-CCHN</v>
          </cell>
          <cell r="D173" t="str">
            <v>Lâm Thị Hằng</v>
          </cell>
          <cell r="E173" t="str">
            <v>005497/LS-CCHN</v>
          </cell>
          <cell r="F173" t="str">
            <v>16/11/2022</v>
          </cell>
          <cell r="G173" t="str">
            <v>Thực hiện phạm vi hoạt động chuyên môn theo quy định tại Thông tư số 26/2015/TTLT-BYT-BNV ngày 07/10/2015 quy định mã số, tiêu chuẩn chức danh nghề nghiệp điều dưỡng, hộ sinh, kỹ thuật y</v>
          </cell>
          <cell r="H173" t="str">
            <v>Từ 07:00 đến 11:30 và từ 13:30 đến 17:00 từ thứ hai đến thứ sáu, thời gian trực và làm việc ngoài giờ theo phân công của Lãnh đạo</v>
          </cell>
          <cell r="I173" t="str">
            <v>Nội Thận-TN-LM</v>
          </cell>
          <cell r="J173" t="str">
            <v>Điều dưỡng khoa Nội Thận - Tiết niệu - Lọc máu.</v>
          </cell>
          <cell r="K173" t="str">
            <v>Điều dưỡng khoa Nội Thận-TN-LM</v>
          </cell>
          <cell r="L173">
            <v>0</v>
          </cell>
        </row>
        <row r="174">
          <cell r="A174" t="str">
            <v>BV0085</v>
          </cell>
          <cell r="B174">
            <v>159</v>
          </cell>
          <cell r="C174" t="str">
            <v>000271/LS-GPHN</v>
          </cell>
          <cell r="D174" t="str">
            <v>Lương Thị Thu Hương</v>
          </cell>
          <cell r="E174" t="str">
            <v>000271/LS-GPHN</v>
          </cell>
          <cell r="F174" t="str">
            <v>19/5/2025</v>
          </cell>
          <cell r="G174" t="str">
            <v>Theo quy định tại Quyết định số 41/2005/QĐ-BNV ngày 22/4/2005 của Bộ trưởng Bộ Nội vụ về việc ban hành tiêu chuẩn nghiệp vụ các ngạch viên chức y tế điều dưỡng</v>
          </cell>
          <cell r="H174" t="str">
            <v>Từ 07:00 đến 11:30 và từ 13:30 đến 17:00 từ thứ hai đến thứ sáu, thời gian trực và làm việc ngoài giờ theo phân công của Lãnh đạo</v>
          </cell>
          <cell r="I174" t="str">
            <v>Nội Thận-TN-LM</v>
          </cell>
          <cell r="J174" t="str">
            <v>Điều dưỡng khoa Nội Thận - Tiết niệu - Lọc máu.</v>
          </cell>
          <cell r="K174" t="str">
            <v>Điều dưỡng khoa Nội Thận-TN-LM</v>
          </cell>
          <cell r="L174">
            <v>0</v>
          </cell>
        </row>
        <row r="175">
          <cell r="A175" t="str">
            <v>BV0111</v>
          </cell>
          <cell r="B175">
            <v>160</v>
          </cell>
          <cell r="C175" t="str">
            <v>000807/LS-CCHN</v>
          </cell>
          <cell r="D175" t="str">
            <v>Vương Quỳnh Chi</v>
          </cell>
          <cell r="E175" t="str">
            <v>000807/LS-CCHN</v>
          </cell>
          <cell r="F175" t="str">
            <v>11/01/2023</v>
          </cell>
          <cell r="G175" t="str">
            <v>Thực hiện phạm vi hoạt động chuyên môn theo Thông tư số 26/2015/TTLT-BYT-BNV ngày 07/10/2015 quy định  mã số, tiêu chuẩn chức danh nghề nghiệp, điều dưỡng, hộ sinh, kỹ thuật y</v>
          </cell>
          <cell r="H175" t="str">
            <v>Từ 07:00 đến 11:30 và từ 13:30 đến 17:00 từ thứ hai đến thứ sáu, thời gian trực và làm việc ngoài giờ theo phân công của Lãnh đạo</v>
          </cell>
          <cell r="I175" t="str">
            <v>Nội Thận-TN-LM</v>
          </cell>
          <cell r="J175" t="str">
            <v>Điều dưỡng khoa Nội Thận - Tiết niệu - Lọc máu.</v>
          </cell>
          <cell r="K175" t="str">
            <v>Điều dưỡng khoa Nội Thận-TN-LM</v>
          </cell>
          <cell r="L175">
            <v>0</v>
          </cell>
        </row>
        <row r="176">
          <cell r="A176" t="str">
            <v>BV1142</v>
          </cell>
          <cell r="B176">
            <v>161</v>
          </cell>
          <cell r="C176" t="str">
            <v>000342/LS-CCHN</v>
          </cell>
          <cell r="D176" t="str">
            <v>Nông Hải Yến</v>
          </cell>
          <cell r="E176" t="str">
            <v>000342/LS-CCHN</v>
          </cell>
          <cell r="F176" t="str">
            <v>11/01/2023</v>
          </cell>
          <cell r="G176" t="str">
            <v>Thực hiện phạm vi hoạt động chuyên môn theo Thông tư số 26/2015/TTLT-BYT-BNV ngày 07/10/2015 quy định  mã số, tiêu chuẩn chức danh nghề nghiệp, điều dưỡng, hộ sinh, kỹ thuật y</v>
          </cell>
          <cell r="H176" t="str">
            <v>Từ 07:00 đến 11:30 và từ 13:30 đến 17:00 từ thứ hai đến thứ sáu, thời gian trực và làm việc ngoài giờ theo phân công của Lãnh đạo</v>
          </cell>
          <cell r="I176" t="str">
            <v>Nội Thận-TN-LM</v>
          </cell>
          <cell r="J176" t="str">
            <v>Điều dưỡng khoa Nội Thận - Tiết niệu - Lọc máu.</v>
          </cell>
          <cell r="K176" t="str">
            <v>Điều dưỡng khoa Nội Thận-TN-LM</v>
          </cell>
          <cell r="L176">
            <v>0</v>
          </cell>
        </row>
        <row r="177">
          <cell r="A177" t="str">
            <v>BV0981</v>
          </cell>
          <cell r="B177">
            <v>162</v>
          </cell>
          <cell r="C177" t="str">
            <v>004330/LS-CCHN</v>
          </cell>
          <cell r="D177" t="str">
            <v>Vi Thị Duyên</v>
          </cell>
          <cell r="E177" t="str">
            <v>004330/LS-CCHN</v>
          </cell>
          <cell r="F177" t="str">
            <v>20/07/2021</v>
          </cell>
          <cell r="G177" t="str">
            <v>Thực hiện phạm vi hoạt động chuyên môn theo quy định tại Thông tư số 26/2015/TTLT-BYT-BNV ngày 07/10/2015 quy định mã số, tiêu chuẩn chức danh nghề nghiệp điều dưỡng, hộ sinh, kỹ thuật y</v>
          </cell>
          <cell r="H177" t="str">
            <v>Từ 07:00 đến 11:30 và từ 13:30 đến 17:00 từ thứ hai đến thứ sáu, thời gian trực và làm việc ngoài giờ theo phân công của Lãnh đạo</v>
          </cell>
          <cell r="I177" t="str">
            <v>Nội Thận-TN-LM</v>
          </cell>
          <cell r="J177" t="str">
            <v>Điều dưỡng khoa Nội Thận - Tiết niệu - Lọc máu.</v>
          </cell>
          <cell r="K177" t="str">
            <v>Điều dưỡng khoa Nội Thận-TN-LM</v>
          </cell>
          <cell r="L177">
            <v>0</v>
          </cell>
        </row>
        <row r="178">
          <cell r="A178" t="str">
            <v>BV0906</v>
          </cell>
          <cell r="B178">
            <v>163</v>
          </cell>
          <cell r="C178" t="str">
            <v>005574/LS-CCHN</v>
          </cell>
          <cell r="D178" t="str">
            <v>Đinh Việt Nghĩa</v>
          </cell>
          <cell r="E178" t="str">
            <v>005574/LS-CCHN</v>
          </cell>
          <cell r="F178" t="str">
            <v>27/04/2023</v>
          </cell>
          <cell r="G178" t="str">
            <v>Thực hiện phạm vi hoạt động chuyên môn theo Thông tư số 26/2015/TTLT-BYT-BNV ngày 07/10/2015 quy định  mã số, tiêu chuẩn chức danh nghề nghiệp, điều dưỡng, hộ sinh, kỹ thuật y</v>
          </cell>
          <cell r="H178" t="str">
            <v>Từ 07:00 đến 11:30 và từ 13:30 đến 17:00 từ thứ hai đến thứ sáu, thời gian trực và làm việc ngoài giờ theo phân công của Lãnh đạo</v>
          </cell>
          <cell r="I178" t="str">
            <v>Nội Thận-TN-LM</v>
          </cell>
          <cell r="J178" t="str">
            <v>Điều dưỡng khoa Nội Thận - Tiết niệu - Lọc máu.</v>
          </cell>
          <cell r="K178" t="str">
            <v>Điều dưỡng khoa Nội Thận-TN-LM</v>
          </cell>
          <cell r="L178">
            <v>0</v>
          </cell>
        </row>
        <row r="179">
          <cell r="A179" t="str">
            <v>BV1083</v>
          </cell>
          <cell r="B179">
            <v>164</v>
          </cell>
          <cell r="C179" t="str">
            <v>004487/LS-CCHN</v>
          </cell>
          <cell r="D179" t="str">
            <v>Lục Thị Mì</v>
          </cell>
          <cell r="E179" t="str">
            <v>004487/LS-CCHN</v>
          </cell>
          <cell r="F179" t="str">
            <v>14/03/2022</v>
          </cell>
          <cell r="G179" t="str">
            <v>Thực hiện phạm vi hoạt động chuyên môn theo quy định tại Thông tư số 26/2015/TTLT-BYT-BNV ngày 07/10/2015 quy định mã số, tiêu chuẩn chức danh nghề nghiệp điều dưỡng, hộ sinh, kỹ thuật y</v>
          </cell>
          <cell r="H179" t="str">
            <v>Từ 07:00 đến 11:30 và từ 13:30 đến 17:00 từ thứ hai đến thứ sáu, thời gian trực và làm việc ngoài giờ theo phân công của Lãnh đạo</v>
          </cell>
          <cell r="I179" t="str">
            <v>Nội Thận-TN-LM</v>
          </cell>
          <cell r="J179" t="str">
            <v>Điều dưỡng khoa Nội Thận - Tiết niệu - Lọc máu.</v>
          </cell>
          <cell r="K179" t="str">
            <v>Điều dưỡng khoa Nội Thận-TN-LM</v>
          </cell>
          <cell r="L179">
            <v>0</v>
          </cell>
        </row>
        <row r="180">
          <cell r="D180" t="str">
            <v>KHOA NỘI TIM MẠCH</v>
          </cell>
          <cell r="I180" t="e">
            <v>#N/A</v>
          </cell>
        </row>
        <row r="181">
          <cell r="A181" t="str">
            <v>BV0092</v>
          </cell>
          <cell r="B181">
            <v>165</v>
          </cell>
          <cell r="C181" t="str">
            <v>001782/LS-CCHN</v>
          </cell>
          <cell r="D181" t="str">
            <v>Hà Đình Nghị</v>
          </cell>
          <cell r="E181" t="str">
            <v>001782/LS-CCHN</v>
          </cell>
          <cell r="F181" t="str">
            <v>26/12/2013</v>
          </cell>
          <cell r="G181" t="str">
            <v>Khám bệnh chữa bệnh Nội khoa</v>
          </cell>
          <cell r="H181" t="str">
            <v>Từ 07:00 đến 11:30 và từ 13:30 đến 17:00 từ thứ hai đến thứ sáu, thời gian trực và làm việc ngoài giờ theo phân công của Lãnh đạo</v>
          </cell>
          <cell r="I181" t="str">
            <v>Nội TM</v>
          </cell>
          <cell r="J181" t="str">
            <v>Bác sĩ khoa Nội tim mạch - Trưởng khoa.</v>
          </cell>
          <cell r="K181" t="str">
            <v>Bác sĩ khoa Nội tim mạch - Trưởng khoa.</v>
          </cell>
          <cell r="L181">
            <v>0</v>
          </cell>
        </row>
        <row r="182">
          <cell r="A182" t="str">
            <v>BV0094</v>
          </cell>
          <cell r="B182">
            <v>166</v>
          </cell>
          <cell r="C182" t="str">
            <v>000403/LS-CCHN</v>
          </cell>
          <cell r="D182" t="str">
            <v>Nguyễn Ngọc Bình</v>
          </cell>
          <cell r="E182" t="str">
            <v>000403/LS-CCHN</v>
          </cell>
          <cell r="F182" t="str">
            <v>06/01/2016</v>
          </cell>
          <cell r="G182" t="str">
            <v>Khám bệnh, chữa bệnh chuyên khoa Nội</v>
          </cell>
          <cell r="H182" t="str">
            <v>Từ 07:00 đến 11:30 và từ 13:30 đến 17:00 từ thứ hai đến thứ sáu, thời gian trực và làm việc ngoài giờ theo phân công của Lãnh đạo</v>
          </cell>
          <cell r="I182" t="str">
            <v>Nội TM</v>
          </cell>
          <cell r="J182" t="str">
            <v>Bác sĩ khoa Nội tim mạch - Phó trưởng khoa.</v>
          </cell>
          <cell r="K182" t="str">
            <v>Bác sĩ khoa Nội tim mạch - Phó trưởng khoa.</v>
          </cell>
          <cell r="L182" t="str">
            <v>Từ 07:00 đến 11:30 và từ 13:30 đến 17:00 Thứ bảy và chủ nhật hằng tuần; Tại Phòng khám đa khoa Xứ Lạng</v>
          </cell>
        </row>
        <row r="183">
          <cell r="A183" t="str">
            <v>BV0122</v>
          </cell>
          <cell r="B183">
            <v>167</v>
          </cell>
          <cell r="C183" t="str">
            <v>000503/LS-CCHN</v>
          </cell>
          <cell r="D183" t="str">
            <v>Trần Thị Quy</v>
          </cell>
          <cell r="E183" t="str">
            <v>000503/LS-CCHN</v>
          </cell>
          <cell r="F183" t="str">
            <v>24/08/2016</v>
          </cell>
          <cell r="G183" t="str">
            <v>Khám bệnh chữa bệnh Nội khoa</v>
          </cell>
          <cell r="H183" t="str">
            <v>Từ 07:00 đến 11:30 và từ 13:30 đến 17:00 từ thứ hai đến thứ sáu, thời gian trực và làm việc ngoài giờ theo phân công của Lãnh đạo</v>
          </cell>
          <cell r="I183" t="str">
            <v>Nội TM</v>
          </cell>
          <cell r="J183" t="str">
            <v>Bác sĩ khoa Nội tim mạch.</v>
          </cell>
          <cell r="K183" t="str">
            <v>Bác sĩ khoa Nội TM</v>
          </cell>
          <cell r="L183">
            <v>0</v>
          </cell>
        </row>
        <row r="184">
          <cell r="A184" t="str">
            <v>BV0837</v>
          </cell>
          <cell r="B184">
            <v>168</v>
          </cell>
          <cell r="C184" t="str">
            <v>003355/LS-CCHN</v>
          </cell>
          <cell r="D184" t="str">
            <v>Hoàng Thị Bèn</v>
          </cell>
          <cell r="E184" t="str">
            <v>003355/LS-CCHN</v>
          </cell>
          <cell r="F184" t="str">
            <v>17/09/2018</v>
          </cell>
          <cell r="G184" t="str">
            <v>Khám bệnh, chữa bệnh Nội khoa</v>
          </cell>
          <cell r="H184" t="str">
            <v>Từ 07:00 đến 11:30 và từ 13:30 đến 17:00 từ thứ hai đến thứ sáu, thời gian trực và làm việc ngoài giờ theo phân công của Lãnh đạo</v>
          </cell>
          <cell r="I184" t="str">
            <v>Nội TM</v>
          </cell>
          <cell r="J184" t="str">
            <v>Bác sĩ khoa Nội tim mạch.</v>
          </cell>
          <cell r="K184" t="str">
            <v>Bác sĩ khoa Nội TM</v>
          </cell>
          <cell r="L184" t="str">
            <v>Từ 07:00 đến 11:30 và từ 13:30 đến 17:00 Thứ bảy và chủ nhật hằng tuần; Tại Phòng khám đa khoa Xứ Lạng</v>
          </cell>
        </row>
        <row r="185">
          <cell r="A185" t="str">
            <v>BV1029</v>
          </cell>
          <cell r="B185">
            <v>169</v>
          </cell>
          <cell r="C185" t="str">
            <v>003569/LS-CCHN</v>
          </cell>
          <cell r="D185" t="str">
            <v>Đào Thị Ngọc Huyền</v>
          </cell>
          <cell r="E185" t="str">
            <v>003569/LS-CCHN</v>
          </cell>
          <cell r="F185" t="str">
            <v>20/09/2019</v>
          </cell>
          <cell r="G185" t="str">
            <v>Khám bệnh, chữa bệnh Nội khoa</v>
          </cell>
          <cell r="H185" t="str">
            <v>Từ 07:00 đến 11:30 và từ 13:30 đến 17:00 từ thứ hai đến thứ sáu, thời gian trực và làm việc ngoài giờ theo phân công của Lãnh đạo</v>
          </cell>
          <cell r="I185" t="str">
            <v>Nội TM</v>
          </cell>
          <cell r="J185" t="str">
            <v>Bác sĩ khoa Nội tim mạch.</v>
          </cell>
          <cell r="K185" t="str">
            <v>Bác sĩ khoa Nội TM</v>
          </cell>
          <cell r="L185">
            <v>0</v>
          </cell>
        </row>
        <row r="186">
          <cell r="A186" t="str">
            <v>BV1025</v>
          </cell>
          <cell r="B186">
            <v>170</v>
          </cell>
          <cell r="C186" t="str">
            <v>004480/LS-CCHN</v>
          </cell>
          <cell r="D186" t="str">
            <v>Trương Trung Nghĩa</v>
          </cell>
          <cell r="E186" t="str">
            <v>004480/LS-CCHN</v>
          </cell>
          <cell r="F186" t="str">
            <v>14/03/2022</v>
          </cell>
          <cell r="G186" t="str">
            <v>Khám bệnh, chữa bệnh Nội khoa</v>
          </cell>
          <cell r="H186" t="str">
            <v>Từ 07:00 đến 11:30 và từ 13:30 đến 17:00 từ thứ hai đến thứ sáu, thời gian trực và làm việc ngoài giờ theo phân công của Lãnh đạo</v>
          </cell>
          <cell r="I186" t="str">
            <v>Nội TM</v>
          </cell>
          <cell r="J186" t="str">
            <v>Bác sĩ khoa Nội tim mạch.</v>
          </cell>
          <cell r="K186" t="str">
            <v>Bác sĩ khoa Nội TM</v>
          </cell>
          <cell r="L186">
            <v>0</v>
          </cell>
        </row>
        <row r="187">
          <cell r="A187" t="str">
            <v>BV0932</v>
          </cell>
          <cell r="B187">
            <v>171</v>
          </cell>
          <cell r="C187" t="str">
            <v>004213/LS-CCHN</v>
          </cell>
          <cell r="D187" t="str">
            <v>Hứa Minh Huyền</v>
          </cell>
          <cell r="E187" t="str">
            <v>004213/LS-CCHN</v>
          </cell>
          <cell r="F187" t="str">
            <v>12/05/2021</v>
          </cell>
          <cell r="G187" t="str">
            <v>Khám bệnh chữa bệnh Nội khoa</v>
          </cell>
          <cell r="H187" t="str">
            <v>Từ 07:00 đến 11:30 và từ 13:30 đến 17:00 từ thứ hai đến thứ sáu, thời gian trực và làm việc ngoài giờ theo phân công của Lãnh đạo</v>
          </cell>
          <cell r="I187" t="str">
            <v>Nội TM</v>
          </cell>
          <cell r="J187" t="str">
            <v>Bác sĩ khoa Nội tim mạch.</v>
          </cell>
          <cell r="K187" t="str">
            <v>Bác sĩ khoa Nội TM</v>
          </cell>
          <cell r="L187">
            <v>0</v>
          </cell>
        </row>
        <row r="188">
          <cell r="A188" t="str">
            <v>BV1153</v>
          </cell>
          <cell r="B188">
            <v>172</v>
          </cell>
          <cell r="C188" t="str">
            <v>005652/LS-CCHN</v>
          </cell>
          <cell r="D188" t="str">
            <v>Đàm Quang Diệu</v>
          </cell>
          <cell r="E188" t="str">
            <v>005652/LS-CCHN</v>
          </cell>
          <cell r="F188" t="str">
            <v>27/07/2023</v>
          </cell>
          <cell r="G188" t="str">
            <v>Khám bệnh, chữa bệnh chuyên khoa Nội</v>
          </cell>
          <cell r="H188" t="str">
            <v>Từ 07:00 đến 11:30 và từ 13:30 đến 17:00 từ thứ hai đến thứ sáu, thời gian trực và làm việc ngoài giờ theo phân công của Lãnh đạo</v>
          </cell>
          <cell r="I188" t="str">
            <v>Nội TM</v>
          </cell>
          <cell r="J188" t="str">
            <v>Bác sĩ khoa Nội tim mạch.</v>
          </cell>
          <cell r="K188" t="str">
            <v>Bác sĩ khoa Nội TM</v>
          </cell>
          <cell r="L188">
            <v>0</v>
          </cell>
        </row>
        <row r="189">
          <cell r="A189" t="str">
            <v>BV1354</v>
          </cell>
          <cell r="C189" t="str">
            <v>000423/LS-GPHN</v>
          </cell>
          <cell r="D189" t="str">
            <v>Nguyễn Sơn Tùng</v>
          </cell>
          <cell r="E189" t="str">
            <v>000423/LS-GPHN</v>
          </cell>
          <cell r="F189">
            <v>45994</v>
          </cell>
          <cell r="G189" t="str">
            <v>Y khoa</v>
          </cell>
          <cell r="H189" t="str">
            <v>Từ 07:00 đến 11:30 và từ 13:30 đến 17:00 từ thứ hai đến thứ sáu, thời gian trực và làm việc ngoài giờ theo phân công của Lãnh đạo</v>
          </cell>
          <cell r="I189" t="str">
            <v>Nhi</v>
          </cell>
          <cell r="J189" t="str">
            <v>Bác sĩ khoa Nhi</v>
          </cell>
          <cell r="K189" t="str">
            <v>Bác sĩ khoa Nội TM</v>
          </cell>
        </row>
        <row r="190">
          <cell r="A190" t="str">
            <v>BV0030</v>
          </cell>
          <cell r="B190">
            <v>174</v>
          </cell>
          <cell r="C190" t="str">
            <v>000762/LS-CCHN</v>
          </cell>
          <cell r="D190" t="str">
            <v>Trương Thị Theo</v>
          </cell>
          <cell r="E190" t="str">
            <v>000762/LS-CCHN</v>
          </cell>
          <cell r="F190" t="str">
            <v>11/01/2023</v>
          </cell>
          <cell r="G190" t="str">
            <v>Thực hiện phạm vi hoạt động chuyên môn theo Thông tư số 26/2015/TTLT-BYT-BNV ngày 07/10/2015 quy định  mã số, tiêu chuẩn chức danh nghề nghiệp, điều dưỡng, hộ sinh, kỹ thuật y</v>
          </cell>
          <cell r="H190" t="str">
            <v>Từ 07:00 đến 11:30 và từ 13:30 đến 17:00 từ thứ hai đến thứ sáu, thời gian trực và làm việc ngoài giờ theo phân công của Lãnh đạo</v>
          </cell>
          <cell r="I190" t="str">
            <v>Nội TM</v>
          </cell>
          <cell r="J190" t="str">
            <v>Điều dưỡng khoa Nội tim mạch.</v>
          </cell>
          <cell r="K190" t="str">
            <v>Điều dưỡng khoa Nội TM</v>
          </cell>
          <cell r="L190">
            <v>0</v>
          </cell>
        </row>
        <row r="191">
          <cell r="A191" t="str">
            <v>BV0306</v>
          </cell>
          <cell r="B191">
            <v>175</v>
          </cell>
          <cell r="C191" t="str">
            <v>000856/LS-CCHN</v>
          </cell>
          <cell r="D191" t="str">
            <v>Lý Thị Thủy</v>
          </cell>
          <cell r="E191" t="str">
            <v>000856/LS-CCHN</v>
          </cell>
          <cell r="F191" t="str">
            <v>11/01/2023</v>
          </cell>
          <cell r="G191" t="str">
            <v>Thực hiện phạm vi hoạt động chuyên môn theo Thông tư số 26/2015/TTLT-BYT-BNV ngày 07/10/2015 quy định  mã số, tiêu chuẩn chức danh nghề nghiệp, điều dưỡng, hộ sinh, kỹ thuật y</v>
          </cell>
          <cell r="H191" t="str">
            <v>Từ 07:00 đến 11:30 và từ 13:30 đến 17:00 từ thứ hai đến thứ sáu, thời gian trực và làm việc ngoài giờ theo phân công của Lãnh đạo</v>
          </cell>
          <cell r="I191" t="str">
            <v>Nội TM</v>
          </cell>
          <cell r="J191" t="str">
            <v>Điều dưỡng khoa Nội tim mạch- Điều dưỡng trưởng</v>
          </cell>
          <cell r="K191" t="str">
            <v>Điều dưỡng khoa Nội tim mạch- Điều dưỡng trưởng</v>
          </cell>
          <cell r="L191">
            <v>0</v>
          </cell>
        </row>
        <row r="192">
          <cell r="A192" t="str">
            <v>BV0079</v>
          </cell>
          <cell r="B192">
            <v>176</v>
          </cell>
          <cell r="C192" t="str">
            <v>004375/LS-CCHN</v>
          </cell>
          <cell r="D192" t="str">
            <v>Nguyễn Văn Hưng</v>
          </cell>
          <cell r="E192" t="str">
            <v>004375/LS-CCHN</v>
          </cell>
          <cell r="F192" t="str">
            <v>05/11/2021</v>
          </cell>
          <cell r="G192" t="str">
            <v>Thực hiện phạm vi hoạt động chuyên môn theo quy định tại Thông tư số 26/2015/TTLT-BYT-BNV ngày 07/10/2015 quy định mã số, tiêu chuẩn chức danh nghề nghiệp điều dưỡng, hộ sinh, kỹ thuật y</v>
          </cell>
          <cell r="H192" t="str">
            <v>Từ 07:00 đến 11:30 và từ 13:30 đến 17:00 từ thứ hai đến thứ sáu, thời gian trực và làm việc ngoài giờ theo phân công của Lãnh đạo</v>
          </cell>
          <cell r="I192" t="str">
            <v>Nội TM</v>
          </cell>
          <cell r="J192" t="str">
            <v>Điều dưỡng khoa Nội tim mạch.</v>
          </cell>
          <cell r="K192" t="str">
            <v>Điều dưỡng khoa Nội TM</v>
          </cell>
          <cell r="L192">
            <v>0</v>
          </cell>
        </row>
        <row r="193">
          <cell r="A193" t="str">
            <v>BV0116</v>
          </cell>
          <cell r="B193">
            <v>177</v>
          </cell>
          <cell r="C193" t="str">
            <v>001501/LS-CCHN</v>
          </cell>
          <cell r="D193" t="str">
            <v>Lương Thị Lê</v>
          </cell>
          <cell r="E193" t="str">
            <v>001501/LS-CCHN</v>
          </cell>
          <cell r="F193" t="str">
            <v>11/01/2023</v>
          </cell>
          <cell r="G193" t="str">
            <v>Thực hiện phạm vi hoạt động chuyên môn theo Thông tư số 26/2015/TTLT-BYT-BNV ngày 07/10/2015 quy định  mã số, tiêu chuẩn chức danh nghề nghiệp, điều dưỡng, hộ sinh, kỹ thuật y</v>
          </cell>
          <cell r="H193" t="str">
            <v>Từ 07:00 đến 11:30 và từ 13:30 đến 17:00 từ thứ hai đến thứ sáu, thời gian trực và làm việc ngoài giờ theo phân công của Lãnh đạo</v>
          </cell>
          <cell r="I193" t="str">
            <v>Nội TM</v>
          </cell>
          <cell r="J193" t="str">
            <v>Điều dưỡng khoa Nội TM / TDCN</v>
          </cell>
          <cell r="K193" t="str">
            <v>Điều dưỡng khoa Nội TM / TDCN</v>
          </cell>
          <cell r="L193">
            <v>0</v>
          </cell>
        </row>
        <row r="194">
          <cell r="A194" t="str">
            <v>BV0710</v>
          </cell>
          <cell r="B194">
            <v>178</v>
          </cell>
          <cell r="C194" t="str">
            <v>002165/LS-CCHN</v>
          </cell>
          <cell r="D194" t="str">
            <v>Đàm Thị Ánh</v>
          </cell>
          <cell r="E194" t="str">
            <v>002165/LS-CCHN</v>
          </cell>
          <cell r="F194" t="str">
            <v>17/07/2019</v>
          </cell>
          <cell r="G194" t="str">
            <v>Thực hiện phạm vi hoạt động chuyên môn theo quy định tại Thông tư số 26/2015/TTLT-BYT-BNV ngày 07/10/2015 quy định mã số, tiêu chuẩn chức danh nghề nghiệp điều dưỡng, hộ sinh, kỹ thuật y</v>
          </cell>
          <cell r="H194" t="str">
            <v>Từ 07:00 đến 11:30 và từ 13:30 đến 17:00 từ thứ hai đến thứ sáu, thời gian trực và làm việc ngoài giờ theo phân công của Lãnh đạo</v>
          </cell>
          <cell r="I194" t="str">
            <v>Nội TM</v>
          </cell>
          <cell r="J194" t="str">
            <v>Điều dưỡng khoa Nội TM / TDCN</v>
          </cell>
          <cell r="K194" t="str">
            <v>Điều dưỡng khoa Nội TM / TDCN</v>
          </cell>
          <cell r="L194">
            <v>0</v>
          </cell>
        </row>
        <row r="195">
          <cell r="A195" t="str">
            <v>BV1080</v>
          </cell>
          <cell r="B195">
            <v>179</v>
          </cell>
          <cell r="C195" t="str">
            <v>004535/LS-CCHN</v>
          </cell>
          <cell r="D195" t="str">
            <v>Lăng Thị Ly</v>
          </cell>
          <cell r="E195" t="str">
            <v>004535/LS-CCHN</v>
          </cell>
          <cell r="F195" t="str">
            <v>26/05/2022</v>
          </cell>
          <cell r="G195" t="str">
            <v>Thực hiện phạm vi hoạt động chuyên môn theo quy định tại Thông tư số 26/2015/TTLT-BYT-BNV ngày 07/10/2015 quy định mã số, tiêu chuẩn chức danh nghề nghiệp điều dưỡng, hộ sinh, kỹ thuật y</v>
          </cell>
          <cell r="H195" t="str">
            <v>Từ 07:00 đến 11:30 và từ 13:30 đến 17:00 từ thứ hai đến thứ sáu, thời gian trực và làm việc ngoài giờ theo phân công của Lãnh đạo</v>
          </cell>
          <cell r="I195" t="str">
            <v>Nội TM</v>
          </cell>
          <cell r="J195" t="str">
            <v>Điều dưỡng khoa Nội TM / TDCN</v>
          </cell>
          <cell r="K195" t="str">
            <v>Điều dưỡng khoa Nội TM / TDCN</v>
          </cell>
          <cell r="L195">
            <v>0</v>
          </cell>
        </row>
        <row r="196">
          <cell r="A196" t="str">
            <v>BV0908</v>
          </cell>
          <cell r="B196">
            <v>180</v>
          </cell>
          <cell r="C196" t="str">
            <v>003715/LS-CCHN</v>
          </cell>
          <cell r="D196" t="str">
            <v>Vi Thị Mĩ Linh</v>
          </cell>
          <cell r="E196" t="str">
            <v>003715/LS-CCHN</v>
          </cell>
          <cell r="F196" t="str">
            <v>22/05/2020</v>
          </cell>
          <cell r="G196" t="str">
            <v>Thực hiện phạm vi hoạt động chuyên môn theo quy định tại Thông tư số 26/2015/TTLT-BYT-BNV ngày 07/10/2015 quy định mã số, tiêu chuẩn chức danh nghề nghiệp điều dưỡng, hộ sinh, kỹ thuật y</v>
          </cell>
          <cell r="H196" t="str">
            <v>Từ 07:00 đến 11:30 và từ 13:30 đến 17:00 từ thứ hai đến thứ sáu, thời gian trực và làm việc ngoài giờ theo phân công của Lãnh đạo</v>
          </cell>
          <cell r="I196" t="str">
            <v>Nội TM</v>
          </cell>
          <cell r="J196" t="str">
            <v>Điều dưỡng khoa Nội tim mạch.</v>
          </cell>
          <cell r="K196" t="str">
            <v>Điều dưỡng khoa Nội TM</v>
          </cell>
          <cell r="L196">
            <v>0</v>
          </cell>
        </row>
        <row r="197">
          <cell r="A197" t="str">
            <v>BV0873</v>
          </cell>
          <cell r="B197">
            <v>181</v>
          </cell>
          <cell r="C197" t="str">
            <v>003714/LS-CCHN</v>
          </cell>
          <cell r="D197" t="str">
            <v>Triệu Thị Xuân</v>
          </cell>
          <cell r="E197" t="str">
            <v>003714/LS-CCHN</v>
          </cell>
          <cell r="F197" t="str">
            <v>22/05/2020</v>
          </cell>
          <cell r="G197" t="str">
            <v>Thực hiện phạm vi hoạt động chuyên môn theo quy định tại Thông tư số 26/2015/TTLT-BYT-BNV ngày 07/10/2015 quy định mã số, tiêu chuẩn chức danh nghề nghiệp điều dưỡng, hộ sinh, kỹ thuật y</v>
          </cell>
          <cell r="H197" t="str">
            <v>Từ 07:00 đến 11:30 và từ 13:30 đến 17:00 từ thứ hai đến thứ sáu, thời gian trực và làm việc ngoài giờ theo phân công của Lãnh đạo</v>
          </cell>
          <cell r="I197" t="str">
            <v>Nội TM</v>
          </cell>
          <cell r="J197" t="str">
            <v>Điều dưỡng khoa Nội tim mạch.</v>
          </cell>
          <cell r="K197" t="str">
            <v>Điều dưỡng khoa Nội TM</v>
          </cell>
          <cell r="L197">
            <v>0</v>
          </cell>
        </row>
        <row r="198">
          <cell r="A198" t="str">
            <v>BV0984</v>
          </cell>
          <cell r="B198">
            <v>182</v>
          </cell>
          <cell r="C198" t="str">
            <v>004340/LS-CCHN</v>
          </cell>
          <cell r="D198" t="str">
            <v>Dương Thị Yên</v>
          </cell>
          <cell r="E198" t="str">
            <v>004340/LS-CCHN</v>
          </cell>
          <cell r="F198" t="str">
            <v>17/08/2021</v>
          </cell>
          <cell r="G198" t="str">
            <v>Thực hiện phạm vi hoạt động chuyên môn theo quy định tại Thông tư số 26/2015/TTLT-BYT-BNV ngày 07/10/2015 quy định mã số, tiêu chuẩn chức danh nghề nghiệp điều dưỡng, hộ sinh, kỹ thuật y</v>
          </cell>
          <cell r="H198" t="str">
            <v>Từ 07:00 đến 11:30 và từ 13:30 đến 17:00 từ thứ hai đến thứ sáu, thời gian trực và làm việc ngoài giờ theo phân công của Lãnh đạo</v>
          </cell>
          <cell r="I198" t="str">
            <v>Nội TM</v>
          </cell>
          <cell r="J198" t="str">
            <v>Điều dưỡng khoa Nội tim mạch.</v>
          </cell>
          <cell r="K198" t="str">
            <v>Điều dưỡng khoa Nội TM</v>
          </cell>
          <cell r="L198">
            <v>0</v>
          </cell>
        </row>
        <row r="199">
          <cell r="A199" t="str">
            <v>BV0032</v>
          </cell>
          <cell r="B199">
            <v>183</v>
          </cell>
          <cell r="C199" t="str">
            <v>000391/LS-CCHN</v>
          </cell>
          <cell r="D199" t="str">
            <v>Nguyễn Huyền Trang</v>
          </cell>
          <cell r="E199" t="str">
            <v>000391/LS-CCHN</v>
          </cell>
          <cell r="F199" t="str">
            <v>01/06/2016</v>
          </cell>
          <cell r="G199" t="str">
            <v>Thực hiện phạm vi hoạt động chuyên môn theo quy định tại Thông tư số 26/2015/TTLT-BYT-BNV ngày 07/10/2015 quy định mã số, tiêu chuẩn chức danh nghề nghiệp điều dưỡng, hộ sinh, kỹ thuật y</v>
          </cell>
          <cell r="H199" t="str">
            <v>Từ 07:00 đến 11:30 và từ 13:30 đến 17:00 từ thứ hai đến thứ sáu, thời gian trực và làm việc ngoài giờ theo phân công của Lãnh đạo</v>
          </cell>
          <cell r="I199" t="str">
            <v>Nội TM</v>
          </cell>
          <cell r="J199" t="str">
            <v>Điều dưỡng khoa Nội TM / TDCN</v>
          </cell>
          <cell r="K199" t="str">
            <v>Điều dưỡng khoa Nội TM / TDCN</v>
          </cell>
          <cell r="L199">
            <v>0</v>
          </cell>
        </row>
        <row r="200">
          <cell r="A200" t="str">
            <v>BV0780</v>
          </cell>
          <cell r="B200">
            <v>184</v>
          </cell>
          <cell r="C200" t="str">
            <v>003387/LS-CCHN</v>
          </cell>
          <cell r="D200" t="str">
            <v>Nguyễn Thị Hường</v>
          </cell>
          <cell r="E200" t="str">
            <v>003387/LS-CCHN</v>
          </cell>
          <cell r="F200" t="str">
            <v>21/11/2018</v>
          </cell>
          <cell r="G200" t="str">
            <v>Thực hiện phạm vi hoạt động chuyên môn theo quy định tại Thông tư số 26/2015/TTLT-BYT-BNV ngày 07/10/2015 quy định mã số, tiêu chuẩn chức danh nghề nghiệp điều dưỡng, hộ sinh, kỹ thuật y</v>
          </cell>
          <cell r="H200" t="str">
            <v>Từ 07:00 đến 11:30 và từ 13:30 đến 17:00 từ thứ hai đến thứ sáu, thời gian trực và làm việc ngoài giờ theo phân công của Lãnh đạo</v>
          </cell>
          <cell r="I200" t="str">
            <v>Nội TM</v>
          </cell>
          <cell r="J200" t="str">
            <v>Điều dưỡng khoa Nội tim mạch.</v>
          </cell>
          <cell r="K200" t="str">
            <v>Điều dưỡng khoa Nội TM</v>
          </cell>
          <cell r="L200">
            <v>0</v>
          </cell>
        </row>
        <row r="201">
          <cell r="A201" t="str">
            <v>BV0915</v>
          </cell>
          <cell r="B201">
            <v>185</v>
          </cell>
          <cell r="C201" t="str">
            <v>005685/LS-CCHN</v>
          </cell>
          <cell r="D201" t="str">
            <v>Chu Mạnh Dũng</v>
          </cell>
          <cell r="E201" t="str">
            <v>005685/LS-CCHN</v>
          </cell>
          <cell r="F201" t="str">
            <v>18/09/2023</v>
          </cell>
          <cell r="G201" t="str">
            <v>Thực hiện phạm vi hoạt động chuyên môn theo Thông tư số 26/2015/TTLT-BYT-BNV ngày 07/10/2015 quy định  mã số, tiêu chuẩn chức danh nghề nghiệp, điều dưỡng, hộ sinh, kỹ thuật y</v>
          </cell>
          <cell r="H201" t="str">
            <v>Từ 07:00 đến 11:30 và từ 13:30 đến 17:00 từ thứ hai đến thứ sáu, thời gian trực và làm việc ngoài giờ theo phân công của Lãnh đạo</v>
          </cell>
          <cell r="I201" t="str">
            <v>Nội TM</v>
          </cell>
          <cell r="J201" t="str">
            <v>Điều dưỡng khoa Nội tim mạch.</v>
          </cell>
          <cell r="K201" t="str">
            <v>Điều dưỡng khoa Nội TM</v>
          </cell>
          <cell r="L201">
            <v>0</v>
          </cell>
        </row>
        <row r="202">
          <cell r="A202" t="str">
            <v>BV1330</v>
          </cell>
          <cell r="C202" t="str">
            <v>000343/LS-GPHN</v>
          </cell>
          <cell r="D202" t="str">
            <v>Vi Thị Bình</v>
          </cell>
          <cell r="E202" t="str">
            <v>000343/LS-GPHN</v>
          </cell>
          <cell r="F202">
            <v>47731</v>
          </cell>
          <cell r="G202" t="str">
            <v>Điều dưỡng</v>
          </cell>
          <cell r="H202" t="str">
            <v>Từ 07:00 đến 11:30 và từ 13:30 đến 17:00 từ thứ hai đến thứ sáu, thời gian trực và làm việc ngoài giờ theo phân công của Lãnh đạo</v>
          </cell>
          <cell r="I202" t="str">
            <v>Nội TM</v>
          </cell>
          <cell r="J202" t="str">
            <v>Điều dưỡng khoa Nội TM / TDCN</v>
          </cell>
          <cell r="K202" t="str">
            <v>Điều dưỡng khoa Nội TM / TDCN</v>
          </cell>
        </row>
        <row r="203">
          <cell r="D203" t="str">
            <v>KHOA UNG BƯỚU - Y HỌC HẠT NHÂN</v>
          </cell>
          <cell r="I203" t="e">
            <v>#N/A</v>
          </cell>
        </row>
        <row r="204">
          <cell r="A204" t="str">
            <v>BV0163</v>
          </cell>
          <cell r="B204">
            <v>187</v>
          </cell>
          <cell r="C204" t="str">
            <v>001047/LS-CCHN</v>
          </cell>
          <cell r="D204" t="str">
            <v>Lăng Văn Lâm</v>
          </cell>
          <cell r="E204" t="str">
            <v>001047/LS-CCHN</v>
          </cell>
          <cell r="F204" t="str">
            <v>24/06/2013</v>
          </cell>
          <cell r="G204" t="str">
            <v>Khám bệnh, chữa bệnh chuyên khoa Ung bướu; Khám bệnh, chữa bệnh nội khoa</v>
          </cell>
          <cell r="H204" t="str">
            <v>Từ 07:00 đến 11:30 và từ 13:30 đến 17:00 từ thứ hai đến thứ sáu, thời gian trực và làm việc ngoài giờ theo phân công của Lãnh đạo</v>
          </cell>
          <cell r="I204" t="str">
            <v>UB-YHHN</v>
          </cell>
          <cell r="J204" t="str">
            <v>Bác sĩ khoa Ung bướu - Y học hạt nhân - Trưởng khoa.</v>
          </cell>
          <cell r="K204" t="str">
            <v>Bác sĩ khoa Ung bướu - Y học hạt nhân - Trưởng khoa.</v>
          </cell>
          <cell r="L204">
            <v>0</v>
          </cell>
        </row>
        <row r="205">
          <cell r="A205" t="str">
            <v>BV1032</v>
          </cell>
          <cell r="B205">
            <v>188</v>
          </cell>
          <cell r="C205" t="str">
            <v>002073/LS-CCHN</v>
          </cell>
          <cell r="D205" t="str">
            <v>Triệu Thị Khách</v>
          </cell>
          <cell r="E205" t="str">
            <v>002073/LS-CCHN</v>
          </cell>
          <cell r="F205" t="str">
            <v>29/08/2017</v>
          </cell>
          <cell r="G205" t="str">
            <v>Khám bệnh, chữa bệnh đa khoa, Ung thư</v>
          </cell>
          <cell r="H205" t="str">
            <v>Từ 07:00 đến 11:30 và từ 13:30 đến 17:00 từ thứ hai đến thứ sáu, thời gian trực và làm việc ngoài giờ theo phân công của Lãnh đạo</v>
          </cell>
          <cell r="I205" t="str">
            <v>UB-YHHN</v>
          </cell>
          <cell r="J205" t="str">
            <v>Bác sĩ khoa Ung bướu - Y học hạt nhân.</v>
          </cell>
          <cell r="K205" t="str">
            <v>Bác sĩ khoa UB-YHHN</v>
          </cell>
          <cell r="L205">
            <v>0</v>
          </cell>
        </row>
        <row r="206">
          <cell r="A206" t="str">
            <v>BV0826</v>
          </cell>
          <cell r="B206">
            <v>189</v>
          </cell>
          <cell r="C206" t="str">
            <v>003656/LS-CCHN</v>
          </cell>
          <cell r="D206" t="str">
            <v>Triệu Văn Tú</v>
          </cell>
          <cell r="E206" t="str">
            <v>003656/LS-CCHN</v>
          </cell>
          <cell r="F206" t="str">
            <v>27/12/2019</v>
          </cell>
          <cell r="G206" t="str">
            <v>Khám bệnh, chữa bệnh Nội khoa</v>
          </cell>
          <cell r="H206" t="str">
            <v>Từ 07:00 đến 11:30 và từ 13:30 đến 17:00 từ thứ hai đến thứ sáu, thời gian trực và làm việc ngoài giờ theo phân công của Lãnh đạo</v>
          </cell>
          <cell r="I206" t="str">
            <v>UB-YHHN</v>
          </cell>
          <cell r="J206" t="str">
            <v>Bác sĩ khoa Ung bướu - Y học hạt nhân.</v>
          </cell>
          <cell r="K206" t="str">
            <v>Bác sĩ khoa UB-YHHN</v>
          </cell>
          <cell r="L206" t="str">
            <v>Từ 11:40 đến 13:20 và từ 17:10 đến 21:00 thứ hai đến thứ sáu; từ 07:00 đến 21:00 thứ bảy, chủ nhật hằng tuần. Tại Nhà thuốc Xuân Tú</v>
          </cell>
        </row>
        <row r="207">
          <cell r="A207" t="str">
            <v>BV0683</v>
          </cell>
          <cell r="B207">
            <v>190</v>
          </cell>
          <cell r="C207" t="str">
            <v>002174/LS-CCHN</v>
          </cell>
          <cell r="D207" t="str">
            <v>Lý Thị Hoàng Hạnh</v>
          </cell>
          <cell r="E207" t="str">
            <v>002174/LS-CCHN</v>
          </cell>
          <cell r="F207" t="str">
            <v>29/12/2017</v>
          </cell>
          <cell r="G207" t="str">
            <v>Khám bệnh chữa bệnh Nội khoa; Khám bệnh chữa bệnh chuyên khoa Ung thư.</v>
          </cell>
          <cell r="H207" t="str">
            <v>Từ 07:00 đến 11:30 và từ 13:30 đến 17:00 từ thứ hai đến thứ sáu, thời gian trực và làm việc ngoài giờ theo phân công của Lãnh đạo</v>
          </cell>
          <cell r="I207" t="str">
            <v>UB-YHHN</v>
          </cell>
          <cell r="J207" t="str">
            <v>Bác sĩ khoa Ung bướu - Y học hạt nhân.</v>
          </cell>
          <cell r="K207" t="str">
            <v>Bác sĩ khoa UB-YHHN</v>
          </cell>
          <cell r="L207">
            <v>0</v>
          </cell>
        </row>
        <row r="208">
          <cell r="A208" t="str">
            <v>BV1246</v>
          </cell>
          <cell r="B208">
            <v>191</v>
          </cell>
          <cell r="C208" t="str">
            <v>000180/LS-GPHN</v>
          </cell>
          <cell r="D208" t="str">
            <v>Nông Thị Phượng</v>
          </cell>
          <cell r="E208" t="str">
            <v>000180/LS-GPHN</v>
          </cell>
          <cell r="F208">
            <v>45633</v>
          </cell>
          <cell r="G208" t="str">
            <v>Chuyên khoa Nội khoa</v>
          </cell>
          <cell r="H208" t="str">
            <v>Từ 07:00 đến 11:30 và từ 13:30 đến 17:00 từ thứ hai đến thứ sáu, thời gian trực và làm việc ngoài giờ theo phân công của Lãnh đạo</v>
          </cell>
          <cell r="I208" t="str">
            <v>UB-YHHN</v>
          </cell>
          <cell r="J208" t="str">
            <v>Bác sĩ khoa Ung bướu - Y học hạt nhân.</v>
          </cell>
          <cell r="K208" t="str">
            <v>Bác sĩ khoa UB-YHHN</v>
          </cell>
        </row>
        <row r="209">
          <cell r="A209" t="str">
            <v>BV0546</v>
          </cell>
          <cell r="B209">
            <v>192</v>
          </cell>
          <cell r="C209" t="str">
            <v>001090/LS-CCHN</v>
          </cell>
          <cell r="D209" t="str">
            <v>Nguyễn An Hải</v>
          </cell>
          <cell r="E209" t="str">
            <v>001090/LS-CCHN</v>
          </cell>
          <cell r="F209" t="str">
            <v>24/06/2013</v>
          </cell>
          <cell r="G209" t="str">
            <v>Khám bệnh chữa bệnh Nội khoa; Ung thư</v>
          </cell>
          <cell r="H209" t="str">
            <v>Từ 07:00 đến 11:30 và từ 13:30 đến 17:00 từ thứ hai đến thứ sáu, thời gian trực và làm việc ngoài giờ theo phân công của Lãnh đạo</v>
          </cell>
          <cell r="I209" t="str">
            <v>UB-YHHN</v>
          </cell>
          <cell r="J209" t="str">
            <v>Bác sĩ khoa Ung bướu - Y học hạt nhân.</v>
          </cell>
          <cell r="K209" t="str">
            <v>Bác sĩ khoa UB-YHHN</v>
          </cell>
          <cell r="L209">
            <v>0</v>
          </cell>
        </row>
        <row r="210">
          <cell r="A210" t="str">
            <v>BV1317</v>
          </cell>
          <cell r="B210">
            <v>200</v>
          </cell>
          <cell r="C210" t="str">
            <v>003338/LS-CCHN</v>
          </cell>
          <cell r="D210" t="str">
            <v>Lục Thị Thanh Mai</v>
          </cell>
          <cell r="E210" t="str">
            <v>003338/LS-CCHN</v>
          </cell>
          <cell r="F210">
            <v>43329</v>
          </cell>
          <cell r="G210" t="str">
            <v>Thực hiện phạm vi hoạt động chuyên môn theo quy định tại Thông tư số 26/2015/TTLT-BYT-BNV ngày 07/10/2015 quy định mã số, tiêu chuẩn chức danh nghề nghiệp điều dưỡng, hộ sinh, kỹ thuật y</v>
          </cell>
          <cell r="H210" t="str">
            <v>Từ 07:00 đến 11:30 và từ 13:30 đến 17:00 từ thứ hai đến thứ sáu, thời gian trực và làm việc ngoài giờ theo phân công của Lãnh đạo</v>
          </cell>
          <cell r="I210" t="str">
            <v>UB-YHHN</v>
          </cell>
          <cell r="J210" t="str">
            <v>Điều dưỡng khoa UB-YHHN</v>
          </cell>
          <cell r="K210" t="str">
            <v>Điều dưỡng khoa UB-YHHN</v>
          </cell>
        </row>
        <row r="211">
          <cell r="A211" t="str">
            <v>BV0065</v>
          </cell>
          <cell r="B211">
            <v>194</v>
          </cell>
          <cell r="C211" t="str">
            <v>000785/LS-CCHN</v>
          </cell>
          <cell r="D211" t="str">
            <v>Lý Văn Mạnh</v>
          </cell>
          <cell r="E211" t="str">
            <v>000785/LS-CCHN</v>
          </cell>
          <cell r="F211" t="str">
            <v>11/01/2023</v>
          </cell>
          <cell r="G211" t="str">
            <v>Thực hiện phạm vi hoạt động chuyên môn theo Thông tư số 26/2015/TTLT-BYT-BNV ngày 07/10/2015 quy định  mã số, tiêu chuẩn chức danh nghề nghiệp, điều dưỡng, hộ sinh, kỹ thuật y</v>
          </cell>
          <cell r="H211" t="str">
            <v>Từ 07:00 đến 11:30 và từ 13:30 đến 17:00 từ thứ hai đến thứ sáu, thời gian trực và làm việc ngoài giờ theo phân công của Lãnh đạo</v>
          </cell>
          <cell r="I211" t="str">
            <v>UB-YHHN</v>
          </cell>
          <cell r="J211" t="str">
            <v>Điều dưỡng khoa Ung bướu - Y học hạt nhân.</v>
          </cell>
          <cell r="K211" t="str">
            <v>Phụ trách điều dưỡng Điều dưỡng khoa UB-YHHN</v>
          </cell>
          <cell r="L211">
            <v>0</v>
          </cell>
        </row>
        <row r="212">
          <cell r="A212" t="str">
            <v>BV0168</v>
          </cell>
          <cell r="B212">
            <v>195</v>
          </cell>
          <cell r="C212" t="str">
            <v>001051/LS-CCHN</v>
          </cell>
          <cell r="D212" t="str">
            <v>Vi Thị Hường</v>
          </cell>
          <cell r="E212" t="str">
            <v>001051/LS-CCHN</v>
          </cell>
          <cell r="F212" t="str">
            <v>11/01/2023</v>
          </cell>
          <cell r="G212" t="str">
            <v>Thực hiện phạm vi hoạt động chuyên môn theo Thông tư số 26/2015/TTLT-BYT-BNV ngày 07/10/2015 quy định  mã số, tiêu chuẩn chức danh nghề nghiệp, điều dưỡng, hộ sinh, kỹ thuật y</v>
          </cell>
          <cell r="H212" t="str">
            <v>Từ 07:00 đến 11:30 và từ 13:30 đến 17:00 từ thứ hai đến thứ sáu, thời gian trực và làm việc ngoài giờ theo phân công của Lãnh đạo</v>
          </cell>
          <cell r="I212" t="str">
            <v>UB-YHHN</v>
          </cell>
          <cell r="J212" t="str">
            <v xml:space="preserve">Điều dưỡng khoa Ung bướu - Y học hạt nhân. </v>
          </cell>
          <cell r="K212" t="str">
            <v>Điều dưỡng khoa UB-YHHN</v>
          </cell>
          <cell r="L212">
            <v>0</v>
          </cell>
        </row>
        <row r="213">
          <cell r="A213" t="str">
            <v>BV0123</v>
          </cell>
          <cell r="B213">
            <v>196</v>
          </cell>
          <cell r="C213" t="str">
            <v>000770/LS-CCHN</v>
          </cell>
          <cell r="D213" t="str">
            <v>Lộc Thị Nhớ</v>
          </cell>
          <cell r="E213" t="str">
            <v>000770/LS-CCHN</v>
          </cell>
          <cell r="F213" t="str">
            <v>11/01/2023</v>
          </cell>
          <cell r="G213" t="str">
            <v>Thực hiện phạm vi hoạt động chuyên môn theo Thông tư số 26/2015/TTLT-BYT-BNV ngày 07/10/2015 quy định  mã số, tiêu chuẩn chức danh nghề nghiệp, điều dưỡng, hộ sinh, kỹ thuật y</v>
          </cell>
          <cell r="H213" t="str">
            <v>Từ 07:00 đến 11:30 và từ 13:30 đến 17:00 từ thứ hai đến thứ sáu, thời gian trực và làm việc ngoài giờ theo phân công của Lãnh đạo</v>
          </cell>
          <cell r="I213" t="str">
            <v>UB-YHHN</v>
          </cell>
          <cell r="J213" t="str">
            <v>Điều dưỡng khoa Ung bướu - Y học hạt nhân.</v>
          </cell>
          <cell r="K213" t="str">
            <v>Điều dưỡng khoa UB-YHHN</v>
          </cell>
          <cell r="L213">
            <v>0</v>
          </cell>
        </row>
        <row r="214">
          <cell r="A214" t="str">
            <v>BV0025</v>
          </cell>
          <cell r="B214">
            <v>197</v>
          </cell>
          <cell r="C214" t="str">
            <v>000752/LS-CCHN</v>
          </cell>
          <cell r="D214" t="str">
            <v>Hoàng Thị Thược</v>
          </cell>
          <cell r="E214" t="str">
            <v>000752/LS-CCHN</v>
          </cell>
          <cell r="F214" t="str">
            <v>11/01/2023</v>
          </cell>
          <cell r="G214" t="str">
            <v>Thực hiện phạm vi hoạt động chuyên môn theo Thông tư số 26/2015/TTLT-BYT-BNV ngày 07/10/2015 quy định  mã số, tiêu chuẩn chức danh nghề nghiệp, điều dưỡng, hộ sinh, kỹ thuật y</v>
          </cell>
          <cell r="H214" t="str">
            <v>Từ 07:00 đến 11:30 và từ 13:30 đến 17:00 từ thứ hai đến thứ sáu, thời gian trực và làm việc ngoài giờ theo phân công của Lãnh đạo</v>
          </cell>
          <cell r="I214" t="str">
            <v>UB-YHHN</v>
          </cell>
          <cell r="J214" t="str">
            <v>Điều dưỡng khoa Ung bướu - Y học hạt nhân.</v>
          </cell>
          <cell r="K214" t="str">
            <v>Điều dưỡng khoa UB-YHHN</v>
          </cell>
          <cell r="L214">
            <v>0</v>
          </cell>
        </row>
        <row r="215">
          <cell r="A215" t="str">
            <v>BV0166</v>
          </cell>
          <cell r="B215">
            <v>198</v>
          </cell>
          <cell r="C215" t="str">
            <v>001049/LS-CCHN</v>
          </cell>
          <cell r="D215" t="str">
            <v>Triệu Văn Khiêm</v>
          </cell>
          <cell r="E215" t="str">
            <v>001049/LS-CCHN</v>
          </cell>
          <cell r="F215" t="str">
            <v>11/01/2023</v>
          </cell>
          <cell r="G215" t="str">
            <v>Thực hiện phạm vi hoạt động chuyên môn theo Thông tư số 26/2015/TTLT-BYT-BNV ngày 07/10/2015 quy định  mã số, tiêu chuẩn chức danh nghề nghiệp, điều dưỡng, hộ sinh, kỹ thuật y</v>
          </cell>
          <cell r="H215" t="str">
            <v>Từ 07:00 đến 11:30 và từ 13:30 đến 17:00 từ thứ hai đến thứ sáu, thời gian trực và làm việc ngoài giờ theo phân công của Lãnh đạo</v>
          </cell>
          <cell r="I215" t="str">
            <v>UB-YHHN</v>
          </cell>
          <cell r="J215" t="str">
            <v>Điều dưỡng khoa Ung bướu - Y học hạt nhân.</v>
          </cell>
          <cell r="K215" t="str">
            <v>Điều dưỡng khoa UB-YHHN</v>
          </cell>
          <cell r="L215">
            <v>0</v>
          </cell>
        </row>
        <row r="216">
          <cell r="A216" t="str">
            <v>BV0230</v>
          </cell>
          <cell r="B216">
            <v>199</v>
          </cell>
          <cell r="C216" t="str">
            <v>000944/LS-CCHN</v>
          </cell>
          <cell r="D216" t="str">
            <v>Lê Mạnh Toàn</v>
          </cell>
          <cell r="E216" t="str">
            <v>000944/LS-CCHN</v>
          </cell>
          <cell r="F216" t="str">
            <v>24/06/2013</v>
          </cell>
          <cell r="G216" t="str">
            <v>Theo quy định tại Quyết định số 41/2005/QĐ-BNV ngày 22/4/2005 của Bộ trưởng Bộ Nội vụ về việc ban hành tiêu chuẩn nghiệp vụ các ngạch viên chức y tế điều dưỡng</v>
          </cell>
          <cell r="H216" t="str">
            <v>Từ 07:00 đến 11:30 và từ 13:30 đến 17:00 từ thứ hai đến thứ sáu, thời gian trực và làm việc ngoài giờ theo phân công của Lãnh đạo</v>
          </cell>
          <cell r="I216" t="str">
            <v>UB-YHHN</v>
          </cell>
          <cell r="J216" t="str">
            <v>Điều dưỡng khoa Ung bướu - Y học hạt nhân.</v>
          </cell>
          <cell r="K216" t="str">
            <v>Điều dưỡng khoa UB-YHHN</v>
          </cell>
          <cell r="L216">
            <v>0</v>
          </cell>
        </row>
        <row r="217">
          <cell r="A217" t="str">
            <v>BV0193</v>
          </cell>
          <cell r="B217">
            <v>200</v>
          </cell>
          <cell r="C217" t="str">
            <v>000917/LS-CCHN</v>
          </cell>
          <cell r="D217" t="str">
            <v>Hoàng Thị Xuân</v>
          </cell>
          <cell r="E217" t="str">
            <v>000917/LS-CCHN</v>
          </cell>
          <cell r="F217" t="str">
            <v>11/01/2023</v>
          </cell>
          <cell r="G217" t="str">
            <v>Thực hiện phạm vi hoạt động chuyên môn theo Thông tư số 26/2015/TTLT-BYT-BNV ngày 07/10/2015 quy định  mã số, tiêu chuẩn chức danh nghề nghiệp, điều dưỡng, hộ sinh, kỹ thuật y</v>
          </cell>
          <cell r="H217" t="str">
            <v>Từ 07:00 đến 11:30 và từ 13:30 đến 17:00 từ thứ hai đến thứ sáu, thời gian trực và làm việc ngoài giờ theo phân công của Lãnh đạo</v>
          </cell>
          <cell r="I217" t="str">
            <v>UB-YHHN</v>
          </cell>
          <cell r="J217" t="str">
            <v>Điều dưỡng khoa Ung bướu - Y học hạt nhân.</v>
          </cell>
          <cell r="K217" t="str">
            <v>Điều dưỡng khoa UB-YHHN</v>
          </cell>
          <cell r="L217">
            <v>0</v>
          </cell>
        </row>
        <row r="218">
          <cell r="A218" t="str">
            <v>BV0875</v>
          </cell>
          <cell r="B218">
            <v>201</v>
          </cell>
          <cell r="C218" t="str">
            <v>004326/LS-CCHN</v>
          </cell>
          <cell r="D218" t="str">
            <v>Nguyễn Thu Trang</v>
          </cell>
          <cell r="E218" t="str">
            <v>004326/LS-CCHN</v>
          </cell>
          <cell r="F218" t="str">
            <v>21/07/2020</v>
          </cell>
          <cell r="G218" t="str">
            <v>Thực hiện phạm vi hoạt động chuyên môn theo quy định tại Thông tư số 26/2015/TTLT-BYT-BNV ngày 07/10/2015 quy định mã số, tiêu chuẩn chức danh nghề nghiệp điều dưỡng, hộ sinh, kỹ thuật y</v>
          </cell>
          <cell r="H218" t="str">
            <v>Từ 07:00 đến 11:30 và từ 13:30 đến 17:00 từ thứ hai đến thứ sáu, thời gian trực và làm việc ngoài giờ theo phân công của Lãnh đạo</v>
          </cell>
          <cell r="I218" t="str">
            <v>UB-YHHN</v>
          </cell>
          <cell r="J218" t="str">
            <v>Điều dưỡng khoa Ung bướu - Y học hạt nhân.</v>
          </cell>
          <cell r="K218" t="str">
            <v>Điều dưỡng khoa UB-YHHN</v>
          </cell>
          <cell r="L218">
            <v>0</v>
          </cell>
        </row>
        <row r="219">
          <cell r="A219" t="str">
            <v>BV0107</v>
          </cell>
          <cell r="B219">
            <v>202</v>
          </cell>
          <cell r="C219" t="str">
            <v>000810/LS-CCHN</v>
          </cell>
          <cell r="D219" t="str">
            <v>Đoàn Thị Hường</v>
          </cell>
          <cell r="E219" t="str">
            <v>000810/LS-CCHN</v>
          </cell>
          <cell r="F219" t="str">
            <v>11/01/2023</v>
          </cell>
          <cell r="G219" t="str">
            <v>Thực hiện phạm vi hoạt động chuyên môn theo Thông tư số 26/2015/TTLT-BYT-BNV ngày 07/10/2015 quy định  mã số, tiêu chuẩn chức danh nghề nghiệp, điều dưỡng, hộ sinh, kỹ thuật y</v>
          </cell>
          <cell r="H219" t="str">
            <v>Từ 07:00 đến 11:30 và từ 13:30 đến 17:00 từ thứ hai đến thứ sáu, thời gian trực và làm việc ngoài giờ theo phân công của Lãnh đạo</v>
          </cell>
          <cell r="I219" t="str">
            <v>UB-YHHN</v>
          </cell>
          <cell r="J219" t="str">
            <v>Điều dưỡng khoa Ung bướu - Y học hạt nhân.</v>
          </cell>
          <cell r="K219" t="str">
            <v>Điều dưỡng khoa UB-YHHN</v>
          </cell>
          <cell r="L219">
            <v>0</v>
          </cell>
        </row>
        <row r="220">
          <cell r="D220" t="str">
            <v>KHOA NGOẠI THẬN - TIẾT NIỆU</v>
          </cell>
          <cell r="I220" t="e">
            <v>#N/A</v>
          </cell>
        </row>
        <row r="221">
          <cell r="A221" t="str">
            <v>BV0175</v>
          </cell>
          <cell r="B221">
            <v>203</v>
          </cell>
          <cell r="C221" t="str">
            <v>000429/LS-CCHN</v>
          </cell>
          <cell r="D221" t="str">
            <v>Phan Chí Dũng</v>
          </cell>
          <cell r="E221" t="str">
            <v>000429/LS-CCHN</v>
          </cell>
          <cell r="F221">
            <v>42569</v>
          </cell>
          <cell r="G221" t="str">
            <v>Khám bệnh, chữa bệnh Ngoại khoa</v>
          </cell>
          <cell r="H221" t="str">
            <v>Từ 07:00 đến 11:30 và từ 13:30 đến 17:00 từ thứ hai đến thứ sáu, thời gian trực và làm việc ngoài giờ theo phân công của Lãnh đạo</v>
          </cell>
          <cell r="I221" t="str">
            <v>Ngoại Thận - Tiết niệu</v>
          </cell>
          <cell r="J221" t="str">
            <v>Bác sĩ khoa Ngoại Thận - Tiết niệu - Trưởng khoa.</v>
          </cell>
          <cell r="K221" t="str">
            <v>Bác sĩ khoa Ngoại Thận - Tiết niệu - Trưởng khoa.</v>
          </cell>
          <cell r="L221">
            <v>0</v>
          </cell>
        </row>
        <row r="222">
          <cell r="A222" t="str">
            <v>BV0178</v>
          </cell>
          <cell r="B222">
            <v>213</v>
          </cell>
          <cell r="C222" t="str">
            <v>000496/LS-CCHN</v>
          </cell>
          <cell r="D222" t="str">
            <v>Triệu Đức Anh</v>
          </cell>
          <cell r="E222" t="str">
            <v>000496/LS-CCHN</v>
          </cell>
          <cell r="F222" t="str">
            <v>24/08/2016</v>
          </cell>
          <cell r="G222" t="str">
            <v>Khám bệnh, chữa bệnh Ngoại khoa</v>
          </cell>
          <cell r="H222" t="str">
            <v>Từ 07:00 đến 11:30 và từ 13:30 đến 17:00 từ thứ hai đến thứ sáu, thời gian trực và làm việc ngoài giờ theo phân công của Lãnh đạo</v>
          </cell>
          <cell r="I222" t="str">
            <v>Ngoại Thận - Tiết niệu</v>
          </cell>
          <cell r="J222" t="str">
            <v>Bác sĩ khoa ngoại Thận - Tiết niệu - Phó trưởng khoa.</v>
          </cell>
          <cell r="K222" t="str">
            <v>Bác sĩ khoa ngoại Thận - Tiết niệu - Phó trưởng khoa.</v>
          </cell>
          <cell r="L222">
            <v>0</v>
          </cell>
        </row>
        <row r="223">
          <cell r="A223" t="str">
            <v>BV0177</v>
          </cell>
          <cell r="B223">
            <v>205</v>
          </cell>
          <cell r="C223" t="str">
            <v>000905/LS-CCHN</v>
          </cell>
          <cell r="D223" t="str">
            <v>Hà Thanh Bình</v>
          </cell>
          <cell r="E223" t="str">
            <v>000905/LS-CCHN</v>
          </cell>
          <cell r="F223" t="str">
            <v>24/06/2013</v>
          </cell>
          <cell r="G223" t="str">
            <v>Khám bệnh, chữa bệnh Ngoại khoa</v>
          </cell>
          <cell r="H223" t="str">
            <v>Từ 07:00 đến 11:30 và từ 13:30 đến 17:00 từ thứ hai đến thứ sáu, thời gian trực và làm việc ngoài giờ theo phân công của Lãnh đạo</v>
          </cell>
          <cell r="I223" t="str">
            <v>Ngoại Thận - Tiết niệu</v>
          </cell>
          <cell r="J223" t="str">
            <v>Bác sĩ khoa Ngoại Thận - Tiết niệu - Phó trưởng khoa.</v>
          </cell>
          <cell r="K223" t="str">
            <v>Bác sĩ khoa Ngoại Thận - Tiết niệu - Phó trưởng khoa.</v>
          </cell>
          <cell r="L223" t="str">
            <v>Từ 11:40 đến 13:20 và từ 17:10 đến 21:00 thứ hai đến thứ sáu; từ 07:00 đến 21:00 thứ bảy, chủ nhật hằng tuần. Tại Phòng khám Nam khoa, số 5 Bông Lau</v>
          </cell>
        </row>
        <row r="224">
          <cell r="A224" t="str">
            <v>BV0179</v>
          </cell>
          <cell r="B224">
            <v>206</v>
          </cell>
          <cell r="C224" t="str">
            <v>000498/LS-CCHN</v>
          </cell>
          <cell r="D224" t="str">
            <v>Vũ Tuấn Minh</v>
          </cell>
          <cell r="E224" t="str">
            <v>000498/LS-CCHN</v>
          </cell>
          <cell r="F224" t="str">
            <v>24/08/2016</v>
          </cell>
          <cell r="G224" t="str">
            <v>Khám bệnh, chữa bệnh Ngoại khoa</v>
          </cell>
          <cell r="H224" t="str">
            <v>Từ 07:00 đến 11:30 và từ 13:30 đến 17:00 từ thứ hai đến thứ sáu, thời gian trực và làm việc ngoài giờ theo phân công của Lãnh đạo</v>
          </cell>
          <cell r="I224" t="str">
            <v>Ngoại Thận - Tiết niệu</v>
          </cell>
          <cell r="J224" t="str">
            <v>Bác sĩ khoa Ngoại Thận - Tiết niệu.</v>
          </cell>
          <cell r="K224" t="str">
            <v>Bác sĩ khoa Ngoại Thận - Tiết niệu</v>
          </cell>
          <cell r="L224">
            <v>0</v>
          </cell>
        </row>
        <row r="225">
          <cell r="A225" t="str">
            <v>BV0944</v>
          </cell>
          <cell r="B225">
            <v>207</v>
          </cell>
          <cell r="C225" t="str">
            <v>004292/LS-CCHN</v>
          </cell>
          <cell r="D225" t="str">
            <v>Hoàng Minh Trang</v>
          </cell>
          <cell r="E225" t="str">
            <v>004292/LS-CCHN</v>
          </cell>
          <cell r="F225" t="str">
            <v>02/07/2021</v>
          </cell>
          <cell r="G225" t="str">
            <v>Khám bệnh chữa bệnh Ngoại khoa</v>
          </cell>
          <cell r="H225" t="str">
            <v>Từ 07:00 đến 11:30 và từ 13:30 đến 17:00 từ thứ hai đến thứ sáu, thời gian trực và làm việc ngoài giờ theo phân công của Lãnh đạo</v>
          </cell>
          <cell r="I225" t="str">
            <v>Ngoại Thận - Tiết niệu</v>
          </cell>
          <cell r="J225" t="str">
            <v>Bác sĩ khoa Ngoại Thận - Tiết niệu.</v>
          </cell>
          <cell r="K225" t="str">
            <v>Bác sĩ khoa Ngoại Thận - Tiết niệu</v>
          </cell>
          <cell r="L225">
            <v>0</v>
          </cell>
        </row>
        <row r="226">
          <cell r="A226" t="str">
            <v>BV1168</v>
          </cell>
          <cell r="B226">
            <v>208</v>
          </cell>
          <cell r="C226" t="str">
            <v>005639/LS-CCHN</v>
          </cell>
          <cell r="D226" t="str">
            <v>Hoàng Tuấn Hưng</v>
          </cell>
          <cell r="E226" t="str">
            <v>005639/LS-CCHN</v>
          </cell>
          <cell r="F226" t="str">
            <v>14/07/2023</v>
          </cell>
          <cell r="G226" t="str">
            <v>Khám bệnh, chữa bệnh chuyên khoa Ngoại</v>
          </cell>
          <cell r="H226" t="str">
            <v>Từ 07:00 đến 11:30 và từ 13:30 đến 17:00 từ thứ hai đến thứ sáu, thời gian trực và làm việc ngoài giờ theo phân công của Lãnh đạo</v>
          </cell>
          <cell r="I226" t="str">
            <v>Ngoại Thận - Tiết niệu</v>
          </cell>
          <cell r="J226" t="str">
            <v>Bác sĩ khoa Ngoại Thận - Tiết niệu.</v>
          </cell>
          <cell r="K226" t="str">
            <v>Bác sĩ khoa Ngoại Thận - Tiết niệu</v>
          </cell>
          <cell r="L226">
            <v>0</v>
          </cell>
        </row>
        <row r="227">
          <cell r="A227" t="str">
            <v>BV0148</v>
          </cell>
          <cell r="B227">
            <v>209</v>
          </cell>
          <cell r="C227" t="str">
            <v>000815/LS-CCHN</v>
          </cell>
          <cell r="D227" t="str">
            <v>Nguyễn Thị Oanh</v>
          </cell>
          <cell r="E227" t="str">
            <v>000815/LS-CCHN</v>
          </cell>
          <cell r="F227">
            <v>44937</v>
          </cell>
          <cell r="G227" t="str">
            <v>Thực hiện phạm vi hoạt động chuyên môn theo Thông tư số 26/2015/TTLT-BYT-BNV ngày 07/10/2015 quy định  mã số, tiêu chuẩn chức danh nghề nghiệp, điều dưỡng, hộ sinh, kỹ thuật y</v>
          </cell>
          <cell r="H227" t="str">
            <v>Từ 07:00 đến 11:30 và từ 13:30 đến 17:00 từ thứ hai đến thứ sáu, thời gian trực và làm việc ngoài giờ theo phân công của Lãnh đạo</v>
          </cell>
          <cell r="I227" t="str">
            <v>Ngoại Thận - Tiết niệu</v>
          </cell>
          <cell r="J227" t="str">
            <v>Điều dưỡng khoa Ngoại Thận - Tiết niệu. Điều dưỡng trưởng</v>
          </cell>
          <cell r="K227" t="str">
            <v>Điều dưỡng khoa Ngoại Thận - Tiết niệu. Điều dưỡng trưởng</v>
          </cell>
          <cell r="L227">
            <v>0</v>
          </cell>
        </row>
        <row r="228">
          <cell r="A228" t="str">
            <v>BV1288</v>
          </cell>
          <cell r="B228">
            <v>210</v>
          </cell>
          <cell r="C228" t="str">
            <v>000039/LS-CPHN</v>
          </cell>
          <cell r="D228" t="str">
            <v>Hoàng Thùy Ngân</v>
          </cell>
          <cell r="E228" t="str">
            <v>000039/LS-CPHN</v>
          </cell>
          <cell r="F228">
            <v>45457</v>
          </cell>
          <cell r="G228" t="str">
            <v>Điều dưỡng</v>
          </cell>
          <cell r="H228" t="str">
            <v>Từ 07:00 đến 11:30 và từ 13:30 đến 17:00 từ thứ hai đến thứ sáu, thời gian trực và làm việc ngoài giờ theo phân công của Lãnh đạo</v>
          </cell>
          <cell r="I228" t="str">
            <v>Ngoại Thận - Tiết niệu</v>
          </cell>
          <cell r="J228" t="str">
            <v>Điều dưỡng khoa Ngoại Thận - Tiết niệu</v>
          </cell>
          <cell r="K228" t="str">
            <v>Điều dưỡng khoa Ngoại Thận - Tiết niệu</v>
          </cell>
        </row>
        <row r="229">
          <cell r="A229" t="str">
            <v>BV0028</v>
          </cell>
          <cell r="B229">
            <v>211</v>
          </cell>
          <cell r="C229" t="str">
            <v>000758/LS-CCHN</v>
          </cell>
          <cell r="D229" t="str">
            <v>Hoàng Văn Thiện</v>
          </cell>
          <cell r="E229" t="str">
            <v>000758/LS-CCHN</v>
          </cell>
          <cell r="F229" t="str">
            <v>11/12/2022</v>
          </cell>
          <cell r="G229" t="str">
            <v>Thực hiện phạm vi hoạt động chuyên môn theo quy định tại Thông tư số 26/2015/TTLT-BYT-BNV ngày 07/10/2015 quy định mã số, tiêu chuẩn chức danh nghề nghiệp điều dưỡng, hộ sinh, kỹ thuật y</v>
          </cell>
          <cell r="H229" t="str">
            <v>Từ 07:00 đến 11:30 và từ 13:30 đến 17:00 từ thứ hai đến thứ sáu, thời gian trực và làm việc ngoài giờ theo phân công của Lãnh đạo</v>
          </cell>
          <cell r="I229" t="str">
            <v>Ngoại Thận - Tiết niệu</v>
          </cell>
          <cell r="J229" t="str">
            <v>Điều dưỡng khoa Khám bệnh.</v>
          </cell>
          <cell r="K229" t="str">
            <v>Điều dưỡng khoa Ngoại Thận - Tiết niệu</v>
          </cell>
          <cell r="L229">
            <v>0</v>
          </cell>
        </row>
        <row r="230">
          <cell r="A230" t="str">
            <v>BV0918</v>
          </cell>
          <cell r="B230">
            <v>212</v>
          </cell>
          <cell r="C230" t="str">
            <v>003799/LS-CCHN</v>
          </cell>
          <cell r="D230" t="str">
            <v>Hoàng Mai Anh</v>
          </cell>
          <cell r="E230" t="str">
            <v>003799/LS-CCHN</v>
          </cell>
          <cell r="F230" t="str">
            <v>21/07/2020</v>
          </cell>
          <cell r="G230" t="str">
            <v>Thực hiện phạm vi hoạt động chuyên môn theo quy định tại Thông tư số 26/2015/TTLT-BYT-BNV ngày 07/10/2015 quy định mã số, tiêu chuẩn chức danh nghề nghiệp điều dưỡng, hộ sinh, kỹ thuật y</v>
          </cell>
          <cell r="H230" t="str">
            <v>Từ 07:00 đến 11:30 và từ 13:30 đến 17:00 từ thứ hai đến thứ sáu, thời gian trực và làm việc ngoài giờ theo phân công của Lãnh đạo</v>
          </cell>
          <cell r="I230" t="str">
            <v>Ngoại Thận - Tiết niệu</v>
          </cell>
          <cell r="J230" t="str">
            <v>Điều dưỡng khoa Ngoại Thận - Tiết niệu.</v>
          </cell>
          <cell r="K230" t="str">
            <v>Điều dưỡng khoa Ngoại Thận - Tiết niệu</v>
          </cell>
          <cell r="L230">
            <v>0</v>
          </cell>
        </row>
        <row r="231">
          <cell r="A231" t="str">
            <v>BV0187</v>
          </cell>
          <cell r="B231">
            <v>213</v>
          </cell>
          <cell r="C231" t="str">
            <v>003332/LS-CCHN</v>
          </cell>
          <cell r="D231" t="str">
            <v>Hoàng Trung Sơn</v>
          </cell>
          <cell r="E231" t="str">
            <v>003332/LS-CCHN</v>
          </cell>
          <cell r="F231" t="str">
            <v>11/01/2023</v>
          </cell>
          <cell r="G231" t="str">
            <v>Thực hiện phạm vi hoạt động chuyên môn theo Thông tư số 26/2015/TTLT-BYT-BNV ngày 07/10/2015 quy định  mã số, tiêu chuẩn chức danh nghề nghiệp, điều dưỡng, hộ sinh, kỹ thuật y</v>
          </cell>
          <cell r="H231" t="str">
            <v>Từ 07:00 đến 11:30 và từ 13:30 đến 17:00 từ thứ hai đến thứ sáu, thời gian trực và làm việc ngoài giờ theo phân công của Lãnh đạo</v>
          </cell>
          <cell r="I231" t="str">
            <v>Ngoại Thận - Tiết niệu</v>
          </cell>
          <cell r="J231" t="str">
            <v>Điều dưỡng khoa Ngoại Thận - Tiết niệu.</v>
          </cell>
          <cell r="K231" t="str">
            <v>Điều dưỡng khoa Ngoại Thận - Tiết niệu</v>
          </cell>
          <cell r="L231">
            <v>0</v>
          </cell>
        </row>
        <row r="232">
          <cell r="A232" t="str">
            <v>BV0336</v>
          </cell>
          <cell r="B232">
            <v>214</v>
          </cell>
          <cell r="C232" t="str">
            <v>000878/LS-CCHN</v>
          </cell>
          <cell r="D232" t="str">
            <v>Hứa Văn Quỳnh</v>
          </cell>
          <cell r="E232" t="str">
            <v>000878/LS-CCHN</v>
          </cell>
          <cell r="F232" t="str">
            <v>11/01/2023</v>
          </cell>
          <cell r="G232" t="str">
            <v>Thực hiện phạm vi hoạt động chuyên môn theo Thông tư số 26/2015/TTLT-BYT-BNV ngày 07/10/2015 quy định  mã số, tiêu chuẩn chức danh nghề nghiệp, điều dưỡng, hộ sinh, kỹ thuật y</v>
          </cell>
          <cell r="H232" t="str">
            <v>Từ 07:00 đến 11:30 và từ 13:30 đến 17:00 từ thứ hai đến thứ sáu, thời gian trực và làm việc ngoài giờ theo phân công của Lãnh đạo</v>
          </cell>
          <cell r="I232" t="str">
            <v>Ngoại Thận - Tiết niệu</v>
          </cell>
          <cell r="J232" t="str">
            <v>Điều dưỡng khoa Ngoại Thận - Tiết niệu.</v>
          </cell>
          <cell r="K232" t="str">
            <v>Điều dưỡng khoa Ngoại Thận - Tiết niệu</v>
          </cell>
          <cell r="L232">
            <v>0</v>
          </cell>
        </row>
        <row r="233">
          <cell r="A233" t="str">
            <v>BV1088</v>
          </cell>
          <cell r="B233">
            <v>215</v>
          </cell>
          <cell r="C233" t="str">
            <v>004568/LS-CCHN</v>
          </cell>
          <cell r="D233" t="str">
            <v>Hoàng Thị Hảo</v>
          </cell>
          <cell r="E233" t="str">
            <v>004568/LS-CCHN</v>
          </cell>
          <cell r="F233" t="str">
            <v>29/08/2022</v>
          </cell>
          <cell r="G233" t="str">
            <v>Thực hiện phạm vi hoạt động chuyên môn theo quy định tại Thông tư số 26/2015/TTLT-BYT-BNV ngày 07/10/2015 quy định mã số, tiêu chuẩn chức danh nghề nghiệp điều dưỡng, hộ sinh, kỹ thuật y</v>
          </cell>
          <cell r="H233" t="str">
            <v>Từ 07:00 đến 11:30 và từ 13:30 đến 17:00 từ thứ hai đến thứ sáu, thời gian trực và làm việc ngoài giờ theo phân công của Lãnh đạo</v>
          </cell>
          <cell r="I233" t="str">
            <v>Ngoại Thận - Tiết niệu</v>
          </cell>
          <cell r="J233" t="str">
            <v>Điều dưỡng khoa Ngoại Thận - Tiết niệu.</v>
          </cell>
          <cell r="K233" t="str">
            <v>Điều dưỡng khoa Ngoại Thận - Tiết niệu</v>
          </cell>
          <cell r="L233">
            <v>0</v>
          </cell>
        </row>
        <row r="234">
          <cell r="A234" t="str">
            <v>BV0404</v>
          </cell>
          <cell r="B234">
            <v>216</v>
          </cell>
          <cell r="C234" t="str">
            <v>001008/LS-CCHN</v>
          </cell>
          <cell r="D234" t="str">
            <v>Dương Thị Hoa</v>
          </cell>
          <cell r="E234" t="str">
            <v>001008/LS-CCHN</v>
          </cell>
          <cell r="F234" t="str">
            <v>11/01/2023</v>
          </cell>
          <cell r="G234" t="str">
            <v>Thực hiện phạm vi hoạt động chuyên môn theo Thông tư số 26/2015/TTLT-BYT-BNV ngày 07/10/2015 quy định  mã số, tiêu chuẩn chức danh nghề nghiệp, điều dưỡng, hộ sinh, kỹ thuật y</v>
          </cell>
          <cell r="H234" t="str">
            <v>Từ 07:00 đến 11:30 và từ 13:30 đến 17:00 từ thứ hai đến thứ sáu, thời gian trực và làm việc ngoài giờ theo phân công của Lãnh đạo</v>
          </cell>
          <cell r="I234" t="str">
            <v>Ngoại Thận - Tiết niệu</v>
          </cell>
          <cell r="J234" t="str">
            <v>Điều dưỡng khoa Ngoại Thận - Tiết niệu.</v>
          </cell>
          <cell r="K234" t="str">
            <v>Điều dưỡng khoa Ngoại Thận - Tiết niệu</v>
          </cell>
          <cell r="L234">
            <v>0</v>
          </cell>
        </row>
        <row r="235">
          <cell r="A235" t="str">
            <v>BV1193</v>
          </cell>
          <cell r="B235">
            <v>217</v>
          </cell>
          <cell r="C235" t="str">
            <v>004350/LS-CCHN</v>
          </cell>
          <cell r="D235" t="str">
            <v>Hoàng Thị Ngọc Bích</v>
          </cell>
          <cell r="E235" t="str">
            <v>004350/LS-CCHN</v>
          </cell>
          <cell r="F235" t="str">
            <v>10/09/2021</v>
          </cell>
          <cell r="G235" t="str">
            <v>Thực hiện phạm vi hoạt động chuyên môn theo quy định tại Thông tư số 26/2015/TTLT-BYT-BNV ngày 07/10/2015 quy định mã số, tiêu chuẩn chức danh nghề nghiệp điều dưỡng, hộ sinh, kỹ thuật y</v>
          </cell>
          <cell r="H235" t="str">
            <v>Từ 07:00 đến 11:30 và từ 13:30 đến 17:00 từ thứ hai đến thứ sáu, thời gian trực và làm việc ngoài giờ theo phân công của Lãnh đạo</v>
          </cell>
          <cell r="I235" t="str">
            <v>Ngoại Thận - Tiết niệu</v>
          </cell>
          <cell r="J235" t="str">
            <v>Điều dưỡng khoa Ngoại Thận - Tiết niệu.</v>
          </cell>
          <cell r="K235" t="str">
            <v>Điều dưỡng khoa Ngoại Thận - Tiết niệu</v>
          </cell>
          <cell r="L235">
            <v>0</v>
          </cell>
        </row>
        <row r="236">
          <cell r="A236" t="str">
            <v>BV0725</v>
          </cell>
          <cell r="B236">
            <v>218</v>
          </cell>
          <cell r="C236" t="str">
            <v>003233/LS-CCHN</v>
          </cell>
          <cell r="D236" t="str">
            <v>Tô Thị Mơ</v>
          </cell>
          <cell r="E236" t="str">
            <v>003233/LS-CCHN</v>
          </cell>
          <cell r="F236" t="str">
            <v>09/05/2018</v>
          </cell>
          <cell r="G236" t="str">
            <v>Thực hiện phạm vi hoạt động chuyên môn theo Thông tư số 26/2015/TTLT-BYT-BNV ngày 07/10/2015 quy định  mã số, tiêu chuẩn chức danh nghề nghiệp, điều dưỡng, hộ sinh, kỹ thuật y</v>
          </cell>
          <cell r="H236" t="str">
            <v>Từ 07:00 đến 11:30 và từ 13:30 đến 17:00 từ thứ hai đến thứ sáu, thời gian trực và làm việc ngoài giờ theo phân công của Lãnh đạo</v>
          </cell>
          <cell r="I236" t="str">
            <v>Ngoại Thận - Tiết niệu</v>
          </cell>
          <cell r="J236" t="str">
            <v>Điều dưỡng khoa Ngoại Thận - Tiết niệu.</v>
          </cell>
          <cell r="K236" t="str">
            <v>Điều dưỡng khoa Ngoại Thận - Tiết niệu</v>
          </cell>
          <cell r="L236">
            <v>0</v>
          </cell>
        </row>
        <row r="237">
          <cell r="A237" t="str">
            <v>BV1196</v>
          </cell>
          <cell r="B237">
            <v>219</v>
          </cell>
          <cell r="C237" t="str">
            <v>000163/LS-GPHN</v>
          </cell>
          <cell r="D237" t="str">
            <v>Lý Thị Hoa</v>
          </cell>
          <cell r="E237" t="str">
            <v>000163/LS-GPHN</v>
          </cell>
          <cell r="F237">
            <v>45581</v>
          </cell>
          <cell r="G237" t="str">
            <v>Điều dưỡng</v>
          </cell>
          <cell r="H237" t="str">
            <v>Từ 07:00 đến 11:30 và từ 13:30 đến 17:00 từ thứ hai đến thứ sáu, thời gian trực và làm việc ngoài giờ theo phân công của Lãnh đạo</v>
          </cell>
          <cell r="I237" t="str">
            <v>Ngoại Thận - Tiết niệu</v>
          </cell>
          <cell r="J237" t="str">
            <v>Điều dưỡng khoa Ngoại Thận - Tiết niệu</v>
          </cell>
          <cell r="K237" t="str">
            <v>Điều dưỡng khoa Ngoại Thận - Tiết niệu</v>
          </cell>
        </row>
        <row r="238">
          <cell r="A238" t="str">
            <v>BV1263</v>
          </cell>
          <cell r="B238">
            <v>7</v>
          </cell>
          <cell r="C238" t="str">
            <v>000239/LS-GPHN</v>
          </cell>
          <cell r="D238" t="str">
            <v>Nông Thị Hồng</v>
          </cell>
          <cell r="E238" t="str">
            <v>000239/LS-GPHN</v>
          </cell>
          <cell r="F238">
            <v>45747</v>
          </cell>
          <cell r="G238" t="str">
            <v>Điều dưỡng</v>
          </cell>
          <cell r="H238" t="str">
            <v>Từ 07:00 đến 11:30 và từ 13:30 đến 17:00 từ thứ hai đến thứ sáu, thời gian trực và làm việc ngoài giờ theo phân công của Lãnh đạo</v>
          </cell>
          <cell r="I238" t="str">
            <v>Ngoại Thận - Tiết niệu</v>
          </cell>
          <cell r="J238" t="str">
            <v>Điều dưỡng khoa Ngoại Thận - Tiết niệu</v>
          </cell>
          <cell r="K238" t="str">
            <v>Điều dưỡng khoa Ngoại Thận - Tiết niệu</v>
          </cell>
        </row>
        <row r="239">
          <cell r="D239" t="str">
            <v>KHOA NGOẠI TIÊU HÓA</v>
          </cell>
          <cell r="I239" t="e">
            <v>#N/A</v>
          </cell>
        </row>
        <row r="240">
          <cell r="A240" t="str">
            <v>BV0174</v>
          </cell>
          <cell r="B240">
            <v>221</v>
          </cell>
          <cell r="C240" t="str">
            <v>000903/LS-CCHN</v>
          </cell>
          <cell r="D240" t="str">
            <v>Trần Mậu Việt</v>
          </cell>
          <cell r="E240" t="str">
            <v>000903/LS-CCHN</v>
          </cell>
          <cell r="F240" t="str">
            <v>11/01/2023</v>
          </cell>
          <cell r="G240" t="str">
            <v>Khám bệnh chữa bệnh ngoại khoa</v>
          </cell>
          <cell r="H240" t="str">
            <v>Từ 07:00 đến 11:30 và từ 13:30 đến 17:00 từ thứ hai đến thứ sáu, thời gian trực và làm việc ngoài giờ theo phân công của Lãnh đạo</v>
          </cell>
          <cell r="I240" t="str">
            <v>Ngoại Tiêu hóa</v>
          </cell>
          <cell r="J240" t="str">
            <v>Bác sĩ, Phó Giám đốc Bệnh viện, phụ trách khoa Ngoại Tiêu hóa</v>
          </cell>
          <cell r="K240" t="str">
            <v>Phó giám đốc/phụ trách khoa bác sĩ khoa Ngoại Tiêu hóa</v>
          </cell>
          <cell r="L240">
            <v>0</v>
          </cell>
        </row>
        <row r="241">
          <cell r="A241" t="str">
            <v>BV0002</v>
          </cell>
          <cell r="B241">
            <v>222</v>
          </cell>
          <cell r="C241" t="str">
            <v>000904/LS-CCHN</v>
          </cell>
          <cell r="D241" t="str">
            <v>Chu Đức Quang</v>
          </cell>
          <cell r="E241" t="str">
            <v>000904/LS-CCHN</v>
          </cell>
          <cell r="F241" t="str">
            <v>24/06/2013</v>
          </cell>
          <cell r="G241" t="str">
            <v>Khám bệnh, chữa bệnh Ngoại khoa</v>
          </cell>
          <cell r="H241" t="str">
            <v>Từ 07:00 đến 11:30 và từ 13:30 đến 17:00 từ thứ hai đến thứ sáu, thời gian trực và làm việc ngoài giờ theo phân công của Lãnh đạo</v>
          </cell>
          <cell r="I241" t="str">
            <v>Ngoại Tiêu hóa</v>
          </cell>
          <cell r="J241" t="str">
            <v>Bác sĩ khoa Ngoại tiêu hoá.</v>
          </cell>
          <cell r="K241" t="str">
            <v>bác sĩ khoa Ngoại Tiêu hóa</v>
          </cell>
          <cell r="L241">
            <v>0</v>
          </cell>
        </row>
        <row r="242">
          <cell r="A242" t="str">
            <v>BV0737</v>
          </cell>
          <cell r="B242">
            <v>223</v>
          </cell>
          <cell r="C242" t="str">
            <v>001787/LS-CCHN</v>
          </cell>
          <cell r="D242" t="str">
            <v>Nguyễn Trọng Đức</v>
          </cell>
          <cell r="E242" t="str">
            <v>001787/LS-CCHN</v>
          </cell>
          <cell r="F242" t="str">
            <v>26/12/2013</v>
          </cell>
          <cell r="G242" t="str">
            <v>Khám bệnh chữa bệnh Nội khoa; Ngoại khoa</v>
          </cell>
          <cell r="H242" t="str">
            <v>Từ 07:00 đến 11:30 và từ 13:30 đến 17:00 từ thứ hai đến thứ sáu, thời gian trực và làm việc ngoài giờ theo phân công của Lãnh đạo</v>
          </cell>
          <cell r="I242" t="str">
            <v>Ngoại Tiêu hóa</v>
          </cell>
          <cell r="J242" t="str">
            <v>Bác sĩ khoa Ngoại tiêu hoá.</v>
          </cell>
          <cell r="K242" t="str">
            <v>bác sĩ khoa Ngoại Tiêu hóa</v>
          </cell>
          <cell r="L242">
            <v>0</v>
          </cell>
        </row>
        <row r="243">
          <cell r="A243" t="str">
            <v>BV0176</v>
          </cell>
          <cell r="B243">
            <v>224</v>
          </cell>
          <cell r="C243" t="str">
            <v>000497/LS-CCHN</v>
          </cell>
          <cell r="D243" t="str">
            <v>Dương Văn Ái</v>
          </cell>
          <cell r="E243" t="str">
            <v>000497/LS-CCHN</v>
          </cell>
          <cell r="F243" t="str">
            <v>10/08/2012</v>
          </cell>
          <cell r="G243" t="str">
            <v>Khám bệnh, chữa bệnh Ngoại khoa</v>
          </cell>
          <cell r="H243" t="str">
            <v>Từ 07:00 đến 11:30 và từ 13:30 đến 17:00 từ thứ hai đến thứ sáu, thời gian trực và làm việc ngoài giờ theo phân công của Lãnh đạo</v>
          </cell>
          <cell r="I243" t="str">
            <v>Ngoại Tiêu hóa</v>
          </cell>
          <cell r="J243" t="str">
            <v>Bác sĩ khoa Ngoại tiêu hoá - Phó trưởng khoa.</v>
          </cell>
          <cell r="K243" t="str">
            <v>Bác sĩ khoa Ngoại tiêu hoá - Phó trưởng khoa.</v>
          </cell>
          <cell r="L243" t="str">
            <v>Từ 11:40 đến 13:00 và từ 17:10 đến 20:30 từ thứ hai đến thứ sáu; từ 08;00 đến 11:30 và từ 14:00 đến 20:30 thứ bảy và chủ nhật. Phòng khám chuyên khoa Ngoại  108 - Lạng Sơn</v>
          </cell>
        </row>
        <row r="244">
          <cell r="A244" t="str">
            <v>BV0835</v>
          </cell>
          <cell r="B244">
            <v>225</v>
          </cell>
          <cell r="C244" t="str">
            <v>003632/LS-CCHN</v>
          </cell>
          <cell r="D244" t="str">
            <v>Nguyễn Đình Trọng Nghĩa</v>
          </cell>
          <cell r="E244" t="str">
            <v>003632/LS-CCHN</v>
          </cell>
          <cell r="F244" t="str">
            <v>22/11/2019</v>
          </cell>
          <cell r="G244" t="str">
            <v>Khám bệnh, chữa bệnh Ngoại khoa</v>
          </cell>
          <cell r="H244" t="str">
            <v>Từ 07:00 đến 11:30 và từ 13:30 đến 17:00 từ thứ hai đến thứ sáu, thời gian trực và làm việc ngoài giờ theo phân công của Lãnh đạo</v>
          </cell>
          <cell r="I244" t="str">
            <v>Ngoại Tiêu hóa</v>
          </cell>
          <cell r="J244" t="str">
            <v>Bác sĩ khoa Ngoại tiêu hoá.</v>
          </cell>
          <cell r="K244" t="str">
            <v>Bác sĩ khoa Ngoại Tiêu hóa</v>
          </cell>
          <cell r="L244">
            <v>0</v>
          </cell>
        </row>
        <row r="245">
          <cell r="A245" t="str">
            <v>BV1035</v>
          </cell>
          <cell r="B245">
            <v>226</v>
          </cell>
          <cell r="C245" t="str">
            <v>004497/LS-CCHN</v>
          </cell>
          <cell r="D245" t="str">
            <v>Hoàng Phan Hùng</v>
          </cell>
          <cell r="E245" t="str">
            <v>004497/LS-CCHN</v>
          </cell>
          <cell r="F245" t="str">
            <v>06/04/2022</v>
          </cell>
          <cell r="G245" t="str">
            <v>Khám bệnh, chữa bệnh Ngoại khoa</v>
          </cell>
          <cell r="H245" t="str">
            <v>Từ 07:00 đến 11:30 và từ 13:30 đến 17:00 từ thứ hai đến thứ sáu, thời gian trực và làm việc ngoài giờ theo phân công của Lãnh đạo</v>
          </cell>
          <cell r="I245" t="str">
            <v>Ngoại Tiêu hóa</v>
          </cell>
          <cell r="J245" t="str">
            <v>Bác sĩ khoa Ngoại tiêu hoá.</v>
          </cell>
          <cell r="K245" t="str">
            <v>Bác sĩ khoa Ngoại Tiêu hóa</v>
          </cell>
          <cell r="L245">
            <v>0</v>
          </cell>
        </row>
        <row r="246">
          <cell r="A246" t="str">
            <v>BV1068</v>
          </cell>
          <cell r="B246">
            <v>227</v>
          </cell>
          <cell r="C246" t="str">
            <v>004570/LS-CCHN</v>
          </cell>
          <cell r="D246" t="str">
            <v>Nguyễn Độ Vỹ</v>
          </cell>
          <cell r="E246" t="str">
            <v>004570/LS-CCHN</v>
          </cell>
          <cell r="F246" t="str">
            <v>26/08/2022</v>
          </cell>
          <cell r="G246" t="str">
            <v>Khám bệnh, chữa bệnh chuyên khoa Ngoại</v>
          </cell>
          <cell r="H246" t="str">
            <v>Từ 07:00 đến 11:30 và từ 13:30 đến 17:00 từ thứ hai đến thứ sáu, thời gian trực và làm việc ngoài giờ theo phân công của Lãnh đạo</v>
          </cell>
          <cell r="I246" t="str">
            <v>Ngoại Tiêu hóa</v>
          </cell>
          <cell r="J246" t="str">
            <v>Bác sĩ khoa Ngoại tiêu hoá.</v>
          </cell>
          <cell r="K246" t="str">
            <v>Bác sĩ khoa Ngoại Tiêu hóa</v>
          </cell>
          <cell r="L246">
            <v>0</v>
          </cell>
        </row>
        <row r="247">
          <cell r="A247" t="str">
            <v>BV1210</v>
          </cell>
          <cell r="B247">
            <v>228</v>
          </cell>
          <cell r="C247" t="str">
            <v>000131/LS-GPHN</v>
          </cell>
          <cell r="D247" t="str">
            <v>Đinh Tuấn Bình</v>
          </cell>
          <cell r="E247" t="str">
            <v>000131/LS-GPHN</v>
          </cell>
          <cell r="F247" t="str">
            <v>11/9/2024</v>
          </cell>
          <cell r="G247" t="str">
            <v>Chuyên khoa Ngoại khoa</v>
          </cell>
          <cell r="H247" t="str">
            <v>Từ 07:00 đến 11:30 và từ 13:30 đến 17:00 từ thứ hai đến thứ sáu, thời gian trực và làm việc ngoài giờ theo phân công của Lãnh đạo</v>
          </cell>
          <cell r="I247" t="str">
            <v>Ngoại Tiêu hóa</v>
          </cell>
          <cell r="J247" t="str">
            <v>Bác sĩ khoa Ngoại Tiêu hóa</v>
          </cell>
          <cell r="K247" t="str">
            <v>Bác sĩ khoa Ngoại Tiêu hóa</v>
          </cell>
        </row>
        <row r="248">
          <cell r="A248" t="str">
            <v>BV1281</v>
          </cell>
          <cell r="C248" t="str">
            <v>000361/LS-GPHN</v>
          </cell>
          <cell r="D248" t="str">
            <v>Hoàng Việt Hưng</v>
          </cell>
          <cell r="E248" t="str">
            <v>000361/LS-GPHN</v>
          </cell>
          <cell r="F248">
            <v>47743</v>
          </cell>
          <cell r="G248" t="str">
            <v>Y khoa</v>
          </cell>
          <cell r="H248" t="str">
            <v>Từ 07:00 đến 11:30 và từ 13:30 đến 17:00 từ thứ hai đến thứ sáu, thời gian trực và làm việc ngoài giờ theo phân công của Lãnh đạo</v>
          </cell>
          <cell r="I248" t="str">
            <v>Mắt</v>
          </cell>
          <cell r="J248" t="str">
            <v>Bác sĩ khoa Mắt</v>
          </cell>
          <cell r="K248" t="str">
            <v>Bác sĩ khoa Ngoại Tiêu hóa</v>
          </cell>
        </row>
        <row r="249">
          <cell r="A249" t="str">
            <v>BV1300</v>
          </cell>
          <cell r="B249">
            <v>230</v>
          </cell>
          <cell r="C249" t="str">
            <v>000023/LS-GPHN</v>
          </cell>
          <cell r="D249" t="str">
            <v>Phan Thị Xuân</v>
          </cell>
          <cell r="E249" t="str">
            <v>000023/LS-GPHN</v>
          </cell>
          <cell r="F249">
            <v>45450</v>
          </cell>
          <cell r="G249" t="str">
            <v>Điều dưỡng</v>
          </cell>
          <cell r="H249" t="str">
            <v>Từ 07:00 đến 11:30 và từ 13:30 đến 17:00 từ thứ hai đến thứ sáu, thời gian trực và làm việc ngoài giờ theo phân công của Lãnh đạo</v>
          </cell>
          <cell r="I249" t="str">
            <v>Ngoại Tiêu hóa</v>
          </cell>
          <cell r="J249" t="str">
            <v>Điều dưỡng khoa Chấn thương - Bỏng / Ngoại Tiêu hóa</v>
          </cell>
          <cell r="K249" t="str">
            <v>Điều dưỡng khoa Chấn thương - Bỏng / Ngoại Tiêu hóa</v>
          </cell>
        </row>
        <row r="250">
          <cell r="A250" t="str">
            <v>BV0910</v>
          </cell>
          <cell r="B250">
            <v>231</v>
          </cell>
          <cell r="C250" t="str">
            <v>003738/LS-CCHN</v>
          </cell>
          <cell r="D250" t="str">
            <v>Vi Văn Kim</v>
          </cell>
          <cell r="E250" t="str">
            <v>003738/LS-CCHN</v>
          </cell>
          <cell r="F250" t="str">
            <v>26/06/2020</v>
          </cell>
          <cell r="G250" t="str">
            <v>Thực hiện phạm vi hoạt động chuyên môn theo quy định tại Thông tư số 26/2015/TTLT-BYT-BNV ngày 07/10/2015 quy định mã số, tiêu chuẩn chức danh nghề nghiệp điều dưỡng, hộ sinh, kỹ thuật y</v>
          </cell>
          <cell r="H250" t="str">
            <v>Từ 07:00 đến 11:30 và từ 13:30 đến 17:00 từ thứ hai đến thứ sáu, thời gian trực và làm việc ngoài giờ theo phân công của Lãnh đạo</v>
          </cell>
          <cell r="I250" t="str">
            <v>Ngoại Tiêu hóa</v>
          </cell>
          <cell r="J250" t="str">
            <v>Điều dưỡng khoa Cấp cứu / Ngoại Tiêu hóa</v>
          </cell>
          <cell r="K250" t="str">
            <v>Điều dưỡng khoa Cấp cứu / Ngoại Tiêu hóa</v>
          </cell>
          <cell r="L250">
            <v>0</v>
          </cell>
        </row>
        <row r="251">
          <cell r="A251" t="str">
            <v>BV0189</v>
          </cell>
          <cell r="B251">
            <v>232</v>
          </cell>
          <cell r="C251" t="str">
            <v>000913/LS-CCHN</v>
          </cell>
          <cell r="D251" t="str">
            <v>Vy Hoàng Vương</v>
          </cell>
          <cell r="E251" t="str">
            <v>000913/LS-CCHN</v>
          </cell>
          <cell r="F251" t="str">
            <v>24/06/2013</v>
          </cell>
          <cell r="G251" t="str">
            <v>Theo quy định tại Quyết định số 41/2005/QĐ-BNV ngày 22/4/2005 của Bộ trưởng Bộ Nội vụ về việc ban hành tiêu chuẩn nghiệp vụ các ngạch viên chức y tế điều dưỡng</v>
          </cell>
          <cell r="H251" t="str">
            <v>Từ 07:00 đến 11:30 và từ 13:30 đến 17:00 từ thứ hai đến thứ sáu, thời gian trực và làm việc ngoài giờ theo phân công của Lãnh đạo</v>
          </cell>
          <cell r="I251" t="str">
            <v>Ngoại Tiêu hóa</v>
          </cell>
          <cell r="J251" t="str">
            <v>Điều dưỡng khoa Ngoại Thận - Tiết niệu / Ngoại Tiêu hóa</v>
          </cell>
          <cell r="K251" t="str">
            <v>Điều dưỡng khoa Ngoại Thận - Tiết niệu / Ngoại Tiêu hóa</v>
          </cell>
          <cell r="L251">
            <v>0</v>
          </cell>
        </row>
        <row r="252">
          <cell r="A252" t="str">
            <v>BV0063</v>
          </cell>
          <cell r="B252">
            <v>233</v>
          </cell>
          <cell r="C252" t="str">
            <v>000782/LS-CCHN</v>
          </cell>
          <cell r="D252" t="str">
            <v>Đường Thị Lan Anh</v>
          </cell>
          <cell r="E252" t="str">
            <v>000782/LS-CCHN</v>
          </cell>
          <cell r="F252">
            <v>41449</v>
          </cell>
          <cell r="G252" t="str">
            <v>Theo quy định tại Quyết định số 41/2005/QĐ-BNV ngày 22/4/2005 của Bộ trưởng Bộ Nội vụ về việc ban hành tiêu chuẩn nghiệp vụ các ngạch viên chức y tế điều dưỡng</v>
          </cell>
          <cell r="H252" t="str">
            <v>Từ 07:00 đến 11:30 và từ 13:30 đến 17:00 từ thứ hai đến thứ sáu, thời gian trực và làm việc ngoài giờ theo phân công của Lãnh đạo</v>
          </cell>
          <cell r="I252" t="str">
            <v>Ngoại Tiêu hóa</v>
          </cell>
          <cell r="J252" t="str">
            <v>Điều dưỡng khoa Ngoại tiêu hoá- Điều dưỡng trưởng</v>
          </cell>
          <cell r="K252" t="str">
            <v>Điều dưỡng khoa Ngoại tiêu hoá- Điều dưỡng trưởng</v>
          </cell>
          <cell r="L252">
            <v>0</v>
          </cell>
        </row>
        <row r="253">
          <cell r="A253" t="str">
            <v>BV0783</v>
          </cell>
          <cell r="B253">
            <v>234</v>
          </cell>
          <cell r="C253" t="str">
            <v>003376/LS-CCHN</v>
          </cell>
          <cell r="D253" t="str">
            <v>Lý Thị Hoài</v>
          </cell>
          <cell r="E253" t="str">
            <v>003376/LS-CCHN</v>
          </cell>
          <cell r="F253" t="str">
            <v>17/10/2018</v>
          </cell>
          <cell r="G253" t="str">
            <v>Thực hiện phạm vi hoạt động chuyên môn theo quy định tại Thông tư số 26/2015/TTLT-BYT-BNV ngày 07/10/2015 quy định mã số, tiêu chuẩn chức danh nghề nghiệp điều dưỡng, hộ sinh, kỹ thuật y</v>
          </cell>
          <cell r="H253" t="str">
            <v>Từ 07:00 đến 11:30 và từ 13:30 đến 17:00 từ thứ hai đến thứ sáu, thời gian trực và làm việc ngoài giờ theo phân công của Lãnh đạo</v>
          </cell>
          <cell r="I253" t="str">
            <v>Ngoại Tiêu hóa</v>
          </cell>
          <cell r="J253" t="str">
            <v>Điều dưỡng khoa Ngoại tiêu hoá.</v>
          </cell>
          <cell r="K253" t="str">
            <v>Điều dưỡng khoa Ngoại Tiêu hóa</v>
          </cell>
          <cell r="L253">
            <v>0</v>
          </cell>
        </row>
        <row r="254">
          <cell r="A254" t="str">
            <v>BV1092</v>
          </cell>
          <cell r="B254">
            <v>235</v>
          </cell>
          <cell r="C254" t="str">
            <v>004526/LS-CCHN</v>
          </cell>
          <cell r="D254" t="str">
            <v>Nông Thị Diệu Linh</v>
          </cell>
          <cell r="E254" t="str">
            <v>004526/LS-CCHN</v>
          </cell>
          <cell r="F254" t="str">
            <v>12/05/2022</v>
          </cell>
          <cell r="G254" t="str">
            <v>Thực hiện phạm vi hoạt động chuyên môn theo quy định tại Thông tư số 26/2015/TTLT-BYT-BNV ngày 07/10/2015 quy định mã số, tiêu chuẩn chức danh nghề nghiệp điều dưỡng, hộ sinh, kỹ thuật y</v>
          </cell>
          <cell r="H254" t="str">
            <v>Từ 07:00 đến 11:30 và từ 13:30 đến 17:00 từ thứ hai đến thứ sáu, thời gian trực và làm việc ngoài giờ theo phân công của Lãnh đạo</v>
          </cell>
          <cell r="I254" t="str">
            <v>Ngoại Tiêu hóa</v>
          </cell>
          <cell r="J254" t="str">
            <v>Điều dưỡng khoa Ngoại Tiêu hóa / HH-TM</v>
          </cell>
          <cell r="K254" t="str">
            <v>Điều dưỡng khoa Ngoại Tiêu hóa / HH-TM</v>
          </cell>
          <cell r="L254">
            <v>0</v>
          </cell>
        </row>
        <row r="255">
          <cell r="A255" t="str">
            <v>BV0199</v>
          </cell>
          <cell r="B255">
            <v>236</v>
          </cell>
          <cell r="C255" t="str">
            <v>000923/LS-CCHN</v>
          </cell>
          <cell r="D255" t="str">
            <v>Dương Thị Toan</v>
          </cell>
          <cell r="E255" t="str">
            <v>000923/LS-CCHN</v>
          </cell>
          <cell r="F255" t="str">
            <v>24/06/2013</v>
          </cell>
          <cell r="G255" t="str">
            <v>Theo quy định tại Quyết định số 41/2005/QĐ-BNV ngày 22/4/2005 của Bộ trưởng Bộ Nội vụ về việc ban hành tiêu chuẩn nghiệp vụ các ngạch viên chức y tế điều dưỡng</v>
          </cell>
          <cell r="H255" t="str">
            <v>Từ 07:00 đến 11:30 và từ 13:30 đến 17:00 từ thứ hai đến thứ sáu, thời gian trực và làm việc ngoài giờ theo phân công của Lãnh đạo</v>
          </cell>
          <cell r="I255" t="str">
            <v>Ngoại Tiêu hóa</v>
          </cell>
          <cell r="J255" t="str">
            <v>Điều dưỡng khoa Ngoại tiêu hoá.</v>
          </cell>
          <cell r="K255" t="str">
            <v>Điều dưỡng khoa Ngoại Tiêu hóa</v>
          </cell>
          <cell r="L255">
            <v>0</v>
          </cell>
        </row>
        <row r="256">
          <cell r="A256" t="str">
            <v>BV1047</v>
          </cell>
          <cell r="B256">
            <v>237</v>
          </cell>
          <cell r="C256" t="str">
            <v>004528/LS-CCHN</v>
          </cell>
          <cell r="D256" t="str">
            <v>Hà Thị Thu Phương</v>
          </cell>
          <cell r="E256" t="str">
            <v>004528/LS-CCHN</v>
          </cell>
          <cell r="F256" t="str">
            <v>12/05/2022</v>
          </cell>
          <cell r="G256" t="str">
            <v>Thực hiện phạm vi hoạt động chuyên môn theo quy định tại Thông tư số 26/2015/TTLT-BYT-BNV ngày 07/10/2015 quy định mã số, tiêu chuẩn chức danh nghề nghiệp điều dưỡng, hộ sinh, kỹ thuật y</v>
          </cell>
          <cell r="H256" t="str">
            <v>Từ 07:00 đến 11:30 và từ 13:30 đến 17:00 từ thứ hai đến thứ sáu, thời gian trực và làm việc ngoài giờ theo phân công của Lãnh đạo</v>
          </cell>
          <cell r="I256" t="str">
            <v>Ngoại Tiêu hóa</v>
          </cell>
          <cell r="J256" t="str">
            <v>Điều dưỡng khoa Ngoại Tiêu hóa / HH-TM</v>
          </cell>
          <cell r="K256" t="str">
            <v>Điều dưỡng khoa Ngoại Tiêu hóa / HH-TM</v>
          </cell>
          <cell r="L256">
            <v>0</v>
          </cell>
        </row>
        <row r="257">
          <cell r="A257" t="str">
            <v>BV1147</v>
          </cell>
          <cell r="B257">
            <v>238</v>
          </cell>
          <cell r="C257" t="str">
            <v>005510/LS-CCHN</v>
          </cell>
          <cell r="D257" t="str">
            <v>Hà Quang Tỉnh</v>
          </cell>
          <cell r="E257" t="str">
            <v>005510/LS-CCHN</v>
          </cell>
          <cell r="F257" t="str">
            <v>06/12/2022</v>
          </cell>
          <cell r="G257" t="str">
            <v>Thực hiện phạm vi hoạt động chuyên môn theo Thông tư số 26/2015/TTLT-BYT-BNV ngày 07/10/2015 quy định  mã số, tiêu chuẩn chức danh nghề nghiệp, điều dưỡng, hộ sinh, kỹ thuật y</v>
          </cell>
          <cell r="H257" t="str">
            <v>Từ 07:00 đến 11:30 và từ 13:30 đến 17:00 từ thứ hai đến thứ sáu, thời gian trực và làm việc ngoài giờ theo phân công của Lãnh đạo</v>
          </cell>
          <cell r="I257" t="str">
            <v>Ngoại Tiêu hóa</v>
          </cell>
          <cell r="J257" t="str">
            <v>Điều dưỡng khoa Ngoại tiêu hoá.</v>
          </cell>
          <cell r="K257" t="str">
            <v>Điều dưỡng khoa Ngoại Tiêu hóa</v>
          </cell>
          <cell r="L257">
            <v>0</v>
          </cell>
        </row>
        <row r="258">
          <cell r="A258" t="str">
            <v>BV0990</v>
          </cell>
          <cell r="B258">
            <v>239</v>
          </cell>
          <cell r="C258" t="str">
            <v>005536/LS-CCHN</v>
          </cell>
          <cell r="D258" t="str">
            <v>Lục Tuấn Anh</v>
          </cell>
          <cell r="E258" t="str">
            <v>005536/LS-CCHN</v>
          </cell>
          <cell r="F258" t="str">
            <v>11/01/2023</v>
          </cell>
          <cell r="G258" t="str">
            <v>Thực hiện phạm vi hoạt động chuyên môn theo Thông tư số 26/2015/TTLT-BYT-BNV ngày 07/10/2015 quy định  mã số, tiêu chuẩn chức danh nghề nghiệp, điều dưỡng, hộ sinh, kỹ thuật y</v>
          </cell>
          <cell r="H258" t="str">
            <v>Từ 07:00 đến 11:30 và từ 13:30 đến 17:00 từ thứ hai đến thứ sáu, thời gian trực và làm việc ngoài giờ theo phân công của Lãnh đạo</v>
          </cell>
          <cell r="I258" t="str">
            <v>Ngoại Tiêu hóa</v>
          </cell>
          <cell r="J258" t="str">
            <v>Điều dưỡng khoa Ngoại Tiêu hóa / HH-TM</v>
          </cell>
          <cell r="K258" t="str">
            <v>Điều dưỡng khoa Ngoại Tiêu hóa / HH-TM</v>
          </cell>
          <cell r="L258">
            <v>0</v>
          </cell>
        </row>
        <row r="259">
          <cell r="A259" t="str">
            <v>BV1046</v>
          </cell>
          <cell r="B259">
            <v>240</v>
          </cell>
          <cell r="C259" t="str">
            <v>005537/LS-CCHN</v>
          </cell>
          <cell r="D259" t="str">
            <v>Hoàng Văn Mơ</v>
          </cell>
          <cell r="E259" t="str">
            <v>005537/LS-CCHN</v>
          </cell>
          <cell r="F259" t="str">
            <v>11/01/2023</v>
          </cell>
          <cell r="G259" t="str">
            <v>Thực hiện phạm vi hoạt động chuyên môn theo Thông tư số 26/2015/TTLT-BYT-BNV ngày 07/10/2015 quy định  mã số, tiêu chuẩn chức danh nghề nghiệp, điều dưỡng, hộ sinh, kỹ thuật y</v>
          </cell>
          <cell r="H259" t="str">
            <v>Từ 07:00 đến 11:30 và từ 13:30 đến 17:00 từ thứ hai đến thứ sáu, thời gian trực và làm việc ngoài giờ theo phân công của Lãnh đạo</v>
          </cell>
          <cell r="I259" t="str">
            <v>Ngoại Tiêu hóa</v>
          </cell>
          <cell r="J259" t="str">
            <v>Điều dưỡng khoa Ngoại Tiêu hóa / HH-TM</v>
          </cell>
          <cell r="K259" t="str">
            <v>Điều dưỡng khoa Ngoại Tiêu hóa / HH-TM</v>
          </cell>
          <cell r="L259">
            <v>0</v>
          </cell>
        </row>
        <row r="260">
          <cell r="A260" t="str">
            <v>BV0905</v>
          </cell>
          <cell r="B260">
            <v>241</v>
          </cell>
          <cell r="C260" t="str">
            <v>008681/LS-CCHN</v>
          </cell>
          <cell r="D260" t="str">
            <v>Ngô Thế Vinh</v>
          </cell>
          <cell r="E260" t="str">
            <v>008681/LS-CCHN</v>
          </cell>
          <cell r="F260" t="str">
            <v>21/08/2023</v>
          </cell>
          <cell r="G260" t="str">
            <v>Thực hiện phạm vi hoạt động chuyên môn theo Thông tư số 26/2015/TTLT-BYT-BNV ngày 07/10/2015 quy định  mã số, tiêu chuẩn chức danh nghề nghiệp, điều dưỡng, hộ sinh, kỹ thuật y</v>
          </cell>
          <cell r="H260" t="str">
            <v>Từ 07:00 đến 11:30 và từ 13:30 đến 17:00 từ thứ hai đến thứ sáu, thời gian trực và làm việc ngoài giờ theo phân công của Lãnh đạo</v>
          </cell>
          <cell r="I260" t="str">
            <v>Ngoại Tiêu hóa</v>
          </cell>
          <cell r="J260" t="str">
            <v>Điều dưỡng khoa Nhi /Ngoại Tiêu hóa</v>
          </cell>
          <cell r="K260" t="str">
            <v>Điều dưỡng khoa Nhi /Ngoại Tiêu hóa</v>
          </cell>
          <cell r="L260">
            <v>0</v>
          </cell>
        </row>
        <row r="261">
          <cell r="A261" t="str">
            <v>BV1093</v>
          </cell>
          <cell r="B261">
            <v>242</v>
          </cell>
          <cell r="C261" t="str">
            <v>005578/LS-CCHN</v>
          </cell>
          <cell r="D261" t="str">
            <v>Triệu Thị Liễu</v>
          </cell>
          <cell r="E261" t="str">
            <v>005578/LS-CCHN</v>
          </cell>
          <cell r="F261" t="str">
            <v>27/04/2023</v>
          </cell>
          <cell r="G261" t="str">
            <v>Thực hiện phạm vi hoạt động chuyên môn theo Thông tư số 26/2015/TTLT-BYT-BNV ngày 07/10/2015 quy định  mã số, tiêu chuẩn chức danh nghề nghiệp, điều dưỡng, hộ sinh, kỹ thuật y</v>
          </cell>
          <cell r="H261" t="str">
            <v>Từ 07:00 đến 11:30 và từ 13:30 đến 17:00 từ thứ hai đến thứ sáu, thời gian trực và làm việc ngoài giờ theo phân công của Lãnh đạo</v>
          </cell>
          <cell r="I261" t="str">
            <v>Ngoại Tiêu hóa</v>
          </cell>
          <cell r="J261" t="str">
            <v>Điều dưỡng khoa Ngoại tiêu hoá.</v>
          </cell>
          <cell r="K261" t="str">
            <v>Điều dưỡng khoa Ngoại Tiêu hóa</v>
          </cell>
          <cell r="L261">
            <v>0</v>
          </cell>
        </row>
        <row r="262">
          <cell r="A262" t="str">
            <v>BV1294</v>
          </cell>
          <cell r="C262" t="str">
            <v>000260/LS-GPHN</v>
          </cell>
          <cell r="D262" t="str">
            <v>Nông Hoa Cúc</v>
          </cell>
          <cell r="E262" t="str">
            <v>000260/LS-GPHN</v>
          </cell>
          <cell r="F262">
            <v>45796</v>
          </cell>
          <cell r="G262" t="str">
            <v>Điều dưỡng</v>
          </cell>
          <cell r="H262" t="str">
            <v>Từ 07:00 đến 11:30 và từ 13:30 đến 17:00 từ thứ hai đến thứ sáu, thời gian trực và làm việc ngoài giờ theo phân công của Lãnh đạo</v>
          </cell>
          <cell r="I262" t="str">
            <v>Ngoại Tiêu hóa</v>
          </cell>
          <cell r="J262" t="str">
            <v>Điều dưỡng khoa Ngoại Tiêu hóa</v>
          </cell>
          <cell r="K262" t="str">
            <v>Điều dưỡng khoa Ngoại Tiêu hóa</v>
          </cell>
        </row>
        <row r="263">
          <cell r="D263" t="str">
            <v>KHOA CHẤN THƯƠNG - BỎNG</v>
          </cell>
          <cell r="I263" t="e">
            <v>#N/A</v>
          </cell>
        </row>
        <row r="264">
          <cell r="A264" t="str">
            <v>BV0207</v>
          </cell>
          <cell r="B264">
            <v>244</v>
          </cell>
          <cell r="C264" t="str">
            <v>000927/LS-CCHN</v>
          </cell>
          <cell r="D264" t="str">
            <v>Nhữ Văn Vinh</v>
          </cell>
          <cell r="E264" t="str">
            <v>000927/LS-CCHN</v>
          </cell>
          <cell r="F264" t="str">
            <v>24/06/2013</v>
          </cell>
          <cell r="G264" t="str">
            <v>Khám bệnh, chữa bệnh Ngoại khoa</v>
          </cell>
          <cell r="H264" t="str">
            <v>Từ 07:00 đến 11:30 và từ 13:30 đến 17:00 từ thứ hai đến thứ sáu, thời gian trực và làm việc ngoài giờ theo phân công của Lãnh đạo</v>
          </cell>
          <cell r="I264" t="str">
            <v>Chấn thương - Bỏng</v>
          </cell>
          <cell r="J264" t="str">
            <v>Bác sĩ khoa Chấn thương - Bỏng - Trưởng khoa.</v>
          </cell>
          <cell r="K264" t="str">
            <v>Bác sĩ khoa Chấn thương - Bỏng - Trưởng khoa.</v>
          </cell>
          <cell r="L264">
            <v>0</v>
          </cell>
        </row>
        <row r="265">
          <cell r="A265" t="str">
            <v>BV0206</v>
          </cell>
          <cell r="B265">
            <v>245</v>
          </cell>
          <cell r="C265" t="str">
            <v>000928/LS-CCHN</v>
          </cell>
          <cell r="D265" t="str">
            <v>Trần Tuấn Việt</v>
          </cell>
          <cell r="E265" t="str">
            <v>000928/LS-CCHN</v>
          </cell>
          <cell r="F265" t="str">
            <v>24/06/2013</v>
          </cell>
          <cell r="G265" t="str">
            <v>Khám bệnh, chữa bệnh Ngoại khoa; Khám bệnh, chữa bệnh chuyên khoa Phẫu thuật tạo hình, thẩm mỹ</v>
          </cell>
          <cell r="H265" t="str">
            <v>Từ 07:00 đến 11:30 và từ 13:30 đến 17:00 từ thứ hai đến thứ sáu, thời gian trực và làm việc ngoài giờ theo phân công của Lãnh đạo</v>
          </cell>
          <cell r="I265" t="str">
            <v>Chấn thương - Bỏng</v>
          </cell>
          <cell r="J265" t="str">
            <v>Bác sĩ khoa Chấn thương - Bỏng - Phó trưởng khoa.</v>
          </cell>
          <cell r="K265" t="str">
            <v>Bác sĩ khoa Chấn thương - Bỏng - Phó trưởng khoa.</v>
          </cell>
          <cell r="L265">
            <v>0</v>
          </cell>
        </row>
        <row r="266">
          <cell r="A266" t="str">
            <v>BV0810</v>
          </cell>
          <cell r="B266">
            <v>246</v>
          </cell>
          <cell r="C266" t="str">
            <v>003556/LS-CCHN</v>
          </cell>
          <cell r="D266" t="str">
            <v>Trịnh Bá Hưởng</v>
          </cell>
          <cell r="E266" t="str">
            <v>003556/LS-CCHN</v>
          </cell>
          <cell r="F266" t="str">
            <v>21/08/2019</v>
          </cell>
          <cell r="G266" t="str">
            <v>Khám bệnh, chữa bệnh Ngoại khoa</v>
          </cell>
          <cell r="H266" t="str">
            <v>Từ 07:00 đến 11:30 và từ 13:30 đến 17:00 từ thứ hai đến thứ sáu, thời gian trực và làm việc ngoài giờ theo phân công của Lãnh đạo</v>
          </cell>
          <cell r="I266" t="str">
            <v>Chấn thương - Bỏng</v>
          </cell>
          <cell r="J266" t="str">
            <v>Bác sĩ khoa Chấn thương - Bỏng.</v>
          </cell>
          <cell r="K266" t="str">
            <v>Bác sĩ khoa Chấn thương - Bỏng</v>
          </cell>
          <cell r="L266" t="str">
            <v>Từ 07:00 đến 11:30 và từ 13:30 đến 17:00 Thứ bảy và chủ nhật hằng tuần, ngày nghỉ, ngày lễ. Tại Phòng khám đa khoa trung tâm Lạng Sơn</v>
          </cell>
        </row>
        <row r="267">
          <cell r="A267" t="str">
            <v>BV0757</v>
          </cell>
          <cell r="B267">
            <v>247</v>
          </cell>
          <cell r="C267" t="str">
            <v>003397/LS-CCHN</v>
          </cell>
          <cell r="D267" t="str">
            <v>Phạm Minh Hoàng</v>
          </cell>
          <cell r="E267" t="str">
            <v>003397/LS-CCHN</v>
          </cell>
          <cell r="F267" t="str">
            <v>21/11/2019</v>
          </cell>
          <cell r="G267" t="str">
            <v>Khám bệnh, chữa bệnh Ngoại khoa</v>
          </cell>
          <cell r="H267" t="str">
            <v>Từ 07:00 đến 11:30 và từ 13:30 đến 17:00 từ thứ hai đến thứ sáu, thời gian trực và làm việc ngoài giờ theo phân công của Lãnh đạo</v>
          </cell>
          <cell r="I267" t="str">
            <v>Chấn thương - Bỏng</v>
          </cell>
          <cell r="J267" t="str">
            <v>Bác sĩ khoa Ngoại Chấn thương - Bỏng</v>
          </cell>
          <cell r="K267" t="str">
            <v>Bác sĩ khoa Chấn thương - Bỏng</v>
          </cell>
          <cell r="L267">
            <v>0</v>
          </cell>
        </row>
        <row r="268">
          <cell r="A268" t="str">
            <v>BV0677</v>
          </cell>
          <cell r="B268">
            <v>248</v>
          </cell>
          <cell r="C268" t="str">
            <v>002133/LS-CCHN</v>
          </cell>
          <cell r="D268" t="str">
            <v>Hoàng Thị Hòa</v>
          </cell>
          <cell r="E268" t="str">
            <v>002133/LS-CCHN</v>
          </cell>
          <cell r="F268" t="str">
            <v>01/12/2017</v>
          </cell>
          <cell r="G268" t="str">
            <v>Khám bệnh, chữa bệnh Ngoại khoa; Khám bệnh, chữa bệnh chuyên khoa Tạo hình - Thẩm mỹ</v>
          </cell>
          <cell r="H268" t="str">
            <v>Từ 07:00 đến 11:30 và từ 13:30 đến 17:00 từ thứ hai đến thứ sáu, thời gian trực và làm việc ngoài giờ theo phân công của Lãnh đạo</v>
          </cell>
          <cell r="I268" t="str">
            <v>Chấn thương - Bỏng</v>
          </cell>
          <cell r="J268" t="str">
            <v>Bác sĩ khoa Chấn thương - Bỏng.</v>
          </cell>
          <cell r="K268" t="str">
            <v>Bác sĩ khoa Chấn thương - Bỏng</v>
          </cell>
          <cell r="L268" t="str">
            <v>Từ 11:45 đến 13:15 và từ 17:10 đến 21:00 thứ hai đến thứ sáu; từ 08:00 đến 21:00 thứ bảy, chủ nhật hằng tuần. Phòng khám chuyên khoa Thẩm mỹ Dr Hoàng Hòa, số 72 Lý Thái Tổ</v>
          </cell>
        </row>
        <row r="269">
          <cell r="A269" t="str">
            <v>BV0760</v>
          </cell>
          <cell r="B269">
            <v>249</v>
          </cell>
          <cell r="C269" t="str">
            <v>000049/LS-CCHN</v>
          </cell>
          <cell r="D269" t="str">
            <v>Hồ Hoàn Tuấn</v>
          </cell>
          <cell r="E269" t="str">
            <v>000049/LS-CCHN</v>
          </cell>
          <cell r="F269" t="str">
            <v>09/05/2012</v>
          </cell>
          <cell r="G269" t="str">
            <v>Khám bệnh, chữa bệnh chuyên khoa Ngoại; Phẫu thuật tạo hình</v>
          </cell>
          <cell r="H269" t="str">
            <v>Từ 07:00 đến 11:30 và từ 13:30 đến 17:00 từ thứ hai đến thứ sáu, thời gian trực và làm việc ngoài giờ theo phân công của Lãnh đạo</v>
          </cell>
          <cell r="I269" t="str">
            <v>Chấn thương - Bỏng</v>
          </cell>
          <cell r="J269" t="str">
            <v>Bác sĩ khoa Chấn thương - Bỏng.</v>
          </cell>
          <cell r="K269" t="str">
            <v>bác sĩ khoa Chấn thương - Bỏng</v>
          </cell>
          <cell r="L269" t="str">
            <v>Từ 11:40 đến 13:20 và từ 17:10 đến 21:00 thứ hai đến thứ sáu; từ 07:00 đến 21:00 thứ bảy, chủ nhật hằng tuần. Tại Phòng khám Chuyên khoa thẩm mỹ</v>
          </cell>
        </row>
        <row r="270">
          <cell r="A270" t="str">
            <v>BV0840</v>
          </cell>
          <cell r="B270">
            <v>250</v>
          </cell>
          <cell r="C270" t="str">
            <v>003635/LS-CCHN</v>
          </cell>
          <cell r="D270" t="str">
            <v>Lộc Huy Hiệp</v>
          </cell>
          <cell r="E270" t="str">
            <v>003635/LS-CCHN</v>
          </cell>
          <cell r="F270" t="str">
            <v>21/11/2019</v>
          </cell>
          <cell r="G270" t="str">
            <v>Khám bệnh, chữa bệnh Ngoại khoa</v>
          </cell>
          <cell r="H270" t="str">
            <v>Từ 07:00 đến 11:30 và từ 13:30 đến 17:00 từ thứ hai đến thứ sáu, thời gian trực và làm việc ngoài giờ theo phân công của Lãnh đạo</v>
          </cell>
          <cell r="I270" t="str">
            <v>Chấn thương - Bỏng</v>
          </cell>
          <cell r="J270" t="str">
            <v>Bác sĩ khoa Chấn thương - Bỏng.</v>
          </cell>
          <cell r="K270" t="str">
            <v>Bác sĩ khoa Chấn thương - Bỏng</v>
          </cell>
          <cell r="L270" t="str">
            <v>07:00 đến 11:30 và từ 13:30 đến 17:00 thứ bảy, chủ nhật; Phòng khám đa khoa Trường Sinh</v>
          </cell>
        </row>
        <row r="271">
          <cell r="A271" t="str">
            <v>BV1036</v>
          </cell>
          <cell r="B271">
            <v>251</v>
          </cell>
          <cell r="C271" t="str">
            <v>004509/LS-CCHN</v>
          </cell>
          <cell r="D271" t="str">
            <v>Chu Việt Dũng</v>
          </cell>
          <cell r="E271" t="str">
            <v>004509/LS-CCHN</v>
          </cell>
          <cell r="F271" t="str">
            <v>06/04/2022</v>
          </cell>
          <cell r="G271" t="str">
            <v>Khám bệnh, chữa bệnh Ngoại khoa</v>
          </cell>
          <cell r="H271" t="str">
            <v>Từ 07:00 đến 11:30 và từ 13:30 đến 17:00 từ thứ hai đến thứ sáu, thời gian trực và làm việc ngoài giờ theo phân công của Lãnh đạo</v>
          </cell>
          <cell r="I271" t="str">
            <v>Chấn thương - Bỏng</v>
          </cell>
          <cell r="J271" t="str">
            <v>Bác sĩ khoa Chấn thương - Bỏng.</v>
          </cell>
          <cell r="K271" t="str">
            <v>Bác sĩ khoa Chấn thương - Bỏng</v>
          </cell>
          <cell r="L271">
            <v>0</v>
          </cell>
        </row>
        <row r="272">
          <cell r="A272" t="str">
            <v>BV1213</v>
          </cell>
          <cell r="B272">
            <v>252</v>
          </cell>
          <cell r="C272" t="str">
            <v>000035/LS-GPHN</v>
          </cell>
          <cell r="D272" t="str">
            <v>Triệu Quảng Đông</v>
          </cell>
          <cell r="E272" t="str">
            <v>000035/LS-GPHN</v>
          </cell>
          <cell r="G272" t="str">
            <v>Chuyên khoa Ngoại khoa</v>
          </cell>
          <cell r="H272" t="str">
            <v>Từ 07:00 đến 11:30 và từ 13:30 đến 17:00 từ thứ hai đến thứ sáu, thời gian trực và làm việc ngoài giờ theo phân công của Lãnh đạo</v>
          </cell>
          <cell r="I272" t="str">
            <v>Chấn thương - Bỏng</v>
          </cell>
          <cell r="J272" t="str">
            <v>Bác sĩ, Khoa Chấn thương - Bỏng</v>
          </cell>
          <cell r="K272" t="str">
            <v>Bác sĩ khoa Chấn thương - Bỏng</v>
          </cell>
        </row>
        <row r="273">
          <cell r="A273" t="str">
            <v>BV1234</v>
          </cell>
          <cell r="C273" t="str">
            <v>000255/LS-GPHN</v>
          </cell>
          <cell r="D273" t="str">
            <v>Vũ Hoàng Mai Linh</v>
          </cell>
          <cell r="E273" t="str">
            <v>000255/LS-GPHN</v>
          </cell>
          <cell r="F273">
            <v>45772</v>
          </cell>
          <cell r="G273" t="str">
            <v>Chuyên khoa Ngoại khoa</v>
          </cell>
          <cell r="H273" t="str">
            <v>Từ 07:00 đến 11:30 và từ 13:30 đến 17:00 từ thứ hai đến thứ sáu, thời gian trực và làm việc ngoài giờ theo phân công của Lãnh đạo</v>
          </cell>
          <cell r="I273" t="str">
            <v>Chấn thương - Bỏng</v>
          </cell>
          <cell r="J273" t="str">
            <v>bác sĩ khoa Chấn thương - Bỏng</v>
          </cell>
          <cell r="K273" t="str">
            <v>Bác sĩ khoa Chấn thương - Bỏng</v>
          </cell>
        </row>
        <row r="274">
          <cell r="A274" t="str">
            <v>BV1341</v>
          </cell>
          <cell r="B274">
            <v>13</v>
          </cell>
          <cell r="C274" t="str">
            <v>000372/LS-GPHN</v>
          </cell>
          <cell r="D274" t="str">
            <v>Lâm Văn Lương</v>
          </cell>
          <cell r="E274" t="str">
            <v>000372/LS-GPHN</v>
          </cell>
          <cell r="F274">
            <v>45926</v>
          </cell>
          <cell r="G274" t="str">
            <v>Y khoa</v>
          </cell>
          <cell r="H274" t="str">
            <v>Từ 07:00 đến 11:30 và từ 13:30 đến 17:00 từ thứ hai đến thứ sáu, thời gian trực và làm việc ngoài giờ theo phân công của Lãnh đạo</v>
          </cell>
          <cell r="I274" t="str">
            <v>Chấn thương - Bỏng</v>
          </cell>
          <cell r="J274" t="str">
            <v>Bác sĩ khoa Chấn thương - Bỏng</v>
          </cell>
          <cell r="K274" t="str">
            <v>Bác sĩ khoa Chấn thương - Bỏng</v>
          </cell>
        </row>
        <row r="275">
          <cell r="A275" t="str">
            <v>BV1278</v>
          </cell>
          <cell r="C275" t="str">
            <v>000426/LS-GPHN</v>
          </cell>
          <cell r="D275" t="str">
            <v>Vũ Trần Hiếu</v>
          </cell>
          <cell r="E275" t="str">
            <v>000426/LS-GPHN</v>
          </cell>
          <cell r="F275">
            <v>46002</v>
          </cell>
          <cell r="G275" t="str">
            <v>Y khoa</v>
          </cell>
          <cell r="H275" t="str">
            <v>Từ 07:00 đến 11:30 và từ 13:30 đến 17:00 từ thứ hai đến thứ sáu, thời gian trực và làm việc ngoài giờ theo phân công của Lãnh đạo</v>
          </cell>
          <cell r="I275" t="str">
            <v>Chấn thương - Bỏng</v>
          </cell>
          <cell r="J275" t="str">
            <v>Bác sĩ khoa Chấn thương - Bỏng</v>
          </cell>
        </row>
        <row r="276">
          <cell r="A276" t="str">
            <v>BV1045</v>
          </cell>
          <cell r="B276">
            <v>256</v>
          </cell>
          <cell r="C276" t="str">
            <v>004440/LS-CCHN</v>
          </cell>
          <cell r="D276" t="str">
            <v>Nông Thị Ngọc Lan</v>
          </cell>
          <cell r="E276" t="str">
            <v>004440/LS-CCHN</v>
          </cell>
          <cell r="F276" t="str">
            <v>18/02/2022</v>
          </cell>
          <cell r="G276" t="str">
            <v>Thực hiện phạm vi hoạt động chuyên môn theo quy định tại Thông tư số 26/2015/TTLT-BYT-BNV ngày 07/10/2015 quy định mã số, tiêu chuẩn chức danh nghề nghiệp điều dưỡng, hộ sinh, kỹ thuật y</v>
          </cell>
          <cell r="H276" t="str">
            <v>Từ 07:00 đến 11:30 và từ 13:30 đến 17:00 từ thứ hai đến thứ sáu, thời gian trực và làm việc ngoài giờ theo phân công của Lãnh đạo</v>
          </cell>
          <cell r="I276" t="str">
            <v>Chấn thương - Bỏng</v>
          </cell>
          <cell r="J276" t="str">
            <v>Điều dưỡng khoa Chấn thương - Bỏng.</v>
          </cell>
          <cell r="K276" t="str">
            <v>Điều dưỡng khoa Chấn thương - Bỏng</v>
          </cell>
          <cell r="L276">
            <v>0</v>
          </cell>
        </row>
        <row r="277">
          <cell r="A277" t="str">
            <v>BV1140</v>
          </cell>
          <cell r="B277">
            <v>257</v>
          </cell>
          <cell r="C277" t="str">
            <v>000122/LS-GPHN</v>
          </cell>
          <cell r="D277" t="str">
            <v>Sầm Thị Hồng</v>
          </cell>
          <cell r="E277" t="str">
            <v>000122/LS-GPHN</v>
          </cell>
          <cell r="G277" t="str">
            <v>Điều dưỡng</v>
          </cell>
          <cell r="H277" t="str">
            <v>Từ 07:00 đến 11:30 và từ 13:30 đến 17:00 từ thứ hai đến thứ sáu, thời gian trực và làm việc ngoài giờ theo phân công của Lãnh đạo</v>
          </cell>
          <cell r="I277" t="str">
            <v>Chấn thương - Bỏng</v>
          </cell>
          <cell r="J277" t="str">
            <v>Điều dưỡng khoa Chấn thương - Bỏng</v>
          </cell>
          <cell r="K277" t="str">
            <v>Điều dưỡng khoa Chấn thương - Bỏng</v>
          </cell>
        </row>
        <row r="278">
          <cell r="A278" t="str">
            <v>BV1242</v>
          </cell>
          <cell r="B278">
            <v>258</v>
          </cell>
          <cell r="C278" t="str">
            <v>000181/LS-GPHN</v>
          </cell>
          <cell r="D278" t="str">
            <v>Nguyễn Thúy Quỳnh</v>
          </cell>
          <cell r="E278" t="str">
            <v>000181/LS-GPHN</v>
          </cell>
          <cell r="F278">
            <v>45633</v>
          </cell>
          <cell r="G278" t="str">
            <v>Điều dưỡng</v>
          </cell>
          <cell r="H278" t="str">
            <v>Từ 07:00 đến 11:30 và từ 13:30 đến 17:00 từ thứ hai đến thứ sáu, thời gian trực và làm việc ngoài giờ theo phân công của Lãnh đạo</v>
          </cell>
          <cell r="I278" t="str">
            <v>Chấn thương - Bỏng</v>
          </cell>
          <cell r="J278" t="str">
            <v>Điều dưỡng khoa Chấn thương - Bỏng</v>
          </cell>
          <cell r="K278" t="str">
            <v>Điều dưỡng khoa Chấn thương - Bỏng</v>
          </cell>
        </row>
        <row r="279">
          <cell r="A279" t="str">
            <v>BV1251</v>
          </cell>
          <cell r="C279" t="str">
            <v>000232/LS-GPHN</v>
          </cell>
          <cell r="D279" t="str">
            <v>Nguyễn Thị Bích Phương</v>
          </cell>
          <cell r="E279" t="str">
            <v>000232/LS-GPHN</v>
          </cell>
          <cell r="F279">
            <v>45747</v>
          </cell>
          <cell r="G279" t="str">
            <v>Điều dưỡng</v>
          </cell>
          <cell r="H279" t="str">
            <v>Từ 07:00 đến 11:30 và từ 13:30 đến 17:00 từ thứ hai đến thứ sáu, thời gian trực và làm việc ngoài giờ theo phân công của Lãnh đạo</v>
          </cell>
          <cell r="I279" t="str">
            <v>Chấn thương - Bỏng</v>
          </cell>
          <cell r="J279" t="str">
            <v>Điều dưỡng khoa Chấn thương - Bỏng</v>
          </cell>
          <cell r="K279" t="str">
            <v>Điều dưỡng khoa Chấn thương - Bỏng</v>
          </cell>
        </row>
        <row r="280">
          <cell r="A280" t="str">
            <v>BV0974</v>
          </cell>
          <cell r="B280">
            <v>260</v>
          </cell>
          <cell r="C280" t="str">
            <v>004094/LS-CCHN</v>
          </cell>
          <cell r="D280" t="str">
            <v>Nông Văn Bảo</v>
          </cell>
          <cell r="E280" t="str">
            <v>004094/LS-CCHN</v>
          </cell>
          <cell r="F280" t="str">
            <v>19/01/2021</v>
          </cell>
          <cell r="G280" t="str">
            <v>Thực hiện phạm vi hoạt động chuyên môn theo quy định tại Thông tư số 26/2015/TTLT-BYT-BNV ngày 07/10/2015 quy định mã số, tiêu chuẩn chức danh nghề nghiệp điều dưỡng, hộ sinh, kỹ thuật y</v>
          </cell>
          <cell r="H280" t="str">
            <v>Từ 07:00 đến 11:30 và từ 13:30 đến 17:00 từ thứ hai đến thứ sáu, thời gian trực và làm việc ngoài giờ theo phân công của Lãnh đạo</v>
          </cell>
          <cell r="I280" t="str">
            <v>Chấn thương - Bỏng</v>
          </cell>
          <cell r="J280" t="str">
            <v>Điều dưỡng khoa Chấn thương - Bỏng.</v>
          </cell>
          <cell r="K280" t="str">
            <v>Điều dưỡng khoa Chấn thương - Bỏng</v>
          </cell>
          <cell r="L280">
            <v>0</v>
          </cell>
        </row>
        <row r="281">
          <cell r="A281" t="str">
            <v>BV0026</v>
          </cell>
          <cell r="B281">
            <v>261</v>
          </cell>
          <cell r="C281" t="str">
            <v>000751/LS-CCHN</v>
          </cell>
          <cell r="D281" t="str">
            <v>Hoàng Huy Thắng</v>
          </cell>
          <cell r="E281" t="str">
            <v>000751/LS-CCHN</v>
          </cell>
          <cell r="F281" t="str">
            <v>11/01/2023</v>
          </cell>
          <cell r="G281" t="str">
            <v>Thực hiện phạm vi hoạt động chuyên môn theo Thông tư số 26/2015/TTLT-BYT-BNV ngày 07/10/2015 quy định  mã số, tiêu chuẩn chức danh nghề nghiệp, điều dưỡng, hộ sinh, kỹ thuật y</v>
          </cell>
          <cell r="H281" t="str">
            <v>Từ 07:00 đến 11:30 và từ 13:30 đến 17:00 từ thứ hai đến thứ sáu, thời gian trực và làm việc ngoài giờ theo phân công của Lãnh đạo</v>
          </cell>
          <cell r="I281" t="str">
            <v>Chấn thương - Bỏng</v>
          </cell>
          <cell r="J281" t="str">
            <v>Điều dưỡng khoa Chấn thương - Bỏng.</v>
          </cell>
          <cell r="K281" t="str">
            <v>Điều dưỡng khoa Chấn thương - Bỏng</v>
          </cell>
          <cell r="L281">
            <v>0</v>
          </cell>
        </row>
        <row r="282">
          <cell r="A282" t="str">
            <v>BV1044</v>
          </cell>
          <cell r="B282">
            <v>262</v>
          </cell>
          <cell r="C282" t="str">
            <v>004246/LS-CCHN</v>
          </cell>
          <cell r="D282" t="str">
            <v>Hoàng Thị Chuyên</v>
          </cell>
          <cell r="E282" t="str">
            <v>004246/LS-CCHN</v>
          </cell>
          <cell r="F282" t="str">
            <v>10/06/2021</v>
          </cell>
          <cell r="G282" t="str">
            <v>Thực hiện phạm vi hoạt động chuyên môn theo quy định tại Thông tư số 26/2015/TTLT-BYT-BNV ngày 07/10/2015 quy định mã số, tiêu chuẩn chức danh nghề nghiệp điều dưỡng, hộ sinh, kỹ thuật y</v>
          </cell>
          <cell r="H282" t="str">
            <v>Từ 07:00 đến 11:30 và từ 13:30 đến 17:00 từ thứ hai đến thứ sáu, thời gian trực và làm việc ngoài giờ theo phân công của Lãnh đạo</v>
          </cell>
          <cell r="I282" t="str">
            <v>Chấn thương - Bỏng</v>
          </cell>
          <cell r="J282" t="str">
            <v>Điều dưỡng khoa Chấn thương - Bỏng.</v>
          </cell>
          <cell r="K282" t="str">
            <v>Điều dưỡng khoa Chấn thương - Bỏng</v>
          </cell>
          <cell r="L282">
            <v>0</v>
          </cell>
        </row>
        <row r="283">
          <cell r="A283" t="str">
            <v>BV0789</v>
          </cell>
          <cell r="B283">
            <v>263</v>
          </cell>
          <cell r="C283" t="str">
            <v>003806/LS-CCHN</v>
          </cell>
          <cell r="D283" t="str">
            <v>Nguyễn Thị Tuyền</v>
          </cell>
          <cell r="E283" t="str">
            <v>003806/LS-CCHN</v>
          </cell>
          <cell r="F283" t="str">
            <v>21/07/2020</v>
          </cell>
          <cell r="G283" t="str">
            <v>Thực hiện phạm vi hoạt động chuyên môn theo quy định tại Thông tư số 26/2015/TTLT-BYT-BNV ngày 07/10/2015 quy định mã số, tiêu chuẩn chức danh nghề nghiệp điều dưỡng, hộ sinh, kỹ thuật y</v>
          </cell>
          <cell r="H283" t="str">
            <v>Từ 07:00 đến 11:30 và từ 13:30 đến 17:00 từ thứ hai đến thứ sáu, thời gian trực và làm việc ngoài giờ theo phân công của Lãnh đạo</v>
          </cell>
          <cell r="I283" t="str">
            <v>Chấn thương - Bỏng</v>
          </cell>
          <cell r="J283" t="str">
            <v>Điều dưỡng khoa Chấn thương - Bỏng.</v>
          </cell>
          <cell r="K283" t="str">
            <v>Điều dưỡng khoa Chấn thương - Bỏng</v>
          </cell>
          <cell r="L283">
            <v>0</v>
          </cell>
        </row>
        <row r="284">
          <cell r="A284" t="str">
            <v>BV0011</v>
          </cell>
          <cell r="B284">
            <v>264</v>
          </cell>
          <cell r="C284" t="str">
            <v>000739/LS-CCHN</v>
          </cell>
          <cell r="D284" t="str">
            <v>Vi Văn Hải</v>
          </cell>
          <cell r="E284" t="str">
            <v>000739/LS-CCHN</v>
          </cell>
          <cell r="F284" t="str">
            <v>11/01/2023</v>
          </cell>
          <cell r="G284" t="str">
            <v>Thực hiện phạm vi hoạt động chuyên môn theo Thông tư số 26/2015/TTLT-BYT-BNV ngày 07/10/2015 quy định  mã số, tiêu chuẩn chức danh nghề nghiệp, điều dưỡng, hộ sinh, kỹ thuật y</v>
          </cell>
          <cell r="H284" t="str">
            <v>Từ 07:00 đến 11:30 và từ 13:30 đến 17:00 từ thứ hai đến thứ sáu, thời gian trực và làm việc ngoài giờ theo phân công của Lãnh đạo</v>
          </cell>
          <cell r="I284" t="str">
            <v>Chấn thương - Bỏng</v>
          </cell>
          <cell r="J284" t="str">
            <v>Điều dưỡng khoa Chấn thương - Bỏng.</v>
          </cell>
          <cell r="K284" t="str">
            <v>Điều dưỡng khoa Chấn thương - Bỏng</v>
          </cell>
          <cell r="L284">
            <v>0</v>
          </cell>
        </row>
        <row r="285">
          <cell r="A285" t="str">
            <v>BV0719</v>
          </cell>
          <cell r="B285">
            <v>265</v>
          </cell>
          <cell r="C285" t="str">
            <v>003417/LS-CCHN</v>
          </cell>
          <cell r="D285" t="str">
            <v>Nông Văn Thảo</v>
          </cell>
          <cell r="E285" t="str">
            <v>003417/LS-CCHN</v>
          </cell>
          <cell r="F285" t="str">
            <v>21/01/2019</v>
          </cell>
          <cell r="G285" t="str">
            <v>Thực hiện phạm vi hoạt động chuyên môn theo quy định tại Thông tư số 26/2015/TTLT-BYT-BNV ngày 07/10/2015 quy định mã số, tiêu chuẩn chức danh nghề nghiệp điều dưỡng, hộ sinh, kỹ thuật y</v>
          </cell>
          <cell r="H285" t="str">
            <v>Từ 07:00 đến 11:30 và từ 13:30 đến 17:00 từ thứ hai đến thứ sáu, thời gian trực và làm việc ngoài giờ theo phân công của Lãnh đạo</v>
          </cell>
          <cell r="I285" t="str">
            <v>Chấn thương - Bỏng</v>
          </cell>
          <cell r="J285" t="str">
            <v>Điều dưỡng khoa Chấn thương - Bỏng.</v>
          </cell>
          <cell r="K285" t="str">
            <v>Điều dưỡng khoa Chấn thương - Bỏng</v>
          </cell>
          <cell r="L285">
            <v>0</v>
          </cell>
        </row>
        <row r="286">
          <cell r="A286" t="str">
            <v>BV0718</v>
          </cell>
          <cell r="B286">
            <v>266</v>
          </cell>
          <cell r="C286" t="str">
            <v>002142/LS-CCHN</v>
          </cell>
          <cell r="D286" t="str">
            <v>Lâm Thị Phượng</v>
          </cell>
          <cell r="E286" t="str">
            <v>002142/LS-CCHN</v>
          </cell>
          <cell r="F286" t="str">
            <v>01/12/2017</v>
          </cell>
          <cell r="G286" t="str">
            <v>Thực hiện phạm vi hoạt động chuyên môn theo quy định tại Thông tư số 26/2015/TTLT-BYT-BNV ngày 07/10/2015 quy định mã số, tiêu chuẩn chức danh nghề nghiệp điều dưỡng, hộ sinh, kỹ thuật y</v>
          </cell>
          <cell r="H286" t="str">
            <v>Từ 07:00 đến 11:30 và từ 13:30 đến 17:00 từ thứ hai đến thứ sáu, thời gian trực và làm việc ngoài giờ theo phân công của Lãnh đạo</v>
          </cell>
          <cell r="I286" t="str">
            <v>Chấn thương - Bỏng</v>
          </cell>
          <cell r="J286" t="str">
            <v>Điều dưỡng khoa Chấn thương - Bỏng.</v>
          </cell>
          <cell r="K286" t="str">
            <v>Điều dưỡng khoa Chấn thương - Bỏng</v>
          </cell>
          <cell r="L286">
            <v>0</v>
          </cell>
        </row>
        <row r="287">
          <cell r="A287" t="str">
            <v>BV0224</v>
          </cell>
          <cell r="B287">
            <v>267</v>
          </cell>
          <cell r="C287" t="str">
            <v>000940/LS-CCHN</v>
          </cell>
          <cell r="D287" t="str">
            <v>Lê Trọng Huấn</v>
          </cell>
          <cell r="E287" t="str">
            <v>000940/LS-CCHN</v>
          </cell>
          <cell r="F287" t="str">
            <v>11/01/2023</v>
          </cell>
          <cell r="G287" t="str">
            <v>Thực hiện phạm vi hoạt động chuyên môn theo Thông tư số 26/2015/TTLT-BYT-BNV ngày 07/10/2015 quy định  mã số, tiêu chuẩn chức danh nghề nghiệp, điều dưỡng, hộ sinh, kỹ thuật y</v>
          </cell>
          <cell r="H287" t="str">
            <v>Từ 07:00 đến 11:30 và từ 13:30 đến 17:00 từ thứ hai đến thứ sáu, thời gian trực và làm việc ngoài giờ theo phân công của Lãnh đạo</v>
          </cell>
          <cell r="I287" t="str">
            <v>Chấn thương - Bỏng</v>
          </cell>
          <cell r="J287" t="str">
            <v>Điều dưỡng khoa Chấn thương - Bỏng.</v>
          </cell>
          <cell r="K287" t="str">
            <v>Điều dưỡng khoa Chấn thương - Bỏng</v>
          </cell>
          <cell r="L287">
            <v>0</v>
          </cell>
        </row>
        <row r="288">
          <cell r="A288" t="str">
            <v>BV0229</v>
          </cell>
          <cell r="B288">
            <v>268</v>
          </cell>
          <cell r="C288" t="str">
            <v>000943/LS-CCHN</v>
          </cell>
          <cell r="D288" t="str">
            <v>Chu Thị Huệ</v>
          </cell>
          <cell r="E288" t="str">
            <v>000943/LS-CCHN</v>
          </cell>
          <cell r="F288" t="str">
            <v>11/01/2023</v>
          </cell>
          <cell r="G288" t="str">
            <v>Thực hiện phạm vi hoạt động chuyên môn theo Thông tư số 26/2015/TTLT-BYT-BNV ngày 07/10/2015 quy định  mã số, tiêu chuẩn chức danh nghề nghiệp, điều dưỡng, hộ sinh, kỹ thuật y</v>
          </cell>
          <cell r="H288" t="str">
            <v>Từ 07:00 đến 11:30 và từ 13:30 đến 17:00 từ thứ hai đến thứ sáu, thời gian trực và làm việc ngoài giờ theo phân công của Lãnh đạo</v>
          </cell>
          <cell r="I288" t="str">
            <v>Chấn thương - Bỏng</v>
          </cell>
          <cell r="J288" t="str">
            <v>Điều dưỡng khoa Chấn thương - Bỏng.</v>
          </cell>
          <cell r="K288" t="str">
            <v>Điều dưỡng khoa Chấn thương - Bỏng</v>
          </cell>
          <cell r="L288">
            <v>0</v>
          </cell>
        </row>
        <row r="289">
          <cell r="A289" t="str">
            <v>BV0228</v>
          </cell>
          <cell r="B289">
            <v>269</v>
          </cell>
          <cell r="C289" t="str">
            <v>000942/LS-CCHN</v>
          </cell>
          <cell r="D289" t="str">
            <v>Đàm Thị Na</v>
          </cell>
          <cell r="E289" t="str">
            <v>000942/LS-CCHN</v>
          </cell>
          <cell r="F289" t="str">
            <v>11/01/2023</v>
          </cell>
          <cell r="G289" t="str">
            <v>Thực hiện phạm vi hoạt động chuyên môn theo Thông tư số 26/2015/TTLT-BYT-BNV ngày 07/10/2015 quy định  mã số, tiêu chuẩn chức danh nghề nghiệp, điều dưỡng, hộ sinh, kỹ thuật y</v>
          </cell>
          <cell r="H289" t="str">
            <v>Từ 07:00 đến 11:30 và từ 13:30 đến 17:00 từ thứ hai đến thứ sáu, thời gian trực và làm việc ngoài giờ theo phân công của Lãnh đạo</v>
          </cell>
          <cell r="I289" t="str">
            <v>Chấn thương - Bỏng</v>
          </cell>
          <cell r="J289" t="str">
            <v>Điều dưỡng khoa Chấn thương - Bỏng.</v>
          </cell>
          <cell r="K289" t="str">
            <v>Điều dưỡng khoa Chấn thương - Bỏng</v>
          </cell>
          <cell r="L289">
            <v>0</v>
          </cell>
        </row>
        <row r="290">
          <cell r="A290" t="str">
            <v>BV0866</v>
          </cell>
          <cell r="B290">
            <v>270</v>
          </cell>
          <cell r="C290" t="str">
            <v>003627/LS-CCHN</v>
          </cell>
          <cell r="D290" t="str">
            <v>Hoàng Minh Tuệ</v>
          </cell>
          <cell r="E290" t="str">
            <v>003627/LS-CCHN</v>
          </cell>
          <cell r="F290" t="str">
            <v>21/11/2019</v>
          </cell>
          <cell r="G290" t="str">
            <v>Thực hiện phạm vi hoạt động chuyên môn theo quy định tại Thông tư số 26/2015/TTLT-BYT-BNV ngày 07/10/2015 quy định mã số, tiêu chuẩn chức danh nghề nghiệp điều dưỡng, hộ sinh, kỹ thuật y</v>
          </cell>
          <cell r="H290" t="str">
            <v>Từ 07:00 đến 11:30 và từ 13:30 đến 17:00 từ thứ hai đến thứ sáu, thời gian trực và làm việc ngoài giờ theo phân công của Lãnh đạo</v>
          </cell>
          <cell r="I290" t="str">
            <v>Chấn thương - Bỏng</v>
          </cell>
          <cell r="J290" t="str">
            <v>Điều dưỡng khoa Chấn thương - Bỏng.</v>
          </cell>
          <cell r="K290" t="str">
            <v>Điều dưỡng khoa Chấn thương - Bỏng</v>
          </cell>
          <cell r="L290">
            <v>0</v>
          </cell>
        </row>
        <row r="291">
          <cell r="A291" t="str">
            <v>BV0857</v>
          </cell>
          <cell r="B291">
            <v>271</v>
          </cell>
          <cell r="C291" t="str">
            <v>003719/LS-CCHN</v>
          </cell>
          <cell r="D291" t="str">
            <v>Lương Sơn Tùng</v>
          </cell>
          <cell r="E291" t="str">
            <v>003719/LS-CCHN</v>
          </cell>
          <cell r="F291" t="str">
            <v>22/05/2020</v>
          </cell>
          <cell r="G291" t="str">
            <v>Thực hiện phạm vi hoạt động chuyên môn theo quy định tại Thông tư số 26/2015/TTLT-BYT-BNV ngày 07/10/2015 quy định mã số, tiêu chuẩn chức danh nghề nghiệp điều dưỡng, hộ sinh, kỹ thuật y</v>
          </cell>
          <cell r="H291" t="str">
            <v>Từ 07:00 đến 11:30 và từ 13:30 đến 17:00 từ thứ hai đến thứ sáu, thời gian trực và làm việc ngoài giờ theo phân công của Lãnh đạo</v>
          </cell>
          <cell r="I291" t="str">
            <v>Chấn thương - Bỏng</v>
          </cell>
          <cell r="J291" t="str">
            <v>Điều dưỡng khoa Chấn thương - Bỏng.</v>
          </cell>
          <cell r="K291" t="str">
            <v>Điều dưỡng khoa Chấn thương - Bỏng</v>
          </cell>
          <cell r="L291">
            <v>0</v>
          </cell>
        </row>
        <row r="292">
          <cell r="A292" t="str">
            <v>BV0970</v>
          </cell>
          <cell r="B292">
            <v>272</v>
          </cell>
          <cell r="C292" t="str">
            <v>004084/LS-CCHN</v>
          </cell>
          <cell r="D292" t="str">
            <v>Hoàng Thị Quy</v>
          </cell>
          <cell r="E292" t="str">
            <v>004084/LS-CCHN</v>
          </cell>
          <cell r="F292" t="str">
            <v>19/01/2021</v>
          </cell>
          <cell r="G292" t="str">
            <v>Thực hiện phạm vi hoạt động chuyên môn theo quy định tại Thông tư số 26/2015/TTLT-BYT-BNV ngày 07/10/2015 quy định mã số, tiêu chuẩn chức danh nghề nghiệp điều dưỡng, hộ sinh, kỹ thuật y</v>
          </cell>
          <cell r="H292" t="str">
            <v>Từ 07:00 đến 11:30 và từ 13:30 đến 17:00 từ thứ hai đến thứ sáu, thời gian trực và làm việc ngoài giờ theo phân công của Lãnh đạo</v>
          </cell>
          <cell r="I292" t="str">
            <v>Chấn thương - Bỏng</v>
          </cell>
          <cell r="J292" t="str">
            <v>Điều dưỡng khoa Chấn thương - Bỏng.</v>
          </cell>
          <cell r="K292" t="str">
            <v>Điều dưỡng khoa Chấn thương - Bỏng</v>
          </cell>
          <cell r="L292">
            <v>0</v>
          </cell>
        </row>
        <row r="293">
          <cell r="A293" t="str">
            <v>BV1087</v>
          </cell>
          <cell r="B293">
            <v>273</v>
          </cell>
          <cell r="C293" t="str">
            <v>004527/LS-CCHN</v>
          </cell>
          <cell r="D293" t="str">
            <v>Ngô Thị Ìn</v>
          </cell>
          <cell r="E293" t="str">
            <v>004527/LS-CCHN</v>
          </cell>
          <cell r="F293" t="str">
            <v>12/05/2022</v>
          </cell>
          <cell r="G293" t="str">
            <v>Thực hiện phạm vi hoạt động chuyên môn theo quy định tại Thông tư số 26/2015/TTLT-BYT-BNV ngày 07/10/2015 quy định mã số, tiêu chuẩn chức danh nghề nghiệp điều dưỡng, hộ sinh, kỹ thuật y</v>
          </cell>
          <cell r="H293" t="str">
            <v>Từ 07:00 đến 11:30 và từ 13:30 đến 17:00 từ thứ hai đến thứ sáu, thời gian trực và làm việc ngoài giờ theo phân công của Lãnh đạo</v>
          </cell>
          <cell r="I293" t="str">
            <v>Chấn thương - Bỏng</v>
          </cell>
          <cell r="J293" t="str">
            <v>Điều dưỡng khoa Chấn thương - Bỏng.</v>
          </cell>
          <cell r="K293" t="str">
            <v>Điều dưỡng khoa Chấn thương - Bỏng</v>
          </cell>
          <cell r="L293">
            <v>0</v>
          </cell>
        </row>
        <row r="294">
          <cell r="A294" t="str">
            <v>BV0893</v>
          </cell>
          <cell r="B294">
            <v>274</v>
          </cell>
          <cell r="C294" t="str">
            <v>004134/LS-CCHN</v>
          </cell>
          <cell r="D294" t="str">
            <v>Mã Thị Lâm</v>
          </cell>
          <cell r="E294" t="str">
            <v>004134/LS-CCHN</v>
          </cell>
          <cell r="F294" t="str">
            <v>08/02/2021</v>
          </cell>
          <cell r="G294" t="str">
            <v>Thực hiện phạm vi hoạt động chuyên môn theo quy định tại Thông tư số 26/2015/TTLT-BYT-BNV ngày 07/10/2015 quy định mã số, tiêu chuẩn chức danh nghề nghiệp điều dưỡng, hộ sinh, kỹ thuật y</v>
          </cell>
          <cell r="H294" t="str">
            <v>Từ 07:00 đến 11:30 và từ 13:30 đến 17:00 từ thứ hai đến thứ sáu, thời gian trực và làm việc ngoài giờ theo phân công của Lãnh đạo</v>
          </cell>
          <cell r="I294" t="str">
            <v>Chấn thương - Bỏng</v>
          </cell>
          <cell r="J294" t="str">
            <v>Điều dưỡng khoa Chấn thương - Bỏng.</v>
          </cell>
          <cell r="K294" t="str">
            <v>Điều dưỡng khoa Chấn thương - Bỏng</v>
          </cell>
          <cell r="L294">
            <v>0</v>
          </cell>
        </row>
        <row r="295">
          <cell r="A295" t="str">
            <v>BV1239</v>
          </cell>
          <cell r="B295">
            <v>275</v>
          </cell>
          <cell r="C295" t="str">
            <v>002102/LS-CCHN</v>
          </cell>
          <cell r="D295" t="str">
            <v>Lương Thanh Huỳnh</v>
          </cell>
          <cell r="E295" t="str">
            <v>002102/LS-CCHN</v>
          </cell>
          <cell r="F295" t="str">
            <v>28/09/2017</v>
          </cell>
          <cell r="G295" t="str">
            <v>Thực hiện phạm vi hoạt động chuyên môn theo quy định tại Thông tư số 26/2015/TTLT-BYT-BNV ngày 07/10/2015 quy định mã số, tiêu chuẩn chức danh nghề nghiệp điều dưỡng, hộ sinh, kỹ thuật y</v>
          </cell>
          <cell r="H295" t="str">
            <v>Từ 07:00 đến 11:30 và từ 13:30 đến 17:00 từ thứ hai đến thứ sáu, thời gian trực và làm việc ngoài giờ theo phân công của Lãnh đạo</v>
          </cell>
          <cell r="I295" t="str">
            <v>Chấn thương - Bỏng</v>
          </cell>
          <cell r="J295" t="str">
            <v>Điều dưỡng khoa Chấn thương - Bỏng.</v>
          </cell>
          <cell r="K295" t="str">
            <v>Điều dưỡng khoa Chấn thương - Bỏng</v>
          </cell>
          <cell r="L295">
            <v>0</v>
          </cell>
        </row>
        <row r="296">
          <cell r="A296" t="str">
            <v>BV1139</v>
          </cell>
          <cell r="B296">
            <v>276</v>
          </cell>
          <cell r="C296" t="str">
            <v>005707/LS-CCHN</v>
          </cell>
          <cell r="D296" t="str">
            <v>Hoàng Văn Cánh</v>
          </cell>
          <cell r="E296" t="str">
            <v>005707/LS-CCHN</v>
          </cell>
          <cell r="F296">
            <v>0</v>
          </cell>
          <cell r="G296" t="str">
            <v>Thực hiện phạm vi hoạt động chuyên môn theo quy định tại Thông tư số 26/2015/TTLT-BYT-BNV ngày 07/10/2015 quy định mã số, tiêu chuẩn chức danh nghề nghiệp điều dưỡng, hộ sinh, kỹ thuật y</v>
          </cell>
          <cell r="H296" t="str">
            <v>Từ 07:00 đến 11:30 và từ 13:30 đến 17:00 từ thứ hai đến thứ sáu, thời gian trực và làm việc ngoài giờ theo phân công của Lãnh đạo</v>
          </cell>
          <cell r="I296" t="str">
            <v>Chấn thương - Bỏng</v>
          </cell>
          <cell r="J296" t="str">
            <v>Khoa Chấn thương - Bỏng</v>
          </cell>
          <cell r="K296" t="str">
            <v>Điều dưỡng khoa Chấn thương - Bỏng</v>
          </cell>
        </row>
        <row r="297">
          <cell r="A297" t="str">
            <v>BV1202</v>
          </cell>
          <cell r="B297">
            <v>277</v>
          </cell>
          <cell r="C297" t="str">
            <v>000123/LS-GPHN</v>
          </cell>
          <cell r="D297" t="str">
            <v>Luân Văn Lượng</v>
          </cell>
          <cell r="E297" t="str">
            <v>000123/LS-GPHN</v>
          </cell>
          <cell r="F297">
            <v>45521</v>
          </cell>
          <cell r="G297" t="str">
            <v>Điều dưỡng</v>
          </cell>
          <cell r="H297" t="str">
            <v>Từ 07:00 đến 11:30 và từ 13:30 đến 17:00 từ thứ hai đến thứ sáu, thời gian trực và làm việc ngoài giờ theo phân công của Lãnh đạo</v>
          </cell>
          <cell r="I297" t="str">
            <v>Chấn thương - Bỏng</v>
          </cell>
          <cell r="J297" t="str">
            <v>Điều dưỡng khoa Chấn thương - Bỏng</v>
          </cell>
          <cell r="K297" t="str">
            <v>Điều dưỡng khoa Chấn thương - Bỏng</v>
          </cell>
        </row>
        <row r="298">
          <cell r="A298" t="str">
            <v>BV1291</v>
          </cell>
          <cell r="B298">
            <v>14</v>
          </cell>
          <cell r="C298" t="str">
            <v>000390/LS-GPHN</v>
          </cell>
          <cell r="D298" t="str">
            <v>Hoàng Tiến Hùng</v>
          </cell>
          <cell r="E298" t="str">
            <v>000390/LS-GPHN</v>
          </cell>
          <cell r="F298">
            <v>45952</v>
          </cell>
          <cell r="G298" t="str">
            <v>Điều dưỡng</v>
          </cell>
          <cell r="H298" t="str">
            <v>Từ 07:00 đến 11:30 và từ 13:30 đến 17:00 từ thứ hai đến thứ sáu, thời gian trực và làm việc ngoài giờ theo phân công của Lãnh đạo</v>
          </cell>
          <cell r="I298" t="str">
            <v>Chấn thương - Bỏng</v>
          </cell>
          <cell r="J298" t="str">
            <v>Điều dưỡng khoa Chấn thương - Bỏng</v>
          </cell>
          <cell r="K298" t="str">
            <v>Điều dưỡng khoa Chấn thương - Bỏng</v>
          </cell>
        </row>
        <row r="299">
          <cell r="C299" t="str">
            <v>000537/LS-GPHN</v>
          </cell>
          <cell r="D299" t="str">
            <v>Nông Thị Kim Xuyến</v>
          </cell>
          <cell r="E299" t="str">
            <v>000537/LS-GPHN</v>
          </cell>
          <cell r="F299">
            <v>46135</v>
          </cell>
          <cell r="G299" t="str">
            <v>Điều dưỡng</v>
          </cell>
          <cell r="H299" t="str">
            <v>Từ 07:00 đến 11:30 và từ 13:30 đến 17:00 từ thứ hai đến thứ sáu, thời gian trực và làm việc ngoài giờ theo phân công của Lãnh đạo</v>
          </cell>
          <cell r="I299" t="e">
            <v>#N/A</v>
          </cell>
          <cell r="J299" t="str">
            <v>Điều dưỡng khoa Chấn thương - Bỏng, Hồi sức tích cực - Chống độc</v>
          </cell>
        </row>
        <row r="300">
          <cell r="D300" t="str">
            <v>KHOA NGOẠI THẦN KINH - LỒNG NGỰC</v>
          </cell>
          <cell r="I300" t="e">
            <v>#N/A</v>
          </cell>
        </row>
        <row r="301">
          <cell r="A301" t="str">
            <v>BV0658</v>
          </cell>
          <cell r="B301">
            <v>280</v>
          </cell>
          <cell r="C301" t="str">
            <v>004200/LS-CCHN</v>
          </cell>
          <cell r="D301" t="str">
            <v>Vi Hồng Đức</v>
          </cell>
          <cell r="E301" t="str">
            <v>004200/LS-CCHN</v>
          </cell>
          <cell r="F301" t="str">
            <v>11/01/2023</v>
          </cell>
          <cell r="G301" t="str">
            <v>Khám bệnh, chữa bệnh chuyên khoa Ngoại</v>
          </cell>
          <cell r="H301" t="str">
            <v>Từ 07:00 đến 11:30 và từ 13:30 đến 17:00 từ thứ hai đến thứ sáu, thời gian trực và làm việc ngoài giờ theo phân công của Lãnh đạo</v>
          </cell>
          <cell r="I301" t="str">
            <v>Ngoại TK-LN</v>
          </cell>
          <cell r="J301" t="str">
            <v>Bác sĩ khoa Ngoại Thần kinh - Lồng ngực - Trưởng khoa.</v>
          </cell>
          <cell r="K301" t="str">
            <v>Bác sĩ khoa Ngoại Thần kinh - Lồng ngực - Trưởng khoa.</v>
          </cell>
          <cell r="L301">
            <v>0</v>
          </cell>
        </row>
        <row r="302">
          <cell r="A302" t="str">
            <v>BV0657</v>
          </cell>
          <cell r="B302">
            <v>295</v>
          </cell>
          <cell r="C302" t="str">
            <v>000926/LS-CCHN</v>
          </cell>
          <cell r="D302" t="str">
            <v>Trương Quý Trường</v>
          </cell>
          <cell r="E302" t="str">
            <v>000926/LS-CCHN</v>
          </cell>
          <cell r="F302" t="str">
            <v>24/06/2013</v>
          </cell>
          <cell r="G302" t="str">
            <v>Khám bệnh, chữa bệnh Ngoại khoa</v>
          </cell>
          <cell r="H302" t="str">
            <v>Từ 07:00 đến 11:30 và từ 13:30 đến 17:00 từ thứ hai đến thứ sáu, thời gian trực và làm việc ngoài giờ theo phân công của Lãnh đạo</v>
          </cell>
          <cell r="I302" t="str">
            <v>Ngoại TK-LN</v>
          </cell>
          <cell r="J302" t="str">
            <v>Bác sĩ, Giám đốc Bệnh viện; người chịu trách nhiệm chuyên môn</v>
          </cell>
          <cell r="K302" t="str">
            <v>Giám đốc bác sĩ khoa Ngoại TK-LN</v>
          </cell>
          <cell r="L302">
            <v>0</v>
          </cell>
        </row>
        <row r="303">
          <cell r="A303" t="str">
            <v>BV0209</v>
          </cell>
          <cell r="B303">
            <v>282</v>
          </cell>
          <cell r="C303" t="str">
            <v>000888/LS-CCHN</v>
          </cell>
          <cell r="D303" t="str">
            <v>Nguyễn Xuân Trường</v>
          </cell>
          <cell r="E303" t="str">
            <v>000888/LS-CCHN</v>
          </cell>
          <cell r="F303" t="str">
            <v>11/01/2023</v>
          </cell>
          <cell r="G303" t="str">
            <v>Khám bệnh, chữa bệnh Ngoại khoa</v>
          </cell>
          <cell r="H303" t="str">
            <v>Từ 07:00 đến 11:30 và từ 13:30 đến 17:00 từ thứ hai đến thứ sáu, thời gian trực và làm việc ngoài giờ theo phân công của Lãnh đạo</v>
          </cell>
          <cell r="I303" t="str">
            <v>Ngoại TK-LN</v>
          </cell>
          <cell r="J303" t="str">
            <v>Bác sĩ khoa Ngoại Thần kinh - Lồng ngực - Phó trưởng khoa.</v>
          </cell>
          <cell r="K303" t="str">
            <v>Bác sĩ khoa Ngoại Thần kinh - Lồng ngực - Phó trưởng khoa.</v>
          </cell>
          <cell r="L303">
            <v>0</v>
          </cell>
        </row>
        <row r="304">
          <cell r="A304" t="str">
            <v>BV1061</v>
          </cell>
          <cell r="B304">
            <v>283</v>
          </cell>
          <cell r="C304" t="str">
            <v>004508/LS-CCHN</v>
          </cell>
          <cell r="D304" t="str">
            <v>Chu Hà Thành</v>
          </cell>
          <cell r="E304" t="str">
            <v>004508/LS-CCHN</v>
          </cell>
          <cell r="F304" t="str">
            <v>06/04/2022</v>
          </cell>
          <cell r="G304" t="str">
            <v>Khám bệnh, chữa bệnh Ngoại khoa</v>
          </cell>
          <cell r="H304" t="str">
            <v>Từ 07:00 đến 11:30 và từ 13:30 đến 17:00 từ thứ hai đến thứ sáu, thời gian trực và làm việc ngoài giờ theo phân công của Lãnh đạo</v>
          </cell>
          <cell r="I304" t="str">
            <v>Ngoại TK-LN</v>
          </cell>
          <cell r="J304" t="str">
            <v>Bác sĩ khoa Ngoại Thần kinh - Lồng ngực.</v>
          </cell>
          <cell r="K304" t="str">
            <v>Bác sĩ khoa Ngoại TK-LN</v>
          </cell>
          <cell r="L304">
            <v>0</v>
          </cell>
        </row>
        <row r="305">
          <cell r="A305" t="str">
            <v>BV1212</v>
          </cell>
          <cell r="B305">
            <v>284</v>
          </cell>
          <cell r="C305" t="str">
            <v>000090/LS-GPHN</v>
          </cell>
          <cell r="D305" t="str">
            <v>Nguyễn Mạnh Cường</v>
          </cell>
          <cell r="E305" t="str">
            <v>000090/LS-GPHN</v>
          </cell>
          <cell r="F305">
            <v>0</v>
          </cell>
          <cell r="G305" t="str">
            <v>Chuyên khoa Ngoại khoa</v>
          </cell>
          <cell r="H305" t="str">
            <v>Từ 07:00 đến 11:30 và từ 13:30 đến 17:00 từ thứ hai đến thứ sáu, thời gian trực và làm việc ngoài giờ theo phân công của Lãnh đạo</v>
          </cell>
          <cell r="I305" t="str">
            <v>Ngoại TK-LN</v>
          </cell>
          <cell r="J305" t="str">
            <v>Khoa Ngoại Thần kinh - Lồng ngực</v>
          </cell>
          <cell r="K305" t="str">
            <v>Bác sĩ khoa Ngoại TK-LN</v>
          </cell>
        </row>
        <row r="306">
          <cell r="A306" t="str">
            <v>BV1259</v>
          </cell>
          <cell r="C306" t="str">
            <v>000303/LS-GPHN</v>
          </cell>
          <cell r="D306" t="str">
            <v>Hoàng Doãn Anh</v>
          </cell>
          <cell r="E306" t="str">
            <v>000303/LS-GPHN</v>
          </cell>
          <cell r="F306">
            <v>45849</v>
          </cell>
          <cell r="G306" t="str">
            <v>Bác sĩ ngoại khoa</v>
          </cell>
          <cell r="H306" t="str">
            <v>Từ 07:00 đến 11:30 và từ 13:30 đến 17:00 từ thứ hai đến thứ sáu, thời gian trực và làm việc ngoài giờ theo phân công của Lãnh đạo</v>
          </cell>
          <cell r="I306" t="str">
            <v>Ngoại TK-LN</v>
          </cell>
          <cell r="J306" t="str">
            <v>Bác sĩ khoa Ngoại Thần kinh - Lồng ngực</v>
          </cell>
          <cell r="K306" t="str">
            <v>Bác sĩ khoa Ngoại TK-LN</v>
          </cell>
        </row>
        <row r="307">
          <cell r="A307" t="str">
            <v>BV1338</v>
          </cell>
          <cell r="B307">
            <v>10</v>
          </cell>
          <cell r="C307" t="str">
            <v>000358/LS-GPHN</v>
          </cell>
          <cell r="D307" t="str">
            <v>Lương Duy Minh</v>
          </cell>
          <cell r="E307" t="str">
            <v>000358/LS-GPHN</v>
          </cell>
          <cell r="F307">
            <v>45917</v>
          </cell>
          <cell r="G307" t="str">
            <v>Y khoa</v>
          </cell>
          <cell r="H307" t="str">
            <v>Từ 07:00 đến 11:30 và từ 13:30 đến 17:00 từ thứ hai đến thứ sáu, thời gian trực và làm việc ngoài giờ theo phân công của Lãnh đạo</v>
          </cell>
          <cell r="I307" t="str">
            <v>Ngoại TK-LN</v>
          </cell>
          <cell r="J307" t="str">
            <v>Bác sĩ khoa Ngoại TK-LN</v>
          </cell>
          <cell r="K307" t="str">
            <v>Bác sĩ khoa Ngoại TK-LN</v>
          </cell>
        </row>
        <row r="308">
          <cell r="A308" t="str">
            <v>BV0034</v>
          </cell>
          <cell r="B308">
            <v>287</v>
          </cell>
          <cell r="C308" t="str">
            <v>000932/LS-CCHN</v>
          </cell>
          <cell r="D308" t="str">
            <v>Hoàng Thanh Tiếp</v>
          </cell>
          <cell r="E308" t="str">
            <v>000932/LS-CCHN</v>
          </cell>
          <cell r="F308" t="str">
            <v>11/01/2023</v>
          </cell>
          <cell r="G308" t="str">
            <v>Thực hiện phạm vi hoạt động chuyên môn theo Thông tư số 26/2015/TTLT-BYT-BNV ngày 07/10/2015 quy định  mã số, tiêu chuẩn chức danh nghề nghiệp, điều dưỡng, hộ sinh, kỹ thuật y</v>
          </cell>
          <cell r="H308" t="str">
            <v>Từ 07:00 đến 11:30 và từ 13:30 đến 17:00 từ thứ hai đến thứ sáu, thời gian trực và làm việc ngoài giờ theo phân công của Lãnh đạo</v>
          </cell>
          <cell r="I308" t="str">
            <v>Ngoại TK-LN</v>
          </cell>
          <cell r="J308" t="str">
            <v>Điều dưỡng khoa Ngoại Thần kinh - Lồng ngực- Điều dưỡng trưởng</v>
          </cell>
          <cell r="K308" t="str">
            <v>Điều dưỡng khoa Ngoại Thần kinh - Lồng ngực- Điều dưỡng trưởng</v>
          </cell>
          <cell r="L308">
            <v>0</v>
          </cell>
        </row>
        <row r="309">
          <cell r="A309" t="str">
            <v>BV0555</v>
          </cell>
          <cell r="B309">
            <v>288</v>
          </cell>
          <cell r="C309" t="str">
            <v>000906/LS-CCHN</v>
          </cell>
          <cell r="D309" t="str">
            <v>Phạm Hùng Tuấn</v>
          </cell>
          <cell r="E309" t="str">
            <v>000906/LS-CCHN</v>
          </cell>
          <cell r="F309" t="str">
            <v>24/06/2013</v>
          </cell>
          <cell r="G309" t="str">
            <v>Theo quy định tại Quyết định số 41/2005/QĐ-BNV ngày 22/4/2005 của Bộ trưởng Bộ Nội vụ về việc ban hành tiêu chuẩn nghiệp vụ các ngạch viên chức y tế điều dưỡng</v>
          </cell>
          <cell r="H309" t="str">
            <v>Từ 07:00 đến 11:30 và từ 13:30 đến 17:00 từ thứ hai đến thứ sáu, thời gian trực và làm việc ngoài giờ theo phân công của Lãnh đạo</v>
          </cell>
          <cell r="I309" t="str">
            <v>Ngoại TK-LN</v>
          </cell>
          <cell r="J309" t="str">
            <v>Điều dưỡng khoa Ngoại Thần kinh - Lồng ngực.</v>
          </cell>
          <cell r="K309" t="str">
            <v>Điều dưỡng khoa Ngoại TK-LN</v>
          </cell>
          <cell r="L309">
            <v>0</v>
          </cell>
        </row>
        <row r="310">
          <cell r="A310" t="str">
            <v>BV1271</v>
          </cell>
          <cell r="C310" t="str">
            <v>000298/LS-GPHN</v>
          </cell>
          <cell r="D310" t="str">
            <v>Hoàng Thu Hà</v>
          </cell>
          <cell r="E310" t="str">
            <v>000298/LS-GPHN</v>
          </cell>
          <cell r="F310">
            <v>45897</v>
          </cell>
          <cell r="G310" t="str">
            <v>Điều dưỡng</v>
          </cell>
          <cell r="H310" t="str">
            <v>Từ 07:00 đến 11:30 và từ 13:30 đến 17:00 từ thứ hai đến thứ sáu, thời gian trực và làm việc ngoài giờ theo phân công của Lãnh đạo</v>
          </cell>
          <cell r="I310" t="str">
            <v>Ngoại TK-LN</v>
          </cell>
          <cell r="J310" t="str">
            <v>Điều dưỡng khoa Ngoại Thần kinh - Lồng ngực</v>
          </cell>
          <cell r="K310" t="str">
            <v>Điều dưỡng khoa Ngoại TK-LN</v>
          </cell>
        </row>
        <row r="311">
          <cell r="A311" t="str">
            <v>BV0876</v>
          </cell>
          <cell r="B311">
            <v>292</v>
          </cell>
          <cell r="C311" t="str">
            <v>003800/LS-CCHN</v>
          </cell>
          <cell r="D311" t="str">
            <v>Lục Thị Kim Oanh</v>
          </cell>
          <cell r="E311" t="str">
            <v>003800/LS-CCHN</v>
          </cell>
          <cell r="F311" t="str">
            <v>21/07/2020</v>
          </cell>
          <cell r="G311" t="str">
            <v>Thực hiện phạm vi hoạt động chuyên môn theo quy định tại Thông tư số 26/2015/TTLT-BYT-BNV ngày 07/10/2015 quy định mã số, tiêu chuẩn chức danh nghề nghiệp điều dưỡng, hộ sinh, kỹ thuật y</v>
          </cell>
          <cell r="H311" t="str">
            <v>Từ 07:00 đến 11:30 và từ 13:30 đến 17:00 từ thứ hai đến thứ sáu, thời gian trực và làm việc ngoài giờ theo phân công của Lãnh đạo</v>
          </cell>
          <cell r="I311" t="str">
            <v>Ngoại TK-LN</v>
          </cell>
          <cell r="J311" t="str">
            <v>Điều dưỡng khoa Ngoại thần kinh - Lồng ngực</v>
          </cell>
          <cell r="K311" t="str">
            <v>Điều dưỡng khoa Ngoại TK-LN</v>
          </cell>
          <cell r="L311">
            <v>0</v>
          </cell>
        </row>
        <row r="312">
          <cell r="A312" t="str">
            <v>BV0237</v>
          </cell>
          <cell r="B312">
            <v>291</v>
          </cell>
          <cell r="C312" t="str">
            <v>001108/LS-CCHN</v>
          </cell>
          <cell r="D312" t="str">
            <v>Lâm Bích Hợp</v>
          </cell>
          <cell r="E312" t="str">
            <v>001108/LS-CCHN</v>
          </cell>
          <cell r="F312" t="str">
            <v>11/01/2023</v>
          </cell>
          <cell r="G312" t="str">
            <v>Thực hiện phạm vi hoạt động chuyên môn theo Thông tư số 26/2015/TTLT-BYT-BNV ngày 07/10/2015 quy định  mã số, tiêu chuẩn chức danh nghề nghiệp, điều dưỡng, hộ sinh, kỹ thuật y</v>
          </cell>
          <cell r="H312" t="str">
            <v>Từ 07:00 đến 11:30 và từ 13:30 đến 17:00 từ thứ hai đến thứ sáu, thời gian trực và làm việc ngoài giờ theo phân công của Lãnh đạo</v>
          </cell>
          <cell r="I312" t="str">
            <v>Ngoại TK-LN</v>
          </cell>
          <cell r="J312" t="str">
            <v>Điều dưỡng khoa Ngoại Thần kinh - Lồng ngực.</v>
          </cell>
          <cell r="K312" t="str">
            <v>Điều dưỡng khoa Ngoại TK-LN</v>
          </cell>
          <cell r="L312">
            <v>0</v>
          </cell>
        </row>
        <row r="313">
          <cell r="A313" t="str">
            <v>BV0733</v>
          </cell>
          <cell r="B313">
            <v>292</v>
          </cell>
          <cell r="C313" t="str">
            <v>003211/LS-CCHN</v>
          </cell>
          <cell r="D313" t="str">
            <v>Nguyễn Văn Thiệu</v>
          </cell>
          <cell r="E313" t="str">
            <v>003211/LS-CCHN</v>
          </cell>
          <cell r="F313" t="str">
            <v>10/04/2018</v>
          </cell>
          <cell r="G313" t="str">
            <v>Thực hiện phạm vi hoạt động chuyên môn theo quy định tại Thông tư số 26/2015/TTLT-BYT-BNV ngày 07/10/2015 quy định mã số, tiêu chuẩn chức danh nghề nghiệp điều dưỡng, hộ sinh, kỹ thuật y</v>
          </cell>
          <cell r="H313" t="str">
            <v>Từ 07:00 đến 11:30 và từ 13:30 đến 17:00 từ thứ hai đến thứ sáu, thời gian trực và làm việc ngoài giờ theo phân công của Lãnh đạo</v>
          </cell>
          <cell r="I313" t="str">
            <v>Ngoại TK-LN</v>
          </cell>
          <cell r="J313" t="str">
            <v>Điều dưỡng khoa Ngoại Thần kinh - Lồng ngực.</v>
          </cell>
          <cell r="K313" t="str">
            <v>Điều dưỡng khoa Ngoại TK-LN</v>
          </cell>
          <cell r="L313">
            <v>0</v>
          </cell>
        </row>
        <row r="314">
          <cell r="A314" t="str">
            <v>BV0972</v>
          </cell>
          <cell r="B314">
            <v>293</v>
          </cell>
          <cell r="C314" t="str">
            <v>004095/LS-CCHN</v>
          </cell>
          <cell r="D314" t="str">
            <v>Long Thị Thọ</v>
          </cell>
          <cell r="E314" t="str">
            <v>004095/LS-CCHN</v>
          </cell>
          <cell r="F314" t="str">
            <v>19/01/2021</v>
          </cell>
          <cell r="G314" t="str">
            <v>Thực hiện phạm vi hoạt động chuyên môn theo quy định tại Thông tư số 26/2015/TTLT-BYT-BNV ngày 07/10/2015 quy định mã số, tiêu chuẩn chức danh nghề nghiệp điều dưỡng, hộ sinh, kỹ thuật y</v>
          </cell>
          <cell r="H314" t="str">
            <v>Từ 07:00 đến 11:30 và từ 13:30 đến 17:00 từ thứ hai đến thứ sáu, thời gian trực và làm việc ngoài giờ theo phân công của Lãnh đạo</v>
          </cell>
          <cell r="I314" t="str">
            <v>Ngoại TK-LN</v>
          </cell>
          <cell r="J314" t="str">
            <v>Điều dưỡng khoa Ngoại Thần kinh - Lồng ngực.</v>
          </cell>
          <cell r="K314" t="str">
            <v>Điều dưỡng khoa Ngoại TK-LN</v>
          </cell>
          <cell r="L314">
            <v>0</v>
          </cell>
        </row>
        <row r="315">
          <cell r="A315" t="str">
            <v>BV0017</v>
          </cell>
          <cell r="B315">
            <v>294</v>
          </cell>
          <cell r="C315" t="str">
            <v>000744/LS-CCHN</v>
          </cell>
          <cell r="D315" t="str">
            <v>Hoàng Thị Thanh</v>
          </cell>
          <cell r="E315" t="str">
            <v>000744/LS-CCHN</v>
          </cell>
          <cell r="F315" t="str">
            <v>11/01/2023</v>
          </cell>
          <cell r="G315" t="str">
            <v>Thực hiện phạm vi hoạt động chuyên môn theo Thông tư số 26/2015/TTLT-BYT-BNV ngày 07/10/2015 quy định  mã số, tiêu chuẩn chức danh nghề nghiệp, điều dưỡng, hộ sinh, kỹ thuật y</v>
          </cell>
          <cell r="H315" t="str">
            <v>Từ 07:00 đến 11:30 và từ 13:30 đến 17:00 từ thứ hai đến thứ sáu, thời gian trực và làm việc ngoài giờ theo phân công của Lãnh đạo</v>
          </cell>
          <cell r="I315" t="str">
            <v>Ngoại TK-LN</v>
          </cell>
          <cell r="J315" t="str">
            <v>Điều dưỡng khoa Ngoại Thần kinh - Lồng ngực.</v>
          </cell>
          <cell r="K315" t="str">
            <v>Điều dưỡng khoa Ngoại TK-LN</v>
          </cell>
          <cell r="L315">
            <v>0</v>
          </cell>
        </row>
        <row r="316">
          <cell r="A316" t="str">
            <v>BV0215</v>
          </cell>
          <cell r="B316">
            <v>295</v>
          </cell>
          <cell r="C316" t="str">
            <v>000455/LS-CCHN</v>
          </cell>
          <cell r="D316" t="str">
            <v>Tô Thị Lan</v>
          </cell>
          <cell r="E316" t="str">
            <v>000455/LS-CCHN</v>
          </cell>
          <cell r="F316" t="str">
            <v>24/08/2016</v>
          </cell>
          <cell r="G316" t="str">
            <v>Thực hiện phạm vi hoạt động chuyên môn theo quy định tại Thông tư số 26/2015/TTLT-BYT-BNV ngày 07/10/2015 quy định mã số, tiêu chuẩn chức danh nghề nghiệp điều dưỡng, hộ sinh, kỹ thuật y</v>
          </cell>
          <cell r="H316" t="str">
            <v>Từ 07:00 đến 11:30 và từ 13:30 đến 17:00 từ thứ hai đến thứ sáu, thời gian trực và làm việc ngoài giờ theo phân công của Lãnh đạo</v>
          </cell>
          <cell r="I316" t="str">
            <v>Ngoại TK-LN</v>
          </cell>
          <cell r="J316" t="str">
            <v>Điều dưỡng khoa Ngoại Thần kinh - Lồng ngực.</v>
          </cell>
          <cell r="K316" t="str">
            <v>Điều dưỡng khoa Ngoại TK-LN</v>
          </cell>
          <cell r="L316">
            <v>0</v>
          </cell>
        </row>
        <row r="317">
          <cell r="A317" t="str">
            <v>BV0216</v>
          </cell>
          <cell r="B317">
            <v>296</v>
          </cell>
          <cell r="C317" t="str">
            <v>000471/LS-CCHN</v>
          </cell>
          <cell r="D317" t="str">
            <v>Vi Văn Trình</v>
          </cell>
          <cell r="E317" t="str">
            <v>000471/LS-CCHN</v>
          </cell>
          <cell r="F317" t="str">
            <v>24/08/2016</v>
          </cell>
          <cell r="G317" t="str">
            <v>Thực hiện phạm vi hoạt động chuyên môn theo quy định tại Thông tư số 26/2015/TTLT-BYT-BNV ngày 07/10/2015 quy định mã số, tiêu chuẩn chức danh nghề nghiệp điều dưỡng, hộ sinh, kỹ thuật y</v>
          </cell>
          <cell r="H317" t="str">
            <v>Từ 07:00 đến 11:30 và từ 13:30 đến 17:00 từ thứ hai đến thứ sáu, thời gian trực và làm việc ngoài giờ theo phân công của Lãnh đạo</v>
          </cell>
          <cell r="I317" t="str">
            <v>Ngoại TK-LN</v>
          </cell>
          <cell r="J317" t="str">
            <v>Điều dưỡng khoa Ngoại Thần kinh - Lồng ngực.</v>
          </cell>
          <cell r="K317" t="str">
            <v>Điều dưỡng khoa Ngoại TK-LN</v>
          </cell>
          <cell r="L317">
            <v>0</v>
          </cell>
        </row>
        <row r="318">
          <cell r="A318" t="str">
            <v>BV0834</v>
          </cell>
          <cell r="B318">
            <v>297</v>
          </cell>
          <cell r="C318" t="str">
            <v>003551/LS-CCHN</v>
          </cell>
          <cell r="D318" t="str">
            <v>Nông Quốc Phòng</v>
          </cell>
          <cell r="E318" t="str">
            <v>003551/LS-CCHN</v>
          </cell>
          <cell r="F318" t="str">
            <v>17/07/2019</v>
          </cell>
          <cell r="G318" t="str">
            <v>Thực hiện phạm vi hoạt động chuyên môn theo quy định tại Thông tư số 26/2015/TTLT-BYT-BNV ngày 07/10/2015 quy định mã số, tiêu chuẩn chức danh nghề nghiệp điều dưỡng, hộ sinh, kỹ thuật y</v>
          </cell>
          <cell r="H318" t="str">
            <v>Từ 07:00 đến 11:30 và từ 13:30 đến 17:00 từ thứ hai đến thứ sáu, thời gian trực và làm việc ngoài giờ theo phân công của Lãnh đạo</v>
          </cell>
          <cell r="I318" t="str">
            <v>Ngoại TK-LN</v>
          </cell>
          <cell r="J318" t="str">
            <v>Điều dưỡng khoa Ngoại Thần kinh - Lồng ngực.</v>
          </cell>
          <cell r="K318" t="str">
            <v>Điều dưỡng khoa Ngoại TK-LN</v>
          </cell>
          <cell r="L318">
            <v>0</v>
          </cell>
        </row>
        <row r="319">
          <cell r="A319" t="str">
            <v>BV0213</v>
          </cell>
          <cell r="B319">
            <v>298</v>
          </cell>
          <cell r="C319" t="str">
            <v>000459/LS-CCHN</v>
          </cell>
          <cell r="D319" t="str">
            <v>Dương Thị Huyền</v>
          </cell>
          <cell r="E319" t="str">
            <v>000459/LS-CCHN</v>
          </cell>
          <cell r="F319" t="str">
            <v>24/08/2016</v>
          </cell>
          <cell r="G319" t="str">
            <v>Theo quy định tại Quyết định số 41/2005/QĐ-BNV ngày 22/4/2005 của Bộ trưởng Bộ Nội vụ về việc ban hành tiêu chuẩn nghiệp vụ các ngạch viên chức y tế điều dưỡng</v>
          </cell>
          <cell r="H319" t="str">
            <v>Từ 07:00 đến 11:30 và từ 13:30 đến 17:00 từ thứ hai đến thứ sáu, thời gian trực và làm việc ngoài giờ theo phân công của Lãnh đạo</v>
          </cell>
          <cell r="I319" t="str">
            <v>Ngoại TK-LN</v>
          </cell>
          <cell r="J319" t="str">
            <v>Điều dưỡng khoa Ngoại Thần kinh - Lồng ngực.</v>
          </cell>
          <cell r="K319" t="str">
            <v>Điều dưỡng khoa Ngoại TK-LN</v>
          </cell>
          <cell r="L319" t="str">
            <v>Từ 11:45 đến 13:15 và từ 17:10 đến 21:00 thứ hai đến thứ sáu; từ 08:00 đến 21:00 thứ bảy, chủ nhật hằng tuần. Phòng khám chuyên khoa Thẩm mỹ Dr Hoàng Hòa, số 72 Lý Thái Tổ</v>
          </cell>
        </row>
        <row r="320">
          <cell r="A320" t="str">
            <v>BV0551</v>
          </cell>
          <cell r="B320">
            <v>299</v>
          </cell>
          <cell r="C320" t="str">
            <v>001097/LS-CCHN</v>
          </cell>
          <cell r="D320" t="str">
            <v>Vũ Tiến Dũng</v>
          </cell>
          <cell r="E320" t="str">
            <v>001097/LS-CCHN</v>
          </cell>
          <cell r="F320" t="str">
            <v>24/06/2013</v>
          </cell>
          <cell r="G320" t="str">
            <v>Theo quy định tại Quyết định số 41/2005/QĐ-BNV ngày 22/4/2005 của Bộ trưởng Bộ Nội vụ về việc ban hành tiêu chuẩn nghiệp vụ các ngạch viên chức y tế điều dưỡng</v>
          </cell>
          <cell r="H320" t="str">
            <v>Từ 07:00 đến 11:30 và từ 13:30 đến 17:00 từ thứ hai đến thứ sáu, thời gian trực và làm việc ngoài giờ theo phân công của Lãnh đạo</v>
          </cell>
          <cell r="I320" t="str">
            <v>Ngoại TK-LN</v>
          </cell>
          <cell r="J320" t="str">
            <v>Điều dưỡng khoa Ngoại TK-LN / Khám bệnh</v>
          </cell>
          <cell r="K320" t="str">
            <v>Điều dưỡng khoa Ngoại TK-LN / Khám bệnh</v>
          </cell>
          <cell r="L320">
            <v>0</v>
          </cell>
        </row>
        <row r="321">
          <cell r="A321" t="str">
            <v>BV1302</v>
          </cell>
          <cell r="C321" t="str">
            <v>000459/LS-GPHN</v>
          </cell>
          <cell r="D321" t="str">
            <v>Nguyễn Thị Thảo</v>
          </cell>
          <cell r="E321" t="str">
            <v>000459/LS-GPHN</v>
          </cell>
          <cell r="F321">
            <v>46044</v>
          </cell>
          <cell r="G321" t="str">
            <v>Điều dưỡng</v>
          </cell>
          <cell r="H321" t="str">
            <v>Từ 07:00 đến 11:30 và từ 13:30 đến 17:00 từ thứ hai đến thứ sáu, thời gian trực và làm việc ngoài giờ theo phân công của Lãnh đạo</v>
          </cell>
          <cell r="I321" t="str">
            <v>Ngoại TK-LN</v>
          </cell>
          <cell r="J321" t="str">
            <v>Điều dưỡng khoa Ngoại Thần kinh - Lồng ngực</v>
          </cell>
        </row>
        <row r="322">
          <cell r="D322" t="str">
            <v>KHOA PHỤ SẢN</v>
          </cell>
          <cell r="I322" t="e">
            <v>#N/A</v>
          </cell>
        </row>
        <row r="323">
          <cell r="A323" t="str">
            <v>BV0245</v>
          </cell>
          <cell r="B323">
            <v>301</v>
          </cell>
          <cell r="C323" t="str">
            <v>000954/LS-CCHN</v>
          </cell>
          <cell r="D323" t="str">
            <v>Như Thùy Vân</v>
          </cell>
          <cell r="E323" t="str">
            <v>000954/LS-CCHN</v>
          </cell>
          <cell r="F323" t="str">
            <v>24/06/2013</v>
          </cell>
          <cell r="G323" t="str">
            <v>Khám bệnh, chữa bệnh Sản khoa</v>
          </cell>
          <cell r="H323" t="str">
            <v>Từ 07:00 đến 11:30 và từ 13:30 đến 17:00 từ thứ hai đến thứ sáu, thời gian trực và làm việc ngoài giờ theo phân công của Lãnh đạo</v>
          </cell>
          <cell r="I323" t="str">
            <v>Phụ sản</v>
          </cell>
          <cell r="J323" t="str">
            <v>Bác sĩ khoa Phụ sản.</v>
          </cell>
          <cell r="K323" t="str">
            <v>bác sĩ khoa Phụ sản</v>
          </cell>
          <cell r="L323" t="str">
            <v>Từ 11:40 đến 13:20 và từ 17:10 đến 21:00 thứ hai đến thứ sáu; từ 08:00 đến 21:00 thứ bảy, chủ nhật hằng tuần. Tại Phòng khám chuyên khoa phụ sản An Nhiên</v>
          </cell>
        </row>
        <row r="324">
          <cell r="A324" t="str">
            <v>BV0246</v>
          </cell>
          <cell r="B324">
            <v>302</v>
          </cell>
          <cell r="C324" t="str">
            <v>000955/LS-CCHN</v>
          </cell>
          <cell r="D324" t="str">
            <v>Hoàng Thị Hồng Chiêm</v>
          </cell>
          <cell r="E324" t="str">
            <v>000955/LS-CCHN</v>
          </cell>
          <cell r="F324" t="str">
            <v>11/01/2023</v>
          </cell>
          <cell r="G324" t="str">
            <v>Khám bệnh, chữa bệnh chuyên khoa Phụ sản</v>
          </cell>
          <cell r="H324" t="str">
            <v>Từ 07:00 đến 11:30 và từ 13:30 đến 17:00 từ thứ hai đến thứ sáu, thời gian trực và làm việc ngoài giờ theo phân công của Lãnh đạo</v>
          </cell>
          <cell r="I324" t="str">
            <v>Phụ sản</v>
          </cell>
          <cell r="J324" t="str">
            <v>Bác sĩ khoa Phụ sản.</v>
          </cell>
          <cell r="K324" t="str">
            <v>Bác sĩ khoa Phụ sản</v>
          </cell>
          <cell r="L324" t="str">
            <v>Từ 11:40 đến 13:20 và từ 17:10 đến 21:00 thứ hai đến thứ sáu; từ 07:00 đến 21:00 thứ bảy, chủ nhật hằng tuần. Tại Phòng khám sản phụ khoa Phương Nam, số 92 Nhị Thanh</v>
          </cell>
        </row>
        <row r="325">
          <cell r="A325" t="str">
            <v>BV0003</v>
          </cell>
          <cell r="B325">
            <v>303</v>
          </cell>
          <cell r="C325" t="str">
            <v>000020/LS-CCHN</v>
          </cell>
          <cell r="D325" t="str">
            <v>Nguyễn Thúy Vân</v>
          </cell>
          <cell r="E325" t="str">
            <v>000020/LS-CCHN</v>
          </cell>
          <cell r="F325" t="str">
            <v>11/01/2023</v>
          </cell>
          <cell r="G325" t="str">
            <v>Khám bệnh, chữa bệnh chuyên khoa Phụ sản</v>
          </cell>
          <cell r="H325" t="str">
            <v>Từ 07:00 đến 11:30 và từ 13:30 đến 17:00 từ thứ hai đến thứ sáu, thời gian trực và làm việc ngoài giờ theo phân công của Lãnh đạo</v>
          </cell>
          <cell r="I325" t="str">
            <v>Phụ sản</v>
          </cell>
          <cell r="J325" t="str">
            <v>Bác sĩ khoa Phụ sản.</v>
          </cell>
          <cell r="K325" t="str">
            <v>bác sĩ khoa Phụ sản</v>
          </cell>
          <cell r="L325" t="str">
            <v>Từ 11:40 đến 13:20 và từ 17:10 đến 21:00 thứ hai đến thứ sáu; từ 07:00 đến 21:00 thứ bảy, chủ nhật hằng tuần. Tại Phòng khám Hồng Ngọc</v>
          </cell>
        </row>
        <row r="326">
          <cell r="A326" t="str">
            <v>BV0242</v>
          </cell>
          <cell r="B326">
            <v>304</v>
          </cell>
          <cell r="C326" t="str">
            <v>000203/LS-CCHN</v>
          </cell>
          <cell r="D326" t="str">
            <v>Vi Thị Việt Hà</v>
          </cell>
          <cell r="E326" t="str">
            <v>000203/LS-CCHN</v>
          </cell>
          <cell r="F326" t="str">
            <v>11/01/2023</v>
          </cell>
          <cell r="G326" t="str">
            <v>Khám bệnh, chữa bệnh chuyên khoa Phụ sản</v>
          </cell>
          <cell r="H326" t="str">
            <v>Từ 07:00 đến 11:30 và từ 13:30 đến 17:00 từ thứ hai đến thứ sáu, thời gian trực và làm việc ngoài giờ theo phân công của Lãnh đạo</v>
          </cell>
          <cell r="I326" t="str">
            <v>Phụ sản</v>
          </cell>
          <cell r="J326" t="str">
            <v>Bác sĩ khoa Phụ sản.</v>
          </cell>
          <cell r="K326" t="str">
            <v>bác sĩ khoa Phụ sản</v>
          </cell>
          <cell r="L326" t="str">
            <v>Từ 11:40 đến 13:20 và từ 17:10 đến 21:00 thứ hai đến thứ sáu; từ 07:00 đến 21:00 thứ bảy, chủ nhật hằng tuần. Tại Phòng khám chuyên khoa sản phụ khoa 300 Trần Đăng Ninh</v>
          </cell>
        </row>
        <row r="327">
          <cell r="A327" t="str">
            <v>BV0809</v>
          </cell>
          <cell r="B327">
            <v>305</v>
          </cell>
          <cell r="C327" t="str">
            <v>000722/LS-CCHN</v>
          </cell>
          <cell r="D327" t="str">
            <v>Bạch Khánh Vân</v>
          </cell>
          <cell r="E327" t="str">
            <v>000722/LS-CCHN</v>
          </cell>
          <cell r="F327" t="str">
            <v>25/07/2017</v>
          </cell>
          <cell r="G327" t="str">
            <v>Khám bệnh, chữa bệnh đa khoa</v>
          </cell>
          <cell r="H327" t="str">
            <v>Từ 07:00 đến 11:30 và từ 13:30 đến 17:00 từ thứ hai đến thứ sáu, thời gian trực và làm việc ngoài giờ theo phân công của Lãnh đạo</v>
          </cell>
          <cell r="I327" t="str">
            <v>Phụ sản</v>
          </cell>
          <cell r="J327" t="str">
            <v>Bác sĩ khoa Phụ sản.</v>
          </cell>
          <cell r="K327" t="str">
            <v>Bác sĩ khoa Phụ sản</v>
          </cell>
          <cell r="L327">
            <v>0</v>
          </cell>
        </row>
        <row r="328">
          <cell r="A328" t="str">
            <v>BV0790</v>
          </cell>
          <cell r="B328">
            <v>306</v>
          </cell>
          <cell r="C328" t="str">
            <v>003458/LS-CCHN</v>
          </cell>
          <cell r="D328" t="str">
            <v>Dương Tuyết Nhung</v>
          </cell>
          <cell r="E328" t="str">
            <v>003458/LS-CCHN</v>
          </cell>
          <cell r="F328" t="str">
            <v>17/05/2019</v>
          </cell>
          <cell r="G328" t="str">
            <v>Khám bệnh, chữa bệnh Sản phụ khoa</v>
          </cell>
          <cell r="H328" t="str">
            <v>Từ 07:00 đến 11:30 và từ 13:30 đến 17:00 từ thứ hai đến thứ sáu, thời gian trực và làm việc ngoài giờ theo phân công của Lãnh đạo</v>
          </cell>
          <cell r="I328" t="str">
            <v>Phụ sản</v>
          </cell>
          <cell r="J328" t="str">
            <v>Bác sĩ khoa Phụ sản.</v>
          </cell>
          <cell r="K328" t="str">
            <v>Bác sĩ khoa Phụ sản</v>
          </cell>
          <cell r="L328">
            <v>0</v>
          </cell>
        </row>
        <row r="329">
          <cell r="A329" t="str">
            <v>BV0248</v>
          </cell>
          <cell r="B329">
            <v>307</v>
          </cell>
          <cell r="C329" t="str">
            <v>003357/LS-CCHN</v>
          </cell>
          <cell r="D329" t="str">
            <v>Đặng Thúy Loan</v>
          </cell>
          <cell r="E329" t="str">
            <v>003357/LS-CCHN</v>
          </cell>
          <cell r="F329" t="str">
            <v>17/09/2018</v>
          </cell>
          <cell r="G329" t="str">
            <v>Khám bệnh, chữa bệnh sản khoa</v>
          </cell>
          <cell r="H329" t="str">
            <v>Từ 07:00 đến 11:30 và từ 13:30 đến 17:00 từ thứ hai đến thứ sáu, thời gian trực và làm việc ngoài giờ theo phân công của Lãnh đạo</v>
          </cell>
          <cell r="I329" t="str">
            <v>Phụ sản</v>
          </cell>
          <cell r="J329" t="str">
            <v>Bác sĩ khoa Phụ sản.</v>
          </cell>
          <cell r="K329" t="str">
            <v>Bác sĩ khoa Phụ sản</v>
          </cell>
          <cell r="L329" t="str">
            <v>Từ 11:40 đến 13:20 và từ 17:10 đến 21:00 thứ hai đến thứ sáu; từ 07:00 đến 21:00 thứ bảy, chủ nhật hằng tuần. Tại Phòng khám sản phụ khoa Phương Nam, số 92 Nhị Thanh</v>
          </cell>
        </row>
        <row r="330">
          <cell r="A330" t="str">
            <v>BV0841</v>
          </cell>
          <cell r="B330">
            <v>308</v>
          </cell>
          <cell r="C330" t="str">
            <v>003659/LS-CCHN</v>
          </cell>
          <cell r="D330" t="str">
            <v>Vi Việt Chinh</v>
          </cell>
          <cell r="E330" t="str">
            <v>003659/LS-CCHN</v>
          </cell>
          <cell r="F330" t="str">
            <v>27/12/2019</v>
          </cell>
          <cell r="G330" t="str">
            <v>Khám bệnh, chữa bệnh Sản phụ khoa</v>
          </cell>
          <cell r="H330" t="str">
            <v>Từ 07:00 đến 11:30 và từ 13:30 đến 17:00 từ thứ hai đến thứ sáu, thời gian trực và làm việc ngoài giờ theo phân công của Lãnh đạo</v>
          </cell>
          <cell r="I330" t="str">
            <v>Phụ sản</v>
          </cell>
          <cell r="J330" t="str">
            <v>Bác sĩ khoa Phụ sản.</v>
          </cell>
          <cell r="K330" t="str">
            <v>Bác sĩ khoa Phụ sản</v>
          </cell>
          <cell r="L330" t="str">
            <v>Từ 11:40 đến 13:20 và từ 17:10 đến 21:00 thứ hai đến thứ sáu; từ 07:00 đến 21:00 thứ bảy, chủ nhật hằng tuần. Tại Phòng khám sản phụ khoa Đức Chinh</v>
          </cell>
        </row>
        <row r="331">
          <cell r="A331" t="str">
            <v>BV0243</v>
          </cell>
          <cell r="B331">
            <v>309</v>
          </cell>
          <cell r="C331" t="str">
            <v>000953/LS-CCHN</v>
          </cell>
          <cell r="D331" t="str">
            <v>Đoàn Anh Đức</v>
          </cell>
          <cell r="E331" t="str">
            <v>000953/LS-CCHN</v>
          </cell>
          <cell r="F331" t="str">
            <v>11/01/2023</v>
          </cell>
          <cell r="G331" t="str">
            <v>Khám bệnh, chữa bệnh chuyên khoa Phụ sản</v>
          </cell>
          <cell r="H331" t="str">
            <v>Từ 07:00 đến 11:30 và từ 13:30 đến 17:00 từ thứ hai đến thứ sáu, thời gian trực và làm việc ngoài giờ theo phân công của Lãnh đạo</v>
          </cell>
          <cell r="I331" t="str">
            <v>Phụ sản</v>
          </cell>
          <cell r="J331" t="str">
            <v>Bác sĩ khoa Phụ sản. Phó trưởng khoa</v>
          </cell>
          <cell r="K331" t="str">
            <v>Phó trưởng khoa Bác sĩ khoa Phụ sản</v>
          </cell>
          <cell r="L331" t="str">
            <v>Từ 11:40 đến 13:20 và từ 17:10 đến 21:00 thứ hai đến thứ sáu; từ 07:00 đến 21:00 thứ bảy, chủ nhật hằng tuần. Tại Phòng khám sản phụ khoa Đức Chinh</v>
          </cell>
        </row>
        <row r="332">
          <cell r="A332" t="str">
            <v>BV1063</v>
          </cell>
          <cell r="B332">
            <v>310</v>
          </cell>
          <cell r="C332" t="str">
            <v>005494/LS-CCHN</v>
          </cell>
          <cell r="D332" t="str">
            <v>Phạm Thị Trang</v>
          </cell>
          <cell r="E332" t="str">
            <v>005494/LS-CCHN</v>
          </cell>
          <cell r="F332" t="str">
            <v>04/11/2022</v>
          </cell>
          <cell r="G332" t="str">
            <v>Khám bệnh chữa bệnh Nội khoa</v>
          </cell>
          <cell r="H332" t="str">
            <v>Từ 07:00 đến 11:30 và từ 13:30 đến 17:00 từ thứ hai đến thứ sáu, thời gian trực và làm việc ngoài giờ theo phân công của Lãnh đạo</v>
          </cell>
          <cell r="I332" t="str">
            <v>Phụ sản</v>
          </cell>
          <cell r="J332" t="str">
            <v>Bác sĩ khoa Phụ sản</v>
          </cell>
          <cell r="K332" t="str">
            <v>Bác sĩ khoa Phụ sản</v>
          </cell>
          <cell r="L332">
            <v>0</v>
          </cell>
        </row>
        <row r="333">
          <cell r="A333" t="str">
            <v>BV0791</v>
          </cell>
          <cell r="B333">
            <v>311</v>
          </cell>
          <cell r="C333" t="str">
            <v>003395/LS-CCHN</v>
          </cell>
          <cell r="D333" t="str">
            <v>Hoàng Ngọc Lê</v>
          </cell>
          <cell r="E333" t="str">
            <v>003395/LS-CCHN</v>
          </cell>
          <cell r="F333" t="str">
            <v>21/11/2018</v>
          </cell>
          <cell r="G333" t="str">
            <v>Thực hiện phạm vi hoạt động chuyên môn theo quy định tại Thông tư số 26/2015/TTLT-BYT-BNV ngày 07/10/2015 quy định mã số, tiêu chuẩn chức danh nghề nghiệp điều dưỡng, hộ sinh, kỹ thuật y</v>
          </cell>
          <cell r="H333" t="str">
            <v>Từ 07:00 đến 11:30 và từ 13:30 đến 17:00 từ thứ hai đến thứ sáu, thời gian trực và làm việc ngoài giờ theo phân công của Lãnh đạo</v>
          </cell>
          <cell r="I333" t="str">
            <v>Phụ sản</v>
          </cell>
          <cell r="J333" t="str">
            <v>Điều dưỡng khoa Phụ sản.</v>
          </cell>
          <cell r="K333" t="str">
            <v>Điều dưỡng khoa Phụ sản</v>
          </cell>
          <cell r="L333">
            <v>0</v>
          </cell>
        </row>
        <row r="334">
          <cell r="A334" t="str">
            <v>BV0264</v>
          </cell>
          <cell r="B334">
            <v>312</v>
          </cell>
          <cell r="C334" t="str">
            <v>000963/LS-CCHN</v>
          </cell>
          <cell r="D334" t="str">
            <v>Trần Thị Hương</v>
          </cell>
          <cell r="E334" t="str">
            <v>000963/LS-CCHN</v>
          </cell>
          <cell r="F334" t="str">
            <v>11/01/2023</v>
          </cell>
          <cell r="G334" t="str">
            <v>Thực hiện phạm vi hoạt động chuyên môn theo Thông tư số 26/2015/TTLT-BYT-BNV ngày 07/10/2015 quy định  mã số, tiêu chuẩn chức danh nghề nghiệp, điều dưỡng, hộ sinh, kỹ thuật y</v>
          </cell>
          <cell r="H334" t="str">
            <v>Từ 07:00 đến 11:30 và từ 13:30 đến 17:00 từ thứ hai đến thứ sáu, thời gian trực và làm việc ngoài giờ theo phân công của Lãnh đạo</v>
          </cell>
          <cell r="I334" t="str">
            <v>Phụ sản</v>
          </cell>
          <cell r="J334" t="str">
            <v>Hộ sinh khoa Phụ sản.</v>
          </cell>
          <cell r="K334" t="str">
            <v>Hộ sinh khoa Phụ sản</v>
          </cell>
          <cell r="L334">
            <v>0</v>
          </cell>
        </row>
        <row r="335">
          <cell r="A335" t="str">
            <v>BV0252</v>
          </cell>
          <cell r="B335">
            <v>313</v>
          </cell>
          <cell r="C335" t="str">
            <v>000961/LS-CCHN</v>
          </cell>
          <cell r="D335" t="str">
            <v>Triệu Hoàng Anh</v>
          </cell>
          <cell r="E335" t="str">
            <v>000961/LS-CCHN</v>
          </cell>
          <cell r="F335" t="str">
            <v>24/06/2013</v>
          </cell>
          <cell r="G335" t="str">
            <v>Theo Quy định tại Thông tư số 12/2011/TT-BYT ngày 15/3/2011 của Bộ Y tế quy định tiêu chuẩn các ngạch viên chức hộ sinh</v>
          </cell>
          <cell r="H335" t="str">
            <v>Từ 07:00 đến 11:30 và từ 13:30 đến 17:00 từ thứ hai đến thứ sáu, thời gian trực và làm việc ngoài giờ theo phân công của Lãnh đạo</v>
          </cell>
          <cell r="I335" t="str">
            <v>Phụ sản</v>
          </cell>
          <cell r="J335" t="str">
            <v>Hộ sinh khoa Phụ sản.</v>
          </cell>
          <cell r="K335" t="str">
            <v>Hộ sinh khoa Phụ sản</v>
          </cell>
          <cell r="L335">
            <v>0</v>
          </cell>
        </row>
        <row r="336">
          <cell r="A336" t="str">
            <v>BV0288</v>
          </cell>
          <cell r="B336">
            <v>314</v>
          </cell>
          <cell r="C336" t="str">
            <v>001640/LS-CCHN</v>
          </cell>
          <cell r="D336" t="str">
            <v>Hứa Thu Hồng</v>
          </cell>
          <cell r="E336" t="str">
            <v>001640/LS-CCHN</v>
          </cell>
          <cell r="F336" t="str">
            <v>11/01/2023</v>
          </cell>
          <cell r="G336" t="str">
            <v>Thực hiện phạm vi hoạt động chuyên môn theo Thông tư số 26/2015/TTLT-BYT-BNV ngày 07/10/2015 quy định  mã số, tiêu chuẩn chức danh nghề nghiệp, điều dưỡng, hộ sinh, kỹ thuật y</v>
          </cell>
          <cell r="H336" t="str">
            <v>Từ 07:00 đến 11:30 và từ 13:30 đến 17:00 từ thứ hai đến thứ sáu, thời gian trực và làm việc ngoài giờ theo phân công của Lãnh đạo</v>
          </cell>
          <cell r="I336" t="str">
            <v>Phụ sản</v>
          </cell>
          <cell r="J336" t="str">
            <v>Hộ sinh khoa Phụ sản.</v>
          </cell>
          <cell r="K336" t="str">
            <v>Hộ sinh khoa Phụ sản</v>
          </cell>
          <cell r="L336">
            <v>0</v>
          </cell>
        </row>
        <row r="337">
          <cell r="A337" t="str">
            <v>BV0266</v>
          </cell>
          <cell r="B337">
            <v>315</v>
          </cell>
          <cell r="C337" t="str">
            <v>000967/LS-CCHN</v>
          </cell>
          <cell r="D337" t="str">
            <v>Âu Thị Thủy</v>
          </cell>
          <cell r="E337" t="str">
            <v>000967/LS-CCHN</v>
          </cell>
          <cell r="F337" t="str">
            <v>11/01/2023</v>
          </cell>
          <cell r="G337" t="str">
            <v>Thực hiện phạm vi hoạt động chuyên môn theo Thông tư số 26/2015/TTLT-BYT-BNV ngày 07/10/2015 quy định  mã số, tiêu chuẩn chức danh nghề nghiệp, điều dưỡng, hộ sinh, kỹ thuật y</v>
          </cell>
          <cell r="H337" t="str">
            <v>Từ 07:00 đến 11:30 và từ 13:30 đến 17:00 từ thứ hai đến thứ sáu, thời gian trực và làm việc ngoài giờ theo phân công của Lãnh đạo</v>
          </cell>
          <cell r="I337" t="str">
            <v>Phụ sản</v>
          </cell>
          <cell r="J337" t="str">
            <v>Hộ sinh khoa Phụ sản.</v>
          </cell>
          <cell r="K337" t="str">
            <v>Hộ sinh khoa Phụ sản</v>
          </cell>
          <cell r="L337">
            <v>0</v>
          </cell>
        </row>
        <row r="338">
          <cell r="A338" t="str">
            <v>BV0268</v>
          </cell>
          <cell r="B338">
            <v>316</v>
          </cell>
          <cell r="C338" t="str">
            <v>000966/LS-CCHN</v>
          </cell>
          <cell r="D338" t="str">
            <v>Hoàng Thị Hưởng</v>
          </cell>
          <cell r="E338" t="str">
            <v>000966/LS-CCHN</v>
          </cell>
          <cell r="F338" t="str">
            <v>11/01/2023</v>
          </cell>
          <cell r="G338" t="str">
            <v>Thực hiện phạm vi hoạt động chuyên môn theo Thông tư số 26/2015/TTLT-BYT-BNV ngày 07/10/2015 quy định  mã số, tiêu chuẩn chức danh nghề nghiệp, điều dưỡng, hộ sinh, kỹ thuật y</v>
          </cell>
          <cell r="H338" t="str">
            <v>Từ 07:00 đến 11:30 và từ 13:30 đến 17:00 từ thứ hai đến thứ sáu, thời gian trực và làm việc ngoài giờ theo phân công của Lãnh đạo</v>
          </cell>
          <cell r="I338" t="str">
            <v>Phụ sản</v>
          </cell>
          <cell r="J338" t="str">
            <v>Hộ sinh khoa Phụ sản.</v>
          </cell>
          <cell r="K338" t="str">
            <v>Hộ sinh khoa Phụ sản</v>
          </cell>
          <cell r="L338">
            <v>0</v>
          </cell>
        </row>
        <row r="339">
          <cell r="A339" t="str">
            <v>BV0251</v>
          </cell>
          <cell r="B339">
            <v>317</v>
          </cell>
          <cell r="C339" t="str">
            <v>000978/LS-CCHN</v>
          </cell>
          <cell r="D339" t="str">
            <v>Hoàng Thị Nụ</v>
          </cell>
          <cell r="E339" t="str">
            <v>000978/LS-CCHN</v>
          </cell>
          <cell r="F339" t="str">
            <v>24/06/2013</v>
          </cell>
          <cell r="G339" t="str">
            <v>Theo Quy định tại Thông tư số 12/2011/TT-BYT ngày 15/3/2011 của Bộ Y tế quy định tiêu chuẩn các ngạch viên chức hộ sinh</v>
          </cell>
          <cell r="H339" t="str">
            <v>Từ 07:00 đến 11:30 và từ 13:30 đến 17:00 từ thứ hai đến thứ sáu, thời gian trực và làm việc ngoài giờ theo phân công của Lãnh đạo</v>
          </cell>
          <cell r="I339" t="str">
            <v>Phụ sản</v>
          </cell>
          <cell r="J339" t="str">
            <v>Hộ sinh khoa Phụ sản.</v>
          </cell>
          <cell r="K339" t="str">
            <v>Hộ sinh khoa Phụ sản</v>
          </cell>
          <cell r="L339">
            <v>0</v>
          </cell>
        </row>
        <row r="340">
          <cell r="A340" t="str">
            <v>BV0272</v>
          </cell>
          <cell r="B340">
            <v>318</v>
          </cell>
          <cell r="C340" t="str">
            <v>000972/LS-CCHN</v>
          </cell>
          <cell r="D340" t="str">
            <v>Hứa Thanh Ngà</v>
          </cell>
          <cell r="E340" t="str">
            <v>000972/LS-CCHN</v>
          </cell>
          <cell r="F340" t="str">
            <v>11/01/2023</v>
          </cell>
          <cell r="G340" t="str">
            <v>Thực hiện phạm vi hoạt động chuyên môn theo Thông tư số 26/2015/TTLT-BYT-BNV ngày 07/10/2015 quy định  mã số, tiêu chuẩn chức danh nghề nghiệp, điều dưỡng, hộ sinh, kỹ thuật y</v>
          </cell>
          <cell r="H340" t="str">
            <v>Từ 07:00 đến 11:30 và từ 13:30 đến 17:00 từ thứ hai đến thứ sáu, thời gian trực và làm việc ngoài giờ theo phân công của Lãnh đạo</v>
          </cell>
          <cell r="I340" t="str">
            <v>Phụ sản</v>
          </cell>
          <cell r="J340" t="str">
            <v>Hộ sinh khoa Phụ sản.</v>
          </cell>
          <cell r="K340" t="str">
            <v>Hộ sinh khoa Phụ sản</v>
          </cell>
          <cell r="L340">
            <v>0</v>
          </cell>
        </row>
        <row r="341">
          <cell r="A341" t="str">
            <v>BV0255</v>
          </cell>
          <cell r="B341">
            <v>319</v>
          </cell>
          <cell r="C341" t="str">
            <v>000981/LS-CCHN</v>
          </cell>
          <cell r="D341" t="str">
            <v>Hoàng Quế Anh</v>
          </cell>
          <cell r="E341" t="str">
            <v>000981/LS-CCHN</v>
          </cell>
          <cell r="F341" t="str">
            <v>24/06/2013</v>
          </cell>
          <cell r="G341" t="str">
            <v>Theo Quy định tại Thông tư số 12/2011/TT-BYT ngày 15/3/2011 của Bộ Y tế quy định tiêu chuẩn các ngạch viên chức hộ sinh</v>
          </cell>
          <cell r="H341" t="str">
            <v>Từ 07:00 đến 11:30 và từ 13:30 đến 17:00 từ thứ hai đến thứ sáu, thời gian trực và làm việc ngoài giờ theo phân công của Lãnh đạo</v>
          </cell>
          <cell r="I341" t="str">
            <v>Phụ sản</v>
          </cell>
          <cell r="J341" t="str">
            <v>Hộ sinh khoa Phụ sản. Hộ sinh trưởng</v>
          </cell>
          <cell r="K341" t="str">
            <v>Hộ sinh khoa Phụ sản. Hộ sinh trưởng</v>
          </cell>
          <cell r="L341" t="str">
            <v>Từ 11:40 đến 13:20 và từ 17:10 đến 21:00 thứ hai đến thứ sáu; từ 07:00 đến 21:00 thứ bảy, chủ nhật hằng tuần. Tại Cơ sở chăm sóc mẹ và bé</v>
          </cell>
        </row>
        <row r="342">
          <cell r="A342" t="str">
            <v>BV0250</v>
          </cell>
          <cell r="B342">
            <v>320</v>
          </cell>
          <cell r="C342" t="str">
            <v>000979/LS-CCHN</v>
          </cell>
          <cell r="D342" t="str">
            <v>Lương Thị Thoa</v>
          </cell>
          <cell r="E342" t="str">
            <v>000979/LS-CCHN</v>
          </cell>
          <cell r="F342" t="str">
            <v>24/06/2013</v>
          </cell>
          <cell r="G342" t="str">
            <v>Theo Quy định tại Thông tư số 12/2011/TT-BYT ngày 15/3/2011 của Bộ Y tế quy định tiêu chuẩn các ngạch viên chức hộ sinh</v>
          </cell>
          <cell r="H342" t="str">
            <v>Từ 07:00 đến 11:30 và từ 13:30 đến 17:00 từ thứ hai đến thứ sáu, thời gian trực và làm việc ngoài giờ theo phân công của Lãnh đạo</v>
          </cell>
          <cell r="I342" t="str">
            <v>Phụ sản</v>
          </cell>
          <cell r="J342" t="str">
            <v>Hộ sinh khoa Phụ sản.</v>
          </cell>
          <cell r="K342" t="str">
            <v>Hộ sinh khoa Phụ sản</v>
          </cell>
          <cell r="L342">
            <v>0</v>
          </cell>
        </row>
        <row r="343">
          <cell r="A343" t="str">
            <v>BV0274</v>
          </cell>
          <cell r="B343">
            <v>321</v>
          </cell>
          <cell r="C343" t="str">
            <v>000976/LS-CCHN</v>
          </cell>
          <cell r="D343" t="str">
            <v>Lưu Thị Thu Hằng</v>
          </cell>
          <cell r="E343" t="str">
            <v>000976/LS-CCHN</v>
          </cell>
          <cell r="F343" t="str">
            <v>11/01/2023</v>
          </cell>
          <cell r="G343" t="str">
            <v>Thực hiện phạm vi hoạt động chuyên môn theo Thông tư số 26/2015/TTLT-BYT-BNV ngày 07/10/2015 quy định  mã số, tiêu chuẩn chức danh nghề nghiệp, điều dưỡng, hộ sinh, kỹ thuật y</v>
          </cell>
          <cell r="H343" t="str">
            <v>Từ 07:00 đến 11:30 và từ 13:30 đến 17:00 từ thứ hai đến thứ sáu, thời gian trực và làm việc ngoài giờ theo phân công của Lãnh đạo</v>
          </cell>
          <cell r="I343" t="str">
            <v>Phụ sản</v>
          </cell>
          <cell r="J343" t="str">
            <v>Hộ sinh khoa Phụ sản.</v>
          </cell>
          <cell r="K343" t="str">
            <v>Hộ sinh khoa Phụ sản</v>
          </cell>
          <cell r="L343">
            <v>0</v>
          </cell>
        </row>
        <row r="344">
          <cell r="A344" t="str">
            <v>BV0280</v>
          </cell>
          <cell r="B344">
            <v>322</v>
          </cell>
          <cell r="C344" t="str">
            <v>000764/LS-CCHN</v>
          </cell>
          <cell r="D344" t="str">
            <v>Nguyễn Thị Định</v>
          </cell>
          <cell r="E344" t="str">
            <v>000764/LS-CCHN</v>
          </cell>
          <cell r="F344" t="str">
            <v>11/01/2023</v>
          </cell>
          <cell r="G344" t="str">
            <v>Thực hiện phạm vi hoạt động chuyên môn theo Thông tư số 26/2015/TTLT-BYT-BNV ngày 07/10/2015 quy định  mã số, tiêu chuẩn chức danh nghề nghiệp, điều dưỡng, hộ sinh, kỹ thuật y</v>
          </cell>
          <cell r="H344" t="str">
            <v>Từ 07:00 đến 11:30 và từ 13:30 đến 17:00 từ thứ hai đến thứ sáu, thời gian trực và làm việc ngoài giờ theo phân công của Lãnh đạo</v>
          </cell>
          <cell r="I344" t="str">
            <v>Phụ sản</v>
          </cell>
          <cell r="J344" t="str">
            <v>Hộ sinh khoa Phụ sản.</v>
          </cell>
          <cell r="K344" t="str">
            <v>Hộ sinh khoa Phụ sản</v>
          </cell>
          <cell r="L344">
            <v>0</v>
          </cell>
        </row>
        <row r="345">
          <cell r="A345" t="str">
            <v>BV0254</v>
          </cell>
          <cell r="B345">
            <v>323</v>
          </cell>
          <cell r="C345" t="str">
            <v>000980/LS-CCHN</v>
          </cell>
          <cell r="D345" t="str">
            <v>Nông Thị Thu Trang</v>
          </cell>
          <cell r="E345" t="str">
            <v>000980/LS-CCHN</v>
          </cell>
          <cell r="F345" t="str">
            <v>11/01/2023</v>
          </cell>
          <cell r="G345" t="str">
            <v>Thực hiện phạm vi hoạt động chuyên môn theo Thông tư số 26/2015/TTLT-BYT-BNV ngày 07/10/2015 quy định  mã số, tiêu chuẩn chức danh nghề nghiệp, điều dưỡng, hộ sinh, kỹ thuật y</v>
          </cell>
          <cell r="H345" t="str">
            <v>Từ 07:00 đến 11:30 và từ 13:30 đến 17:00 từ thứ hai đến thứ sáu, thời gian trực và làm việc ngoài giờ theo phân công của Lãnh đạo</v>
          </cell>
          <cell r="I345" t="str">
            <v>Phụ sản</v>
          </cell>
          <cell r="J345" t="str">
            <v>Hộ sinh khoa Phụ sản.</v>
          </cell>
          <cell r="K345" t="str">
            <v>Hộ sinh khoa Phụ sản</v>
          </cell>
          <cell r="L345">
            <v>0</v>
          </cell>
        </row>
        <row r="346">
          <cell r="A346" t="str">
            <v>BV0279</v>
          </cell>
          <cell r="B346">
            <v>324</v>
          </cell>
          <cell r="C346" t="str">
            <v>000922/LS-CCHN</v>
          </cell>
          <cell r="D346" t="str">
            <v>Phạm Thu Hương</v>
          </cell>
          <cell r="E346" t="str">
            <v>000922/LS-CCHN</v>
          </cell>
          <cell r="F346" t="str">
            <v>11/01/2023</v>
          </cell>
          <cell r="G346" t="str">
            <v>Thực hiện phạm vi hoạt động chuyên môn theo Thông tư số 26/2015/TTLT-BYT-BNV ngày 07/10/2015 quy định  mã số, tiêu chuẩn chức danh nghề nghiệp, điều dưỡng, hộ sinh, kỹ thuật y</v>
          </cell>
          <cell r="H346" t="str">
            <v>Từ 07:00 đến 11:30 và từ 13:30 đến 17:00 từ thứ hai đến thứ sáu, thời gian trực và làm việc ngoài giờ theo phân công của Lãnh đạo</v>
          </cell>
          <cell r="I346" t="str">
            <v>Phụ sản</v>
          </cell>
          <cell r="J346" t="str">
            <v>Hộ sinh khoa Phụ sản.</v>
          </cell>
          <cell r="K346" t="str">
            <v>Hộ sinh khoa Phụ sản</v>
          </cell>
          <cell r="L346">
            <v>0</v>
          </cell>
        </row>
        <row r="347">
          <cell r="A347" t="str">
            <v>BV0846</v>
          </cell>
          <cell r="B347">
            <v>325</v>
          </cell>
          <cell r="C347" t="str">
            <v>001871/LS-CCHN</v>
          </cell>
          <cell r="D347" t="str">
            <v>Hoàng Thị Khuynh</v>
          </cell>
          <cell r="E347" t="str">
            <v>001871/LS-CCHN</v>
          </cell>
          <cell r="F347" t="str">
            <v>11/01/2023</v>
          </cell>
          <cell r="G347" t="str">
            <v>Thực hiện phạm vi hoạt động chuyên môn theo Thông tư số 26/2015/TTLT-BYT-BNV ngày 07/10/2015 quy định  mã số, tiêu chuẩn chức danh nghề nghiệp, điều dưỡng, hộ sinh, kỹ thuật y</v>
          </cell>
          <cell r="H347" t="str">
            <v>Từ 07:00 đến 11:30 và từ 13:30 đến 17:00 từ thứ hai đến thứ sáu, thời gian trực và làm việc ngoài giờ theo phân công của Lãnh đạo</v>
          </cell>
          <cell r="I347" t="str">
            <v>Phụ sản</v>
          </cell>
          <cell r="J347" t="str">
            <v>Hộ sinh khoa Phụ sản.</v>
          </cell>
          <cell r="K347" t="str">
            <v>Hộ sinh khoa Phụ sản</v>
          </cell>
          <cell r="L347">
            <v>0</v>
          </cell>
        </row>
        <row r="348">
          <cell r="A348" t="str">
            <v>BV0996</v>
          </cell>
          <cell r="B348">
            <v>326</v>
          </cell>
          <cell r="C348" t="str">
            <v>001861/LS-CCHN</v>
          </cell>
          <cell r="D348" t="str">
            <v>Hoàng Thị Thuần</v>
          </cell>
          <cell r="E348" t="str">
            <v>001861/LS-CCHN</v>
          </cell>
          <cell r="F348" t="str">
            <v>11/01/2023</v>
          </cell>
          <cell r="G348" t="str">
            <v>Thực hiện phạm vi hoạt động chuyên môn theo Thông tư số 26/2015/TTLT-BYT-BNV ngày 07/10/2015 quy định  mã số, tiêu chuẩn chức danh nghề nghiệp, điều dưỡng, hộ sinh, kỹ thuật y</v>
          </cell>
          <cell r="H348" t="str">
            <v>Từ 07:00 đến 11:30 và từ 13:30 đến 17:00 từ thứ hai đến thứ sáu, thời gian trực và làm việc ngoài giờ theo phân công của Lãnh đạo</v>
          </cell>
          <cell r="I348" t="str">
            <v>Phụ sản</v>
          </cell>
          <cell r="J348" t="str">
            <v>Hộ sinh khoa Phụ sản.</v>
          </cell>
          <cell r="K348" t="str">
            <v>Hộ sinh khoa Phụ sản</v>
          </cell>
          <cell r="L348">
            <v>0</v>
          </cell>
        </row>
        <row r="349">
          <cell r="A349" t="str">
            <v>BV1003</v>
          </cell>
          <cell r="B349">
            <v>327</v>
          </cell>
          <cell r="C349" t="str">
            <v>000644/LS-CCHN</v>
          </cell>
          <cell r="D349" t="str">
            <v>Tô Thị Hành</v>
          </cell>
          <cell r="E349" t="str">
            <v>000644/LS-CCHN</v>
          </cell>
          <cell r="F349" t="str">
            <v>11/01/2023</v>
          </cell>
          <cell r="G349" t="str">
            <v>Thực hiện phạm vi hoạt động chuyên môn theo Thông tư số 26/2015/TTLT-BYT-BNV ngày 07/10/2015 quy định  mã số, tiêu chuẩn chức danh nghề nghiệp, điều dưỡng, hộ sinh, kỹ thuật y</v>
          </cell>
          <cell r="H349" t="str">
            <v>Từ 07:00 đến 11:30 và từ 13:30 đến 17:00 từ thứ hai đến thứ sáu, thời gian trực và làm việc ngoài giờ theo phân công của Lãnh đạo</v>
          </cell>
          <cell r="I349" t="str">
            <v>Phụ sản</v>
          </cell>
          <cell r="J349" t="str">
            <v>Hộ sinh khoa Phụ sản.</v>
          </cell>
          <cell r="K349" t="str">
            <v>Hộ sinh khoa Phụ sản</v>
          </cell>
          <cell r="L349">
            <v>0</v>
          </cell>
        </row>
        <row r="350">
          <cell r="A350" t="str">
            <v>BV0287</v>
          </cell>
          <cell r="B350">
            <v>328</v>
          </cell>
          <cell r="C350" t="str">
            <v>001547/LS-CCHN</v>
          </cell>
          <cell r="D350" t="str">
            <v>Hoàng Thị Thiệp</v>
          </cell>
          <cell r="E350" t="str">
            <v>001547/LS-CCHN</v>
          </cell>
          <cell r="F350" t="str">
            <v>11/12/2022</v>
          </cell>
          <cell r="G350" t="str">
            <v>Thực hiện phạm vi hoạt động chuyên môn theo quy định tại Thông tư số 26/2015/TTLT-BYT-BNV ngày 07/10/2015 quy định mã số, tiêu chuẩn chức danh nghề nghiệp điều dưỡng, hộ sinh, kỹ thuật y</v>
          </cell>
          <cell r="H350" t="str">
            <v>Từ 07:00 đến 11:30 và từ 13:30 đến 17:00 từ thứ hai đến thứ sáu, thời gian trực và làm việc ngoài giờ theo phân công của Lãnh đạo</v>
          </cell>
          <cell r="I350" t="str">
            <v>Phụ sản</v>
          </cell>
          <cell r="J350" t="str">
            <v>Hộ sinh khoa Phụ sản.</v>
          </cell>
          <cell r="K350" t="str">
            <v>Hộ sinh khoa Phụ sản</v>
          </cell>
          <cell r="L350">
            <v>0</v>
          </cell>
        </row>
        <row r="351">
          <cell r="A351" t="str">
            <v>BV0843</v>
          </cell>
          <cell r="B351">
            <v>329</v>
          </cell>
          <cell r="C351" t="str">
            <v>005683/LS-CCHN</v>
          </cell>
          <cell r="D351" t="str">
            <v>Lý Thị Diệu Linh</v>
          </cell>
          <cell r="E351" t="str">
            <v>005683/LS-CCHN</v>
          </cell>
          <cell r="F351" t="str">
            <v>18/09/2023</v>
          </cell>
          <cell r="G351" t="str">
            <v>Thực hiện phạm vi hoạt động chuyên môn theo Thông tư số 26/2015/TTLT-BYT-BNV ngày 07/10/2015 quy định  mã số, tiêu chuẩn chức danh nghề nghiệp, điều dưỡng, hộ sinh, kỹ thuật y</v>
          </cell>
          <cell r="H351" t="str">
            <v>Từ 07:00 đến 11:30 và từ 13:30 đến 17:00 từ thứ hai đến thứ sáu, thời gian trực và làm việc ngoài giờ theo phân công của Lãnh đạo</v>
          </cell>
          <cell r="I351" t="str">
            <v>Phụ sản</v>
          </cell>
          <cell r="J351" t="str">
            <v>Hộ sinh khoa Phụ sản.</v>
          </cell>
          <cell r="K351" t="str">
            <v>Hộ sinh khoa Phụ sản</v>
          </cell>
          <cell r="L351">
            <v>0</v>
          </cell>
        </row>
        <row r="352">
          <cell r="A352" t="str">
            <v>BV0253</v>
          </cell>
          <cell r="B352">
            <v>330</v>
          </cell>
          <cell r="C352" t="str">
            <v>000375/LS-CCHN</v>
          </cell>
          <cell r="D352" t="str">
            <v>Bùi Thị Oanh</v>
          </cell>
          <cell r="E352" t="str">
            <v>000375/LS-CCHN</v>
          </cell>
          <cell r="F352" t="str">
            <v>01/06/2016</v>
          </cell>
          <cell r="G352" t="str">
            <v>Theo Quy định tại Thông tư số 12/2011/TT-BYT ngày 15/3/2011 của Bộ Y tế quy định tiêu chuẩn các ngạch viên chức hộ sinh</v>
          </cell>
          <cell r="H352" t="str">
            <v>Từ 07:00 đến 11:30 và từ 13:30 đến 17:00 từ thứ hai đến thứ sáu, thời gian trực và làm việc ngoài giờ theo phân công của Lãnh đạo</v>
          </cell>
          <cell r="I352" t="str">
            <v>Phụ sản</v>
          </cell>
          <cell r="J352" t="str">
            <v>Hộ sinh khoa Phụ sản.</v>
          </cell>
          <cell r="K352" t="str">
            <v>Hộ sinh khoa Phụ sản</v>
          </cell>
          <cell r="L352">
            <v>0</v>
          </cell>
        </row>
        <row r="353">
          <cell r="A353" t="str">
            <v>BV0282</v>
          </cell>
          <cell r="B353">
            <v>331</v>
          </cell>
          <cell r="C353" t="str">
            <v>000991/LS-CCHN</v>
          </cell>
          <cell r="D353" t="str">
            <v>Hoàng Thị Hiển</v>
          </cell>
          <cell r="E353" t="str">
            <v>000991/LS-CCHN</v>
          </cell>
          <cell r="F353" t="str">
            <v>11/01/2023</v>
          </cell>
          <cell r="G353" t="str">
            <v>Thực hiện phạm vi hoạt động chuyên môn theo Thông tư số 26/2015/TTLT-BYT-BNV ngày 07/10/2015 quy định  mã số, tiêu chuẩn chức danh nghề nghiệp, điều dưỡng, hộ sinh, kỹ thuật y</v>
          </cell>
          <cell r="H353" t="str">
            <v>Từ 07:00 đến 11:30 và từ 13:30 đến 17:00 từ thứ hai đến thứ sáu, thời gian trực và làm việc ngoài giờ theo phân công của Lãnh đạo</v>
          </cell>
          <cell r="I353" t="str">
            <v>Phụ sản</v>
          </cell>
          <cell r="J353" t="str">
            <v>Hộ sinh khoa Phụ sản.</v>
          </cell>
          <cell r="K353" t="str">
            <v>Hộ sinh khoa Phụ sản</v>
          </cell>
          <cell r="L353">
            <v>0</v>
          </cell>
        </row>
        <row r="354">
          <cell r="A354" t="str">
            <v>BV0258</v>
          </cell>
          <cell r="B354">
            <v>332</v>
          </cell>
          <cell r="C354" t="str">
            <v>000971/LS-CCHN</v>
          </cell>
          <cell r="D354" t="str">
            <v>Chu Thị Hồng Trang</v>
          </cell>
          <cell r="E354" t="str">
            <v>000971/LS-CCHN</v>
          </cell>
          <cell r="F354" t="str">
            <v>11/01/2023</v>
          </cell>
          <cell r="G354" t="str">
            <v>Thực hiện phạm vi hoạt động chuyên môn theo Thông tư số 26/2015/TTLT-BYT-BNV ngày 07/10/2015 quy định  mã số, tiêu chuẩn chức danh nghề nghiệp, điều dưỡng, hộ sinh, kỹ thuật y</v>
          </cell>
          <cell r="H354" t="str">
            <v>Từ 07:00 đến 11:30 và từ 13:30 đến 17:00 từ thứ hai đến thứ sáu, thời gian trực và làm việc ngoài giờ theo phân công của Lãnh đạo</v>
          </cell>
          <cell r="I354" t="str">
            <v>Phụ sản</v>
          </cell>
          <cell r="J354" t="str">
            <v>Hộ sinh khoa Phụ sản.</v>
          </cell>
          <cell r="K354" t="str">
            <v>Hộ sinh khoa Phụ sản</v>
          </cell>
          <cell r="L354">
            <v>0</v>
          </cell>
        </row>
        <row r="355">
          <cell r="A355" t="str">
            <v>BV0271</v>
          </cell>
          <cell r="B355">
            <v>333</v>
          </cell>
          <cell r="C355" t="str">
            <v>000973/LS-CCHN</v>
          </cell>
          <cell r="D355" t="str">
            <v>Chu Thị Mười</v>
          </cell>
          <cell r="E355" t="str">
            <v>000973/LS-CCHN</v>
          </cell>
          <cell r="F355" t="str">
            <v>11/12/2022</v>
          </cell>
          <cell r="G355" t="str">
            <v>Thực hiện phạm vi hoạt động chuyên môn theo quy định tại Thông tư số 26/2015/TTLT-BYT-BNV ngày 07/10/2015 quy định mã số, tiêu chuẩn chức danh nghề nghiệp điều dưỡng, hộ sinh, kỹ thuật y</v>
          </cell>
          <cell r="H355" t="str">
            <v>Từ 07:00 đến 11:30 và từ 13:30 đến 17:00 từ thứ hai đến thứ sáu, thời gian trực và làm việc ngoài giờ theo phân công của Lãnh đạo</v>
          </cell>
          <cell r="I355" t="str">
            <v>Phụ sản</v>
          </cell>
          <cell r="J355" t="str">
            <v>Hộ sinh khoa Phụ sản.</v>
          </cell>
          <cell r="K355" t="str">
            <v>Hộ sinh khoa Phụ sản</v>
          </cell>
          <cell r="L355">
            <v>0</v>
          </cell>
        </row>
        <row r="356">
          <cell r="A356" t="str">
            <v>BV0278</v>
          </cell>
          <cell r="B356">
            <v>334</v>
          </cell>
          <cell r="C356" t="str">
            <v>000984/LS-CCHN</v>
          </cell>
          <cell r="D356" t="str">
            <v>Vi Thị Thuần</v>
          </cell>
          <cell r="E356" t="str">
            <v>000984/LS-CCHN</v>
          </cell>
          <cell r="F356" t="str">
            <v>11/12/2022</v>
          </cell>
          <cell r="G356" t="str">
            <v>Thực hiện phạm vi hoạt động chuyên môn theo quy định tại Thông tư số 26/2015/TTLT-BYT-BNV ngày 07/10/2015 quy định mã số, tiêu chuẩn chức danh nghề nghiệp điều dưỡng, hộ sinh, kỹ thuật y</v>
          </cell>
          <cell r="H356" t="str">
            <v>Từ 07:00 đến 11:30 và từ 13:30 đến 17:00 từ thứ hai đến thứ sáu, thời gian trực và làm việc ngoài giờ theo phân công của Lãnh đạo</v>
          </cell>
          <cell r="I356" t="str">
            <v>Phụ sản</v>
          </cell>
          <cell r="J356" t="str">
            <v>Hộ sinh khoa Phụ sản.</v>
          </cell>
          <cell r="K356" t="str">
            <v>Hộ sinh khoa Phụ sản</v>
          </cell>
          <cell r="L356">
            <v>0</v>
          </cell>
        </row>
        <row r="357">
          <cell r="A357" t="str">
            <v>BV0285</v>
          </cell>
          <cell r="B357">
            <v>335</v>
          </cell>
          <cell r="C357" t="str">
            <v>000668/LS-CCHN</v>
          </cell>
          <cell r="D357" t="str">
            <v>Trần Thị Hoàng Mai</v>
          </cell>
          <cell r="E357" t="str">
            <v>000668/LS-CCHN</v>
          </cell>
          <cell r="F357" t="str">
            <v>18/04/2017</v>
          </cell>
          <cell r="G357" t="str">
            <v>Thực hiện phạm vi hoạt động chuyên môn theo quy định tại Thông tư số 26/2015/TTLT-BYT-BNV ngày 07/10/2015 quy định mã số, tiêu chuẩn chức danh nghề nghiệp điều dưỡng, hộ sinh, kỹ thuật y</v>
          </cell>
          <cell r="H357" t="str">
            <v>Từ 07:00 đến 11:30 và từ 13:30 đến 17:00 từ thứ hai đến thứ sáu, thời gian trực và làm việc ngoài giờ theo phân công của Lãnh đạo</v>
          </cell>
          <cell r="I357" t="str">
            <v>Phụ sản</v>
          </cell>
          <cell r="J357" t="str">
            <v>Hộ sinh khoa Phụ sản.</v>
          </cell>
          <cell r="K357" t="str">
            <v>Hộ sinh khoa Phụ sản</v>
          </cell>
          <cell r="L357">
            <v>0</v>
          </cell>
        </row>
        <row r="358">
          <cell r="A358" t="str">
            <v>BV0040</v>
          </cell>
          <cell r="B358">
            <v>336</v>
          </cell>
          <cell r="C358" t="str">
            <v>000965/LS-CCHN</v>
          </cell>
          <cell r="D358" t="str">
            <v>Hoàng Hồ Điệp</v>
          </cell>
          <cell r="E358" t="str">
            <v>000965/LS-CCHN</v>
          </cell>
          <cell r="F358" t="str">
            <v>11/01/2023</v>
          </cell>
          <cell r="G358" t="str">
            <v>Thực hiện phạm vi hoạt động chuyên môn theo Thông tư số 26/2015/TTLT-BYT-BNV ngày 07/10/2015 quy định  mã số, tiêu chuẩn chức danh nghề nghiệp, điều dưỡng, hộ sinh, kỹ thuật y</v>
          </cell>
          <cell r="H358" t="str">
            <v>Từ 07:00 đến 11:30 và từ 13:30 đến 17:00 từ thứ hai đến thứ sáu, thời gian trực và làm việc ngoài giờ theo phân công của Lãnh đạo</v>
          </cell>
          <cell r="I358" t="str">
            <v>Phụ sản</v>
          </cell>
          <cell r="J358" t="str">
            <v>Hộ sinh khoa Phụ sản.</v>
          </cell>
          <cell r="K358" t="str">
            <v>Hộ sinh khoa Phụ sản</v>
          </cell>
          <cell r="L358">
            <v>0</v>
          </cell>
        </row>
        <row r="359">
          <cell r="A359" t="str">
            <v>BV0041</v>
          </cell>
          <cell r="B359">
            <v>337</v>
          </cell>
          <cell r="C359" t="str">
            <v>000974/LS-CCHN</v>
          </cell>
          <cell r="D359" t="str">
            <v>Vi Thị Hương Giang</v>
          </cell>
          <cell r="E359" t="str">
            <v>000974/LS-CCHN</v>
          </cell>
          <cell r="F359" t="str">
            <v>11/01/2023</v>
          </cell>
          <cell r="G359" t="str">
            <v>Thực hiện phạm vi hoạt động chuyên môn theo Thông tư số 26/2015/TTLT-BYT-BNV ngày 07/10/2015 quy định  mã số, tiêu chuẩn chức danh nghề nghiệp, điều dưỡng, hộ sinh, kỹ thuật y</v>
          </cell>
          <cell r="H359" t="str">
            <v>Từ 07:00 đến 11:30 và từ 13:30 đến 17:00 từ thứ hai đến thứ sáu, thời gian trực và làm việc ngoài giờ theo phân công của Lãnh đạo</v>
          </cell>
          <cell r="I359" t="str">
            <v>Phụ sản</v>
          </cell>
          <cell r="J359" t="str">
            <v>Hộ sinh khoa Phụ sản.</v>
          </cell>
          <cell r="K359" t="str">
            <v>Hộ sinh khoa Phụ sản</v>
          </cell>
          <cell r="L359">
            <v>0</v>
          </cell>
        </row>
        <row r="360">
          <cell r="A360" t="str">
            <v>BV0267</v>
          </cell>
          <cell r="B360">
            <v>338</v>
          </cell>
          <cell r="C360" t="str">
            <v>000970/LS-CCHN</v>
          </cell>
          <cell r="D360" t="str">
            <v>Hoàng Thị Mai Quỳnh</v>
          </cell>
          <cell r="E360" t="str">
            <v>000970/LS-CCHN</v>
          </cell>
          <cell r="F360" t="str">
            <v>11/01/2023</v>
          </cell>
          <cell r="G360" t="str">
            <v>Thực hiện phạm vi hoạt động chuyên môn theo Thông tư số 26/2015/TTLT-BYT-BNV ngày 07/10/2015 quy định  mã số, tiêu chuẩn chức danh nghề nghiệp, điều dưỡng, hộ sinh, kỹ thuật y</v>
          </cell>
          <cell r="H360" t="str">
            <v>Từ 07:00 đến 11:30 và từ 13:30 đến 17:00 từ thứ hai đến thứ sáu, thời gian trực và làm việc ngoài giờ theo phân công của Lãnh đạo</v>
          </cell>
          <cell r="I360" t="str">
            <v>Phụ sản</v>
          </cell>
          <cell r="J360" t="str">
            <v>Hộ sinh khoa Phụ sản.</v>
          </cell>
          <cell r="K360" t="str">
            <v>Hộ sinh khoa Phụ sản</v>
          </cell>
          <cell r="L360">
            <v>0</v>
          </cell>
        </row>
        <row r="361">
          <cell r="A361" t="str">
            <v>BV0276</v>
          </cell>
          <cell r="B361">
            <v>339</v>
          </cell>
          <cell r="C361" t="str">
            <v>000986/LS-CCHN</v>
          </cell>
          <cell r="D361" t="str">
            <v>Hoàng Thị Nhung</v>
          </cell>
          <cell r="E361" t="str">
            <v>000986/LS-CCHN</v>
          </cell>
          <cell r="F361" t="str">
            <v>11/12/2022</v>
          </cell>
          <cell r="G361" t="str">
            <v>Thực hiện phạm vi hoạt động chuyên môn theo quy định tại Thông tư số 26/2015/TTLT-BYT-BNV ngày 07/10/2015 quy định mã số, tiêu chuẩn chức danh nghề nghiệp điều dưỡng, hộ sinh, kỹ thuật y</v>
          </cell>
          <cell r="H361" t="str">
            <v>Từ 07:00 đến 11:30 và từ 13:30 đến 17:00 từ thứ hai đến thứ sáu, thời gian trực và làm việc ngoài giờ theo phân công của Lãnh đạo</v>
          </cell>
          <cell r="I361" t="str">
            <v>Phụ sản</v>
          </cell>
          <cell r="J361" t="str">
            <v>Hộ sinh khoa Phụ sản.</v>
          </cell>
          <cell r="K361" t="str">
            <v>Hộ sinh khoa Phụ sản</v>
          </cell>
          <cell r="L361">
            <v>0</v>
          </cell>
        </row>
        <row r="362">
          <cell r="A362" t="str">
            <v>BV0275</v>
          </cell>
          <cell r="B362">
            <v>340</v>
          </cell>
          <cell r="C362" t="str">
            <v>001235/LS-CCHN</v>
          </cell>
          <cell r="D362" t="str">
            <v>Dương Thị Huế</v>
          </cell>
          <cell r="E362" t="str">
            <v>001235/LS-CCHN</v>
          </cell>
          <cell r="F362" t="str">
            <v>11/12/2022</v>
          </cell>
          <cell r="G362" t="str">
            <v>Thực hiện phạm vi hoạt động chuyên môn theo quy định tại Thông tư số 26/2015/TTLT-BYT-BNV ngày 07/10/2015 quy định mã số, tiêu chuẩn chức danh nghề nghiệp điều dưỡng, hộ sinh, kỹ thuật y</v>
          </cell>
          <cell r="H362" t="str">
            <v>Từ 07:00 đến 11:30 và từ 13:30 đến 17:00 từ thứ hai đến thứ sáu, thời gian trực và làm việc ngoài giờ theo phân công của Lãnh đạo</v>
          </cell>
          <cell r="I362" t="str">
            <v>Phụ sản</v>
          </cell>
          <cell r="J362" t="str">
            <v>Hộ sinh khoa Phụ sản.</v>
          </cell>
          <cell r="K362" t="str">
            <v>Hộ sinh khoa Phụ sản</v>
          </cell>
          <cell r="L362">
            <v>0</v>
          </cell>
        </row>
        <row r="363">
          <cell r="A363" t="str">
            <v>BV0291</v>
          </cell>
          <cell r="B363">
            <v>341</v>
          </cell>
          <cell r="C363" t="str">
            <v>000968/LS-CCHN</v>
          </cell>
          <cell r="D363" t="str">
            <v>Nguyễn Thị Tuyết</v>
          </cell>
          <cell r="E363" t="str">
            <v>000968/LS-CCHN</v>
          </cell>
          <cell r="F363" t="str">
            <v>24/06/2013</v>
          </cell>
          <cell r="G363" t="str">
            <v>Theo Quy định tại Thông tư số 12/2011/TT-BYT ngày 15/3/2011 của Bộ Y tế quy định tiêu chuẩn các ngạch viên chức hộ sinh</v>
          </cell>
          <cell r="H363" t="str">
            <v>Từ 07:00 đến 11:30 và từ 13:30 đến 17:00 từ thứ hai đến thứ sáu, thời gian trực và làm việc ngoài giờ theo phân công của Lãnh đạo</v>
          </cell>
          <cell r="I363" t="str">
            <v>Phụ sản</v>
          </cell>
          <cell r="J363" t="str">
            <v>Hộ sinh khoa Phụ sản.</v>
          </cell>
          <cell r="K363" t="str">
            <v>Hộ sinh khoa Phụ sản</v>
          </cell>
          <cell r="L363" t="str">
            <v>Từ 11:40 đến 13:20 và từ 17:10 đến 21:00 thứ hai đến thứ sáu; từ 07:00 đến 21:00 thứ bảy, chủ nhật hằng tuần. Tại Cơ sở chăm sóc mẹ và bé</v>
          </cell>
        </row>
        <row r="364">
          <cell r="A364" t="str">
            <v>BV0257</v>
          </cell>
          <cell r="B364">
            <v>342</v>
          </cell>
          <cell r="C364" t="str">
            <v>000985/LS-CCHN</v>
          </cell>
          <cell r="D364" t="str">
            <v>Lý Thị Hường</v>
          </cell>
          <cell r="E364" t="str">
            <v>000985/LS-CCHN</v>
          </cell>
          <cell r="F364" t="str">
            <v>24/06/2013</v>
          </cell>
          <cell r="G364" t="str">
            <v>Theo Quy định tại Thông tư số 12/2011/TT-BYT ngày 15/3/2011 của Bộ Y tế quy định tiêu chuẩn các ngạch viên chức hộ sinh</v>
          </cell>
          <cell r="H364" t="str">
            <v>Từ 07:00 đến 11:30 và từ 13:30 đến 17:00 từ thứ hai đến thứ sáu, thời gian trực và làm việc ngoài giờ theo phân công của Lãnh đạo</v>
          </cell>
          <cell r="I364" t="str">
            <v>Phụ sản</v>
          </cell>
          <cell r="J364" t="str">
            <v>Hộ sinh khoa Phụ sản.</v>
          </cell>
          <cell r="K364" t="str">
            <v>Hộ sinh khoa Phụ sản</v>
          </cell>
          <cell r="L364">
            <v>0</v>
          </cell>
        </row>
        <row r="365">
          <cell r="A365" t="str">
            <v>BV0284</v>
          </cell>
          <cell r="B365">
            <v>343</v>
          </cell>
          <cell r="C365" t="str">
            <v>000432/LS-CCHN</v>
          </cell>
          <cell r="D365" t="str">
            <v>Lăng Thị Điệp</v>
          </cell>
          <cell r="E365" t="str">
            <v>000432/LS-CCHN</v>
          </cell>
          <cell r="F365" t="str">
            <v>11/01/2023</v>
          </cell>
          <cell r="G365" t="str">
            <v>Thực hiện phạm vi hoạt động chuyên môn theo Thông tư số 26/2015/TTLT-BYT-BNV ngày 07/10/2015 quy định  mã số, tiêu chuẩn chức danh nghề nghiệp, điều dưỡng, hộ sinh, kỹ thuật y</v>
          </cell>
          <cell r="H365" t="str">
            <v>Từ 07:00 đến 11:30 và từ 13:30 đến 17:00 từ thứ hai đến thứ sáu, thời gian trực và làm việc ngoài giờ theo phân công của Lãnh đạo</v>
          </cell>
          <cell r="I365" t="str">
            <v>Phụ sản</v>
          </cell>
          <cell r="J365" t="str">
            <v>Hộ sinh khoa Phụ sản.</v>
          </cell>
          <cell r="K365" t="str">
            <v>Hộ sinh khoa Phụ sản</v>
          </cell>
          <cell r="L365">
            <v>0</v>
          </cell>
        </row>
        <row r="366">
          <cell r="A366" t="str">
            <v>BV0008</v>
          </cell>
          <cell r="B366">
            <v>344</v>
          </cell>
          <cell r="C366" t="str">
            <v>000735/LS-CCHN</v>
          </cell>
          <cell r="D366" t="str">
            <v>Nguyễn Thị Thắm</v>
          </cell>
          <cell r="E366" t="str">
            <v>000735/LS-CCHN</v>
          </cell>
          <cell r="F366" t="str">
            <v>24/06/2013</v>
          </cell>
          <cell r="G366" t="str">
            <v>Theo Quy định tại Thông tư số 12/2011/TT-BYT ngày 15/3/2011 của Bộ Y tế quy định tiêu chuẩn các ngạch viên chức hộ sinh</v>
          </cell>
          <cell r="H366" t="str">
            <v>Từ 07:00 đến 11:30 và từ 13:30 đến 17:00 từ thứ hai đến thứ sáu, thời gian trực và làm việc ngoài giờ theo phân công của Lãnh đạo</v>
          </cell>
          <cell r="I366" t="str">
            <v>Phụ sản</v>
          </cell>
          <cell r="J366" t="str">
            <v>Hộ sinh khoa Phụ sản.</v>
          </cell>
          <cell r="K366" t="str">
            <v>Hộ sinh khoa Phụ sản</v>
          </cell>
          <cell r="L366">
            <v>0</v>
          </cell>
        </row>
        <row r="367">
          <cell r="A367" t="str">
            <v>BV0286</v>
          </cell>
          <cell r="B367">
            <v>345</v>
          </cell>
          <cell r="C367" t="str">
            <v>000990/LS-CCHN</v>
          </cell>
          <cell r="D367" t="str">
            <v>Nông Thị Thời</v>
          </cell>
          <cell r="E367" t="str">
            <v>000990/LS-CCHN</v>
          </cell>
          <cell r="F367" t="str">
            <v>11/01/2023</v>
          </cell>
          <cell r="G367" t="str">
            <v>Thực hiện phạm vi hoạt động chuyên môn theo Thông tư số 26/2015/TTLT-BYT-BNV ngày 07/10/2015 quy định  mã số, tiêu chuẩn chức danh nghề nghiệp, điều dưỡng, hộ sinh, kỹ thuật y</v>
          </cell>
          <cell r="H367" t="str">
            <v>Từ 07:00 đến 11:30 và từ 13:30 đến 17:00 từ thứ hai đến thứ sáu, thời gian trực và làm việc ngoài giờ theo phân công của Lãnh đạo</v>
          </cell>
          <cell r="I367" t="str">
            <v>Phụ sản</v>
          </cell>
          <cell r="J367" t="str">
            <v>Hộ sinh khoa Phụ sản.</v>
          </cell>
          <cell r="K367" t="str">
            <v>Hộ sinh khoa Phụ sản</v>
          </cell>
          <cell r="L367">
            <v>0</v>
          </cell>
        </row>
        <row r="368">
          <cell r="A368" t="str">
            <v>BV0281</v>
          </cell>
          <cell r="B368">
            <v>346</v>
          </cell>
          <cell r="C368" t="str">
            <v>000989/LS-CCHN</v>
          </cell>
          <cell r="D368" t="str">
            <v>Phạm Thúy Hường</v>
          </cell>
          <cell r="E368" t="str">
            <v>000989/LS-CCHN</v>
          </cell>
          <cell r="F368" t="str">
            <v>24/06/2013</v>
          </cell>
          <cell r="G368" t="str">
            <v>Theo Quy định tại Thông tư số 12/2011/TT-BYT ngày 15/3/2011 của Bộ Y tế quy định tiêu chuẩn các ngạch viên chức hộ sinh</v>
          </cell>
          <cell r="H368" t="str">
            <v>Từ 07:00 đến 11:30 và từ 13:30 đến 17:00 từ thứ hai đến thứ sáu, thời gian trực và làm việc ngoài giờ theo phân công của Lãnh đạo</v>
          </cell>
          <cell r="I368" t="str">
            <v>Phụ sản</v>
          </cell>
          <cell r="J368" t="str">
            <v>Hộ sinh khoa Phụ sản.</v>
          </cell>
          <cell r="K368" t="str">
            <v>Hộ sinh khoa Phụ sản</v>
          </cell>
          <cell r="L368">
            <v>0</v>
          </cell>
        </row>
        <row r="369">
          <cell r="A369" t="str">
            <v>BV0273</v>
          </cell>
          <cell r="B369">
            <v>347</v>
          </cell>
          <cell r="C369" t="str">
            <v>000982/LS-CCHN</v>
          </cell>
          <cell r="D369" t="str">
            <v>Phan Thị Thi</v>
          </cell>
          <cell r="E369" t="str">
            <v>000982/LS-CCHN</v>
          </cell>
          <cell r="F369" t="str">
            <v>11/01/2023</v>
          </cell>
          <cell r="G369" t="str">
            <v>Thực hiện phạm vi hoạt động chuyên môn theo Thông tư số 26/2015/TTLT-BYT-BNV ngày 07/10/2015 quy định  mã số, tiêu chuẩn chức danh nghề nghiệp, điều dưỡng, hộ sinh, kỹ thuật y</v>
          </cell>
          <cell r="H369" t="str">
            <v>Từ 07:00 đến 11:30 và từ 13:30 đến 17:00 từ thứ hai đến thứ sáu, thời gian trực và làm việc ngoài giờ theo phân công của Lãnh đạo</v>
          </cell>
          <cell r="I369" t="str">
            <v>Phụ sản</v>
          </cell>
          <cell r="J369" t="str">
            <v>Hộ sinh khoa Phụ sản.</v>
          </cell>
          <cell r="K369" t="str">
            <v>Hộ sinh khoa Phụ sản</v>
          </cell>
          <cell r="L369">
            <v>0</v>
          </cell>
        </row>
        <row r="370">
          <cell r="A370" t="str">
            <v>BV0283</v>
          </cell>
          <cell r="B370">
            <v>348</v>
          </cell>
          <cell r="C370" t="str">
            <v>003413/LS-CCHN</v>
          </cell>
          <cell r="D370" t="str">
            <v>Nguyễn Thị Huế</v>
          </cell>
          <cell r="E370" t="str">
            <v>003413/LS-CCHN</v>
          </cell>
          <cell r="F370" t="str">
            <v>11/12/2022</v>
          </cell>
          <cell r="G370" t="str">
            <v>Thực hiện phạm vi hoạt động chuyên môn theo quy định tại Thông tư số 26/2015/TTLT-BYT-BNV ngày 07/10/2015 quy định mã số, tiêu chuẩn chức danh nghề nghiệp điều dưỡng, hộ sinh, kỹ thuật y</v>
          </cell>
          <cell r="H370" t="str">
            <v>Từ 07:00 đến 11:30 và từ 13:30 đến 17:00 từ thứ hai đến thứ sáu, thời gian trực và làm việc ngoài giờ theo phân công của Lãnh đạo</v>
          </cell>
          <cell r="I370" t="str">
            <v>Phụ sản</v>
          </cell>
          <cell r="J370" t="str">
            <v>Hộ sinh khoa Phụ sản.</v>
          </cell>
          <cell r="K370" t="str">
            <v>Hộ sinh khoa Phụ sản</v>
          </cell>
          <cell r="L370">
            <v>0</v>
          </cell>
        </row>
        <row r="371">
          <cell r="A371" t="str">
            <v>BV0269</v>
          </cell>
          <cell r="B371">
            <v>349</v>
          </cell>
          <cell r="C371" t="str">
            <v>000988/LS-CCHN</v>
          </cell>
          <cell r="D371" t="str">
            <v>Hoàng Thị Hương</v>
          </cell>
          <cell r="E371" t="str">
            <v>000988/LS-CCHN</v>
          </cell>
          <cell r="F371" t="str">
            <v>24/06/2013</v>
          </cell>
          <cell r="G371" t="str">
            <v>Theo Quy định tại Thông tư số 12/2011/TT-BYT ngày 15/3/2011 của Bộ Y tế quy định tiêu chuẩn các ngạch viên chức hộ sinh</v>
          </cell>
          <cell r="H371" t="str">
            <v>Từ 07:00 đến 11:30 và từ 13:30 đến 17:00 từ thứ hai đến thứ sáu, thời gian trực và làm việc ngoài giờ theo phân công của Lãnh đạo</v>
          </cell>
          <cell r="I371" t="str">
            <v>Phụ sản</v>
          </cell>
          <cell r="J371" t="str">
            <v>Hộ sinh khoa Phụ sản.</v>
          </cell>
          <cell r="K371" t="str">
            <v>Hộ sinh khoa Phụ sản</v>
          </cell>
          <cell r="L371" t="str">
            <v>Từ 11:40 đến 13:20 và từ 17:10 đến 21:00 thứ hai đến thứ sáu; từ 07:00 đến 21:00 thứ bảy, chủ nhật hằng tuần. Tại Cơ sở chăm sóc mẹ và bé</v>
          </cell>
        </row>
        <row r="372">
          <cell r="A372" t="str">
            <v>BV1171</v>
          </cell>
          <cell r="B372">
            <v>350</v>
          </cell>
          <cell r="C372" t="str">
            <v>004562/LS-CCHN</v>
          </cell>
          <cell r="D372" t="str">
            <v>Lương Phan Anh</v>
          </cell>
          <cell r="E372" t="str">
            <v>004562/LS-CCHN</v>
          </cell>
          <cell r="F372" t="str">
            <v>16/11/2022</v>
          </cell>
          <cell r="G372" t="str">
            <v>Khám bệnh, chữa bệnh chuyên ngành Sản phụ khoa</v>
          </cell>
          <cell r="H372" t="str">
            <v>Từ 07:00 đến 11:30 và từ 13:30 đến 17:00 từ thứ hai đến thứ sáu, thời gian trực và làm việc ngoài giờ theo phân công của Lãnh đạo</v>
          </cell>
          <cell r="I372" t="str">
            <v>Phụ sản</v>
          </cell>
          <cell r="J372" t="str">
            <v>Bác sĩ khoa Phụ sản.</v>
          </cell>
          <cell r="K372" t="str">
            <v>Bác sĩ khoa Phụ sản</v>
          </cell>
          <cell r="L372">
            <v>0</v>
          </cell>
        </row>
        <row r="373">
          <cell r="D373" t="str">
            <v>KHOA NHI</v>
          </cell>
          <cell r="I373" t="e">
            <v>#N/A</v>
          </cell>
        </row>
        <row r="374">
          <cell r="A374" t="str">
            <v>BV0296</v>
          </cell>
          <cell r="B374">
            <v>351</v>
          </cell>
          <cell r="C374" t="str">
            <v>000116/LS-CCHN</v>
          </cell>
          <cell r="D374" t="str">
            <v>Lê Quang Phương</v>
          </cell>
          <cell r="E374" t="str">
            <v>000116/LS-CCHN</v>
          </cell>
          <cell r="F374" t="str">
            <v>28/06/2012</v>
          </cell>
          <cell r="G374" t="str">
            <v>Khám bệnh, chữa bệnh chuyên khoa Nhi</v>
          </cell>
          <cell r="H374" t="str">
            <v>Từ 07:00 đến 11:30 và từ 13:30 đến 17:00 từ thứ hai đến thứ sáu, thời gian trực và làm việc ngoài giờ theo phân công của Lãnh đạo</v>
          </cell>
          <cell r="I374" t="str">
            <v>Nhi</v>
          </cell>
          <cell r="J374" t="str">
            <v>Bác sĩ khoa Nhi. Phụ trách khoa</v>
          </cell>
          <cell r="K374" t="str">
            <v>Bác sĩ khoa Nhi. Phụ trách khoa</v>
          </cell>
          <cell r="L374" t="str">
            <v>Từ 11:40 đến 13:20 và từ 17:10 đến 21:00 thứ hai đến thứ sáu; từ 07:00 đến 21:00 thứ bảy, chủ nhật hằng tuần. Tại Phòng khám Nội-Nhi 52A Trần Đăng Ninh</v>
          </cell>
        </row>
        <row r="375">
          <cell r="A375" t="str">
            <v>BV0300</v>
          </cell>
          <cell r="B375">
            <v>352</v>
          </cell>
          <cell r="C375" t="str">
            <v>000622/LS-CCHN</v>
          </cell>
          <cell r="D375" t="str">
            <v>Nguyễn Thành Long</v>
          </cell>
          <cell r="E375" t="str">
            <v>000622/LS-CCHN</v>
          </cell>
          <cell r="F375" t="str">
            <v>24/01/2017</v>
          </cell>
          <cell r="G375" t="str">
            <v>Khám bệnh, chữa bệnh Nhi khoa</v>
          </cell>
          <cell r="H375" t="str">
            <v>Từ 07:00 đến 11:30 và từ 13:30 đến 17:00 từ thứ hai đến thứ sáu, thời gian trực và làm việc ngoài giờ theo phân công của Lãnh đạo</v>
          </cell>
          <cell r="I375" t="str">
            <v>Nhi</v>
          </cell>
          <cell r="J375" t="str">
            <v>Bác sĩ khoa Nhi.</v>
          </cell>
          <cell r="K375" t="str">
            <v>Bác sĩ khoa Nhi</v>
          </cell>
          <cell r="L375" t="str">
            <v>Từ 11:40 đến 13:20 và từ 17:10 đến 21:00 thứ hai đến  chủ nhật hằng tuần. Tại Phòng khám chuyên khoa Nhi, số 5 Bông Lau</v>
          </cell>
        </row>
        <row r="376">
          <cell r="A376" t="str">
            <v>BV0682</v>
          </cell>
          <cell r="B376">
            <v>353</v>
          </cell>
          <cell r="C376" t="str">
            <v>002126/LS-CCHN</v>
          </cell>
          <cell r="D376" t="str">
            <v>Lăng Thùy Ngân</v>
          </cell>
          <cell r="E376" t="str">
            <v>002126/LS-CCHN</v>
          </cell>
          <cell r="F376" t="str">
            <v>30/10/2017</v>
          </cell>
          <cell r="G376" t="str">
            <v>Khám bệnh, chữa bệnh chuyên khoa Nhi</v>
          </cell>
          <cell r="H376" t="str">
            <v>Từ 07:00 đến 11:30 và từ 13:30 đến 17:00 từ thứ hai đến thứ sáu, thời gian trực và làm việc ngoài giờ theo phân công của Lãnh đạo</v>
          </cell>
          <cell r="I376" t="str">
            <v>Nhi</v>
          </cell>
          <cell r="J376" t="str">
            <v>Bác sĩ khoa Nhi.</v>
          </cell>
          <cell r="K376" t="str">
            <v>Bác sĩ khoa Nhi</v>
          </cell>
          <cell r="L376" t="str">
            <v>Từ 11:40 đến 13:20 và từ 17:10 đến 21:00 thứ hai đến thứ sáu; từ 07:00 đến 21:00 thứ bảy, chủ nhật hằng tuần. Tại Phòng khám chuyên khoa Nhi Ngân Thương</v>
          </cell>
        </row>
        <row r="377">
          <cell r="A377" t="str">
            <v>BV0298</v>
          </cell>
          <cell r="B377">
            <v>354</v>
          </cell>
          <cell r="C377" t="str">
            <v>000401/LS-CCHN</v>
          </cell>
          <cell r="D377" t="str">
            <v>Trần Thị Diệp</v>
          </cell>
          <cell r="E377" t="str">
            <v>000401/LS-CCHN</v>
          </cell>
          <cell r="F377" t="str">
            <v>01/06/2016</v>
          </cell>
          <cell r="G377" t="str">
            <v>Khám bệnh, chữa bệnh chuyên khoa Nhi</v>
          </cell>
          <cell r="H377" t="str">
            <v>Từ 07:00 đến 11:30 và từ 13:30 đến 17:00 từ thứ hai đến thứ sáu, thời gian trực và làm việc ngoài giờ theo phân công của Lãnh đạo</v>
          </cell>
          <cell r="I377" t="str">
            <v>Nhi</v>
          </cell>
          <cell r="J377" t="str">
            <v>Bác sĩ khoa Nhi - Phó trưởng khoa.</v>
          </cell>
          <cell r="K377" t="str">
            <v>Bác sĩ khoa Nhi - Phó trưởng khoa.</v>
          </cell>
          <cell r="L377" t="str">
            <v>Từ 11:40 đến 13:20 và từ 17:10 đến 21:00 thứ hai đến thứ sáu; từ 07:00 đến 21:00 thứ bảy, chủ nhật hằng tuần. Tại Phòng khám chuyên khoa Nhi 84 Ngô Quyền</v>
          </cell>
        </row>
        <row r="378">
          <cell r="A378" t="str">
            <v>BV0946</v>
          </cell>
          <cell r="B378">
            <v>355</v>
          </cell>
          <cell r="C378" t="str">
            <v>004314/LS-CCHN</v>
          </cell>
          <cell r="D378" t="str">
            <v>Vy Thị Như Quỳnh</v>
          </cell>
          <cell r="E378" t="str">
            <v>004314/LS-CCHN</v>
          </cell>
          <cell r="F378" t="str">
            <v>20/07/2021</v>
          </cell>
          <cell r="G378" t="str">
            <v>Khám bệnh chữa bệnh Nhi khoa</v>
          </cell>
          <cell r="H378" t="str">
            <v>Từ 07:00 đến 11:30 và từ 13:30 đến 17:00 từ thứ hai đến thứ sáu, thời gian trực và làm việc ngoài giờ theo phân công của Lãnh đạo</v>
          </cell>
          <cell r="I378" t="str">
            <v>Nhi</v>
          </cell>
          <cell r="J378" t="str">
            <v>Bác sĩ khoa Nhi.</v>
          </cell>
          <cell r="K378" t="str">
            <v>Bác sĩ khoa Nhi</v>
          </cell>
          <cell r="L378">
            <v>0</v>
          </cell>
        </row>
        <row r="379">
          <cell r="A379" t="str">
            <v>BV0886</v>
          </cell>
          <cell r="B379">
            <v>356</v>
          </cell>
          <cell r="C379" t="str">
            <v>004327/LS-CCHN</v>
          </cell>
          <cell r="D379" t="str">
            <v>Hoàng Thu Hiền</v>
          </cell>
          <cell r="E379" t="str">
            <v>004327/LS-CCHN</v>
          </cell>
          <cell r="F379" t="str">
            <v>20/07/2021</v>
          </cell>
          <cell r="G379" t="str">
            <v>Khám bệnh chữa bệnh Nhi khoa</v>
          </cell>
          <cell r="H379" t="str">
            <v>Từ 07:00 đến 11:30 và từ 13:30 đến 17:00 từ thứ hai đến thứ sáu, thời gian trực và làm việc ngoài giờ theo phân công của Lãnh đạo</v>
          </cell>
          <cell r="I379" t="str">
            <v>Nhi</v>
          </cell>
          <cell r="J379" t="str">
            <v>Bác sĩ khoa Nhi.</v>
          </cell>
          <cell r="K379" t="str">
            <v>Bác sĩ khoa Nhi</v>
          </cell>
          <cell r="L379">
            <v>0</v>
          </cell>
        </row>
        <row r="380">
          <cell r="A380" t="str">
            <v>BV1283</v>
          </cell>
          <cell r="B380">
            <v>357</v>
          </cell>
          <cell r="C380" t="str">
            <v>000002/LS-GPHN</v>
          </cell>
          <cell r="D380" t="str">
            <v>Nguyễn Thu Thủy</v>
          </cell>
          <cell r="E380" t="str">
            <v>000002/LS-GPHN</v>
          </cell>
          <cell r="G380" t="str">
            <v>Chuyên khoa Nhi</v>
          </cell>
          <cell r="H380" t="str">
            <v>Từ 07:00 đến 11:30 và từ 13:30 đến 17:00 từ thứ hai đến thứ sáu, thời gian trực và làm việc ngoài giờ theo phân công của Lãnh đạo</v>
          </cell>
          <cell r="I380" t="str">
            <v>Nhi</v>
          </cell>
          <cell r="J380" t="str">
            <v>Bác sĩ, Khoa Nhi</v>
          </cell>
          <cell r="K380" t="str">
            <v>Bác sĩ khoa Nhi</v>
          </cell>
        </row>
        <row r="381">
          <cell r="A381" t="str">
            <v>BV1260</v>
          </cell>
          <cell r="B381">
            <v>358</v>
          </cell>
          <cell r="C381" t="str">
            <v>000107/LS-GPHN</v>
          </cell>
          <cell r="D381" t="str">
            <v>Hoàng Thị Thảo Nương</v>
          </cell>
          <cell r="E381" t="str">
            <v>000107/LS-GPHN</v>
          </cell>
          <cell r="G381" t="str">
            <v>Chuyên khoa Nhi</v>
          </cell>
          <cell r="H381" t="str">
            <v>Từ 07:00 đến 11:30 và từ 13:30 đến 17:00 từ thứ hai đến thứ sáu, thời gian trực và làm việc ngoài giờ theo phân công của Lãnh đạo</v>
          </cell>
          <cell r="I381" t="str">
            <v>Nhi</v>
          </cell>
          <cell r="J381" t="str">
            <v>Bác sĩ khoa Nhi</v>
          </cell>
          <cell r="K381" t="str">
            <v>Bác sĩ khoa Nhi</v>
          </cell>
        </row>
        <row r="382">
          <cell r="A382" t="str">
            <v>BV1247</v>
          </cell>
          <cell r="B382">
            <v>359</v>
          </cell>
          <cell r="C382" t="str">
            <v>005645/LS-CCHN</v>
          </cell>
          <cell r="D382" t="str">
            <v>Nguyễn Thùy Dương</v>
          </cell>
          <cell r="E382" t="str">
            <v>005645/LS-CCHN</v>
          </cell>
          <cell r="F382">
            <v>0</v>
          </cell>
          <cell r="G382" t="str">
            <v>Chuyên khoa Nhi</v>
          </cell>
          <cell r="H382" t="str">
            <v>Từ 07:00 đến 11:30 và từ 13:30 đến 17:00 từ thứ hai đến thứ sáu, thời gian trực và làm việc ngoài giờ theo phân công của Lãnh đạo</v>
          </cell>
          <cell r="I382" t="str">
            <v>Nhi</v>
          </cell>
          <cell r="J382" t="str">
            <v>Bác sĩ, khoa Nhi</v>
          </cell>
          <cell r="K382" t="str">
            <v>Bác sĩ khoa Nhi</v>
          </cell>
        </row>
        <row r="383">
          <cell r="A383" t="str">
            <v>BV1261</v>
          </cell>
          <cell r="C383" t="str">
            <v>000315/LS-GPHN</v>
          </cell>
          <cell r="D383" t="str">
            <v>Đinh Tố Uyên</v>
          </cell>
          <cell r="E383" t="str">
            <v>000315/LS-GPHN</v>
          </cell>
          <cell r="F383">
            <v>45876</v>
          </cell>
          <cell r="G383" t="str">
            <v>Chuyên khoa Nhi</v>
          </cell>
          <cell r="H383" t="str">
            <v>Từ 07:00 đến 11:30 và từ 13:30 đến 17:00 từ thứ hai đến thứ sáu, thời gian trực và làm việc ngoài giờ theo phân công của Lãnh đạo</v>
          </cell>
          <cell r="I383" t="str">
            <v>Nhi</v>
          </cell>
          <cell r="J383" t="str">
            <v>Bác sĩ khoa Nhi</v>
          </cell>
          <cell r="K383" t="str">
            <v>Bác sĩ khoa Nhi</v>
          </cell>
        </row>
        <row r="384">
          <cell r="A384" t="str">
            <v>BV1339</v>
          </cell>
          <cell r="B384">
            <v>11</v>
          </cell>
          <cell r="C384" t="str">
            <v>000526/BN-GPHN</v>
          </cell>
          <cell r="D384" t="str">
            <v>Nguyễn Xuân Nam</v>
          </cell>
          <cell r="E384" t="str">
            <v>000526/BN-GPHN</v>
          </cell>
          <cell r="F384">
            <v>45847</v>
          </cell>
          <cell r="G384" t="str">
            <v>Chuyên khoa Nhi khoa</v>
          </cell>
          <cell r="H384" t="str">
            <v>Từ 07:00 đến 11:30 và từ 13:30 đến 17:00 từ thứ hai đến thứ sáu, thời gian trực và làm việc ngoài giờ theo phân công của Lãnh đạo</v>
          </cell>
          <cell r="I384" t="str">
            <v>Nhi</v>
          </cell>
          <cell r="J384" t="str">
            <v>Bác sĩ khoa Nhi</v>
          </cell>
          <cell r="K384" t="str">
            <v>Bác sĩ khoa Nhi</v>
          </cell>
        </row>
        <row r="385">
          <cell r="A385" t="str">
            <v>BV0311</v>
          </cell>
          <cell r="B385">
            <v>362</v>
          </cell>
          <cell r="C385" t="str">
            <v>000860/LS-CCHN</v>
          </cell>
          <cell r="D385" t="str">
            <v>Lương Thu Thảo</v>
          </cell>
          <cell r="E385" t="str">
            <v>000860/LS-CCHN</v>
          </cell>
          <cell r="F385" t="str">
            <v>11/01/2023</v>
          </cell>
          <cell r="G385" t="str">
            <v>Thực hiện phạm vi hoạt động chuyên môn theo Thông tư số 26/2015/TTLT-BYT-BNV ngày 07/10/2015 quy định  mã số, tiêu chuẩn chức danh nghề nghiệp, điều dưỡng, hộ sinh, kỹ thuật y</v>
          </cell>
          <cell r="H385" t="str">
            <v>Từ 07:00 đến 11:30 và từ 13:30 đến 17:00 từ thứ hai đến thứ sáu, thời gian trực và làm việc ngoài giờ theo phân công của Lãnh đạo</v>
          </cell>
          <cell r="I385" t="str">
            <v>Nhi</v>
          </cell>
          <cell r="J385" t="str">
            <v>Điều dưỡng khoa Nhi.</v>
          </cell>
          <cell r="K385" t="str">
            <v>Điều dưỡng khoa Nhi</v>
          </cell>
          <cell r="L385">
            <v>0</v>
          </cell>
        </row>
        <row r="386">
          <cell r="A386" t="str">
            <v>BV0309</v>
          </cell>
          <cell r="B386">
            <v>363</v>
          </cell>
          <cell r="C386" t="str">
            <v>000858/LS-CCHN</v>
          </cell>
          <cell r="D386" t="str">
            <v>Vi Thị Thùy</v>
          </cell>
          <cell r="E386" t="str">
            <v>000858/LS-CCHN</v>
          </cell>
          <cell r="F386" t="str">
            <v>11/01/2023</v>
          </cell>
          <cell r="G386" t="str">
            <v>Thực hiện phạm vi hoạt động chuyên môn theo Thông tư số 26/2015/TTLT-BYT-BNV ngày 07/10/2015 quy định  mã số, tiêu chuẩn chức danh nghề nghiệp, điều dưỡng, hộ sinh, kỹ thuật y</v>
          </cell>
          <cell r="H386" t="str">
            <v>Từ 07:00 đến 11:30 và từ 13:30 đến 17:00 từ thứ hai đến thứ sáu, thời gian trực và làm việc ngoài giờ theo phân công của Lãnh đạo</v>
          </cell>
          <cell r="I386" t="str">
            <v>Nhi</v>
          </cell>
          <cell r="J386" t="str">
            <v>Điều dưỡng khoa Nhi.</v>
          </cell>
          <cell r="K386" t="str">
            <v>Điều dưỡng khoa Nhi</v>
          </cell>
          <cell r="L386">
            <v>0</v>
          </cell>
        </row>
        <row r="387">
          <cell r="A387" t="str">
            <v>BV0314</v>
          </cell>
          <cell r="B387">
            <v>364</v>
          </cell>
          <cell r="C387" t="str">
            <v>000863/LS-CCHN</v>
          </cell>
          <cell r="D387" t="str">
            <v>Hoàng Thị Oanh</v>
          </cell>
          <cell r="E387" t="str">
            <v>000863/LS-CCHN</v>
          </cell>
          <cell r="F387" t="str">
            <v>11/01/2023</v>
          </cell>
          <cell r="G387" t="str">
            <v>Thực hiện phạm vi hoạt động chuyên môn theo Thông tư số 26/2015/TTLT-BYT-BNV ngày 07/10/2015 quy định  mã số, tiêu chuẩn chức danh nghề nghiệp, điều dưỡng, hộ sinh, kỹ thuật y</v>
          </cell>
          <cell r="H387" t="str">
            <v>Từ 07:00 đến 11:30 và từ 13:30 đến 17:00 từ thứ hai đến thứ sáu, thời gian trực và làm việc ngoài giờ theo phân công của Lãnh đạo</v>
          </cell>
          <cell r="I387" t="str">
            <v>Nhi</v>
          </cell>
          <cell r="J387" t="str">
            <v>Điều dưỡng khoa Nhi.</v>
          </cell>
          <cell r="K387" t="str">
            <v>Điều dưỡng khoa Nhi</v>
          </cell>
          <cell r="L387">
            <v>0</v>
          </cell>
        </row>
        <row r="388">
          <cell r="A388" t="str">
            <v>BV0308</v>
          </cell>
          <cell r="B388">
            <v>365</v>
          </cell>
          <cell r="C388" t="str">
            <v>000859/LS-CCHN</v>
          </cell>
          <cell r="D388" t="str">
            <v>Nguyễn Thị Minh Hiệp</v>
          </cell>
          <cell r="E388" t="str">
            <v>000859/LS-CCHN</v>
          </cell>
          <cell r="F388" t="str">
            <v>11/01/2023</v>
          </cell>
          <cell r="G388" t="str">
            <v>Thực hiện phạm vi hoạt động chuyên môn theo Thông tư số 26/2015/TTLT-BYT-BNV ngày 07/10/2015 quy định  mã số, tiêu chuẩn chức danh nghề nghiệp, điều dưỡng, hộ sinh, kỹ thuật y</v>
          </cell>
          <cell r="H388" t="str">
            <v>Từ 07:00 đến 11:30 và từ 13:30 đến 17:00 từ thứ hai đến thứ sáu, thời gian trực và làm việc ngoài giờ theo phân công của Lãnh đạo</v>
          </cell>
          <cell r="I388" t="str">
            <v>Nhi</v>
          </cell>
          <cell r="J388" t="str">
            <v>Điều dưỡng khoa Nhi.</v>
          </cell>
          <cell r="K388" t="str">
            <v>Điều dưỡng khoa Nhi</v>
          </cell>
          <cell r="L388">
            <v>0</v>
          </cell>
        </row>
        <row r="389">
          <cell r="A389" t="str">
            <v>BV0301</v>
          </cell>
          <cell r="B389">
            <v>366</v>
          </cell>
          <cell r="C389" t="str">
            <v>000857/LS-CCHN</v>
          </cell>
          <cell r="D389" t="str">
            <v>Nguyễn Thị Chanh</v>
          </cell>
          <cell r="E389" t="str">
            <v>000857/LS-CCHN</v>
          </cell>
          <cell r="F389" t="str">
            <v>24/06/2013</v>
          </cell>
          <cell r="G389" t="str">
            <v>Theo quy định tại Quyết định số 41/2005/QĐ-BNV ngày 22/4/2005 của Bộ trưởng Bộ Nội vụ về việc ban hành tiêu chuẩn nghiệp vụ các ngạch viên chức y tế điều dưỡng</v>
          </cell>
          <cell r="H389" t="str">
            <v>Từ 07:00 đến 11:30 và từ 13:30 đến 17:00 từ thứ hai đến thứ sáu, thời gian trực và làm việc ngoài giờ theo phân công của Lãnh đạo</v>
          </cell>
          <cell r="I389" t="str">
            <v>Nhi</v>
          </cell>
          <cell r="J389" t="str">
            <v>Điều dưỡng khoa Nhi- Điều dưỡng trưởng</v>
          </cell>
          <cell r="K389" t="str">
            <v>Điều dưỡng khoa Nhi- Điều dưỡng trưởng</v>
          </cell>
          <cell r="L389">
            <v>0</v>
          </cell>
        </row>
        <row r="390">
          <cell r="A390" t="str">
            <v>BV0913</v>
          </cell>
          <cell r="B390">
            <v>367</v>
          </cell>
          <cell r="C390" t="str">
            <v>003232/LS-CCHN</v>
          </cell>
          <cell r="D390" t="str">
            <v>Nông Thị Lụa</v>
          </cell>
          <cell r="E390" t="str">
            <v>003232/LS-CCHN</v>
          </cell>
          <cell r="F390" t="str">
            <v>20/07/2018</v>
          </cell>
          <cell r="G390" t="str">
            <v>Thực hiện phạm vi hoạt động chuyên môn theo quy định tại Thông tư số 26/2015/TTLT-BYT-BNV ngày 07/10/2015 quy định mã số, tiêu chuẩn chức danh nghề nghiệp điều dưỡng, hộ sinh, kỹ thuật y</v>
          </cell>
          <cell r="H390" t="str">
            <v>Từ 07:00 đến 11:30 và từ 13:30 đến 17:00 từ thứ hai đến thứ sáu, thời gian trực và làm việc ngoài giờ theo phân công của Lãnh đạo</v>
          </cell>
          <cell r="I390" t="str">
            <v>Nhi</v>
          </cell>
          <cell r="J390" t="str">
            <v>Điều dưỡng khoa Nhi.</v>
          </cell>
          <cell r="K390" t="str">
            <v>Điều dưỡng khoa Nhi</v>
          </cell>
          <cell r="L390">
            <v>0</v>
          </cell>
        </row>
        <row r="391">
          <cell r="A391" t="str">
            <v>BV0303</v>
          </cell>
          <cell r="B391">
            <v>368</v>
          </cell>
          <cell r="C391" t="str">
            <v>000400/LS-CCHN</v>
          </cell>
          <cell r="D391" t="str">
            <v>Lữ Thị Đại</v>
          </cell>
          <cell r="E391" t="str">
            <v>000400/LS-CCHN</v>
          </cell>
          <cell r="F391" t="str">
            <v>11/01/2023</v>
          </cell>
          <cell r="G391" t="str">
            <v>Thực hiện phạm vi hoạt động chuyên môn theo Thông tư số 26/2015/TTLT-BYT-BNV ngày 07/10/2015 quy định  mã số, tiêu chuẩn chức danh nghề nghiệp, điều dưỡng, hộ sinh, kỹ thuật y</v>
          </cell>
          <cell r="H391" t="str">
            <v>Từ 07:00 đến 11:30 và từ 13:30 đến 17:00 từ thứ hai đến thứ sáu, thời gian trực và làm việc ngoài giờ theo phân công của Lãnh đạo</v>
          </cell>
          <cell r="I391" t="str">
            <v>Nhi</v>
          </cell>
          <cell r="J391" t="str">
            <v>Điều dưỡng khoa Nhi.</v>
          </cell>
          <cell r="K391" t="str">
            <v>Điều dưỡng khoa Nhi</v>
          </cell>
          <cell r="L391">
            <v>0</v>
          </cell>
        </row>
        <row r="392">
          <cell r="A392" t="str">
            <v>BV0728</v>
          </cell>
          <cell r="B392">
            <v>369</v>
          </cell>
          <cell r="C392" t="str">
            <v>002172/LS-CCHN</v>
          </cell>
          <cell r="D392" t="str">
            <v>Nguyễn Thị Nhang</v>
          </cell>
          <cell r="E392" t="str">
            <v>002172/LS-CCHN</v>
          </cell>
          <cell r="F392" t="str">
            <v>29/12/2017</v>
          </cell>
          <cell r="G392" t="str">
            <v>Thực hiện phạm vi hoạt động chuyên môn theo quy định tại Thông tư số 26/2015/TTLT-BYT-BNV ngày 07/10/2015 quy định mã số, tiêu chuẩn chức danh nghề nghiệp điều dưỡng, hộ sinh, kỹ thuật y</v>
          </cell>
          <cell r="H392" t="str">
            <v>Từ 07:00 đến 11:30 và từ 13:30 đến 17:00 từ thứ hai đến thứ sáu, thời gian trực và làm việc ngoài giờ theo phân công của Lãnh đạo</v>
          </cell>
          <cell r="I392" t="str">
            <v>Nhi</v>
          </cell>
          <cell r="J392" t="str">
            <v>Điều dưỡng khoa Nhi.</v>
          </cell>
          <cell r="K392" t="str">
            <v>Điều dưỡng khoa Nhi</v>
          </cell>
          <cell r="L392">
            <v>0</v>
          </cell>
        </row>
        <row r="393">
          <cell r="A393" t="str">
            <v>BV0417</v>
          </cell>
          <cell r="B393">
            <v>370</v>
          </cell>
          <cell r="C393" t="str">
            <v>000392/LS-CCHN</v>
          </cell>
          <cell r="D393" t="str">
            <v>Nguyễn Diệu Thúy</v>
          </cell>
          <cell r="E393" t="str">
            <v>000392/LS-CCHN</v>
          </cell>
          <cell r="F393" t="str">
            <v>11/01/2023</v>
          </cell>
          <cell r="G393" t="str">
            <v>Thực hiện phạm vi hoạt động chuyên môn theo Thông tư số 26/2015/TTLT-BYT-BNV ngày 07/10/2015 quy định  mã số, tiêu chuẩn chức danh nghề nghiệp, điều dưỡng, hộ sinh, kỹ thuật y</v>
          </cell>
          <cell r="H393" t="str">
            <v>Từ 07:00 đến 11:30 và từ 13:30 đến 17:00 từ thứ hai đến thứ sáu, thời gian trực và làm việc ngoài giờ theo phân công của Lãnh đạo</v>
          </cell>
          <cell r="I393" t="str">
            <v>Nhi</v>
          </cell>
          <cell r="J393" t="str">
            <v>Điều dưỡng khoa Nhi.</v>
          </cell>
          <cell r="K393" t="str">
            <v>Điều dưỡng khoa Nhi</v>
          </cell>
          <cell r="L393">
            <v>0</v>
          </cell>
        </row>
        <row r="394">
          <cell r="A394" t="str">
            <v>BV0793</v>
          </cell>
          <cell r="B394">
            <v>371</v>
          </cell>
          <cell r="C394" t="str">
            <v>003334/LS-CCHN</v>
          </cell>
          <cell r="D394" t="str">
            <v>Lăng Thị Duyên</v>
          </cell>
          <cell r="E394" t="str">
            <v>003334/LS-CCHN</v>
          </cell>
          <cell r="F394" t="str">
            <v>17/08/2018</v>
          </cell>
          <cell r="G394" t="str">
            <v>Thực hiện phạm vi hoạt động chuyên môn theo quy định tại Thông tư số 26/2015/TTLT-BYT-BNV ngày 07/10/2015 quy định mã số, tiêu chuẩn chức danh nghề nghiệp điều dưỡng, hộ sinh, kỹ thuật y</v>
          </cell>
          <cell r="H394" t="str">
            <v>Từ 07:00 đến 11:30 và từ 13:30 đến 17:00 từ thứ hai đến thứ sáu, thời gian trực và làm việc ngoài giờ theo phân công của Lãnh đạo</v>
          </cell>
          <cell r="I394" t="str">
            <v>Nhi</v>
          </cell>
          <cell r="J394" t="str">
            <v>Điều dưỡng khoa Nhi.</v>
          </cell>
          <cell r="K394" t="str">
            <v>Điều dưỡng khoa Nhi</v>
          </cell>
          <cell r="L394">
            <v>0</v>
          </cell>
        </row>
        <row r="395">
          <cell r="A395" t="str">
            <v>BV0200</v>
          </cell>
          <cell r="B395">
            <v>372</v>
          </cell>
          <cell r="C395" t="str">
            <v>001236/LS-CCHN</v>
          </cell>
          <cell r="D395" t="str">
            <v>Phan Văn Hiếu</v>
          </cell>
          <cell r="E395" t="str">
            <v>001236/LS-CCHN</v>
          </cell>
          <cell r="F395" t="str">
            <v>11/01/2023</v>
          </cell>
          <cell r="G395" t="str">
            <v>Thực hiện phạm vi hoạt động chuyên môn theo Thông tư số 26/2015/TTLT-BYT-BNV ngày 07/10/2015 quy định  mã số, tiêu chuẩn chức danh nghề nghiệp, điều dưỡng, hộ sinh, kỹ thuật y</v>
          </cell>
          <cell r="H395" t="str">
            <v>Từ 07:00 đến 11:30 và từ 13:30 đến 17:00 từ thứ hai đến thứ sáu, thời gian trực và làm việc ngoài giờ theo phân công của Lãnh đạo</v>
          </cell>
          <cell r="I395" t="str">
            <v>Nhi</v>
          </cell>
          <cell r="J395" t="str">
            <v>Điều dưỡng khoa Nhi.</v>
          </cell>
          <cell r="K395" t="str">
            <v>Điều dưỡng khoa Nhi</v>
          </cell>
          <cell r="L395">
            <v>0</v>
          </cell>
        </row>
        <row r="396">
          <cell r="A396" t="str">
            <v>BV0127</v>
          </cell>
          <cell r="B396">
            <v>373</v>
          </cell>
          <cell r="C396" t="str">
            <v>000430/LS-CCHN</v>
          </cell>
          <cell r="D396" t="str">
            <v>Luân Thị Hiếu</v>
          </cell>
          <cell r="E396" t="str">
            <v>000430/LS-CCHN</v>
          </cell>
          <cell r="F396" t="str">
            <v>11/01/2023</v>
          </cell>
          <cell r="G396" t="str">
            <v>Thực hiện phạm vi hoạt động chuyên môn theo Thông tư số 26/2015/TTLT-BYT-BNV ngày 07/10/2015 quy định  mã số, tiêu chuẩn chức danh nghề nghiệp, điều dưỡng, hộ sinh, kỹ thuật y</v>
          </cell>
          <cell r="H396" t="str">
            <v>Từ 07:00 đến 11:30 và từ 13:30 đến 17:00 từ thứ hai đến thứ sáu, thời gian trực và làm việc ngoài giờ theo phân công của Lãnh đạo</v>
          </cell>
          <cell r="I396" t="str">
            <v>Nhi</v>
          </cell>
          <cell r="J396" t="str">
            <v>Điều dưỡng khoa Nhi.</v>
          </cell>
          <cell r="K396" t="str">
            <v>Điều dưỡng khoa Nhi</v>
          </cell>
          <cell r="L396">
            <v>0</v>
          </cell>
        </row>
        <row r="397">
          <cell r="A397" t="str">
            <v>BV0322</v>
          </cell>
          <cell r="B397">
            <v>374</v>
          </cell>
          <cell r="C397" t="str">
            <v>000837/LS-CCHN</v>
          </cell>
          <cell r="D397" t="str">
            <v>Hoàng Thị Gấm</v>
          </cell>
          <cell r="E397" t="str">
            <v>000837/LS-CCHN</v>
          </cell>
          <cell r="F397" t="str">
            <v>11/01/2023</v>
          </cell>
          <cell r="G397" t="str">
            <v>Thực hiện phạm vi hoạt động chuyên môn theo Thông tư số 26/2015/TTLT-BYT-BNV ngày 07/10/2015 quy định  mã số, tiêu chuẩn chức danh nghề nghiệp, điều dưỡng, hộ sinh, kỹ thuật y</v>
          </cell>
          <cell r="H397" t="str">
            <v>Từ 07:00 đến 11:30 và từ 13:30 đến 17:00 từ thứ hai đến thứ sáu, thời gian trực và làm việc ngoài giờ theo phân công của Lãnh đạo</v>
          </cell>
          <cell r="I397" t="str">
            <v>Nhi</v>
          </cell>
          <cell r="J397" t="str">
            <v>Điều dưỡng khoa Nhi.</v>
          </cell>
          <cell r="K397" t="str">
            <v>Điều dưỡng khoa Nhi</v>
          </cell>
          <cell r="L397">
            <v>0</v>
          </cell>
        </row>
        <row r="398">
          <cell r="A398" t="str">
            <v>BV0312</v>
          </cell>
          <cell r="B398">
            <v>375</v>
          </cell>
          <cell r="C398" t="str">
            <v>000862/LS-CCHN</v>
          </cell>
          <cell r="D398" t="str">
            <v>Lăng Thị Yến</v>
          </cell>
          <cell r="E398" t="str">
            <v>000862/LS-CCHN</v>
          </cell>
          <cell r="F398" t="str">
            <v>11/01/2023</v>
          </cell>
          <cell r="G398" t="str">
            <v>Thực hiện phạm vi hoạt động chuyên môn theo Thông tư số 26/2015/TTLT-BYT-BNV ngày 07/10/2015 quy định  mã số, tiêu chuẩn chức danh nghề nghiệp, điều dưỡng, hộ sinh, kỹ thuật y</v>
          </cell>
          <cell r="H398" t="str">
            <v>Từ 07:00 đến 11:30 và từ 13:30 đến 17:00 từ thứ hai đến thứ sáu, thời gian trực và làm việc ngoài giờ theo phân công của Lãnh đạo</v>
          </cell>
          <cell r="I398" t="str">
            <v>Nhi</v>
          </cell>
          <cell r="J398" t="str">
            <v>Điều dưỡng khoa Nhi.</v>
          </cell>
          <cell r="K398" t="str">
            <v>Điều dưỡng khoa Nhi</v>
          </cell>
          <cell r="L398">
            <v>0</v>
          </cell>
        </row>
        <row r="399">
          <cell r="A399" t="str">
            <v>BV0321</v>
          </cell>
          <cell r="B399">
            <v>376</v>
          </cell>
          <cell r="C399" t="str">
            <v>000871/LS-CCHN</v>
          </cell>
          <cell r="D399" t="str">
            <v>Mạc Minh Thùy</v>
          </cell>
          <cell r="E399" t="str">
            <v>000871/LS-CCHN</v>
          </cell>
          <cell r="F399" t="str">
            <v>11/01/2023</v>
          </cell>
          <cell r="G399" t="str">
            <v>Thực hiện phạm vi hoạt động chuyên môn theo Thông tư số 26/2015/TTLT-BYT-BNV ngày 07/10/2015 quy định  mã số, tiêu chuẩn chức danh nghề nghiệp, điều dưỡng, hộ sinh, kỹ thuật y</v>
          </cell>
          <cell r="H399" t="str">
            <v>Từ 07:00 đến 11:30 và từ 13:30 đến 17:00 từ thứ hai đến thứ sáu, thời gian trực và làm việc ngoài giờ theo phân công của Lãnh đạo</v>
          </cell>
          <cell r="I399" t="str">
            <v>Nhi</v>
          </cell>
          <cell r="J399" t="str">
            <v>Điều dưỡng khoa Nhi.</v>
          </cell>
          <cell r="K399" t="str">
            <v>Điều dưỡng khoa Nhi</v>
          </cell>
          <cell r="L399">
            <v>0</v>
          </cell>
        </row>
        <row r="400">
          <cell r="A400" t="str">
            <v>BV0320</v>
          </cell>
          <cell r="B400">
            <v>377</v>
          </cell>
          <cell r="C400" t="str">
            <v>000755/LS-CCHN</v>
          </cell>
          <cell r="D400" t="str">
            <v>Nông Thị Hợp</v>
          </cell>
          <cell r="E400" t="str">
            <v>000755/LS-CCHN</v>
          </cell>
          <cell r="F400" t="str">
            <v>11/01/2023</v>
          </cell>
          <cell r="G400" t="str">
            <v>Thực hiện phạm vi hoạt động chuyên môn theo Thông tư số 26/2015/TTLT-BYT-BNV ngày 07/10/2015 quy định  mã số, tiêu chuẩn chức danh nghề nghiệp, điều dưỡng, hộ sinh, kỹ thuật y</v>
          </cell>
          <cell r="H400" t="str">
            <v>Từ 07:00 đến 11:30 và từ 13:30 đến 17:00 từ thứ hai đến thứ sáu, thời gian trực và làm việc ngoài giờ theo phân công của Lãnh đạo</v>
          </cell>
          <cell r="I400" t="str">
            <v>Nhi</v>
          </cell>
          <cell r="J400" t="str">
            <v>Điều dưỡng khoa Nhi.</v>
          </cell>
          <cell r="K400" t="str">
            <v>Điều dưỡng khoa Nhi</v>
          </cell>
          <cell r="L400">
            <v>0</v>
          </cell>
        </row>
        <row r="401">
          <cell r="A401" t="str">
            <v>BV0310</v>
          </cell>
          <cell r="B401">
            <v>378</v>
          </cell>
          <cell r="C401" t="str">
            <v>000855/LS-CCHN</v>
          </cell>
          <cell r="D401" t="str">
            <v>Nông Văn Bộ</v>
          </cell>
          <cell r="E401" t="str">
            <v>000855/LS-CCHN</v>
          </cell>
          <cell r="F401" t="str">
            <v>11/01/2023</v>
          </cell>
          <cell r="G401" t="str">
            <v>Thực hiện phạm vi hoạt động chuyên môn theo Thông tư số 26/2015/TTLT-BYT-BNV ngày 07/10/2015 quy định  mã số, tiêu chuẩn chức danh nghề nghiệp, điều dưỡng, hộ sinh, kỹ thuật y</v>
          </cell>
          <cell r="H401" t="str">
            <v>Từ 07:00 đến 11:30 và từ 13:30 đến 17:00 từ thứ hai đến thứ sáu, thời gian trực và làm việc ngoài giờ theo phân công của Lãnh đạo</v>
          </cell>
          <cell r="I401" t="str">
            <v>Nhi</v>
          </cell>
          <cell r="J401" t="str">
            <v>Điều dưỡng khoa Nhi.</v>
          </cell>
          <cell r="K401" t="str">
            <v>Điều dưỡng khoa Nhi</v>
          </cell>
          <cell r="L401">
            <v>0</v>
          </cell>
        </row>
        <row r="402">
          <cell r="A402" t="str">
            <v>BV0735</v>
          </cell>
          <cell r="B402">
            <v>379</v>
          </cell>
          <cell r="C402" t="str">
            <v>000760/LS-CCHN</v>
          </cell>
          <cell r="D402" t="str">
            <v>Triệu Thị Bích Nhung</v>
          </cell>
          <cell r="E402" t="str">
            <v>000760/LS-CCHN</v>
          </cell>
          <cell r="F402" t="str">
            <v>11/01/2023</v>
          </cell>
          <cell r="G402" t="str">
            <v>Thực hiện phạm vi hoạt động chuyên môn theo Thông tư số 26/2015/TTLT-BYT-BNV ngày 07/10/2015 quy định  mã số, tiêu chuẩn chức danh nghề nghiệp, điều dưỡng, hộ sinh, kỹ thuật y</v>
          </cell>
          <cell r="H402" t="str">
            <v>Từ 07:00 đến 11:30 và từ 13:30 đến 17:00 từ thứ hai đến thứ sáu, thời gian trực và làm việc ngoài giờ theo phân công của Lãnh đạo</v>
          </cell>
          <cell r="I402" t="str">
            <v>Nhi</v>
          </cell>
          <cell r="J402" t="str">
            <v>Điều dưỡng khoa Nhi.</v>
          </cell>
          <cell r="K402" t="str">
            <v>Điều dưỡng khoa Nhi</v>
          </cell>
          <cell r="L402">
            <v>0</v>
          </cell>
        </row>
        <row r="403">
          <cell r="A403" t="str">
            <v>BV0316</v>
          </cell>
          <cell r="B403">
            <v>380</v>
          </cell>
          <cell r="C403" t="str">
            <v>000866/LS-CCHN</v>
          </cell>
          <cell r="D403" t="str">
            <v>Vy Thị Nhuận</v>
          </cell>
          <cell r="E403" t="str">
            <v>000866/LS-CCHN</v>
          </cell>
          <cell r="F403" t="str">
            <v>11/01/2023</v>
          </cell>
          <cell r="G403" t="str">
            <v>Thực hiện phạm vi hoạt động chuyên môn theo Thông tư số 26/2015/TTLT-BYT-BNV ngày 07/10/2015 quy định  mã số, tiêu chuẩn chức danh nghề nghiệp, điều dưỡng, hộ sinh, kỹ thuật y</v>
          </cell>
          <cell r="H403" t="str">
            <v>Từ 07:00 đến 11:30 và từ 13:30 đến 17:00 từ thứ hai đến thứ sáu, thời gian trực và làm việc ngoài giờ theo phân công của Lãnh đạo</v>
          </cell>
          <cell r="I403" t="str">
            <v>Nhi</v>
          </cell>
          <cell r="J403" t="str">
            <v>Điều dưỡng khoa Nhi.</v>
          </cell>
          <cell r="K403" t="str">
            <v>Điều dưỡng khoa Nhi</v>
          </cell>
          <cell r="L403">
            <v>0</v>
          </cell>
        </row>
        <row r="404">
          <cell r="A404" t="str">
            <v>BV0727</v>
          </cell>
          <cell r="B404">
            <v>381</v>
          </cell>
          <cell r="C404" t="str">
            <v>002163/LS-CCHN</v>
          </cell>
          <cell r="D404" t="str">
            <v>Lương Thu Hòa</v>
          </cell>
          <cell r="E404" t="str">
            <v>002163/LS-CCHN</v>
          </cell>
          <cell r="F404" t="str">
            <v>29/12/2017</v>
          </cell>
          <cell r="G404" t="str">
            <v>Thực hiện phạm vi hoạt động chuyên môn theo quy định tại Thông tư số 26/2015/TTLT-BYT-BNV ngày 07/10/2015 quy định mã số, tiêu chuẩn chức danh nghề nghiệp điều dưỡng, hộ sinh, kỹ thuật y</v>
          </cell>
          <cell r="H404" t="str">
            <v>Từ 07:00 đến 11:30 và từ 13:30 đến 17:00 từ thứ hai đến thứ sáu, thời gian trực và làm việc ngoài giờ theo phân công của Lãnh đạo</v>
          </cell>
          <cell r="I404" t="str">
            <v>Nhi</v>
          </cell>
          <cell r="J404" t="str">
            <v>Điều dưỡng khoa Nhi.</v>
          </cell>
          <cell r="K404" t="str">
            <v>Điều dưỡng khoa Nhi</v>
          </cell>
          <cell r="L404">
            <v>0</v>
          </cell>
        </row>
        <row r="405">
          <cell r="A405" t="str">
            <v>BV0877</v>
          </cell>
          <cell r="B405">
            <v>382</v>
          </cell>
          <cell r="C405" t="str">
            <v>003807/LS-CCHN</v>
          </cell>
          <cell r="D405" t="str">
            <v>Hoàng Thị Hiếu</v>
          </cell>
          <cell r="E405" t="str">
            <v>003807/LS-CCHN</v>
          </cell>
          <cell r="F405" t="str">
            <v>21/07/2020</v>
          </cell>
          <cell r="G405" t="str">
            <v>Thực hiện phạm vi hoạt động chuyên môn theo quy định tại Thông tư số 26/2015/TTLT-BYT-BNV ngày 07/10/2015 quy định mã số, tiêu chuẩn chức danh nghề nghiệp điều dưỡng, hộ sinh, kỹ thuật y</v>
          </cell>
          <cell r="H405" t="str">
            <v>Từ 07:00 đến 11:30 và từ 13:30 đến 17:00 từ thứ hai đến thứ sáu, thời gian trực và làm việc ngoài giờ theo phân công của Lãnh đạo</v>
          </cell>
          <cell r="I405" t="str">
            <v>Nhi</v>
          </cell>
          <cell r="J405" t="str">
            <v>Điều dưỡng khoa Nhi.</v>
          </cell>
          <cell r="K405" t="str">
            <v>Điều dưỡng khoa Nhi</v>
          </cell>
          <cell r="L405">
            <v>0</v>
          </cell>
        </row>
        <row r="406">
          <cell r="A406" t="str">
            <v>BV1148</v>
          </cell>
          <cell r="B406">
            <v>383</v>
          </cell>
          <cell r="C406" t="str">
            <v>004318/LS-CCHN</v>
          </cell>
          <cell r="D406" t="str">
            <v>Lường Thị Tới</v>
          </cell>
          <cell r="E406" t="str">
            <v>004318/LS-CCHN</v>
          </cell>
          <cell r="F406" t="str">
            <v>20/07/2021</v>
          </cell>
          <cell r="G406" t="str">
            <v>Thực hiện phạm vi hoạt động chuyên môn theo quy định tại Thông tư số 26/2015/TTLT-BYT-BNV ngày 07/10/2015 quy định mã số, tiêu chuẩn chức danh nghề nghiệp điều dưỡng, hộ sinh, kỹ thuật y</v>
          </cell>
          <cell r="H406" t="str">
            <v>Từ 07:00 đến 11:30 và từ 13:30 đến 17:00 từ thứ hai đến thứ sáu, thời gian trực và làm việc ngoài giờ theo phân công của Lãnh đạo</v>
          </cell>
          <cell r="I406" t="str">
            <v>Nhi</v>
          </cell>
          <cell r="J406" t="str">
            <v>Điều dưỡng khoa Nhi.</v>
          </cell>
          <cell r="K406" t="str">
            <v>Điều dưỡng khoa Nhi</v>
          </cell>
          <cell r="L406">
            <v>0</v>
          </cell>
        </row>
        <row r="407">
          <cell r="A407" t="str">
            <v>BV1095</v>
          </cell>
          <cell r="B407">
            <v>384</v>
          </cell>
          <cell r="C407" t="str">
            <v>004372/LS-CCHN</v>
          </cell>
          <cell r="D407" t="str">
            <v>Nông Thị Thanh Xuân</v>
          </cell>
          <cell r="E407" t="str">
            <v>004372/LS-CCHN</v>
          </cell>
          <cell r="F407" t="str">
            <v>05/11/2021</v>
          </cell>
          <cell r="G407" t="str">
            <v>Thực hiện phạm vi hoạt động chuyên môn theo quy định tại Thông tư số 26/2015/TTLT-BYT-BNV ngày 07/10/2015 quy định mã số, tiêu chuẩn chức danh nghề nghiệp điều dưỡng, hộ sinh, kỹ thuật y</v>
          </cell>
          <cell r="H407" t="str">
            <v>Từ 07:00 đến 11:30 và từ 13:30 đến 17:00 từ thứ hai đến thứ sáu, thời gian trực và làm việc ngoài giờ theo phân công của Lãnh đạo</v>
          </cell>
          <cell r="I407" t="str">
            <v>Nhi</v>
          </cell>
          <cell r="J407" t="str">
            <v>Điều dưỡng khoa Nhi.</v>
          </cell>
          <cell r="K407" t="str">
            <v>Điều dưỡng khoa Nhi</v>
          </cell>
          <cell r="L407">
            <v>0</v>
          </cell>
        </row>
        <row r="408">
          <cell r="A408" t="str">
            <v>BV0914</v>
          </cell>
          <cell r="B408">
            <v>385</v>
          </cell>
          <cell r="C408" t="str">
            <v>004494/LS-CCHN</v>
          </cell>
          <cell r="D408" t="str">
            <v>Hoàng Đức Dương</v>
          </cell>
          <cell r="E408" t="str">
            <v>004494/LS-CCHN</v>
          </cell>
          <cell r="F408" t="str">
            <v>06/04/2022</v>
          </cell>
          <cell r="G408" t="str">
            <v>Thực hiện phạm vi hoạt động chuyên môn theo quy định tại Thông tư số 26/2015/TTLT-BYT-BNV ngày 07/10/2015 quy định mã số, tiêu chuẩn chức danh nghề nghiệp điều dưỡng, hộ sinh, kỹ thuật y</v>
          </cell>
          <cell r="H408" t="str">
            <v>Từ 07:00 đến 11:30 và từ 13:30 đến 17:00 từ thứ hai đến thứ sáu, thời gian trực và làm việc ngoài giờ theo phân công của Lãnh đạo</v>
          </cell>
          <cell r="I408" t="str">
            <v>Nhi</v>
          </cell>
          <cell r="J408" t="str">
            <v>Điều dưỡng khoa Nhi.</v>
          </cell>
          <cell r="K408" t="str">
            <v>Điều dưỡng khoa Nhi</v>
          </cell>
          <cell r="L408">
            <v>0</v>
          </cell>
        </row>
        <row r="409">
          <cell r="A409" t="str">
            <v>BV0315</v>
          </cell>
          <cell r="B409">
            <v>386</v>
          </cell>
          <cell r="C409" t="str">
            <v>000865/LS-CCHN</v>
          </cell>
          <cell r="D409" t="str">
            <v>Hoàng Thị Vượng</v>
          </cell>
          <cell r="E409" t="str">
            <v>000865/LS-CCHN</v>
          </cell>
          <cell r="F409" t="str">
            <v>11/01/2023</v>
          </cell>
          <cell r="G409" t="str">
            <v>Thực hiện phạm vi hoạt động chuyên môn theo Thông tư số 26/2015/TTLT-BYT-BNV ngày 07/10/2015 quy định  mã số, tiêu chuẩn chức danh nghề nghiệp, điều dưỡng, hộ sinh, kỹ thuật y</v>
          </cell>
          <cell r="H409" t="str">
            <v>Từ 07:00 đến 11:30 và từ 13:30 đến 17:00 từ thứ hai đến thứ sáu, thời gian trực và làm việc ngoài giờ theo phân công của Lãnh đạo</v>
          </cell>
          <cell r="I409" t="str">
            <v>Nhi</v>
          </cell>
          <cell r="J409" t="str">
            <v>Điều dưỡng khoa Nhi.</v>
          </cell>
          <cell r="K409" t="str">
            <v>Điều dưỡng khoa Nhi</v>
          </cell>
          <cell r="L409">
            <v>0</v>
          </cell>
        </row>
        <row r="410">
          <cell r="A410" t="str">
            <v>BV0313</v>
          </cell>
          <cell r="B410">
            <v>387</v>
          </cell>
          <cell r="C410" t="str">
            <v>000853/LS-CCHN</v>
          </cell>
          <cell r="D410" t="str">
            <v>Đàm Thị Liên</v>
          </cell>
          <cell r="E410" t="str">
            <v>000853/LS-CCHN</v>
          </cell>
          <cell r="F410" t="str">
            <v>11/01/2023</v>
          </cell>
          <cell r="G410" t="str">
            <v>Thực hiện phạm vi hoạt động chuyên môn theo Thông tư số 26/2015/TTLT-BYT-BNV ngày 07/10/2015 quy định  mã số, tiêu chuẩn chức danh nghề nghiệp, điều dưỡng, hộ sinh, kỹ thuật y</v>
          </cell>
          <cell r="H410" t="str">
            <v>Từ 07:00 đến 11:30 và từ 13:30 đến 17:00 từ thứ hai đến thứ sáu, thời gian trực và làm việc ngoài giờ theo phân công của Lãnh đạo</v>
          </cell>
          <cell r="I410" t="str">
            <v>Nhi</v>
          </cell>
          <cell r="J410" t="str">
            <v>Điều dưỡng khoa Nhi.</v>
          </cell>
          <cell r="K410" t="str">
            <v>Điều dưỡng khoa Nhi</v>
          </cell>
          <cell r="L410">
            <v>0</v>
          </cell>
        </row>
        <row r="411">
          <cell r="A411" t="str">
            <v>BV0992</v>
          </cell>
          <cell r="B411">
            <v>388</v>
          </cell>
          <cell r="C411" t="str">
            <v>005538/LS-CCHN</v>
          </cell>
          <cell r="D411" t="str">
            <v>Ma Văn Lý</v>
          </cell>
          <cell r="E411" t="str">
            <v>005538/LS-CCHN</v>
          </cell>
          <cell r="F411" t="str">
            <v>11/01/2023</v>
          </cell>
          <cell r="G411" t="str">
            <v>Thực hiện phạm vi hoạt động chuyên môn theo Thông tư số 26/2015/TTLT-BYT-BNV ngày 07/10/2015 quy định  mã số, tiêu chuẩn chức danh nghề nghiệp, điều dưỡng, hộ sinh, kỹ thuật y</v>
          </cell>
          <cell r="H411" t="str">
            <v>Từ 07:00 đến 11:30 và từ 13:30 đến 17:00 từ thứ hai đến thứ sáu, thời gian trực và làm việc ngoài giờ theo phân công của Lãnh đạo</v>
          </cell>
          <cell r="I411" t="str">
            <v>Nhi</v>
          </cell>
          <cell r="J411" t="str">
            <v>Điều dưỡng khoa Nhi.</v>
          </cell>
          <cell r="K411" t="str">
            <v>Điều dưỡng khoa Nhi</v>
          </cell>
          <cell r="L411">
            <v>0</v>
          </cell>
        </row>
        <row r="412">
          <cell r="A412" t="str">
            <v>BV1049</v>
          </cell>
          <cell r="B412">
            <v>389</v>
          </cell>
          <cell r="C412" t="str">
            <v>005553/LS-CCHN</v>
          </cell>
          <cell r="D412" t="str">
            <v>Lý Hồng Trang</v>
          </cell>
          <cell r="E412" t="str">
            <v>005553/LS-CCHN</v>
          </cell>
          <cell r="F412" t="str">
            <v>16/02/2023</v>
          </cell>
          <cell r="G412" t="str">
            <v>Thực hiện phạm vi hoạt động chuyên môn theo quy định tại Thông tư số 26/2015/TTLT-BYT-BNV ngày 07/10/2015 quy định mã số, tiêu chuẩn chức danh nghề nghiệp điều dưỡng, hộ sinh, kỹ thuật y</v>
          </cell>
          <cell r="H412" t="str">
            <v>Từ 07:00 đến 11:30 và từ 13:30 đến 17:00 từ thứ hai đến thứ sáu, thời gian trực và làm việc ngoài giờ theo phân công của Lãnh đạo</v>
          </cell>
          <cell r="I412" t="str">
            <v>Nhi</v>
          </cell>
          <cell r="J412" t="str">
            <v>Điều dưỡng khoa Nhi.</v>
          </cell>
          <cell r="K412" t="str">
            <v>Điều dưỡng khoa Nhi</v>
          </cell>
          <cell r="L412">
            <v>0</v>
          </cell>
        </row>
        <row r="413">
          <cell r="A413" t="str">
            <v>BV1206</v>
          </cell>
          <cell r="B413">
            <v>390</v>
          </cell>
          <cell r="C413" t="str">
            <v>005728/LS-CCHN</v>
          </cell>
          <cell r="D413" t="str">
            <v>Lý Thị Yến Nhi</v>
          </cell>
          <cell r="E413" t="str">
            <v>005728/LS-CCHN</v>
          </cell>
          <cell r="F413" t="str">
            <v>10/01/2024</v>
          </cell>
          <cell r="G413" t="str">
            <v>Thực hiện phạm vi hoạt động chuyên môn theo Thông tư số 26/2015/TTLT-BYT-BNV ngày 07/10/2015 quy định  mã số, tiêu chuẩn chức danh nghề nghiệp, điều dưỡng, hộ sinh, kỹ thuật y</v>
          </cell>
          <cell r="H413" t="str">
            <v>Từ 07:00 đến 11:30 và từ 13:30 đến 17:00 từ thứ hai đến thứ sáu, thời gian trực và làm việc ngoài giờ theo phân công của Lãnh đạo</v>
          </cell>
          <cell r="I413" t="str">
            <v>Nhi</v>
          </cell>
          <cell r="J413" t="str">
            <v>Điều dưỡng khoa Nhi.</v>
          </cell>
          <cell r="K413" t="str">
            <v>Điều dưỡng khoa Nhi</v>
          </cell>
          <cell r="L413">
            <v>0</v>
          </cell>
        </row>
        <row r="414">
          <cell r="D414" t="str">
            <v>KHOA TRUYỀN NHIỄM</v>
          </cell>
          <cell r="I414" t="e">
            <v>#N/A</v>
          </cell>
        </row>
        <row r="415">
          <cell r="A415" t="str">
            <v>BV0327</v>
          </cell>
          <cell r="B415">
            <v>391</v>
          </cell>
          <cell r="C415" t="str">
            <v>000874/LS-CCHN</v>
          </cell>
          <cell r="D415" t="str">
            <v>Nguyễn Quang Lương</v>
          </cell>
          <cell r="E415" t="str">
            <v>000874/LS-CCHN</v>
          </cell>
          <cell r="F415" t="str">
            <v>24/06/2013</v>
          </cell>
          <cell r="G415" t="str">
            <v>Khám bệnh, chữa bệnh chuyên khoa Truyền nhiễm</v>
          </cell>
          <cell r="H415" t="str">
            <v>Từ 07:00 đến 11:30 và từ 13:30 đến 17:00 từ thứ hai đến thứ sáu, thời gian trực và làm việc ngoài giờ theo phân công của Lãnh đạo</v>
          </cell>
          <cell r="I415" t="str">
            <v>Truyền nhiễm</v>
          </cell>
          <cell r="J415" t="str">
            <v>Bác sĩ khoa Truyền nhiễm - Trưởng khoa.</v>
          </cell>
          <cell r="K415" t="str">
            <v>Bác sĩ khoa Truyền nhiễm - Trưởng khoa.</v>
          </cell>
          <cell r="L415">
            <v>0</v>
          </cell>
        </row>
        <row r="416">
          <cell r="A416" t="str">
            <v>BV0052</v>
          </cell>
          <cell r="B416">
            <v>392</v>
          </cell>
          <cell r="C416" t="str">
            <v>002939/LS-CCHN</v>
          </cell>
          <cell r="D416" t="str">
            <v>La Thị Thu Hiền</v>
          </cell>
          <cell r="E416" t="str">
            <v>002939/LS-CCHN</v>
          </cell>
          <cell r="F416" t="str">
            <v>30/01/2018</v>
          </cell>
          <cell r="G416" t="str">
            <v>Khám bệnh chữa bệnh Nội khoa</v>
          </cell>
          <cell r="H416" t="str">
            <v>Từ 07:00 đến 11:30 và từ 13:30 đến 17:00 từ thứ hai đến thứ sáu, thời gian trực và làm việc ngoài giờ theo phân công của Lãnh đạo</v>
          </cell>
          <cell r="I416" t="str">
            <v>Truyền nhiễm</v>
          </cell>
          <cell r="J416" t="str">
            <v>Bác sĩ khoa Truyền nhiễm - Phó trưởng khoa.</v>
          </cell>
          <cell r="K416" t="str">
            <v>Bác sĩ khoa Truyền nhiễm - Phó trưởng khoa.</v>
          </cell>
          <cell r="L416">
            <v>0</v>
          </cell>
        </row>
        <row r="417">
          <cell r="A417" t="str">
            <v>BV0931</v>
          </cell>
          <cell r="B417">
            <v>393</v>
          </cell>
          <cell r="C417" t="str">
            <v>004247/LS-CCHN</v>
          </cell>
          <cell r="D417" t="str">
            <v>Đinh Thu Hoài</v>
          </cell>
          <cell r="E417" t="str">
            <v>004247/LS-CCHN</v>
          </cell>
          <cell r="F417" t="str">
            <v>10/06/2021</v>
          </cell>
          <cell r="G417" t="str">
            <v>Khám bệnh, chữa bệnh Nội khoa</v>
          </cell>
          <cell r="H417" t="str">
            <v>Từ 07:00 đến 11:30 và từ 13:30 đến 17:00 từ thứ hai đến thứ sáu, thời gian trực và làm việc ngoài giờ theo phân công của Lãnh đạo</v>
          </cell>
          <cell r="I417" t="str">
            <v>Truyền nhiễm</v>
          </cell>
          <cell r="J417" t="str">
            <v>Bác sĩ khoa Hồi sức tích cực - Chống độc / Truyền nhiễm</v>
          </cell>
          <cell r="K417" t="str">
            <v>Bác sĩ khoa Truyền nhiễm</v>
          </cell>
          <cell r="L417">
            <v>0</v>
          </cell>
        </row>
        <row r="418">
          <cell r="A418" t="str">
            <v>BV1152</v>
          </cell>
          <cell r="B418">
            <v>394</v>
          </cell>
          <cell r="C418" t="str">
            <v>005731/LS-CCHN</v>
          </cell>
          <cell r="D418" t="str">
            <v>Nguyễn Quỳnh Anh</v>
          </cell>
          <cell r="E418" t="str">
            <v>005731/LS-CCHN</v>
          </cell>
          <cell r="F418" t="str">
            <v>10/01/2024</v>
          </cell>
          <cell r="G418" t="str">
            <v>Khám bệnh, chữa bệnh chuyên khoa Nội</v>
          </cell>
          <cell r="H418" t="str">
            <v>Từ 07:00 đến 11:30 và từ 13:30 đến 17:00 từ thứ hai đến thứ sáu, thời gian trực và làm việc ngoài giờ theo phân công của Lãnh đạo</v>
          </cell>
          <cell r="I418" t="str">
            <v>Truyền nhiễm</v>
          </cell>
          <cell r="J418" t="str">
            <v>Bác sĩ khoa Truyền nhiễm.</v>
          </cell>
          <cell r="K418" t="str">
            <v>Bác sĩ khoa Truyền nhiễm</v>
          </cell>
          <cell r="L418">
            <v>0</v>
          </cell>
        </row>
        <row r="419">
          <cell r="A419" t="str">
            <v>BV1155</v>
          </cell>
          <cell r="B419">
            <v>395</v>
          </cell>
          <cell r="C419" t="str">
            <v>005649/LS-CCHN</v>
          </cell>
          <cell r="D419" t="str">
            <v>Nguyễn Thị Quỳnh Hương</v>
          </cell>
          <cell r="E419" t="str">
            <v>005649/LS-CCHN</v>
          </cell>
          <cell r="F419">
            <v>45134</v>
          </cell>
          <cell r="G419" t="str">
            <v>Khám bệnh, chữa bệnh Nội khoa</v>
          </cell>
          <cell r="H419" t="str">
            <v>Từ 07:00 đến 11:30 và từ 13:30 đến 17:00 từ thứ hai đến thứ sáu, thời gian trực và làm việc ngoài giờ theo phân công của Lãnh đạo</v>
          </cell>
          <cell r="I419" t="str">
            <v>Truyền nhiễm</v>
          </cell>
          <cell r="J419" t="str">
            <v>Bác sĩ khoa Truyền nhiễm</v>
          </cell>
          <cell r="K419" t="str">
            <v>Bác sĩ khoa Truyền nhiễm</v>
          </cell>
        </row>
        <row r="420">
          <cell r="A420" t="str">
            <v>BV1310</v>
          </cell>
          <cell r="B420">
            <v>396</v>
          </cell>
          <cell r="C420" t="str">
            <v>005597/LS-CCHN</v>
          </cell>
          <cell r="D420" t="str">
            <v>Đường Ngọc Châm</v>
          </cell>
          <cell r="E420" t="str">
            <v>005597/LS-CCHN</v>
          </cell>
          <cell r="F420">
            <v>45069</v>
          </cell>
          <cell r="G420" t="str">
            <v>Khám bệnh, chữa bệnh Nội khoa</v>
          </cell>
          <cell r="H420" t="str">
            <v>Từ 07:00 đến 11:30 và từ 13:30 đến 17:00 từ thứ hai đến thứ sáu, thời gian trực và làm việc ngoài giờ theo phân công của Lãnh đạo</v>
          </cell>
          <cell r="I420" t="str">
            <v>Truyền nhiễm</v>
          </cell>
          <cell r="J420" t="str">
            <v>Bác sĩ khoa Truyền nhiễm</v>
          </cell>
          <cell r="K420" t="str">
            <v>Bác sĩ khoa Truyền nhiễm</v>
          </cell>
        </row>
        <row r="421">
          <cell r="A421" t="str">
            <v>BV0018</v>
          </cell>
          <cell r="B421">
            <v>397</v>
          </cell>
          <cell r="C421" t="str">
            <v>000741/LS-CCHN</v>
          </cell>
          <cell r="D421" t="str">
            <v>Lê Thị Ngọc Hoàng</v>
          </cell>
          <cell r="E421" t="str">
            <v>000741/LS-CCHN</v>
          </cell>
          <cell r="F421" t="str">
            <v>24/06/2013</v>
          </cell>
          <cell r="G421" t="str">
            <v>Khám bệnh chữa bệnh Nội khoa; Truyền nhiễm</v>
          </cell>
          <cell r="H421" t="str">
            <v>Từ 07:00 đến 11:30 và từ 13:30 đến 17:00 từ thứ hai đến thứ sáu, thời gian trực và làm việc ngoài giờ theo phân công của Lãnh đạo</v>
          </cell>
          <cell r="I421" t="str">
            <v>Truyền nhiễm</v>
          </cell>
          <cell r="J421" t="str">
            <v>Bác sĩ khoa Truyền nhiễm.</v>
          </cell>
          <cell r="K421" t="str">
            <v>Bác sĩ khoa Truyền nhiễm</v>
          </cell>
          <cell r="L421">
            <v>0</v>
          </cell>
        </row>
        <row r="422">
          <cell r="A422" t="str">
            <v>BV0126</v>
          </cell>
          <cell r="B422">
            <v>398</v>
          </cell>
          <cell r="C422" t="str">
            <v>001042/LS-CCHN</v>
          </cell>
          <cell r="D422" t="str">
            <v>Lưu Hải Châu</v>
          </cell>
          <cell r="E422" t="str">
            <v>001042/LS-CCHN</v>
          </cell>
          <cell r="F422" t="str">
            <v>11/01/2023</v>
          </cell>
          <cell r="G422" t="str">
            <v>Thực hiện phạm vi hoạt động chuyên môn theo Thông tư số 26/2015/TTLT-BYT-BNV ngày 07/10/2015 quy định  mã số, tiêu chuẩn chức danh nghề nghiệp, điều dưỡng, hộ sinh, kỹ thuật y</v>
          </cell>
          <cell r="H422" t="str">
            <v>Từ 07:00 đến 11:30 và từ 13:30 đến 17:00 từ thứ hai đến thứ sáu, thời gian trực và làm việc ngoài giờ theo phân công của Lãnh đạo</v>
          </cell>
          <cell r="I422" t="str">
            <v>Truyền nhiễm</v>
          </cell>
          <cell r="J422" t="str">
            <v>Điều dưỡng khoa Truyền nhiễm - Điều dưỡng trưởng</v>
          </cell>
          <cell r="K422" t="str">
            <v>Điều dưỡng khoa Truyền nhiễm - Điều dưỡng trưởng</v>
          </cell>
          <cell r="L422">
            <v>0</v>
          </cell>
        </row>
        <row r="423">
          <cell r="A423" t="str">
            <v>BV0335</v>
          </cell>
          <cell r="B423">
            <v>399</v>
          </cell>
          <cell r="C423" t="str">
            <v>000877/LS-CCHN</v>
          </cell>
          <cell r="D423" t="str">
            <v>Lăng Thị Thúy</v>
          </cell>
          <cell r="E423" t="str">
            <v>000877/LS-CCHN</v>
          </cell>
          <cell r="F423" t="str">
            <v>11/01/2023</v>
          </cell>
          <cell r="G423" t="str">
            <v>Thực hiện phạm vi hoạt động chuyên môn theo Thông tư số 26/2015/TTLT-BYT-BNV ngày 07/10/2015 quy định  mã số, tiêu chuẩn chức danh nghề nghiệp, điều dưỡng, hộ sinh, kỹ thuật y</v>
          </cell>
          <cell r="H423" t="str">
            <v>Từ 07:00 đến 11:30 và từ 13:30 đến 17:00 từ thứ hai đến thứ sáu, thời gian trực và làm việc ngoài giờ theo phân công của Lãnh đạo</v>
          </cell>
          <cell r="I423" t="str">
            <v>Truyền nhiễm</v>
          </cell>
          <cell r="J423" t="str">
            <v>Điều dưỡng khoa Truyền nhiễm.</v>
          </cell>
          <cell r="K423" t="str">
            <v>Điều dưỡng khoa Truyền nhiễm</v>
          </cell>
          <cell r="L423">
            <v>0</v>
          </cell>
        </row>
        <row r="424">
          <cell r="A424" t="str">
            <v>BV0014</v>
          </cell>
          <cell r="B424">
            <v>400</v>
          </cell>
          <cell r="C424" t="str">
            <v>000743/LS-CCHN</v>
          </cell>
          <cell r="D424" t="str">
            <v>Mông Thị Luận</v>
          </cell>
          <cell r="E424" t="str">
            <v>000743/LS-CCHN</v>
          </cell>
          <cell r="F424" t="str">
            <v>11/01/2023</v>
          </cell>
          <cell r="G424" t="str">
            <v>Thực hiện phạm vi hoạt động chuyên môn theo Thông tư số 26/2015/TTLT-BYT-BNV ngày 07/10/2015 quy định  mã số, tiêu chuẩn chức danh nghề nghiệp, điều dưỡng, hộ sinh, kỹ thuật y</v>
          </cell>
          <cell r="H424" t="str">
            <v>Từ 07:00 đến 11:30 và từ 13:30 đến 17:00 từ thứ hai đến thứ sáu, thời gian trực và làm việc ngoài giờ theo phân công của Lãnh đạo</v>
          </cell>
          <cell r="I424" t="str">
            <v>Truyền nhiễm</v>
          </cell>
          <cell r="J424" t="str">
            <v>Điều dưỡng khoa Truyền nhiễm.</v>
          </cell>
          <cell r="K424" t="str">
            <v>Điều dưỡng khoa Truyền nhiễm</v>
          </cell>
          <cell r="L424">
            <v>0</v>
          </cell>
        </row>
        <row r="425">
          <cell r="A425" t="str">
            <v>BV1200</v>
          </cell>
          <cell r="B425">
            <v>401</v>
          </cell>
          <cell r="C425" t="str">
            <v>000134/LS-GPHN</v>
          </cell>
          <cell r="D425" t="str">
            <v>Mông Thị Hưởng</v>
          </cell>
          <cell r="E425" t="str">
            <v>000134/LS-GPHN</v>
          </cell>
          <cell r="F425">
            <v>45546</v>
          </cell>
          <cell r="G425" t="str">
            <v>Điều dưỡng</v>
          </cell>
          <cell r="H425" t="str">
            <v>Từ 07:00 đến 11:30 và từ 13:30 đến 17:00 từ thứ hai đến thứ sáu, thời gian trực và làm việc ngoài giờ theo phân công của Lãnh đạo</v>
          </cell>
          <cell r="I425" t="str">
            <v>Truyền nhiễm</v>
          </cell>
          <cell r="J425" t="str">
            <v>Điều dưỡng khoa Truyền nhiễm</v>
          </cell>
          <cell r="K425" t="str">
            <v>Điều dưỡng khoa Truyền nhiễm</v>
          </cell>
        </row>
        <row r="426">
          <cell r="A426" t="str">
            <v>BV0133</v>
          </cell>
          <cell r="B426">
            <v>402</v>
          </cell>
          <cell r="C426" t="str">
            <v>000830/LS-CCHN</v>
          </cell>
          <cell r="D426" t="str">
            <v>Hoàng Văn Học</v>
          </cell>
          <cell r="E426" t="str">
            <v>000830/LS-CCHN</v>
          </cell>
          <cell r="F426" t="str">
            <v>11/01/2023</v>
          </cell>
          <cell r="G426" t="str">
            <v>Thực hiện phạm vi hoạt động chuyên môn theo Thông tư số 26/2015/TTLT-BYT-BNV ngày 07/10/2015 quy định  mã số, tiêu chuẩn chức danh nghề nghiệp, điều dưỡng, hộ sinh, kỹ thuật y</v>
          </cell>
          <cell r="H426" t="str">
            <v>Từ 07:00 đến 11:30 và từ 13:30 đến 17:00 từ thứ hai đến thứ sáu, thời gian trực và làm việc ngoài giờ theo phân công của Lãnh đạo</v>
          </cell>
          <cell r="I426" t="str">
            <v>Truyền nhiễm</v>
          </cell>
          <cell r="J426" t="str">
            <v>Điều dưỡng khoa Truyền nhiễm.</v>
          </cell>
          <cell r="K426" t="str">
            <v>Điều dưỡng khoa Truyền nhiễm</v>
          </cell>
          <cell r="L426">
            <v>0</v>
          </cell>
        </row>
        <row r="427">
          <cell r="A427" t="str">
            <v>BV0337</v>
          </cell>
          <cell r="B427">
            <v>403</v>
          </cell>
          <cell r="C427" t="str">
            <v>000384/LS-CCHN</v>
          </cell>
          <cell r="D427" t="str">
            <v>Lương Thị Minh</v>
          </cell>
          <cell r="E427" t="str">
            <v>000384/LS-CCHN</v>
          </cell>
          <cell r="F427" t="str">
            <v>11/01/2023</v>
          </cell>
          <cell r="G427" t="str">
            <v>Thực hiện phạm vi hoạt động chuyên môn theo Thông tư số 26/2015/TTLT-BYT-BNV ngày 07/10/2015 quy định  mã số, tiêu chuẩn chức danh nghề nghiệp, điều dưỡng, hộ sinh, kỹ thuật y</v>
          </cell>
          <cell r="H427" t="str">
            <v>Từ 07:00 đến 11:30 và từ 13:30 đến 17:00 từ thứ hai đến thứ sáu, thời gian trực và làm việc ngoài giờ theo phân công của Lãnh đạo</v>
          </cell>
          <cell r="I427" t="str">
            <v>Truyền nhiễm</v>
          </cell>
          <cell r="J427" t="str">
            <v>Điều dưỡng khoa Truyền nhiễm.</v>
          </cell>
          <cell r="K427" t="str">
            <v>Điều dưỡng khoa Truyền nhiễm</v>
          </cell>
          <cell r="L427">
            <v>0</v>
          </cell>
        </row>
        <row r="428">
          <cell r="A428" t="str">
            <v>BV0338</v>
          </cell>
          <cell r="B428">
            <v>404</v>
          </cell>
          <cell r="C428" t="str">
            <v>000383/LS-CCHN</v>
          </cell>
          <cell r="D428" t="str">
            <v>Lương Thúy Nga</v>
          </cell>
          <cell r="E428" t="str">
            <v>000383/LS-CCHN</v>
          </cell>
          <cell r="F428" t="str">
            <v>11/01/2023</v>
          </cell>
          <cell r="G428" t="str">
            <v>Thực hiện phạm vi hoạt động chuyên môn theo Thông tư số 26/2015/TTLT-BYT-BNV ngày 07/10/2015 quy định  mã số, tiêu chuẩn chức danh nghề nghiệp, điều dưỡng, hộ sinh, kỹ thuật y</v>
          </cell>
          <cell r="H428" t="str">
            <v>Từ 07:00 đến 11:30 và từ 13:30 đến 17:00 từ thứ hai đến thứ sáu, thời gian trực và làm việc ngoài giờ theo phân công của Lãnh đạo</v>
          </cell>
          <cell r="I428" t="str">
            <v>Truyền nhiễm</v>
          </cell>
          <cell r="J428" t="str">
            <v>Điều dưỡng khoa Truyền nhiễm.</v>
          </cell>
          <cell r="K428" t="str">
            <v>Điều dưỡng khoa Truyền nhiễm</v>
          </cell>
          <cell r="L428">
            <v>0</v>
          </cell>
        </row>
        <row r="429">
          <cell r="A429" t="str">
            <v>BV0332</v>
          </cell>
          <cell r="B429">
            <v>405</v>
          </cell>
          <cell r="C429" t="str">
            <v>000386/LS-CCHN</v>
          </cell>
          <cell r="D429" t="str">
            <v>Nông Thị Mai</v>
          </cell>
          <cell r="E429" t="str">
            <v>000386/LS-CCHN</v>
          </cell>
          <cell r="F429" t="str">
            <v>11/01/2023</v>
          </cell>
          <cell r="G429" t="str">
            <v>Thực hiện phạm vi hoạt động chuyên môn theo Thông tư số 26/2015/TTLT-BYT-BNV ngày 07/10/2015 quy định  mã số, tiêu chuẩn chức danh nghề nghiệp, điều dưỡng, hộ sinh, kỹ thuật y</v>
          </cell>
          <cell r="H429" t="str">
            <v>Từ 07:00 đến 11:30 và từ 13:30 đến 17:00 từ thứ hai đến thứ sáu, thời gian trực và làm việc ngoài giờ theo phân công của Lãnh đạo</v>
          </cell>
          <cell r="I429" t="str">
            <v>Truyền nhiễm</v>
          </cell>
          <cell r="J429" t="str">
            <v>Điều dưỡng khoa Truyền nhiễm.</v>
          </cell>
          <cell r="K429" t="str">
            <v>Điều dưỡng khoa Truyền nhiễm</v>
          </cell>
          <cell r="L429">
            <v>0</v>
          </cell>
        </row>
        <row r="430">
          <cell r="A430" t="str">
            <v>BV0197</v>
          </cell>
          <cell r="B430">
            <v>406</v>
          </cell>
          <cell r="C430" t="str">
            <v>000915/LS-CCHN</v>
          </cell>
          <cell r="D430" t="str">
            <v>Nguyễn Thị Hợi</v>
          </cell>
          <cell r="E430" t="str">
            <v>000915/LS-CCHN</v>
          </cell>
          <cell r="F430" t="str">
            <v>11/01/2023</v>
          </cell>
          <cell r="G430" t="str">
            <v>Thực hiện phạm vi hoạt động chuyên môn theo Thông tư số 26/2015/TTLT-BYT-BNV ngày 07/10/2015 quy định  mã số, tiêu chuẩn chức danh nghề nghiệp, điều dưỡng, hộ sinh, kỹ thuật y</v>
          </cell>
          <cell r="H430" t="str">
            <v>Từ 07:00 đến 11:30 và từ 13:30 đến 17:00 từ thứ hai đến thứ sáu, thời gian trực và làm việc ngoài giờ theo phân công của Lãnh đạo</v>
          </cell>
          <cell r="I430" t="str">
            <v>Truyền nhiễm</v>
          </cell>
          <cell r="J430" t="str">
            <v>Điều dưỡng khoa Truyền nhiễm.</v>
          </cell>
          <cell r="K430" t="str">
            <v>Điều dưỡng khoa Truyền nhiễm</v>
          </cell>
          <cell r="L430">
            <v>0</v>
          </cell>
        </row>
        <row r="431">
          <cell r="A431" t="str">
            <v>BV0743</v>
          </cell>
          <cell r="B431">
            <v>407</v>
          </cell>
          <cell r="C431" t="str">
            <v>003315/LS-CCHN</v>
          </cell>
          <cell r="D431" t="str">
            <v>Hứa Văn Quốc</v>
          </cell>
          <cell r="E431" t="str">
            <v>003315/LS-CCHN</v>
          </cell>
          <cell r="F431" t="str">
            <v>28/06/2019</v>
          </cell>
          <cell r="G431" t="str">
            <v>Thực hiện phạm vi hoạt động chuyên môn theo quy định tại Thông tư số 26/2015/TTLT-BYT-BNV ngày 07/10/2015 quy định mã số, tiêu chuẩn chức danh nghề nghiệp điều dưỡng, hộ sinh, kỹ thuật y</v>
          </cell>
          <cell r="H431" t="str">
            <v>Từ 07:00 đến 11:30 và từ 13:30 đến 17:00 từ thứ hai đến thứ sáu, thời gian trực và làm việc ngoài giờ theo phân công của Lãnh đạo</v>
          </cell>
          <cell r="I431" t="str">
            <v>Truyền nhiễm</v>
          </cell>
          <cell r="J431" t="str">
            <v>Điều dưỡng khoa Truyền nhiễm.</v>
          </cell>
          <cell r="K431" t="str">
            <v>Điều dưỡng khoa Truyền nhiễm</v>
          </cell>
          <cell r="L431">
            <v>0</v>
          </cell>
        </row>
        <row r="432">
          <cell r="A432" t="str">
            <v>BV1316</v>
          </cell>
          <cell r="B432">
            <v>408</v>
          </cell>
          <cell r="C432" t="str">
            <v>000167/LS-GPHN</v>
          </cell>
          <cell r="D432" t="str">
            <v>Lâm Thị Kim Liên</v>
          </cell>
          <cell r="E432" t="str">
            <v>000167/LS-GPHN</v>
          </cell>
          <cell r="F432">
            <v>45609</v>
          </cell>
          <cell r="G432" t="str">
            <v>Điều dưỡng</v>
          </cell>
          <cell r="H432" t="str">
            <v>Từ 07:00 đến 11:30 và từ 13:30 đến 17:00 từ thứ hai đến thứ sáu, thời gian trực và làm việc ngoài giờ theo phân công của Lãnh đạo</v>
          </cell>
          <cell r="I432" t="str">
            <v>Truyền nhiễm</v>
          </cell>
          <cell r="J432" t="str">
            <v>Điều dưỡng khoa Truyền nhiễm</v>
          </cell>
          <cell r="K432" t="str">
            <v>Điều dưỡng khoa Truyền nhiễm</v>
          </cell>
        </row>
        <row r="433">
          <cell r="A433" t="str">
            <v>BV0334</v>
          </cell>
          <cell r="B433">
            <v>409</v>
          </cell>
          <cell r="C433" t="str">
            <v>000796/LS-CCHN</v>
          </cell>
          <cell r="D433" t="str">
            <v>Nguyễn Khắc Đảng</v>
          </cell>
          <cell r="E433" t="str">
            <v>000796/LS-CCHN</v>
          </cell>
          <cell r="F433" t="str">
            <v>24/06/2013</v>
          </cell>
          <cell r="G433" t="str">
            <v>Theo quy định tại Quyết định số 41/2005/QĐ-BNV ngày 22/4/2005 của Bộ trưởng Bộ Nội vụ về việc ban hành tiêu chuẩn nghiệp vụ các ngạch viên chức y tế điều dưỡng</v>
          </cell>
          <cell r="H433" t="str">
            <v>Từ 07:00 đến 11:30 và từ 13:30 đến 17:00 từ thứ hai đến thứ sáu, thời gian trực và làm việc ngoài giờ theo phân công của Lãnh đạo</v>
          </cell>
          <cell r="I433" t="str">
            <v>Truyền nhiễm</v>
          </cell>
          <cell r="J433" t="str">
            <v>Điều dưỡng khoa Truyền nhiễm.</v>
          </cell>
          <cell r="K433" t="str">
            <v>Điều dưỡng khoa Truyền nhiễm</v>
          </cell>
          <cell r="L433">
            <v>0</v>
          </cell>
        </row>
        <row r="434">
          <cell r="D434" t="str">
            <v>KHOA DA LIỄU</v>
          </cell>
          <cell r="I434" t="e">
            <v>#N/A</v>
          </cell>
        </row>
        <row r="435">
          <cell r="A435" t="str">
            <v>BV0341</v>
          </cell>
          <cell r="B435">
            <v>410</v>
          </cell>
          <cell r="C435" t="str">
            <v>000110/LS-CCHN</v>
          </cell>
          <cell r="D435" t="str">
            <v>Mông Tuấn Hùng</v>
          </cell>
          <cell r="E435" t="str">
            <v>000110/LS-CCHN</v>
          </cell>
          <cell r="F435" t="str">
            <v>28/06/2012</v>
          </cell>
          <cell r="G435" t="str">
            <v>Khám bệnh, chữa bệnh chuyên khoa Da liễu</v>
          </cell>
          <cell r="H435" t="str">
            <v>Từ 07:00 đến 11:30 và từ 13:30 đến 17:00 từ thứ hai đến thứ sáu, thời gian trực và làm việc ngoài giờ theo phân công của Lãnh đạo</v>
          </cell>
          <cell r="I435" t="str">
            <v>Da liễu</v>
          </cell>
          <cell r="J435" t="str">
            <v>Bác sĩ khoa Da liễu - Trưởng khoa.</v>
          </cell>
          <cell r="K435" t="str">
            <v>Bác sĩ khoa Da liễu - Trưởng khoa.</v>
          </cell>
          <cell r="L435" t="str">
            <v>Từ 11:40 đến 13:20 và từ 17:10 đến 21:00 thứ hai đến thứ sáu; từ 07:00 đến 21:00 thứ bảy, chủ nhật hằng tuần. Tại Phòng khám da liễu 114 Bắc Sơn</v>
          </cell>
        </row>
        <row r="436">
          <cell r="A436" t="str">
            <v>BV0342</v>
          </cell>
          <cell r="B436">
            <v>411</v>
          </cell>
          <cell r="C436" t="str">
            <v>000880/LS-CCHN</v>
          </cell>
          <cell r="D436" t="str">
            <v>Nguyễn Mạnh Cường</v>
          </cell>
          <cell r="E436" t="str">
            <v>000880/LS-CCHN</v>
          </cell>
          <cell r="F436" t="str">
            <v>24/06/2013</v>
          </cell>
          <cell r="G436" t="str">
            <v>Khám bệnh chữa bệnh nội khoa, chuyên khoa Da liễu</v>
          </cell>
          <cell r="H436" t="str">
            <v>Từ 07:00 đến 11:30 và từ 13:30 đến 17:00 từ thứ hai đến thứ sáu, thời gian trực và làm việc ngoài giờ theo phân công của Lãnh đạo</v>
          </cell>
          <cell r="I436" t="str">
            <v>Da liễu</v>
          </cell>
          <cell r="J436" t="str">
            <v>Bác sĩ khoa Da liễu - Phó trưởng khoa.</v>
          </cell>
          <cell r="K436" t="str">
            <v>Bác sĩ khoa Da liễu - Phó trưởng khoa.</v>
          </cell>
          <cell r="L436">
            <v>0</v>
          </cell>
        </row>
        <row r="437">
          <cell r="A437" t="str">
            <v>BV0823</v>
          </cell>
          <cell r="B437">
            <v>412</v>
          </cell>
          <cell r="C437" t="str">
            <v>000518/LS-CCHN</v>
          </cell>
          <cell r="D437" t="str">
            <v>Lương Thị Hằng</v>
          </cell>
          <cell r="E437" t="str">
            <v>000518/LS-CCHN</v>
          </cell>
          <cell r="F437" t="str">
            <v>13/10/2016</v>
          </cell>
          <cell r="G437" t="str">
            <v>Khám bệnh, chữa bệnh chuyên khoa Da liễu</v>
          </cell>
          <cell r="H437" t="str">
            <v>Từ 07:00 đến 11:30 và từ 13:30 đến 17:00 từ thứ hai đến thứ sáu, thời gian trực và làm việc ngoài giờ theo phân công của Lãnh đạo</v>
          </cell>
          <cell r="I437" t="str">
            <v>Da liễu</v>
          </cell>
          <cell r="J437" t="str">
            <v>Bác sĩ khoa Da liễu.</v>
          </cell>
          <cell r="K437" t="str">
            <v>Bác sĩ khoa Da liễu</v>
          </cell>
          <cell r="L437" t="str">
            <v>Từ 07:00 đến 11:30 và từ 13:30 đến 17:00 Thứ bảy và chủ nhật hằng tuần, ngày nghỉ, ngày lễ. Tại Phòng khám đa khoa trung tâm Lạng Sơn</v>
          </cell>
        </row>
        <row r="438">
          <cell r="A438" t="str">
            <v>BV1160</v>
          </cell>
          <cell r="B438">
            <v>413</v>
          </cell>
          <cell r="C438" t="str">
            <v>004362/LS-CCHN</v>
          </cell>
          <cell r="D438" t="str">
            <v>Hoàng Thị Mai Trinh</v>
          </cell>
          <cell r="E438" t="str">
            <v>004362/LS-CCHN</v>
          </cell>
          <cell r="F438" t="str">
            <v>07/10/2021</v>
          </cell>
          <cell r="G438" t="str">
            <v>Khám bệnh chữa bệnh Nội khoa; Da liễu</v>
          </cell>
          <cell r="H438" t="str">
            <v>Từ 07:00 đến 11:30 và từ 13:30 đến 17:00 từ thứ hai đến thứ sáu, thời gian trực và làm việc ngoài giờ theo phân công của Lãnh đạo</v>
          </cell>
          <cell r="I438" t="str">
            <v>Da liễu</v>
          </cell>
          <cell r="J438" t="str">
            <v>Bác sĩ khoa Da liễu</v>
          </cell>
          <cell r="K438" t="str">
            <v>Bác sĩ khoa Da liễu</v>
          </cell>
          <cell r="L438">
            <v>0</v>
          </cell>
        </row>
        <row r="439">
          <cell r="A439" t="str">
            <v>BV0349</v>
          </cell>
          <cell r="B439">
            <v>414</v>
          </cell>
          <cell r="C439" t="str">
            <v>000883/LS-CCHN</v>
          </cell>
          <cell r="D439" t="str">
            <v>Dương Thị Tiếp</v>
          </cell>
          <cell r="E439" t="str">
            <v>000883/LS-CCHN</v>
          </cell>
          <cell r="F439" t="str">
            <v>11/01/2023</v>
          </cell>
          <cell r="G439" t="str">
            <v>Thực hiện phạm vi hoạt động chuyên môn theo Thông tư số 26/2015/TTLT-BYT-BNV ngày 07/10/2015 quy định  mã số, tiêu chuẩn chức danh nghề nghiệp, điều dưỡng, hộ sinh, kỹ thuật y</v>
          </cell>
          <cell r="H439" t="str">
            <v>Từ 07:00 đến 11:30 và từ 13:30 đến 17:00 từ thứ hai đến thứ sáu, thời gian trực và làm việc ngoài giờ theo phân công của Lãnh đạo</v>
          </cell>
          <cell r="I439" t="str">
            <v>Da liễu</v>
          </cell>
          <cell r="J439" t="str">
            <v>Điều dưỡng khoa Da liễu.</v>
          </cell>
          <cell r="K439" t="str">
            <v>Điều dưỡng khoa Da liễu</v>
          </cell>
          <cell r="L439">
            <v>0</v>
          </cell>
        </row>
        <row r="440">
          <cell r="A440" t="str">
            <v>BV0329</v>
          </cell>
          <cell r="B440">
            <v>415</v>
          </cell>
          <cell r="C440" t="str">
            <v>000387/LS-CCHN</v>
          </cell>
          <cell r="D440" t="str">
            <v>Đào Thị Ngọc</v>
          </cell>
          <cell r="E440" t="str">
            <v>000387/LS-CCHN</v>
          </cell>
          <cell r="F440" t="str">
            <v>01/06/2016</v>
          </cell>
          <cell r="G440" t="str">
            <v>Theo quy định tại Quyết định số 41/2005/QĐ-BNV ngày 22/4/2005 của Bộ trưởng Bộ Nội vụ về việc ban hành tiêu chuẩn nghiệp vụ các ngạch viên chức y tế điều dưỡng</v>
          </cell>
          <cell r="H440" t="str">
            <v>Từ 07:00 đến 11:30 và từ 13:30 đến 17:00 từ thứ hai đến thứ sáu, thời gian trực và làm việc ngoài giờ theo phân công của Lãnh đạo</v>
          </cell>
          <cell r="I440" t="str">
            <v>Da liễu</v>
          </cell>
          <cell r="J440" t="str">
            <v>Điều dưỡng khoa Da liễu- Điều dưỡng trưởng</v>
          </cell>
          <cell r="K440" t="str">
            <v>Điều dưỡng khoa Da liễu- Điều dưỡng trưởng</v>
          </cell>
          <cell r="L440">
            <v>0</v>
          </cell>
        </row>
        <row r="441">
          <cell r="A441" t="str">
            <v>BV0113</v>
          </cell>
          <cell r="B441">
            <v>416</v>
          </cell>
          <cell r="C441" t="str">
            <v>000812/LS-CCHN</v>
          </cell>
          <cell r="D441" t="str">
            <v>Lăng Hồng Chiêm</v>
          </cell>
          <cell r="E441" t="str">
            <v>000812/LS-CCHN</v>
          </cell>
          <cell r="F441" t="str">
            <v>11/01/2023</v>
          </cell>
          <cell r="G441" t="str">
            <v>Thực hiện phạm vi hoạt động chuyên môn theo Thông tư số 26/2015/TTLT-BYT-BNV ngày 07/10/2015 quy định  mã số, tiêu chuẩn chức danh nghề nghiệp, điều dưỡng, hộ sinh, kỹ thuật y</v>
          </cell>
          <cell r="H441" t="str">
            <v>Từ 07:00 đến 11:30 và từ 13:30 đến 17:00 từ thứ hai đến thứ sáu, thời gian trực và làm việc ngoài giờ theo phân công của Lãnh đạo</v>
          </cell>
          <cell r="I441" t="str">
            <v>Da liễu</v>
          </cell>
          <cell r="J441" t="str">
            <v>Điều dưỡng khoa Da liễu.</v>
          </cell>
          <cell r="K441" t="str">
            <v>Điều dưỡng khoa Da liễu</v>
          </cell>
          <cell r="L441">
            <v>0</v>
          </cell>
        </row>
        <row r="442">
          <cell r="A442" t="str">
            <v>BV0141</v>
          </cell>
          <cell r="B442">
            <v>417</v>
          </cell>
          <cell r="C442" t="str">
            <v>000377/LS-CCHN</v>
          </cell>
          <cell r="D442" t="str">
            <v>Vũ Thị Thu Trang</v>
          </cell>
          <cell r="E442" t="str">
            <v>000377/LS-CCHN</v>
          </cell>
          <cell r="F442" t="str">
            <v>11/01/2023</v>
          </cell>
          <cell r="G442" t="str">
            <v>Thực hiện phạm vi hoạt động chuyên môn theo Thông tư số 26/2015/TTLT-BYT-BNV ngày 07/10/2015 quy định  mã số, tiêu chuẩn chức danh nghề nghiệp, điều dưỡng, hộ sinh, kỹ thuật y</v>
          </cell>
          <cell r="H442" t="str">
            <v>Từ 07:00 đến 11:30 và từ 13:30 đến 17:00 từ thứ hai đến thứ sáu, thời gian trực và làm việc ngoài giờ theo phân công của Lãnh đạo</v>
          </cell>
          <cell r="I442" t="str">
            <v>Da liễu</v>
          </cell>
          <cell r="J442" t="str">
            <v>Điều dưỡng khoa Da liễu.</v>
          </cell>
          <cell r="K442" t="str">
            <v>Điều dưỡng khoa Da liễu</v>
          </cell>
          <cell r="L442">
            <v>0</v>
          </cell>
        </row>
        <row r="443">
          <cell r="A443" t="str">
            <v>BV0226</v>
          </cell>
          <cell r="B443">
            <v>418</v>
          </cell>
          <cell r="C443" t="str">
            <v>000939/LS-CCHN</v>
          </cell>
          <cell r="D443" t="str">
            <v>Mã Thị Linh</v>
          </cell>
          <cell r="E443" t="str">
            <v>000939/LS-CCHN</v>
          </cell>
          <cell r="F443" t="str">
            <v>24/06/2013</v>
          </cell>
          <cell r="G443" t="str">
            <v>Theo quy định tại Quyết định số 41/2005/QĐ-BNV ngày 22/4/2005 của Bộ trưởng Bộ Nội vụ về việc ban hành tiêu chuẩn nghiệp vụ các ngạch viên chức y tế điều dưỡng</v>
          </cell>
          <cell r="H443" t="str">
            <v>Từ 07:00 đến 11:30 và từ 13:30 đến 17:00 từ thứ hai đến thứ sáu, thời gian trực và làm việc ngoài giờ theo phân công của Lãnh đạo</v>
          </cell>
          <cell r="I443" t="str">
            <v>Da liễu</v>
          </cell>
          <cell r="J443" t="str">
            <v>Điều dưỡng khoa Da liễu.</v>
          </cell>
          <cell r="K443" t="str">
            <v>Điều dưỡng khoa Da liễu</v>
          </cell>
          <cell r="L443">
            <v>0</v>
          </cell>
        </row>
        <row r="444">
          <cell r="A444" t="str">
            <v>BV0134</v>
          </cell>
          <cell r="B444">
            <v>419</v>
          </cell>
          <cell r="C444" t="str">
            <v>000831/LS-CCHN</v>
          </cell>
          <cell r="D444" t="str">
            <v>Lý Thị Dần</v>
          </cell>
          <cell r="E444" t="str">
            <v>000831/LS-CCHN</v>
          </cell>
          <cell r="F444" t="str">
            <v>24/06/2013</v>
          </cell>
          <cell r="G444" t="str">
            <v>Theo quy định tại Quyết định số 41/2005/QĐ-BNV ngày 22/4/2005 của Bộ trưởng Bộ Nội vụ về việc ban hành tiêu chuẩn nghiệp vụ các ngạch viên chức y tế điều dưỡng</v>
          </cell>
          <cell r="H444" t="str">
            <v>Từ 07:00 đến 11:30 và từ 13:30 đến 17:00 từ thứ hai đến thứ sáu, thời gian trực và làm việc ngoài giờ theo phân công của Lãnh đạo</v>
          </cell>
          <cell r="I444" t="str">
            <v>Da liễu</v>
          </cell>
          <cell r="J444" t="str">
            <v>Điều dưỡng khoa Da liễu / VLTL-PHCN.</v>
          </cell>
          <cell r="K444" t="str">
            <v>Điều dưỡng khoa VLTL-PHCN</v>
          </cell>
          <cell r="L444">
            <v>0</v>
          </cell>
        </row>
        <row r="445">
          <cell r="D445" t="str">
            <v>KHOA Y HỌC CỔ TRUYỀN</v>
          </cell>
          <cell r="I445" t="e">
            <v>#N/A</v>
          </cell>
        </row>
        <row r="446">
          <cell r="A446" t="str">
            <v>BV0361</v>
          </cell>
          <cell r="B446">
            <v>420</v>
          </cell>
          <cell r="C446" t="str">
            <v>000929/LS-CCHN</v>
          </cell>
          <cell r="D446" t="str">
            <v>Lê Chí Hướng</v>
          </cell>
          <cell r="E446" t="str">
            <v>000929/LS-CCHN</v>
          </cell>
          <cell r="F446" t="str">
            <v>24/06/2013</v>
          </cell>
          <cell r="G446" t="str">
            <v>Khám bệnh chữa bệnh bằng Y học cổ truyền</v>
          </cell>
          <cell r="H446" t="str">
            <v>Từ 07:00 đến 11:30 và từ 13:30 đến 17:00 từ thứ hai đến thứ sáu, thời gian trực và làm việc ngoài giờ theo phân công của Lãnh đạo</v>
          </cell>
          <cell r="I446" t="str">
            <v>YHCT</v>
          </cell>
          <cell r="J446" t="str">
            <v>Bác sĩ, phụ trách khoa Y học cổ truyền</v>
          </cell>
          <cell r="K446" t="str">
            <v>Phụ trách khoa Bác sĩ khoa YHCT</v>
          </cell>
          <cell r="L446">
            <v>0</v>
          </cell>
        </row>
        <row r="447">
          <cell r="A447" t="str">
            <v>BV0351</v>
          </cell>
          <cell r="B447">
            <v>421</v>
          </cell>
          <cell r="C447" t="str">
            <v>000341/LS-CCHN</v>
          </cell>
          <cell r="D447" t="str">
            <v>Ngô Thu Lê</v>
          </cell>
          <cell r="E447" t="str">
            <v>000341/LS-CCHN</v>
          </cell>
          <cell r="F447" t="str">
            <v>14/04/2016</v>
          </cell>
          <cell r="G447" t="str">
            <v>Khám bệnh chữa bệnh bằng Y học cổ truyền</v>
          </cell>
          <cell r="H447" t="str">
            <v>Từ 07:00 đến 11:30 và từ 13:30 đến 17:00 từ thứ hai đến thứ sáu, thời gian trực và làm việc ngoài giờ theo phân công của Lãnh đạo</v>
          </cell>
          <cell r="I447" t="str">
            <v>YHCT</v>
          </cell>
          <cell r="J447" t="str">
            <v>Bác sĩ khoa Y học cổ truyền.</v>
          </cell>
          <cell r="K447" t="str">
            <v>Bác sĩ khoa YHCT</v>
          </cell>
          <cell r="L447">
            <v>0</v>
          </cell>
        </row>
        <row r="448">
          <cell r="A448" t="str">
            <v>BV1122</v>
          </cell>
          <cell r="B448">
            <v>422</v>
          </cell>
          <cell r="C448" t="str">
            <v>005496/LS-CCHN</v>
          </cell>
          <cell r="D448" t="str">
            <v>Nguyễn Ngọc Thiện</v>
          </cell>
          <cell r="E448" t="str">
            <v>005496/LS-CCHN</v>
          </cell>
          <cell r="F448" t="str">
            <v>16/11/2022</v>
          </cell>
          <cell r="G448" t="str">
            <v>Khám bệnh, chữa bệnh bằng Y học cổ truyền</v>
          </cell>
          <cell r="H448" t="str">
            <v>Từ 07:00 đến 11:30 và từ 13:30 đến 17:00 từ thứ hai đến thứ sáu, thời gian trực và làm việc ngoài giờ theo phân công của Lãnh đạo</v>
          </cell>
          <cell r="I448" t="str">
            <v>YHCT</v>
          </cell>
          <cell r="J448" t="str">
            <v>Bác sĩ khoa Y học cổ truyền.</v>
          </cell>
          <cell r="K448" t="str">
            <v>Bác sĩ khoa YHCT</v>
          </cell>
          <cell r="L448">
            <v>0</v>
          </cell>
        </row>
        <row r="449">
          <cell r="A449" t="str">
            <v>BV1167</v>
          </cell>
          <cell r="B449">
            <v>423</v>
          </cell>
          <cell r="C449" t="str">
            <v>003631/LS-CCHN</v>
          </cell>
          <cell r="D449" t="str">
            <v>Nguyễn Thị Duyên</v>
          </cell>
          <cell r="E449" t="str">
            <v>003631/LS-CCHN</v>
          </cell>
          <cell r="F449" t="str">
            <v>21/11/2019</v>
          </cell>
          <cell r="G449" t="str">
            <v>Khám bệnh, chữa bệnh bằng Y học cổ truyền</v>
          </cell>
          <cell r="H449" t="str">
            <v>Từ 07:00 đến 11:30 và từ 13:30 đến 17:00 từ thứ hai đến thứ sáu, thời gian trực và làm việc ngoài giờ theo phân công của Lãnh đạo</v>
          </cell>
          <cell r="I449" t="str">
            <v>YHCT</v>
          </cell>
          <cell r="J449" t="str">
            <v>Bác sĩ khoa Y học cổ truyền.</v>
          </cell>
          <cell r="K449" t="str">
            <v>Bác sĩ khoa YHCT</v>
          </cell>
          <cell r="L449">
            <v>0</v>
          </cell>
        </row>
        <row r="450">
          <cell r="A450" t="str">
            <v>BV0029</v>
          </cell>
          <cell r="B450">
            <v>424</v>
          </cell>
          <cell r="C450" t="str">
            <v>000757/LS-CCHN</v>
          </cell>
          <cell r="D450" t="str">
            <v>Triệu Thị Mai Hương</v>
          </cell>
          <cell r="E450" t="str">
            <v>000757/LS-CCHN</v>
          </cell>
          <cell r="F450" t="str">
            <v>11/01/2023</v>
          </cell>
          <cell r="G450" t="str">
            <v>Thực hiện phạm vi hoạt động chuyên môn theo Thông tư số 26/2015/TTLT-BYT-BNV ngày 07/10/2015 quy định  mã số, tiêu chuẩn chức danh nghề nghiệp, điều dưỡng, hộ sinh, kỹ thuật y</v>
          </cell>
          <cell r="H450" t="str">
            <v>Từ 07:00 đến 11:30 và từ 13:30 đến 17:00 từ thứ hai đến thứ sáu, thời gian trực và làm việc ngoài giờ theo phân công của Lãnh đạo</v>
          </cell>
          <cell r="I450" t="str">
            <v>YHCT</v>
          </cell>
          <cell r="J450" t="str">
            <v>Điều dưỡng khoa Y học cổ truyền.</v>
          </cell>
          <cell r="K450" t="str">
            <v>Điều dưỡng khoa YHCT</v>
          </cell>
          <cell r="L450">
            <v>0</v>
          </cell>
        </row>
        <row r="451">
          <cell r="A451" t="str">
            <v>BV0169</v>
          </cell>
          <cell r="B451">
            <v>425</v>
          </cell>
          <cell r="C451" t="str">
            <v>001053/LS-CCHN</v>
          </cell>
          <cell r="D451" t="str">
            <v>Hoàng Thị Bích Hà</v>
          </cell>
          <cell r="E451" t="str">
            <v>001053/LS-CCHN</v>
          </cell>
          <cell r="F451" t="str">
            <v>24/06/2013</v>
          </cell>
          <cell r="G451" t="str">
            <v>Theo quy định tại Quyết định số 41/2005/QĐ-BNV ngày 22/4/2005 của Bộ trưởng Bộ Nội vụ về việc ban hành tiêu chuẩn nghiệp vụ các ngạch viên chức y tế điều dưỡng</v>
          </cell>
          <cell r="H451" t="str">
            <v>Từ 07:00 đến 11:30 và từ 13:30 đến 17:00 từ thứ hai đến thứ sáu, thời gian trực và làm việc ngoài giờ theo phân công của Lãnh đạo</v>
          </cell>
          <cell r="I451" t="str">
            <v>YHCT</v>
          </cell>
          <cell r="J451" t="str">
            <v>Điều dưỡng khoa Y học cổ truyền.</v>
          </cell>
          <cell r="K451" t="str">
            <v>Điều dưỡng khoa YHCT</v>
          </cell>
          <cell r="L451">
            <v>0</v>
          </cell>
        </row>
        <row r="452">
          <cell r="A452" t="str">
            <v>BV0358</v>
          </cell>
          <cell r="B452">
            <v>426</v>
          </cell>
          <cell r="C452" t="str">
            <v>000894/LS-CCHN</v>
          </cell>
          <cell r="D452" t="str">
            <v>Nông Thị Thu Hường</v>
          </cell>
          <cell r="E452" t="str">
            <v>000894/LS-CCHN</v>
          </cell>
          <cell r="F452" t="str">
            <v>11/01/2023</v>
          </cell>
          <cell r="G452" t="str">
            <v>Thực hiện phạm vi hoạt động chuyên môn theo Thông tư số 26/2015/TTLT-BYT-BNV ngày 07/10/2015 quy định  mã số, tiêu chuẩn chức danh nghề nghiệp, điều dưỡng, hộ sinh, kỹ thuật y</v>
          </cell>
          <cell r="H452" t="str">
            <v>Từ 07:00 đến 11:30 và từ 13:30 đến 17:00 từ thứ hai đến thứ sáu, thời gian trực và làm việc ngoài giờ theo phân công của Lãnh đạo</v>
          </cell>
          <cell r="I452" t="str">
            <v>YHCT</v>
          </cell>
          <cell r="J452" t="str">
            <v>Điều dưỡng khoa Y học cổ truyền.</v>
          </cell>
          <cell r="K452" t="str">
            <v>Điều dưỡng khoa YHCT</v>
          </cell>
          <cell r="L452">
            <v>0</v>
          </cell>
        </row>
        <row r="453">
          <cell r="A453" t="str">
            <v>BV0227</v>
          </cell>
          <cell r="B453">
            <v>427</v>
          </cell>
          <cell r="C453" t="str">
            <v>000933/LS-CCHN</v>
          </cell>
          <cell r="D453" t="str">
            <v>Mông Thị Thu</v>
          </cell>
          <cell r="E453" t="str">
            <v>000933/LS-CCHN</v>
          </cell>
          <cell r="F453" t="str">
            <v>11/01/2023</v>
          </cell>
          <cell r="G453" t="str">
            <v>Thực hiện phạm vi hoạt động chuyên môn theo Thông tư số 26/2015/TTLT-BYT-BNV ngày 07/10/2015 quy định  mã số, tiêu chuẩn chức danh nghề nghiệp, điều dưỡng, hộ sinh, kỹ thuật y</v>
          </cell>
          <cell r="H453" t="str">
            <v>Từ 07:00 đến 11:30 và từ 13:30 đến 17:00 từ thứ hai đến thứ sáu, thời gian trực và làm việc ngoài giờ theo phân công của Lãnh đạo</v>
          </cell>
          <cell r="I453" t="str">
            <v>YHCT</v>
          </cell>
          <cell r="J453" t="str">
            <v>Điều dưỡng khoa Y học cổ truyền.</v>
          </cell>
          <cell r="K453" t="str">
            <v>Điều dưỡng khoa YHCT</v>
          </cell>
          <cell r="L453">
            <v>0</v>
          </cell>
        </row>
        <row r="454">
          <cell r="A454" t="str">
            <v>BV0357</v>
          </cell>
          <cell r="B454">
            <v>428</v>
          </cell>
          <cell r="C454" t="str">
            <v>000893/LS-CCHN</v>
          </cell>
          <cell r="D454" t="str">
            <v>Vi Văn Tiến</v>
          </cell>
          <cell r="E454" t="str">
            <v>000893/LS-CCHN</v>
          </cell>
          <cell r="F454" t="str">
            <v>11/01/2023</v>
          </cell>
          <cell r="G454" t="str">
            <v>Thực hiện phạm vi hoạt động chuyên môn theo Thông tư số 26/2015/TTLT-BYT-BNV ngày 07/10/2015 quy định  mã số, tiêu chuẩn chức danh nghề nghiệp, điều dưỡng, hộ sinh, kỹ thuật y</v>
          </cell>
          <cell r="H454" t="str">
            <v>Từ 07:00 đến 11:30 và từ 13:30 đến 17:00 từ thứ hai đến thứ sáu, thời gian trực và làm việc ngoài giờ theo phân công của Lãnh đạo</v>
          </cell>
          <cell r="I454" t="str">
            <v>YHCT</v>
          </cell>
          <cell r="J454" t="str">
            <v>Điều dưỡng khoa Y học cổ truyền.</v>
          </cell>
          <cell r="K454" t="str">
            <v>Điều dưỡng khoa YHCT</v>
          </cell>
          <cell r="L454">
            <v>0</v>
          </cell>
        </row>
        <row r="455">
          <cell r="A455" t="str">
            <v>BV0354</v>
          </cell>
          <cell r="B455">
            <v>429</v>
          </cell>
          <cell r="C455" t="str">
            <v>000892/LS-CCHN</v>
          </cell>
          <cell r="D455" t="str">
            <v>Chu Hương Thảo</v>
          </cell>
          <cell r="E455" t="str">
            <v>000892/LS-CCHN</v>
          </cell>
          <cell r="F455" t="str">
            <v>24/06/2013</v>
          </cell>
          <cell r="G455" t="str">
            <v>Khám bệnh, chữa bệnh bằng Y học cổ truyền</v>
          </cell>
          <cell r="H455" t="str">
            <v>Từ 07:00 đến 11:30 và từ 13:30 đến 17:00 từ thứ hai đến thứ sáu, thời gian trực và làm việc ngoài giờ theo phân công của Lãnh đạo</v>
          </cell>
          <cell r="I455" t="str">
            <v>YHCT</v>
          </cell>
          <cell r="J455" t="str">
            <v>Y sỹ khoa Y học cổ truyền.</v>
          </cell>
          <cell r="K455" t="str">
            <v>Y sĩ khoa YHCT</v>
          </cell>
          <cell r="L455">
            <v>0</v>
          </cell>
        </row>
        <row r="456">
          <cell r="A456" t="str">
            <v>BV0356</v>
          </cell>
          <cell r="B456">
            <v>430</v>
          </cell>
          <cell r="C456" t="str">
            <v>000390/LS-CCHN</v>
          </cell>
          <cell r="D456" t="str">
            <v>Lê Thị Phượng</v>
          </cell>
          <cell r="E456" t="str">
            <v>000390/LS-CCHN</v>
          </cell>
          <cell r="F456" t="str">
            <v>06/01/2016</v>
          </cell>
          <cell r="G456" t="str">
            <v>Khám bệnh, chữa bệnh bằng Y học cổ truyền</v>
          </cell>
          <cell r="H456" t="str">
            <v>Từ 07:00 đến 11:30 và từ 13:30 đến 17:00 từ thứ hai đến thứ sáu, thời gian trực và làm việc ngoài giờ theo phân công của Lãnh đạo</v>
          </cell>
          <cell r="I456" t="str">
            <v>YHCT</v>
          </cell>
          <cell r="J456" t="str">
            <v>Y sỹ khoa Y học cổ truyền.</v>
          </cell>
          <cell r="K456" t="str">
            <v>Y sĩ khoa YHCT</v>
          </cell>
          <cell r="L456">
            <v>0</v>
          </cell>
        </row>
        <row r="457">
          <cell r="A457" t="str">
            <v>BV0355</v>
          </cell>
          <cell r="B457">
            <v>1</v>
          </cell>
          <cell r="C457" t="str">
            <v>000420/LS-GPHN</v>
          </cell>
          <cell r="D457" t="str">
            <v>Trần Thị Huyền</v>
          </cell>
          <cell r="E457" t="str">
            <v>000420/LS-GPHN</v>
          </cell>
          <cell r="F457">
            <v>45994</v>
          </cell>
          <cell r="G457" t="str">
            <v>Điều dưỡng</v>
          </cell>
          <cell r="H457" t="str">
            <v>Từ 07:00 đến 11:30 và từ 13:30 đến 17:00 từ thứ hai đến thứ sáu, thời gian trực và làm việc ngoài giờ theo phân công của Lãnh đạo</v>
          </cell>
          <cell r="I457" t="str">
            <v>YHCT</v>
          </cell>
          <cell r="J457" t="str">
            <v>Điều dưỡng khoa Y học cổ truyền- Điều dưỡng trưởng</v>
          </cell>
          <cell r="K457" t="str">
            <v>Điều dưỡng khoa Y học cổ truyền- Điều dưỡng trưởng</v>
          </cell>
          <cell r="L457">
            <v>0</v>
          </cell>
        </row>
        <row r="458">
          <cell r="D458" t="str">
            <v>KHOA VẬT LÝ TRỊ LIỆU - PHỤC HỒI CHỨC NĂNG</v>
          </cell>
          <cell r="I458" t="e">
            <v>#N/A</v>
          </cell>
        </row>
        <row r="459">
          <cell r="A459" t="str">
            <v>BV0679</v>
          </cell>
          <cell r="B459">
            <v>432</v>
          </cell>
          <cell r="C459" t="str">
            <v>003327/LS-CCHN</v>
          </cell>
          <cell r="D459" t="str">
            <v>Nguyễn Tuấn An</v>
          </cell>
          <cell r="E459" t="str">
            <v>003327/LS-CCHN</v>
          </cell>
          <cell r="F459" t="str">
            <v>20/07/2018</v>
          </cell>
          <cell r="G459" t="str">
            <v>Khám bệnh, chữa bệnh chuyên khoa PHCN</v>
          </cell>
          <cell r="H459" t="str">
            <v>Từ 07:00 đến 11:30 và từ 13:30 đến 17:00 từ thứ hai đến thứ sáu, thời gian trực và làm việc ngoài giờ theo phân công của Lãnh đạo</v>
          </cell>
          <cell r="I459" t="str">
            <v>VLTL-PHCN</v>
          </cell>
          <cell r="J459" t="str">
            <v>Bác sĩ khoa Vật lý trị liệu - Phục hồi chức năng - Trưởng khoa.</v>
          </cell>
          <cell r="K459" t="str">
            <v>Bác sĩ khoa Vật lý trị liệu - Phục hồi chức năng - Trưởng khoa.</v>
          </cell>
          <cell r="L459">
            <v>0</v>
          </cell>
        </row>
        <row r="460">
          <cell r="A460" t="str">
            <v>BV0686</v>
          </cell>
          <cell r="B460">
            <v>433</v>
          </cell>
          <cell r="C460" t="str">
            <v>003455/LS-CCHN</v>
          </cell>
          <cell r="D460" t="str">
            <v>Nông Thị Thanh</v>
          </cell>
          <cell r="E460" t="str">
            <v>003455/LS-CCHN</v>
          </cell>
          <cell r="F460" t="str">
            <v>17/05/2019</v>
          </cell>
          <cell r="G460" t="str">
            <v>Khám bệnh, chữa bệnh Nội khoa; Khám bệnh, chữa bệnh chuyên khoa Phục hồi chức năng</v>
          </cell>
          <cell r="H460" t="str">
            <v>Từ 07:00 đến 11:30 và từ 13:30 đến 17:00 từ thứ hai đến thứ sáu, thời gian trực và làm việc ngoài giờ theo phân công của Lãnh đạo</v>
          </cell>
          <cell r="I460" t="str">
            <v>VLTL-PHCN</v>
          </cell>
          <cell r="J460" t="str">
            <v>Bác sĩ khoa Vật lý trị liệu - Phục hồi chức năng.</v>
          </cell>
          <cell r="K460" t="str">
            <v>Bác sĩ khoa VLTL-PHCN</v>
          </cell>
          <cell r="L460" t="str">
            <v>Từ 07:00 đến 11:30 và từ 13:30 đến 17:00 Thứ bảy và chủ nhật hằng tuần, ngày nghỉ, ngày lễ. Tại Phòng khám đa khoa trung tâm Lạng Sơn</v>
          </cell>
        </row>
        <row r="461">
          <cell r="A461" t="str">
            <v>BV0838</v>
          </cell>
          <cell r="B461">
            <v>434</v>
          </cell>
          <cell r="C461" t="str">
            <v>003620/LS-CCHN</v>
          </cell>
          <cell r="D461" t="str">
            <v>Hứa Mạnh Tuấn</v>
          </cell>
          <cell r="E461" t="str">
            <v>003620/LS-CCHN</v>
          </cell>
          <cell r="F461" t="str">
            <v>21/10/2019</v>
          </cell>
          <cell r="G461" t="str">
            <v>Khám bệnh, chữa bệnh Nội khoa; Khám bệnh, chữa bệnh chuyên khoa Phục hồi chức năng</v>
          </cell>
          <cell r="H461" t="str">
            <v>Từ 07:00 đến 11:30 và từ 13:30 đến 17:00 từ thứ hai đến thứ sáu, thời gian trực và làm việc ngoài giờ theo phân công của Lãnh đạo</v>
          </cell>
          <cell r="I461" t="str">
            <v>VLTL-PHCN</v>
          </cell>
          <cell r="J461" t="str">
            <v>Bác sĩ khoa Vật lý trị liệu - Phục hồi chức năng.</v>
          </cell>
          <cell r="K461" t="str">
            <v>Bác sĩ khoa VLTL-PHCN</v>
          </cell>
          <cell r="L461" t="str">
            <v>Từ 07:00 đến 11:30 và từ 13:30 đến 17:00 Thứ bảy và chủ nhật hằng tuần, ngày nghỉ, ngày lễ. Tại Phòng khám đa khoa trung tâm Lạng Sơn</v>
          </cell>
        </row>
        <row r="462">
          <cell r="A462" t="str">
            <v>BV0761</v>
          </cell>
          <cell r="B462">
            <v>435</v>
          </cell>
          <cell r="C462" t="str">
            <v>003405/LS-CCHN</v>
          </cell>
          <cell r="D462" t="str">
            <v>Lục Thị Lan</v>
          </cell>
          <cell r="E462" t="str">
            <v>003405/LS-CCHN</v>
          </cell>
          <cell r="F462" t="str">
            <v>21/08/2019</v>
          </cell>
          <cell r="G462" t="str">
            <v>Khám bệnh, chữa bệnh Nội khoa; Phục hồi chức năng</v>
          </cell>
          <cell r="H462" t="str">
            <v>Từ 07:00 đến 11:30 và từ 13:30 đến 17:00 từ thứ hai đến thứ sáu, thời gian trực và làm việc ngoài giờ theo phân công của Lãnh đạo</v>
          </cell>
          <cell r="I462" t="str">
            <v>VLTL-PHCN</v>
          </cell>
          <cell r="J462" t="str">
            <v>Bác sĩ khoa Vật lý trị liệu - Phục hồi chức năng.</v>
          </cell>
          <cell r="K462" t="str">
            <v>Bác sĩ khoa VLTL-PHCN</v>
          </cell>
          <cell r="L462">
            <v>0</v>
          </cell>
        </row>
        <row r="463">
          <cell r="A463" t="str">
            <v>BV0056</v>
          </cell>
          <cell r="B463">
            <v>436</v>
          </cell>
          <cell r="C463" t="str">
            <v>000772/LS-CCHN</v>
          </cell>
          <cell r="D463" t="str">
            <v>Hoàng Diệu Linh</v>
          </cell>
          <cell r="E463" t="str">
            <v>000772/LS-CCHN</v>
          </cell>
          <cell r="F463" t="str">
            <v>11/01/2023</v>
          </cell>
          <cell r="G463" t="str">
            <v>Thực hiện phạm vi hoạt động chuyên môn theo Thông tư số 26/2015/TTLT-BYT-BNV ngày 07/10/2015 quy định  mã số, tiêu chuẩn chức danh nghề nghiệp, điều dưỡng, hộ sinh, kỹ thuật y</v>
          </cell>
          <cell r="H463" t="str">
            <v>Từ 07:00 đến 11:30 và từ 13:30 đến 17:00 từ thứ hai đến thứ sáu, thời gian trực và làm việc ngoài giờ theo phân công của Lãnh đạo</v>
          </cell>
          <cell r="I463" t="str">
            <v>VLTL-PHCN</v>
          </cell>
          <cell r="J463" t="str">
            <v>Điều dưỡng khoa Vật lý trị liệu - Phục hồi chức năng- Điều dưỡng trưởng</v>
          </cell>
          <cell r="K463" t="str">
            <v>Điều dưỡng khoa Vật lý trị liệu - Phục hồi chức năng- Điều dưỡng trưởng</v>
          </cell>
          <cell r="L463">
            <v>0</v>
          </cell>
        </row>
        <row r="464">
          <cell r="A464" t="str">
            <v>BV0221</v>
          </cell>
          <cell r="B464">
            <v>437</v>
          </cell>
          <cell r="C464" t="str">
            <v>000935/LS-CCHN</v>
          </cell>
          <cell r="D464" t="str">
            <v>Nông Quốc Công</v>
          </cell>
          <cell r="E464" t="str">
            <v>000935/LS-CCHN</v>
          </cell>
          <cell r="F464" t="str">
            <v>11/01/2023</v>
          </cell>
          <cell r="G464" t="str">
            <v>Thực hiện phạm vi hoạt động chuyên môn theo Thông tư số 26/2015/TTLT-BYT-BNV ngày 07/10/2015 quy định  mã số, tiêu chuẩn chức danh nghề nghiệp, điều dưỡng, hộ sinh, kỹ thuật y</v>
          </cell>
          <cell r="H464" t="str">
            <v>Từ 07:00 đến 11:30 và từ 13:30 đến 17:00 từ thứ hai đến thứ sáu, thời gian trực và làm việc ngoài giờ theo phân công của Lãnh đạo</v>
          </cell>
          <cell r="I464" t="str">
            <v>VLTL-PHCN</v>
          </cell>
          <cell r="J464" t="str">
            <v>Điều dưỡng khoa Vật lý trị liệu - Phục hồi chức năng.</v>
          </cell>
          <cell r="K464" t="str">
            <v>Điều dưỡng khoa VLTL-PHCN</v>
          </cell>
          <cell r="L464">
            <v>0</v>
          </cell>
        </row>
        <row r="465">
          <cell r="A465" t="str">
            <v>BV0171</v>
          </cell>
          <cell r="B465">
            <v>438</v>
          </cell>
          <cell r="C465" t="str">
            <v>001050/LS-CCHN</v>
          </cell>
          <cell r="D465" t="str">
            <v>Chu Thị Vinh</v>
          </cell>
          <cell r="E465" t="str">
            <v>001050/LS-CCHN</v>
          </cell>
          <cell r="F465" t="str">
            <v>11/01/2023</v>
          </cell>
          <cell r="G465" t="str">
            <v>Thực hiện phạm vi hoạt động chuyên môn theo Thông tư số 26/2015/TTLT-BYT-BNV ngày 07/10/2015 quy định  mã số, tiêu chuẩn chức danh nghề nghiệp, điều dưỡng, hộ sinh, kỹ thuật y</v>
          </cell>
          <cell r="H465" t="str">
            <v>Từ 07:00 đến 11:30 và từ 13:30 đến 17:00 từ thứ hai đến thứ sáu, thời gian trực và làm việc ngoài giờ theo phân công của Lãnh đạo</v>
          </cell>
          <cell r="I465" t="str">
            <v>VLTL-PHCN</v>
          </cell>
          <cell r="J465" t="str">
            <v>Điều dưỡng khoa Vật lý trị liệu - Phục hồi chức năng.</v>
          </cell>
          <cell r="K465" t="str">
            <v>Điều dưỡng khoa VLTL-PHCN</v>
          </cell>
          <cell r="L465">
            <v>0</v>
          </cell>
        </row>
        <row r="466">
          <cell r="A466" t="str">
            <v>BV0371</v>
          </cell>
          <cell r="B466">
            <v>439</v>
          </cell>
          <cell r="C466" t="str">
            <v>001110/LS-CCHN</v>
          </cell>
          <cell r="D466" t="str">
            <v>Tô Thị Nghị</v>
          </cell>
          <cell r="E466" t="str">
            <v>001110/LS-CCHN</v>
          </cell>
          <cell r="F466" t="str">
            <v>11/01/2023</v>
          </cell>
          <cell r="G466" t="str">
            <v>Thực hiện phạm vi hoạt động chuyên môn theo Thông tư số 26/2015/TTLT-BYT-BNV ngày 07/10/2015 quy định  mã số, tiêu chuẩn chức danh nghề nghiệp, điều dưỡng, hộ sinh, kỹ thuật y</v>
          </cell>
          <cell r="H466" t="str">
            <v>Từ 07:00 đến 11:30 và từ 13:30 đến 17:00 từ thứ hai đến thứ sáu, thời gian trực và làm việc ngoài giờ theo phân công của Lãnh đạo</v>
          </cell>
          <cell r="I466" t="str">
            <v>VLTL-PHCN</v>
          </cell>
          <cell r="J466" t="str">
            <v>Điều dưỡng khoa Vật lý trị liệu - Phục hồi chức năng.</v>
          </cell>
          <cell r="K466" t="str">
            <v>Điều dưỡng khoa VLTL-PHCN</v>
          </cell>
          <cell r="L466">
            <v>0</v>
          </cell>
        </row>
        <row r="467">
          <cell r="A467" t="str">
            <v>BV0363</v>
          </cell>
          <cell r="B467">
            <v>440</v>
          </cell>
          <cell r="C467" t="str">
            <v>000899/LS-CCHN</v>
          </cell>
          <cell r="D467" t="str">
            <v>Chu Thị Trang Nhung</v>
          </cell>
          <cell r="E467" t="str">
            <v>000899/LS-CCHN</v>
          </cell>
          <cell r="F467" t="str">
            <v>11/01/2023</v>
          </cell>
          <cell r="G467" t="str">
            <v>Thực hiện phạm vi hoạt động chuyên môn theo Thông tư số 26/2015/TTLT-BYT-BNV ngày 07/10/2015 quy định  mã số, tiêu chuẩn chức danh nghề nghiệp, điều dưỡng, hộ sinh, kỹ thuật y</v>
          </cell>
          <cell r="H467" t="str">
            <v>Từ 07:00 đến 11:30 và từ 13:30 đến 17:00 từ thứ hai đến thứ sáu, thời gian trực và làm việc ngoài giờ theo phân công của Lãnh đạo</v>
          </cell>
          <cell r="I467" t="str">
            <v>VLTL-PHCN</v>
          </cell>
          <cell r="J467" t="str">
            <v>Kỹ thuật y khoa Vật lý trị liệu - Phục hồi chức năng.</v>
          </cell>
          <cell r="K467" t="str">
            <v>Kỹ thuật y khoa VLTL-PHCN</v>
          </cell>
          <cell r="L467">
            <v>0</v>
          </cell>
        </row>
        <row r="468">
          <cell r="A468" t="str">
            <v>BV0367</v>
          </cell>
          <cell r="B468">
            <v>441</v>
          </cell>
          <cell r="C468" t="str">
            <v>000902/LS-CCHN</v>
          </cell>
          <cell r="D468" t="str">
            <v>Nguyễn Hữu Tài</v>
          </cell>
          <cell r="E468" t="str">
            <v>000902/LS-CCHN</v>
          </cell>
          <cell r="F468" t="str">
            <v>11/01/2023</v>
          </cell>
          <cell r="G468" t="str">
            <v>Thực hiện phạm vi hoạt động chuyên môn theo Thông tư số 26/2015/TTLT-BYT-BNV ngày 07/10/2015 quy định  mã số, tiêu chuẩn chức danh nghề nghiệp, điều dưỡng, hộ sinh, kỹ thuật y</v>
          </cell>
          <cell r="H468" t="str">
            <v>Từ 07:00 đến 11:30 và từ 13:30 đến 17:00 từ thứ hai đến thứ sáu, thời gian trực và làm việc ngoài giờ theo phân công của Lãnh đạo</v>
          </cell>
          <cell r="I468" t="str">
            <v>VLTL-PHCN</v>
          </cell>
          <cell r="J468" t="str">
            <v>Kỹ thuật y khoa Vật lý trị liệu - Phục hồi chức năng.</v>
          </cell>
          <cell r="K468" t="str">
            <v>Kỹ thuật y khoa VLTL-PHCN</v>
          </cell>
          <cell r="L468">
            <v>0</v>
          </cell>
        </row>
        <row r="469">
          <cell r="A469" t="str">
            <v>BV0369</v>
          </cell>
          <cell r="B469">
            <v>442</v>
          </cell>
          <cell r="C469" t="str">
            <v>004544/LS-CCHN</v>
          </cell>
          <cell r="D469" t="str">
            <v>Vi Văn Tân</v>
          </cell>
          <cell r="E469" t="str">
            <v>004544/LS-CCHN</v>
          </cell>
          <cell r="F469" t="str">
            <v>12/05/2022</v>
          </cell>
          <cell r="G469" t="str">
            <v>Kỹ thuật viên Vật lý trị liệu - Phục hồi chức năng</v>
          </cell>
          <cell r="H469" t="str">
            <v>Từ 07:00 đến 11:30 và từ 13:30 đến 17:00 từ thứ hai đến thứ sáu, thời gian trực và làm việc ngoài giờ theo phân công của Lãnh đạo</v>
          </cell>
          <cell r="I469" t="str">
            <v>VLTL-PHCN</v>
          </cell>
          <cell r="J469" t="str">
            <v>Kỹ thuật y khoa Vật lý trị liệu - Phục hồi chức năng.</v>
          </cell>
          <cell r="K469" t="str">
            <v>Kỹ thuật y khoa VLTL-PHCN</v>
          </cell>
          <cell r="L469">
            <v>0</v>
          </cell>
        </row>
        <row r="470">
          <cell r="A470" t="str">
            <v>BV0362</v>
          </cell>
          <cell r="B470">
            <v>443</v>
          </cell>
          <cell r="C470" t="str">
            <v>000896/LS-CCHN</v>
          </cell>
          <cell r="D470" t="str">
            <v>Nguyễn Thị Hà</v>
          </cell>
          <cell r="E470" t="str">
            <v>000896/LS-CCHN</v>
          </cell>
          <cell r="F470" t="str">
            <v>24/06/2013</v>
          </cell>
          <cell r="G470" t="str">
            <v>Theo quy định tại Thông tư số 23/2009/TT-BYT ngày 01/12/2009 của Bộ Y tế ban hành tiêu chuẩn nghiệp vụ các ngạch viên chức kỹ thuật y học</v>
          </cell>
          <cell r="H470" t="str">
            <v>Từ 07:00 đến 11:30 và từ 13:30 đến 17:00 từ thứ hai đến thứ sáu, thời gian trực và làm việc ngoài giờ theo phân công của Lãnh đạo</v>
          </cell>
          <cell r="I470" t="str">
            <v>VLTL-PHCN</v>
          </cell>
          <cell r="J470" t="str">
            <v>Kỹ thuật y khoa Vật lý trị liệu - Phục hồi chức năng.</v>
          </cell>
          <cell r="K470" t="str">
            <v>Kỹ thuật y khoa VLTL-PHCN</v>
          </cell>
          <cell r="L470">
            <v>0</v>
          </cell>
        </row>
        <row r="471">
          <cell r="A471" t="str">
            <v>BV0370</v>
          </cell>
          <cell r="B471">
            <v>444</v>
          </cell>
          <cell r="C471" t="str">
            <v>000398/LS-CCHN</v>
          </cell>
          <cell r="D471" t="str">
            <v>Hoàng Mạnh Linh</v>
          </cell>
          <cell r="E471" t="str">
            <v>000398/LS-CCHN</v>
          </cell>
          <cell r="F471" t="str">
            <v>11/01/2023</v>
          </cell>
          <cell r="G471" t="str">
            <v>Thực hiện phạm vi hoạt động chuyên môn theo Thông tư số 26/2015/TTLT-BYT-BNV ngày 07/10/2015 quy định  mã số, tiêu chuẩn chức danh nghề nghiệp, điều dưỡng, hộ sinh, kỹ thuật y</v>
          </cell>
          <cell r="H471" t="str">
            <v>Từ 07:00 đến 11:30 và từ 13:30 đến 17:00 từ thứ hai đến thứ sáu, thời gian trực và làm việc ngoài giờ theo phân công của Lãnh đạo</v>
          </cell>
          <cell r="I471" t="str">
            <v>VLTL-PHCN</v>
          </cell>
          <cell r="J471" t="str">
            <v>Kỹ thuật y khoa Vật lý trị liệu - Phục hồi chức năng.</v>
          </cell>
          <cell r="K471" t="str">
            <v>Kỹ thuật y khoa VLTL-PHCN</v>
          </cell>
          <cell r="L471">
            <v>0</v>
          </cell>
        </row>
        <row r="472">
          <cell r="D472" t="str">
            <v>KHOA TAI MŨI HỌNG</v>
          </cell>
          <cell r="I472" t="e">
            <v>#N/A</v>
          </cell>
        </row>
        <row r="473">
          <cell r="A473" t="str">
            <v>BV0375</v>
          </cell>
          <cell r="B473">
            <v>445</v>
          </cell>
          <cell r="C473" t="str">
            <v>000238/LS-CCHN</v>
          </cell>
          <cell r="D473" t="str">
            <v>Lý Thị Anh</v>
          </cell>
          <cell r="E473" t="str">
            <v>000238/LS-CCHN</v>
          </cell>
          <cell r="F473" t="str">
            <v>20/12/2012</v>
          </cell>
          <cell r="G473" t="str">
            <v>Khám bệnh, chữa bệnh chuyên khoa Tai mũi họng</v>
          </cell>
          <cell r="H473" t="str">
            <v>Từ 07:00 đến 11:30 và từ 13:30 đến 17:00 từ thứ hai đến thứ sáu, thời gian trực và làm việc ngoài giờ theo phân công của Lãnh đạo</v>
          </cell>
          <cell r="I473" t="str">
            <v>Tai mũi họng</v>
          </cell>
          <cell r="J473" t="str">
            <v>Bác sĩ khoa Tai Mũi Họng. Phụ trách khoa</v>
          </cell>
          <cell r="K473" t="str">
            <v>Phụ trách khoa Bác sĩ khoa Tai mũi họng</v>
          </cell>
          <cell r="L473" t="str">
            <v>Từ 11:40 đến 13:20 và từ 17:10 đến 21:00 thứ hai đến thứ sáu; từ 07:00 đến 21:00 thứ bảy, chủ nhật hằng tuần.
Phòng khám chuyên khoa TMH Bác sĩ Anh</v>
          </cell>
        </row>
        <row r="474">
          <cell r="A474" t="str">
            <v>BV0006</v>
          </cell>
          <cell r="B474">
            <v>446</v>
          </cell>
          <cell r="C474" t="str">
            <v>000350/LS-CCHN</v>
          </cell>
          <cell r="D474" t="str">
            <v>Nguyễn Mạnh Cường</v>
          </cell>
          <cell r="E474" t="str">
            <v>000350/LS-CCHN</v>
          </cell>
          <cell r="F474" t="str">
            <v>14/04/2016</v>
          </cell>
          <cell r="G474" t="str">
            <v>Khám bệnh, chữa bệnh chuyên khoa Tai mũi họng</v>
          </cell>
          <cell r="H474" t="str">
            <v>Từ 07:00 đến 11:30 và từ 13:30 đến 17:00 từ thứ hai đến thứ sáu, thời gian trực và làm việc ngoài giờ theo phân công của Lãnh đạo</v>
          </cell>
          <cell r="I474" t="str">
            <v>Tai mũi họng</v>
          </cell>
          <cell r="J474" t="str">
            <v>Bác sĩ khoa Tai Mũi Họng - Phó trưởng khoa.</v>
          </cell>
          <cell r="K474" t="str">
            <v>Bác sĩ khoa Tai Mũi Họng - Phó trưởng khoa.</v>
          </cell>
          <cell r="L474">
            <v>0</v>
          </cell>
        </row>
        <row r="475">
          <cell r="A475" t="str">
            <v>BV0249</v>
          </cell>
          <cell r="B475">
            <v>447</v>
          </cell>
          <cell r="C475" t="str">
            <v>003409/LS-CCHN</v>
          </cell>
          <cell r="D475" t="str">
            <v>Trần Hồng Nhung</v>
          </cell>
          <cell r="E475" t="str">
            <v>003409/LS-CCHN</v>
          </cell>
          <cell r="F475" t="str">
            <v>21/12/2018</v>
          </cell>
          <cell r="G475" t="str">
            <v>Khám bệnh, chữa bệnh chuyên khoa Tai mũi họng</v>
          </cell>
          <cell r="H475" t="str">
            <v>Từ 07:00 đến 11:30 và từ 13:30 đến 17:00 từ thứ hai đến thứ sáu, thời gian trực và làm việc ngoài giờ theo phân công của Lãnh đạo</v>
          </cell>
          <cell r="I475" t="str">
            <v>Tai mũi họng</v>
          </cell>
          <cell r="J475" t="str">
            <v>Bác sĩ khoa Tai Mũi Họng/ phòng Quản lý chất lượng</v>
          </cell>
          <cell r="K475" t="str">
            <v>Bác sĩ khoa Tai mũi họng</v>
          </cell>
          <cell r="L475" t="str">
            <v>Từ 07:00 đến 11:30 và từ 13:30 đến 17:00 Thứ bảy và chủ nhật hằng tuần, ngày nghỉ, ngày lễ. Tại Phòng khám đa khoa trung tâm Lạng Sơn</v>
          </cell>
        </row>
        <row r="476">
          <cell r="A476" t="str">
            <v>BV0949</v>
          </cell>
          <cell r="B476">
            <v>448</v>
          </cell>
          <cell r="C476" t="str">
            <v>004364/LS-CCHN</v>
          </cell>
          <cell r="D476" t="str">
            <v>Đinh Quang Hưng</v>
          </cell>
          <cell r="E476" t="str">
            <v>004364/LS-CCHN</v>
          </cell>
          <cell r="F476" t="str">
            <v>07/10/2021</v>
          </cell>
          <cell r="G476" t="str">
            <v>Khám bệnh, chữa bệnh chuyên khoa Tai mũi họng</v>
          </cell>
          <cell r="H476" t="str">
            <v>Từ 07:00 đến 11:30 và từ 13:30 đến 17:00 từ thứ hai đến thứ sáu, thời gian trực và làm việc ngoài giờ theo phân công của Lãnh đạo</v>
          </cell>
          <cell r="I476" t="str">
            <v>Tai mũi họng</v>
          </cell>
          <cell r="J476" t="str">
            <v>Bác sĩ khoa Tai Mũi Họng.</v>
          </cell>
          <cell r="K476" t="str">
            <v>Bác sĩ khoa Tai mũi họng</v>
          </cell>
          <cell r="L476">
            <v>0</v>
          </cell>
        </row>
        <row r="477">
          <cell r="A477" t="str">
            <v>BV1230</v>
          </cell>
          <cell r="B477">
            <v>449</v>
          </cell>
          <cell r="C477" t="str">
            <v>000210/LS-GPHN</v>
          </cell>
          <cell r="D477" t="str">
            <v>Nông Thị Ngân Giang</v>
          </cell>
          <cell r="E477" t="str">
            <v>000210/LS-GPHN</v>
          </cell>
          <cell r="F477">
            <v>45708</v>
          </cell>
          <cell r="G477" t="str">
            <v>Chuyên khoa Ngoại khoa</v>
          </cell>
          <cell r="H477" t="str">
            <v>Từ 07:00 đến 11:30 và từ 13:30 đến 17:00 từ thứ hai đến thứ sáu, thời gian trực và làm việc ngoài giờ theo phân công của Lãnh đạo</v>
          </cell>
          <cell r="I477" t="str">
            <v>Tai mũi họng</v>
          </cell>
          <cell r="J477" t="str">
            <v>Bác sĩ khoa Tai Mũi Họng</v>
          </cell>
          <cell r="K477" t="str">
            <v>Bác sĩ khoa Tai mũi họng</v>
          </cell>
        </row>
        <row r="478">
          <cell r="A478" t="str">
            <v>BV1280</v>
          </cell>
          <cell r="C478" t="str">
            <v>000196/LS-GPHN</v>
          </cell>
          <cell r="D478" t="str">
            <v>Linh Thị Diệu Hiền</v>
          </cell>
          <cell r="E478" t="str">
            <v>000196/LS-GPHN</v>
          </cell>
          <cell r="F478">
            <v>45680</v>
          </cell>
          <cell r="G478" t="str">
            <v>Nội khoa</v>
          </cell>
          <cell r="H478" t="str">
            <v>Từ 07:00 đến 11:30 và từ 13:30 đến 17:00 từ thứ hai đến thứ sáu, thời gian trực và làm việc ngoài giờ theo phân công của Lãnh đạo</v>
          </cell>
          <cell r="I478" t="str">
            <v>Tai mũi họng</v>
          </cell>
          <cell r="J478" t="str">
            <v>Bác sĩ khoa Tai Mũi Họng</v>
          </cell>
          <cell r="K478" t="str">
            <v>Bác sĩ khoa Tai mũi họng</v>
          </cell>
        </row>
        <row r="479">
          <cell r="A479" t="str">
            <v>BV0194</v>
          </cell>
          <cell r="B479">
            <v>451</v>
          </cell>
          <cell r="C479" t="str">
            <v>000919/LS-CCHN</v>
          </cell>
          <cell r="D479" t="str">
            <v>Hoàng Thị Nhài</v>
          </cell>
          <cell r="E479" t="str">
            <v>000919/LS-CCHN</v>
          </cell>
          <cell r="F479" t="str">
            <v>11/01/2023</v>
          </cell>
          <cell r="G479" t="str">
            <v>Thực hiện phạm vi hoạt động chuyên môn theo Thông tư số 26/2015/TTLT-BYT-BNV ngày 07/10/2015 quy định  mã số, tiêu chuẩn chức danh nghề nghiệp, điều dưỡng, hộ sinh, kỹ thuật y</v>
          </cell>
          <cell r="H479" t="str">
            <v>Từ 07:00 đến 11:30 và từ 13:30 đến 17:00 từ thứ hai đến thứ sáu, thời gian trực và làm việc ngoài giờ theo phân công của Lãnh đạo</v>
          </cell>
          <cell r="I479" t="str">
            <v>Tai mũi họng</v>
          </cell>
          <cell r="J479" t="str">
            <v>Điều dưỡng khoa Tai Mũi Họng.</v>
          </cell>
          <cell r="K479" t="str">
            <v>Điều dưỡng khoa Tai mũi họng</v>
          </cell>
          <cell r="L479">
            <v>0</v>
          </cell>
        </row>
        <row r="480">
          <cell r="A480" t="str">
            <v>BV0376</v>
          </cell>
          <cell r="B480">
            <v>452</v>
          </cell>
          <cell r="C480" t="str">
            <v>000993/LS-CCHN</v>
          </cell>
          <cell r="D480" t="str">
            <v>Hoàng Thu Hường</v>
          </cell>
          <cell r="E480" t="str">
            <v>000993/LS-CCHN</v>
          </cell>
          <cell r="F480" t="str">
            <v>24/06/2013</v>
          </cell>
          <cell r="G480" t="str">
            <v>Theo quy định tại Quyết định số 41/2005/QĐ-BNV ngày 22/4/2005 của Bộ trưởng Bộ Nội vụ về việc ban hành tiêu chuẩn nghiệp vụ các ngạch viên chức y tế điều dưỡng</v>
          </cell>
          <cell r="H480" t="str">
            <v>Từ 07:00 đến 11:30 và từ 13:30 đến 17:00 từ thứ hai đến thứ sáu, thời gian trực và làm việc ngoài giờ theo phân công của Lãnh đạo</v>
          </cell>
          <cell r="I480" t="str">
            <v>Tai mũi họng</v>
          </cell>
          <cell r="J480" t="str">
            <v>Điều dưỡng khoa Tai Mũi Họng- Điều dưỡng trưởng</v>
          </cell>
          <cell r="K480" t="str">
            <v>Điều dưỡng khoa Tai Mũi Họng- Điều dưỡng trưởng</v>
          </cell>
          <cell r="L480">
            <v>0</v>
          </cell>
        </row>
        <row r="481">
          <cell r="A481" t="str">
            <v>BV0380</v>
          </cell>
          <cell r="B481">
            <v>453</v>
          </cell>
          <cell r="C481" t="str">
            <v>000997/LS-CCHN</v>
          </cell>
          <cell r="D481" t="str">
            <v>Nông Thị Tươi</v>
          </cell>
          <cell r="E481" t="str">
            <v>000997/LS-CCHN</v>
          </cell>
          <cell r="F481" t="str">
            <v>11/12/2022</v>
          </cell>
          <cell r="G481" t="str">
            <v>Thực hiện phạm vi hoạt động chuyên môn theo quy định tại Thông tư số 26/2015/TTLT-BYT-BNV ngày 07/10/2015 quy định mã số, tiêu chuẩn chức danh nghề nghiệp điều dưỡng, hộ sinh, kỹ thuật y</v>
          </cell>
          <cell r="H481" t="str">
            <v>Từ 07:00 đến 11:30 và từ 13:30 đến 17:00 từ thứ hai đến thứ sáu, thời gian trực và làm việc ngoài giờ theo phân công của Lãnh đạo</v>
          </cell>
          <cell r="I481" t="str">
            <v>Tai mũi họng</v>
          </cell>
          <cell r="J481" t="str">
            <v>Điều dưỡng khoa Tai Mũi Họng.</v>
          </cell>
          <cell r="K481" t="str">
            <v>Điều dưỡng khoa Tai mũi họng</v>
          </cell>
          <cell r="L481">
            <v>0</v>
          </cell>
        </row>
        <row r="482">
          <cell r="A482" t="str">
            <v>BV0386</v>
          </cell>
          <cell r="B482">
            <v>454</v>
          </cell>
          <cell r="C482" t="str">
            <v>001001/LS-CCHN</v>
          </cell>
          <cell r="D482" t="str">
            <v>Ngô Thị Huyền</v>
          </cell>
          <cell r="E482" t="str">
            <v>001001/LS-CCHN</v>
          </cell>
          <cell r="F482" t="str">
            <v>11/01/2023</v>
          </cell>
          <cell r="G482" t="str">
            <v>Thực hiện phạm vi hoạt động chuyên môn theo Thông tư số 26/2015/TTLT-BYT-BNV ngày 07/10/2015 quy định  mã số, tiêu chuẩn chức danh nghề nghiệp, điều dưỡng, hộ sinh, kỹ thuật y</v>
          </cell>
          <cell r="H482" t="str">
            <v>Từ 07:00 đến 11:30 và từ 13:30 đến 17:00 từ thứ hai đến thứ sáu, thời gian trực và làm việc ngoài giờ theo phân công của Lãnh đạo</v>
          </cell>
          <cell r="I482" t="str">
            <v>Tai mũi họng</v>
          </cell>
          <cell r="J482" t="str">
            <v>Điều dưỡng khoa Tai Mũi Họng.</v>
          </cell>
          <cell r="K482" t="str">
            <v>Điều dưỡng khoa Tai mũi họng</v>
          </cell>
          <cell r="L482">
            <v>0</v>
          </cell>
        </row>
        <row r="483">
          <cell r="A483" t="str">
            <v>BV0381</v>
          </cell>
          <cell r="B483">
            <v>455</v>
          </cell>
          <cell r="C483" t="str">
            <v>000998/LS-CCHN</v>
          </cell>
          <cell r="D483" t="str">
            <v>Nông Minh Hiếu</v>
          </cell>
          <cell r="E483" t="str">
            <v>000998/LS-CCHN</v>
          </cell>
          <cell r="F483" t="str">
            <v>11/12/2022</v>
          </cell>
          <cell r="G483" t="str">
            <v>Thực hiện phạm vi hoạt động chuyên môn theo quy định tại Thông tư số 26/2015/TTLT-BYT-BNV ngày 07/10/2015 quy định mã số, tiêu chuẩn chức danh nghề nghiệp điều dưỡng, hộ sinh, kỹ thuật y</v>
          </cell>
          <cell r="H483" t="str">
            <v>Từ 07:00 đến 11:30 và từ 13:30 đến 17:00 từ thứ hai đến thứ sáu, thời gian trực và làm việc ngoài giờ theo phân công của Lãnh đạo</v>
          </cell>
          <cell r="I483" t="str">
            <v>Tai mũi họng</v>
          </cell>
          <cell r="J483" t="str">
            <v>Điều dưỡng khoa Tai Mũi Họng.</v>
          </cell>
          <cell r="K483" t="str">
            <v>Điều dưỡng khoa VLTL-PHCN</v>
          </cell>
          <cell r="L483">
            <v>0</v>
          </cell>
        </row>
        <row r="484">
          <cell r="A484" t="str">
            <v>BV0383</v>
          </cell>
          <cell r="B484">
            <v>456</v>
          </cell>
          <cell r="C484" t="str">
            <v>000999/LS-CCHN</v>
          </cell>
          <cell r="D484" t="str">
            <v>Vũ Thúy Ngân</v>
          </cell>
          <cell r="E484" t="str">
            <v>000999/LS-CCHN</v>
          </cell>
          <cell r="F484" t="str">
            <v>11/01/2023</v>
          </cell>
          <cell r="G484" t="str">
            <v>Thực hiện phạm vi hoạt động chuyên môn theo Thông tư số 26/2015/TTLT-BYT-BNV ngày 07/10/2015 quy định  mã số, tiêu chuẩn chức danh nghề nghiệp, điều dưỡng, hộ sinh, kỹ thuật y</v>
          </cell>
          <cell r="H484" t="str">
            <v>Từ 07:00 đến 11:30 và từ 13:30 đến 17:00 từ thứ hai đến thứ sáu, thời gian trực và làm việc ngoài giờ theo phân công của Lãnh đạo</v>
          </cell>
          <cell r="I484" t="str">
            <v>Tai mũi họng</v>
          </cell>
          <cell r="J484" t="str">
            <v>Điều dưỡng khoa Tai Mũi Họng.</v>
          </cell>
          <cell r="K484" t="str">
            <v>Điều dưỡng khoa Tai mũi họng</v>
          </cell>
          <cell r="L484">
            <v>0</v>
          </cell>
        </row>
        <row r="485">
          <cell r="A485" t="str">
            <v>BV0021</v>
          </cell>
          <cell r="B485">
            <v>457</v>
          </cell>
          <cell r="C485" t="str">
            <v>000748/LS-CCHN</v>
          </cell>
          <cell r="D485" t="str">
            <v>Lý Thị Lệ</v>
          </cell>
          <cell r="E485" t="str">
            <v>000748/LS-CCHN</v>
          </cell>
          <cell r="F485" t="str">
            <v>11/01/2023</v>
          </cell>
          <cell r="G485" t="str">
            <v>Thực hiện phạm vi hoạt động chuyên môn theo Thông tư số 26/2015/TTLT-BYT-BNV ngày 07/10/2015 quy định  mã số, tiêu chuẩn chức danh nghề nghiệp, điều dưỡng, hộ sinh, kỹ thuật y</v>
          </cell>
          <cell r="H485" t="str">
            <v>Từ 07:00 đến 11:30 và từ 13:30 đến 17:00 từ thứ hai đến thứ sáu, thời gian trực và làm việc ngoài giờ theo phân công của Lãnh đạo</v>
          </cell>
          <cell r="I485" t="str">
            <v>Tai mũi họng</v>
          </cell>
          <cell r="J485" t="str">
            <v>Điều dưỡng khoa Tai Mũi Họng.</v>
          </cell>
          <cell r="K485" t="str">
            <v>Điều dưỡng khoa Tai mũi họng</v>
          </cell>
          <cell r="L485">
            <v>0</v>
          </cell>
        </row>
        <row r="486">
          <cell r="D486" t="str">
            <v>KHOA MẮT</v>
          </cell>
          <cell r="I486" t="e">
            <v>#N/A</v>
          </cell>
        </row>
        <row r="487">
          <cell r="A487" t="str">
            <v>BV0391</v>
          </cell>
          <cell r="B487">
            <v>458</v>
          </cell>
          <cell r="C487" t="str">
            <v>000013/LS-CCHN</v>
          </cell>
          <cell r="D487" t="str">
            <v>Bạch Ngọc Sỹ</v>
          </cell>
          <cell r="E487" t="str">
            <v>000013/LS-CCHN</v>
          </cell>
          <cell r="F487" t="str">
            <v>11/01/2023</v>
          </cell>
          <cell r="G487" t="str">
            <v>Khám chữa bệnh chuyên khoa Mắt</v>
          </cell>
          <cell r="H487" t="str">
            <v>Từ 07:00 đến 11:30 và từ 13:30 đến 17:00 từ thứ hai đến thứ sáu, thời gian trực và làm việc ngoài giờ theo phân công của Lãnh đạo</v>
          </cell>
          <cell r="I487" t="str">
            <v>Mắt</v>
          </cell>
          <cell r="J487" t="str">
            <v>Bác sĩ khoa Mắt - Trưởng khoa.</v>
          </cell>
          <cell r="K487" t="str">
            <v>Bác sĩ khoa Mắt - Trưởng khoa.</v>
          </cell>
          <cell r="L487">
            <v>0</v>
          </cell>
        </row>
        <row r="488">
          <cell r="A488" t="str">
            <v>BV0392</v>
          </cell>
          <cell r="B488">
            <v>459</v>
          </cell>
          <cell r="C488" t="str">
            <v>000014/LS-CCHN</v>
          </cell>
          <cell r="D488" t="str">
            <v>Hoàng Sơn</v>
          </cell>
          <cell r="E488" t="str">
            <v>000014/LS-CCHN</v>
          </cell>
          <cell r="F488" t="str">
            <v>11/01/2023</v>
          </cell>
          <cell r="G488" t="str">
            <v>Khám chữa bệnh chuyên khoa Mắt</v>
          </cell>
          <cell r="H488" t="str">
            <v>Từ 07:00 đến 11:30 và từ 13:30 đến 17:00 từ thứ hai đến thứ sáu, thời gian trực và làm việc ngoài giờ theo phân công của Lãnh đạo</v>
          </cell>
          <cell r="I488" t="str">
            <v>Mắt</v>
          </cell>
          <cell r="J488" t="str">
            <v>Bác sĩ khoa Mắt - Phó trưởng khoa.</v>
          </cell>
          <cell r="K488" t="str">
            <v>Bác sĩ khoa Mắt - Phó trưởng khoa.</v>
          </cell>
          <cell r="L488" t="str">
            <v>Từ 11:35 đến 12:00 và từ 17:05 đến 19:30 thứ hai đến thử  sáu, từ 08:00 đến 12:00 và từ 14:00 đến 18:00 thứ bảy và chủ nhật hằng tuần</v>
          </cell>
        </row>
        <row r="489">
          <cell r="A489" t="str">
            <v>BV0393</v>
          </cell>
          <cell r="B489">
            <v>460</v>
          </cell>
          <cell r="C489" t="str">
            <v>000012/LS-CCHN</v>
          </cell>
          <cell r="D489" t="str">
            <v>Trần Quốc Hải</v>
          </cell>
          <cell r="E489" t="str">
            <v>000012/LS-CCHN</v>
          </cell>
          <cell r="F489" t="str">
            <v>11/12/2022</v>
          </cell>
          <cell r="G489" t="str">
            <v>Khám bệnh, chữa bệnh chuyên khoa Mắt</v>
          </cell>
          <cell r="H489" t="str">
            <v>Từ 07:00 đến 11:30 và từ 13:30 đến 17:00 từ thứ hai đến thứ sáu, thời gian trực và làm việc ngoài giờ theo phân công của Lãnh đạo</v>
          </cell>
          <cell r="I489" t="str">
            <v>Mắt</v>
          </cell>
          <cell r="J489" t="str">
            <v>Bác sĩ khoa Mắt.</v>
          </cell>
          <cell r="K489" t="str">
            <v>bác sĩ khoa Mắt</v>
          </cell>
          <cell r="L489" t="str">
            <v>07:00 đến 11:30 và từ 13:30 đến 17:00 thứ bảy, chủ nhật; Phòng khám đa khoa Trường Sinh</v>
          </cell>
        </row>
        <row r="490">
          <cell r="A490" t="str">
            <v>BV0395</v>
          </cell>
          <cell r="B490">
            <v>461</v>
          </cell>
          <cell r="C490" t="str">
            <v>003073/LS-CCHN</v>
          </cell>
          <cell r="D490" t="str">
            <v>Lý Ngọc Thủy</v>
          </cell>
          <cell r="E490" t="str">
            <v>003073/LS-CCHN</v>
          </cell>
          <cell r="F490" t="str">
            <v>07/09/2015</v>
          </cell>
          <cell r="G490" t="str">
            <v>Khám bệnh chữa bệnh đa khoa; chuyên khoa Mắt</v>
          </cell>
          <cell r="H490" t="str">
            <v>Từ 07:00 đến 11:30 và từ 13:30 đến 17:00 từ thứ hai đến thứ sáu, thời gian trực và làm việc ngoài giờ theo phân công của Lãnh đạo</v>
          </cell>
          <cell r="I490" t="str">
            <v>Mắt</v>
          </cell>
          <cell r="J490" t="str">
            <v>Bác sĩ khoa Mắt.</v>
          </cell>
          <cell r="K490" t="str">
            <v>Bác sĩ khoa Mắt</v>
          </cell>
          <cell r="L490">
            <v>0</v>
          </cell>
        </row>
        <row r="491">
          <cell r="A491" t="str">
            <v>BV0398</v>
          </cell>
          <cell r="B491">
            <v>462</v>
          </cell>
          <cell r="C491" t="str">
            <v>000454/LS-CCHN</v>
          </cell>
          <cell r="D491" t="str">
            <v>Phạm Thị Ngần</v>
          </cell>
          <cell r="E491" t="str">
            <v>000454/LS-CCHN</v>
          </cell>
          <cell r="F491" t="str">
            <v>24/08/2016</v>
          </cell>
          <cell r="G491" t="str">
            <v>Thực hiện phạm vi hoạt động chuyên môn theo quy định tại Thông tư số 26/2015/TTLT-BYT-BNV ngày 07/10/2015 quy định mã số, tiêu chuẩn chức danh nghề nghiệp điều dưỡng, hộ sinh, kỹ thuật y</v>
          </cell>
          <cell r="H491" t="str">
            <v>Từ 07:00 đến 11:30 và từ 13:30 đến 17:00 từ thứ hai đến thứ sáu, thời gian trực và làm việc ngoài giờ theo phân công của Lãnh đạo</v>
          </cell>
          <cell r="I491" t="str">
            <v>Mắt</v>
          </cell>
          <cell r="J491" t="str">
            <v>Điều dưỡng khoa Mắt.</v>
          </cell>
          <cell r="K491" t="str">
            <v>Điều dưỡng khoa Mắt</v>
          </cell>
          <cell r="L491">
            <v>0</v>
          </cell>
        </row>
        <row r="492">
          <cell r="A492" t="str">
            <v>BV0302</v>
          </cell>
          <cell r="B492">
            <v>463</v>
          </cell>
          <cell r="C492" t="str">
            <v>000868/LS-CCHN</v>
          </cell>
          <cell r="D492" t="str">
            <v>Nguyễn Thanh Thúy</v>
          </cell>
          <cell r="E492" t="str">
            <v>000868/LS-CCHN</v>
          </cell>
          <cell r="F492" t="str">
            <v>11/01/2023</v>
          </cell>
          <cell r="G492" t="str">
            <v>Thực hiện phạm vi hoạt động chuyên môn theo Thông tư số 26/2015/TTLT-BYT-BNV ngày 07/10/2015 quy định  mã số, tiêu chuẩn chức danh nghề nghiệp, điều dưỡng, hộ sinh, kỹ thuật y</v>
          </cell>
          <cell r="H492" t="str">
            <v>Từ 07:00 đến 11:30 và từ 13:30 đến 17:00 từ thứ hai đến thứ sáu, thời gian trực và làm việc ngoài giờ theo phân công của Lãnh đạo</v>
          </cell>
          <cell r="I492" t="str">
            <v>Mắt</v>
          </cell>
          <cell r="J492" t="str">
            <v>Điều dưỡng khoa Mắt- Điều dưỡng trưởng</v>
          </cell>
          <cell r="K492" t="str">
            <v>Điều dưỡng khoa Mắt- Điều dưỡng trưởng</v>
          </cell>
          <cell r="L492">
            <v>0</v>
          </cell>
        </row>
        <row r="493">
          <cell r="A493" t="str">
            <v>BV0400</v>
          </cell>
          <cell r="B493">
            <v>464</v>
          </cell>
          <cell r="C493" t="str">
            <v>002290/LS-CCHN</v>
          </cell>
          <cell r="D493" t="str">
            <v>Hoàng Minh Hiếu</v>
          </cell>
          <cell r="E493" t="str">
            <v>002290/LS-CCHN</v>
          </cell>
          <cell r="F493" t="str">
            <v>04/04/2014</v>
          </cell>
          <cell r="G493" t="str">
            <v>Chăm sóc người bệnh theo chuyên khoa Mắt</v>
          </cell>
          <cell r="H493" t="str">
            <v>Từ 07:00 đến 11:30 và từ 13:30 đến 17:00 từ thứ hai đến thứ sáu, thời gian trực và làm việc ngoài giờ theo phân công của Lãnh đạo</v>
          </cell>
          <cell r="I493" t="str">
            <v>Mắt</v>
          </cell>
          <cell r="J493" t="str">
            <v>Điều dưỡng khoa Mắt.</v>
          </cell>
          <cell r="K493" t="str">
            <v>Điều dưỡng khoa Mắt</v>
          </cell>
          <cell r="L493">
            <v>0</v>
          </cell>
        </row>
        <row r="494">
          <cell r="A494" t="str">
            <v>BV0403</v>
          </cell>
          <cell r="B494">
            <v>465</v>
          </cell>
          <cell r="C494" t="str">
            <v>001011/LS-CCHN</v>
          </cell>
          <cell r="D494" t="str">
            <v>Hà Thị Thanh Lý</v>
          </cell>
          <cell r="E494" t="str">
            <v>001011/LS-CCHN</v>
          </cell>
          <cell r="F494" t="str">
            <v>11/01/2023</v>
          </cell>
          <cell r="G494" t="str">
            <v>Thực hiện phạm vi hoạt động chuyên môn theo Thông tư số 26/2015/TTLT-BYT-BNV ngày 07/10/2015 quy định  mã số, tiêu chuẩn chức danh nghề nghiệp, điều dưỡng, hộ sinh, kỹ thuật y</v>
          </cell>
          <cell r="H494" t="str">
            <v>Từ 07:00 đến 11:30 và từ 13:30 đến 17:00 từ thứ hai đến thứ sáu, thời gian trực và làm việc ngoài giờ theo phân công của Lãnh đạo</v>
          </cell>
          <cell r="I494" t="str">
            <v>Mắt</v>
          </cell>
          <cell r="J494" t="str">
            <v>Điều dưỡng khoa Mắt / GM-HS</v>
          </cell>
          <cell r="K494" t="str">
            <v>Điều dưỡng khoa Mắt / GM-HS</v>
          </cell>
          <cell r="L494">
            <v>0</v>
          </cell>
        </row>
        <row r="495">
          <cell r="A495" t="str">
            <v>BV0402</v>
          </cell>
          <cell r="B495">
            <v>466</v>
          </cell>
          <cell r="C495" t="str">
            <v>001010/LS-CCHN</v>
          </cell>
          <cell r="D495" t="str">
            <v>Hoàng Thị Loan</v>
          </cell>
          <cell r="E495" t="str">
            <v>001010/LS-CCHN</v>
          </cell>
          <cell r="F495" t="str">
            <v>11/01/2023</v>
          </cell>
          <cell r="G495" t="str">
            <v>Thực hiện phạm vi hoạt động chuyên môn theo Thông tư số 26/2015/TTLT-BYT-BNV ngày 07/10/2015 quy định  mã số, tiêu chuẩn chức danh nghề nghiệp, điều dưỡng, hộ sinh, kỹ thuật y</v>
          </cell>
          <cell r="H495" t="str">
            <v>Từ 07:00 đến 11:30 và từ 13:30 đến 17:00 từ thứ hai đến thứ sáu, thời gian trực và làm việc ngoài giờ theo phân công của Lãnh đạo</v>
          </cell>
          <cell r="I495" t="str">
            <v>Mắt</v>
          </cell>
          <cell r="J495" t="str">
            <v>Điều dưỡng khoa Mắt / Khám bệnh</v>
          </cell>
          <cell r="K495" t="str">
            <v>Điều dưỡng khoa Khám bệnh</v>
          </cell>
          <cell r="L495">
            <v>0</v>
          </cell>
        </row>
        <row r="496">
          <cell r="D496" t="str">
            <v>KHOA RĂNG HÀM MẶT</v>
          </cell>
          <cell r="I496" t="e">
            <v>#N/A</v>
          </cell>
        </row>
        <row r="497">
          <cell r="A497" t="str">
            <v>BV0406</v>
          </cell>
          <cell r="B497">
            <v>467</v>
          </cell>
          <cell r="C497" t="str">
            <v>000009/LS-CCHN</v>
          </cell>
          <cell r="D497" t="str">
            <v>Nguyễn Khắc Trường</v>
          </cell>
          <cell r="E497" t="str">
            <v>000009/LS-CCHN</v>
          </cell>
          <cell r="F497" t="str">
            <v>11/01/2023</v>
          </cell>
          <cell r="G497" t="str">
            <v>Khám chữa bệnh chuyên khoa Răng Hàm Mặt</v>
          </cell>
          <cell r="H497" t="str">
            <v>Từ 07:00 đến 11:30 và từ 13:30 đến 17:00 từ thứ hai đến thứ sáu, thời gian trực và làm việc ngoài giờ theo phân công của Lãnh đạo</v>
          </cell>
          <cell r="I497" t="str">
            <v>Răng Hàm Mặt</v>
          </cell>
          <cell r="J497" t="str">
            <v>Bác sĩ khoa Răng Hàm Mặt. Phụ trách khoa</v>
          </cell>
          <cell r="K497" t="str">
            <v>Phụ trách khoa bác sĩ khoa Răng Hàm Mặt</v>
          </cell>
          <cell r="L497" t="str">
            <v>Phòng khám RHM 25 Minh Khai, phường Hoàng Văn Thụ, TPLS. Từ 11:40 đến 13:20 và từ 17:10 đến 19:00 thứ hai đến thứ sáu; từ 07:30 đến11:30 và từ 14:00 đến 18:00 thứ bảy, chủ nhật hàng tuần. Những ngày nghỉ trực.</v>
          </cell>
        </row>
        <row r="498">
          <cell r="A498" t="str">
            <v>BV0919</v>
          </cell>
          <cell r="B498">
            <v>468</v>
          </cell>
          <cell r="C498" t="str">
            <v>002927/LS-CCHN</v>
          </cell>
          <cell r="D498" t="str">
            <v>Hoàng Doãn Toán</v>
          </cell>
          <cell r="E498" t="str">
            <v>002927/LS-CCHN</v>
          </cell>
          <cell r="F498" t="str">
            <v>13/02/2015</v>
          </cell>
          <cell r="G498" t="str">
            <v>Khám bệnh, chữa bệnh chuyên khoa Răng hàm mặt</v>
          </cell>
          <cell r="H498" t="str">
            <v>Từ 07:00 đến 11:30 và từ 13:30 đến 17:00 từ thứ hai đến thứ sáu, thời gian trực và làm việc ngoài giờ theo phân công của Lãnh đạo</v>
          </cell>
          <cell r="I498" t="str">
            <v>Răng Hàm Mặt</v>
          </cell>
          <cell r="J498" t="str">
            <v>Bác sĩ khoa Răng Hàm Mặt.</v>
          </cell>
          <cell r="K498" t="str">
            <v>Bác sĩ khoa Răng Hàm Mặt</v>
          </cell>
          <cell r="L498" t="str">
            <v>Phòng khám nha khoa Dr Toán, 245 Trần Đăng Ninh, P. Tam Thanh, TPLS Từ 11:40 đến 13:20 và từ 17:10 đến 19:00 thứ hai đến thứ sáu; từ 07:30 đến11:30 và từ 14:00 đến 18:00 thứ bảy, chủ nhật hàng tuần. Những ngày nghỉ trực.</v>
          </cell>
        </row>
        <row r="499">
          <cell r="A499" t="str">
            <v>BV1031</v>
          </cell>
          <cell r="B499">
            <v>469</v>
          </cell>
          <cell r="C499" t="str">
            <v>003181/LS-CCHN</v>
          </cell>
          <cell r="D499" t="str">
            <v>Nông Thị Bích Phương</v>
          </cell>
          <cell r="E499" t="str">
            <v>003181/LS-CCHN</v>
          </cell>
          <cell r="F499" t="str">
            <v>04/02/2020</v>
          </cell>
          <cell r="G499" t="str">
            <v>Khám bệnh, chữa bệnh chuyên khoa Răng hàm mặt</v>
          </cell>
          <cell r="H499" t="str">
            <v>Từ 07:00 đến 11:30 và từ 13:30 đến 17:00 từ thứ hai đến thứ sáu, thời gian trực và làm việc ngoài giờ theo phân công của Lãnh đạo</v>
          </cell>
          <cell r="I499" t="str">
            <v>Răng Hàm Mặt</v>
          </cell>
          <cell r="J499" t="str">
            <v>Bác sĩ khoa Răng Hàm Mặt.</v>
          </cell>
          <cell r="K499" t="str">
            <v>Bác sĩ khoa Răng Hàm Mặt</v>
          </cell>
          <cell r="L499" t="str">
            <v>Từ 11:40 đến 13:20 và từ 17:10 đến 19:00 thứ hai đến thứ sáu; từ 07:00 đến 20:00 thứ bảy, chủ nhật hàng tuần. Tại Phòng khám chuyên khoa Răng Hàm Mặt số 198 khối 7 xã Cao Lộc</v>
          </cell>
        </row>
        <row r="500">
          <cell r="A500" t="str">
            <v>BV0796</v>
          </cell>
          <cell r="B500">
            <v>470</v>
          </cell>
          <cell r="C500" t="str">
            <v>003605/LS-CCHN</v>
          </cell>
          <cell r="D500" t="str">
            <v>Hoàng Hồng Nguyên</v>
          </cell>
          <cell r="E500" t="str">
            <v>003605/LS-CCHN</v>
          </cell>
          <cell r="F500" t="str">
            <v>21/10/2019</v>
          </cell>
          <cell r="G500" t="str">
            <v>Khám bệnh, chữa bệnh chuyên khoa Răng hàm mặt</v>
          </cell>
          <cell r="H500" t="str">
            <v>Từ 07:00 đến 11:30 và từ 13:30 đến 17:00 từ thứ hai đến thứ sáu, thời gian trực và làm việc ngoài giờ theo phân công của Lãnh đạo</v>
          </cell>
          <cell r="I500" t="str">
            <v>Răng Hàm Mặt</v>
          </cell>
          <cell r="J500" t="str">
            <v>Bác sĩ khoa Răng Hàm Mặt.</v>
          </cell>
          <cell r="K500" t="str">
            <v>Bác sĩ khoa Răng Hàm Mặt</v>
          </cell>
          <cell r="L500" t="str">
            <v>Từ 11:40 đến 13:20 và từ 17:10 đến 19:00 thứ hai đến thứ sáu; từ 07:30 đến11:30 và từ 14:00 đến 18:00 thứ bảy, chủ nhật hàng tuần. Tại Phòng khám chuyên khoa Răng Hàm Mặt Nha Khoa Thành Công</v>
          </cell>
        </row>
        <row r="501">
          <cell r="A501" t="str">
            <v>BV0963</v>
          </cell>
          <cell r="B501">
            <v>471</v>
          </cell>
          <cell r="C501" t="str">
            <v>004337/LS-CCHN</v>
          </cell>
          <cell r="D501" t="str">
            <v>Trương Thanh Trì</v>
          </cell>
          <cell r="E501" t="str">
            <v>004337/LS-CCHN</v>
          </cell>
          <cell r="F501" t="str">
            <v>17/08/2021</v>
          </cell>
          <cell r="G501" t="str">
            <v>Khám bệnh, chữa bệnh chuyên khoa Răng hàm mặt</v>
          </cell>
          <cell r="H501" t="str">
            <v>Từ 07:00 đến 11:30 và từ 13:30 đến 17:00 từ thứ hai đến thứ sáu, thời gian trực và làm việc ngoài giờ theo phân công của Lãnh đạo</v>
          </cell>
          <cell r="I501" t="str">
            <v>Răng Hàm Mặt</v>
          </cell>
          <cell r="J501" t="str">
            <v>Bác sĩ khoa Răng Hàm Mặt.</v>
          </cell>
          <cell r="K501" t="str">
            <v>Bác sĩ khoa Răng Hàm Mặt</v>
          </cell>
          <cell r="L501" t="str">
            <v>Từ 11:40 đến 13:20 và từ 17:10 đến 19:00 thứ hai đến thứ sáu; từ 07:30 đến11:30 và từ 14:00 đến 18:00 thứ bảy, chủ nhật hàng tuần. Tại Phòng khám chuyên khoa Răng Hàm Mặt Thanh Trì</v>
          </cell>
        </row>
        <row r="502">
          <cell r="A502" t="str">
            <v>BV1227</v>
          </cell>
          <cell r="B502">
            <v>472</v>
          </cell>
          <cell r="C502" t="str">
            <v>005706/LS-CCHN</v>
          </cell>
          <cell r="D502" t="str">
            <v>Ngô Công Anh</v>
          </cell>
          <cell r="E502" t="str">
            <v>005706/LS-CCHN</v>
          </cell>
          <cell r="F502" t="str">
            <v>31/10/2023</v>
          </cell>
          <cell r="G502" t="str">
            <v>Khám bệnh, chữa bệnh chuyên khoa Răng hàm mặt</v>
          </cell>
          <cell r="H502" t="str">
            <v>Từ 07:00 đến 11:30 và từ 13:30 đến 17:00 từ thứ hai đến thứ sáu, thời gian trực và làm việc ngoài giờ theo phân công của Lãnh đạo</v>
          </cell>
          <cell r="I502" t="str">
            <v>Răng hàm mặt</v>
          </cell>
          <cell r="J502" t="str">
            <v>Bác sĩ khoa Răng Hàm Mặt.</v>
          </cell>
          <cell r="K502" t="str">
            <v>Bác sĩ khoa Răng hàm mặt</v>
          </cell>
          <cell r="L502">
            <v>0</v>
          </cell>
        </row>
        <row r="503">
          <cell r="A503" t="str">
            <v>BV0217</v>
          </cell>
          <cell r="B503">
            <v>473</v>
          </cell>
          <cell r="C503" t="str">
            <v>001046/LS-CCHN</v>
          </cell>
          <cell r="D503" t="str">
            <v>Vi Thị Nhị</v>
          </cell>
          <cell r="E503" t="str">
            <v>001046/LS-CCHN</v>
          </cell>
          <cell r="F503" t="str">
            <v>11/01/2023</v>
          </cell>
          <cell r="G503" t="str">
            <v>Thực hiện phạm vi hoạt động chuyên môn theo Thông tư số 26/2015/TTLT-BYT-BNV ngày 07/10/2015 quy định  mã số, tiêu chuẩn chức danh nghề nghiệp, điều dưỡng, hộ sinh, kỹ thuật y</v>
          </cell>
          <cell r="H503" t="str">
            <v>Từ 07:00 đến 11:30 và từ 13:30 đến 17:00 từ thứ hai đến thứ sáu, thời gian trực và làm việc ngoài giờ theo phân công của Lãnh đạo</v>
          </cell>
          <cell r="I503" t="str">
            <v>Răng Hàm Mặt</v>
          </cell>
          <cell r="J503" t="str">
            <v>Điều dưỡng khoa Răng Hàm Mặt- Điều dưỡng trưởng</v>
          </cell>
          <cell r="K503" t="str">
            <v>Điều dưỡng khoa Răng Hàm Mặt- Điều dưỡng trưởng</v>
          </cell>
          <cell r="L503">
            <v>0</v>
          </cell>
        </row>
        <row r="504">
          <cell r="A504" t="str">
            <v>BV0150</v>
          </cell>
          <cell r="B504">
            <v>474</v>
          </cell>
          <cell r="C504" t="str">
            <v>000844/LS-CCHN</v>
          </cell>
          <cell r="D504" t="str">
            <v>Nông Thị Ngọc</v>
          </cell>
          <cell r="E504" t="str">
            <v>000844/LS-CCHN</v>
          </cell>
          <cell r="F504" t="str">
            <v>11/01/2023</v>
          </cell>
          <cell r="G504" t="str">
            <v>Thực hiện phạm vi hoạt động chuyên môn theo Thông tư số 26/2015/TTLT-BYT-BNV ngày 07/10/2015 quy định  mã số, tiêu chuẩn chức danh nghề nghiệp, điều dưỡng, hộ sinh, kỹ thuật y</v>
          </cell>
          <cell r="H504" t="str">
            <v>Từ 07:00 đến 11:30 và từ 13:30 đến 17:00 từ thứ hai đến thứ sáu, thời gian trực và làm việc ngoài giờ theo phân công của Lãnh đạo</v>
          </cell>
          <cell r="I504" t="str">
            <v>Răng Hàm Mặt</v>
          </cell>
          <cell r="J504" t="str">
            <v>Điều dưỡng khoa Răng Hàm Mặt</v>
          </cell>
          <cell r="K504" t="str">
            <v>Điều dưỡng khoa Răng Hàm Mặt</v>
          </cell>
          <cell r="L504">
            <v>0</v>
          </cell>
        </row>
        <row r="505">
          <cell r="A505" t="str">
            <v>BV0415</v>
          </cell>
          <cell r="B505">
            <v>475</v>
          </cell>
          <cell r="C505" t="str">
            <v>001017/LS-CCHN</v>
          </cell>
          <cell r="D505" t="str">
            <v>Hoàng Thị Hoa</v>
          </cell>
          <cell r="E505" t="str">
            <v>001017/LS-CCHN</v>
          </cell>
          <cell r="F505" t="str">
            <v>11/01/2023</v>
          </cell>
          <cell r="G505" t="str">
            <v>Thực hiện phạm vi hoạt động chuyên môn theo Thông tư số 26/2015/TTLT-BYT-BNV ngày 07/10/2015 quy định  mã số, tiêu chuẩn chức danh nghề nghiệp, điều dưỡng, hộ sinh, kỹ thuật y</v>
          </cell>
          <cell r="H505" t="str">
            <v>Từ 07:00 đến 11:30 và từ 13:30 đến 17:00 từ thứ hai đến thứ sáu, thời gian trực và làm việc ngoài giờ theo phân công của Lãnh đạo</v>
          </cell>
          <cell r="I505" t="str">
            <v>Răng Hàm Mặt</v>
          </cell>
          <cell r="J505" t="str">
            <v>Điều dưỡng khoa Răng Hàm Mặt.</v>
          </cell>
          <cell r="K505" t="str">
            <v>Điều dưỡng khoa Răng Hàm Mặt</v>
          </cell>
          <cell r="L505">
            <v>0</v>
          </cell>
        </row>
        <row r="506">
          <cell r="A506" t="str">
            <v>BV0232</v>
          </cell>
          <cell r="B506">
            <v>476</v>
          </cell>
          <cell r="C506" t="str">
            <v>000946/LS-CCHN</v>
          </cell>
          <cell r="D506" t="str">
            <v>Hoàng Thị Thùy Dung</v>
          </cell>
          <cell r="E506" t="str">
            <v>000946/LS-CCHN</v>
          </cell>
          <cell r="F506" t="str">
            <v>11/01/2023</v>
          </cell>
          <cell r="G506" t="str">
            <v>Thực hiện phạm vi hoạt động chuyên môn theo Thông tư số 26/2015/TTLT-BYT-BNV ngày 07/10/2015 quy định  mã số, tiêu chuẩn chức danh nghề nghiệp, điều dưỡng, hộ sinh, kỹ thuật y</v>
          </cell>
          <cell r="H506" t="str">
            <v>Từ 07:00 đến 11:30 và từ 13:30 đến 17:00 từ thứ hai đến thứ sáu, thời gian trực và làm việc ngoài giờ theo phân công của Lãnh đạo</v>
          </cell>
          <cell r="I506" t="str">
            <v>Răng Hàm Mặt</v>
          </cell>
          <cell r="J506" t="str">
            <v>Điều dưỡng khoa Răng Hàm Mặt.</v>
          </cell>
          <cell r="K506" t="str">
            <v>Điều dưỡng khoa Răng Hàm Mặt</v>
          </cell>
          <cell r="L506">
            <v>0</v>
          </cell>
        </row>
        <row r="507">
          <cell r="A507" t="str">
            <v>BV0419</v>
          </cell>
          <cell r="B507">
            <v>477</v>
          </cell>
          <cell r="C507" t="str">
            <v>001018/LS-CCHN</v>
          </cell>
          <cell r="D507" t="str">
            <v>Đoàn Thị Thúy Liễu</v>
          </cell>
          <cell r="E507" t="str">
            <v>001018/LS-CCHN</v>
          </cell>
          <cell r="F507" t="str">
            <v>24/06/2013</v>
          </cell>
          <cell r="G507" t="str">
            <v>Chăm sóc người bệnh theo chuyên khoa Nha khoa</v>
          </cell>
          <cell r="H507" t="str">
            <v>Từ 07:00 đến 11:30 và từ 13:30 đến 17:00 từ thứ hai đến thứ sáu, thời gian trực và làm việc ngoài giờ theo phân công của Lãnh đạo</v>
          </cell>
          <cell r="I507" t="str">
            <v>Răng Hàm Mặt</v>
          </cell>
          <cell r="J507" t="str">
            <v>Điều dưỡng khoa Răng Hàm Mặt / GM-HS</v>
          </cell>
          <cell r="K507" t="str">
            <v>Điều dưỡng khoa Răng Hàm Mặt / GM-HS</v>
          </cell>
          <cell r="L507">
            <v>0</v>
          </cell>
        </row>
        <row r="508">
          <cell r="A508" t="str">
            <v>BV0413</v>
          </cell>
          <cell r="B508">
            <v>478</v>
          </cell>
          <cell r="C508" t="str">
            <v>001014/LS-CCHN</v>
          </cell>
          <cell r="D508" t="str">
            <v>Lâm Diệu Hằng</v>
          </cell>
          <cell r="E508" t="str">
            <v>001014/LS-CCHN</v>
          </cell>
          <cell r="F508" t="str">
            <v>24/06/2013</v>
          </cell>
          <cell r="G508" t="str">
            <v>Chăm sóc người bệnh theo chuyên khoa Nha khoa</v>
          </cell>
          <cell r="H508" t="str">
            <v>Từ 07:00 đến 11:30 và từ 13:30 đến 17:00 từ thứ hai đến thứ sáu, thời gian trực và làm việc ngoài giờ theo phân công của Lãnh đạo</v>
          </cell>
          <cell r="I508" t="str">
            <v>Răng Hàm Mặt</v>
          </cell>
          <cell r="J508" t="str">
            <v>Điều dưỡng khoa Răng Hàm Mặt / GM-HS</v>
          </cell>
          <cell r="K508" t="str">
            <v>Điều dưỡng khoa Răng Hàm Mặt / GM-HS</v>
          </cell>
          <cell r="L508">
            <v>0</v>
          </cell>
        </row>
        <row r="509">
          <cell r="D509" t="str">
            <v>KHOA GÂY MÊ - HỒI SỨC</v>
          </cell>
          <cell r="I509" t="e">
            <v>#N/A</v>
          </cell>
        </row>
        <row r="510">
          <cell r="A510" t="str">
            <v>BV0423</v>
          </cell>
          <cell r="B510">
            <v>479</v>
          </cell>
          <cell r="C510" t="str">
            <v>001023/LS-CCHN</v>
          </cell>
          <cell r="D510" t="str">
            <v>Hoàng Văn Yêu</v>
          </cell>
          <cell r="E510" t="str">
            <v>001023/LS-CCHN</v>
          </cell>
          <cell r="F510" t="str">
            <v>11/01/2023</v>
          </cell>
          <cell r="G510" t="str">
            <v>Khám bệnh, chữa bệnh chuyên khoa Gây mê hồi sức</v>
          </cell>
          <cell r="H510" t="str">
            <v>Từ 07:00 đến 11:30 và từ 13:30 đến 17:00 từ thứ hai đến thứ sáu, thời gian trực và làm việc ngoài giờ theo phân công của Lãnh đạo</v>
          </cell>
          <cell r="I510" t="str">
            <v>GM-HS</v>
          </cell>
          <cell r="J510" t="str">
            <v>Bác sĩ khoa Gây mê - Hồi sức - Trưởng khoa.</v>
          </cell>
          <cell r="K510" t="str">
            <v>Bác sĩ khoa Gây mê - Hồi sức - Trưởng khoa.</v>
          </cell>
          <cell r="L510">
            <v>0</v>
          </cell>
        </row>
        <row r="511">
          <cell r="A511" t="str">
            <v>BV0425</v>
          </cell>
          <cell r="B511">
            <v>480</v>
          </cell>
          <cell r="C511" t="str">
            <v>003186/LS-CCHN</v>
          </cell>
          <cell r="D511" t="str">
            <v>Nguyễn Thị Hồng Duyên</v>
          </cell>
          <cell r="E511" t="str">
            <v>003186/LS-CCHN</v>
          </cell>
          <cell r="F511" t="str">
            <v>11/01/2023</v>
          </cell>
          <cell r="G511" t="str">
            <v>Khám bệnh, chữa bệnh chuyên khoa Gây mê hồi sức</v>
          </cell>
          <cell r="H511" t="str">
            <v>Từ 07:00 đến 11:30 và từ 13:30 đến 17:00 từ thứ hai đến thứ sáu, thời gian trực và làm việc ngoài giờ theo phân công của Lãnh đạo</v>
          </cell>
          <cell r="I511" t="str">
            <v>GM-HS</v>
          </cell>
          <cell r="J511" t="str">
            <v>Bác sĩ khoa Gây mê - Hồi sức.</v>
          </cell>
          <cell r="K511" t="str">
            <v>Bác sĩ khoa GM-HS</v>
          </cell>
          <cell r="L511" t="str">
            <v>Từ 07:00 đến 11:30 và từ 13:30 đến 17:00 Thứ bảy và chủ nhật hằng tuần; Tại Phòng khám đa khoa trung tâm Lạng Sơn</v>
          </cell>
        </row>
        <row r="512">
          <cell r="A512" t="str">
            <v>BV0426</v>
          </cell>
          <cell r="B512">
            <v>481</v>
          </cell>
          <cell r="C512" t="str">
            <v>000388/LS-CCHN</v>
          </cell>
          <cell r="D512" t="str">
            <v>Hoàng Thị Hoa</v>
          </cell>
          <cell r="E512" t="str">
            <v>000388/LS-CCHN</v>
          </cell>
          <cell r="F512" t="str">
            <v>01/06/2016</v>
          </cell>
          <cell r="G512" t="str">
            <v>Chuyên khoa Gây mê hồi sức</v>
          </cell>
          <cell r="H512" t="str">
            <v>Từ 07:00 đến 11:30 và từ 13:30 đến 17:00 từ thứ hai đến thứ sáu, thời gian trực và làm việc ngoài giờ theo phân công của Lãnh đạo</v>
          </cell>
          <cell r="I512" t="str">
            <v>GM-HS</v>
          </cell>
          <cell r="J512" t="str">
            <v>Bác sĩ khoa Gây mê - Hồi sức.</v>
          </cell>
          <cell r="K512" t="str">
            <v>Bác sĩ khoa GM-HS</v>
          </cell>
          <cell r="L512">
            <v>0</v>
          </cell>
        </row>
        <row r="513">
          <cell r="A513" t="str">
            <v>BV0424</v>
          </cell>
          <cell r="B513">
            <v>482</v>
          </cell>
          <cell r="C513" t="str">
            <v>003071/LS-CCHN</v>
          </cell>
          <cell r="D513" t="str">
            <v>Hoàng Thị Hiên</v>
          </cell>
          <cell r="E513" t="str">
            <v>003071/LS-CCHN</v>
          </cell>
          <cell r="F513" t="str">
            <v>07/09/2015</v>
          </cell>
          <cell r="G513" t="str">
            <v>Chuyên khoa Gây mê hồi sức</v>
          </cell>
          <cell r="H513" t="str">
            <v>Từ 07:00 đến 11:30 và từ 13:30 đến 17:00 từ thứ hai đến thứ sáu, thời gian trực và làm việc ngoài giờ theo phân công của Lãnh đạo</v>
          </cell>
          <cell r="I513" t="str">
            <v>GM-HS</v>
          </cell>
          <cell r="J513" t="str">
            <v>Bác sĩ khoa Gây mê - Hồi sức - Phó trưởng khoa.</v>
          </cell>
          <cell r="K513" t="str">
            <v>Bác sĩ khoa Gây mê - Hồi sức - Phó trưởng khoa.</v>
          </cell>
          <cell r="L513">
            <v>0</v>
          </cell>
        </row>
        <row r="514">
          <cell r="A514" t="str">
            <v>BV1154</v>
          </cell>
          <cell r="B514">
            <v>483</v>
          </cell>
          <cell r="C514" t="str">
            <v>005589/LS-CCHN</v>
          </cell>
          <cell r="D514" t="str">
            <v>Trần Trịnh Huy</v>
          </cell>
          <cell r="E514" t="str">
            <v>005589/LS-CCHN</v>
          </cell>
          <cell r="F514" t="str">
            <v>15/05/2023</v>
          </cell>
          <cell r="G514" t="str">
            <v>Khám bệnh, chữa bệnh chuyên khoa Nội</v>
          </cell>
          <cell r="H514" t="str">
            <v>Từ 07:00 đến 11:30 và từ 13:30 đến 17:00 từ thứ hai đến thứ sáu, thời gian trực và làm việc ngoài giờ theo phân công của Lãnh đạo</v>
          </cell>
          <cell r="I514" t="str">
            <v>GM-HS</v>
          </cell>
          <cell r="J514" t="str">
            <v>Bác sĩ khoa Gây mê - Hồi sức.</v>
          </cell>
          <cell r="K514" t="str">
            <v>Bác sĩ khoa GM-HS</v>
          </cell>
          <cell r="L514">
            <v>0</v>
          </cell>
        </row>
        <row r="515">
          <cell r="A515" t="str">
            <v>BV0889</v>
          </cell>
          <cell r="B515">
            <v>484</v>
          </cell>
          <cell r="C515" t="str">
            <v>004117/LS-CCHN</v>
          </cell>
          <cell r="D515" t="str">
            <v>Tô Thị Kim Anh</v>
          </cell>
          <cell r="E515" t="str">
            <v>004117/LS-CCHN</v>
          </cell>
          <cell r="F515" t="str">
            <v>08/02/2021</v>
          </cell>
          <cell r="G515" t="str">
            <v>Khám bệnh, chữa bệnh nội khoa; Chuyên khoa Gây mê hồi sức</v>
          </cell>
          <cell r="H515" t="str">
            <v>Từ 07:00 đến 11:30 và từ 13:30 đến 17:00 từ thứ hai đến thứ sáu, thời gian trực và làm việc ngoài giờ theo phân công của Lãnh đạo</v>
          </cell>
          <cell r="I515" t="str">
            <v>GM-HS</v>
          </cell>
          <cell r="J515" t="str">
            <v>Bác sĩ khoa Gây mê - Hồi sức.</v>
          </cell>
          <cell r="K515" t="str">
            <v>Bác sĩ khoa GM-HS</v>
          </cell>
          <cell r="L515" t="str">
            <v>từ 07:00 đến 11:30, từ 13:30 đến 17:00 thứ bảy, chủ nhật hằng tuần. Tại Phòng khám đa khoa quốc tế Ngọc Lan</v>
          </cell>
        </row>
        <row r="516">
          <cell r="A516" t="str">
            <v>BV0887</v>
          </cell>
          <cell r="B516">
            <v>485</v>
          </cell>
          <cell r="C516" t="str">
            <v>004233/LS-CCHN</v>
          </cell>
          <cell r="D516" t="str">
            <v>Hoàng Mai Loan</v>
          </cell>
          <cell r="E516" t="str">
            <v>004233/LS-CCHN</v>
          </cell>
          <cell r="F516" t="str">
            <v>20/12/2021</v>
          </cell>
          <cell r="G516" t="str">
            <v>Khám bệnh, chữa bệnh ngoại khoa; Gây mê hồi sức</v>
          </cell>
          <cell r="H516" t="str">
            <v>Từ 07:00 đến 11:30 và từ 13:30 đến 17:00 từ thứ hai đến thứ sáu, thời gian trực và làm việc ngoài giờ theo phân công của Lãnh đạo</v>
          </cell>
          <cell r="I516" t="str">
            <v>GM-HS</v>
          </cell>
          <cell r="J516" t="str">
            <v>Bác sĩ khoa Gây mê - Hồi sức.</v>
          </cell>
          <cell r="K516" t="str">
            <v>Bác sĩ khoa GM-HS</v>
          </cell>
          <cell r="L516">
            <v>0</v>
          </cell>
        </row>
        <row r="517">
          <cell r="A517" t="str">
            <v>BV0441</v>
          </cell>
          <cell r="B517">
            <v>486</v>
          </cell>
          <cell r="C517" t="str">
            <v>001038/LS-CCHN</v>
          </cell>
          <cell r="D517" t="str">
            <v>Vy Thị Thảo</v>
          </cell>
          <cell r="E517" t="str">
            <v>001038/LS-CCHN</v>
          </cell>
          <cell r="F517" t="str">
            <v>11/01/2023</v>
          </cell>
          <cell r="G517" t="str">
            <v>Thực hiện phạm vi hoạt động chuyên môn theo Thông tư số 26/2015/TTLT-BYT-BNV ngày 07/10/2015 quy định  mã số, tiêu chuẩn chức danh nghề nghiệp, điều dưỡng, hộ sinh, kỹ thuật y</v>
          </cell>
          <cell r="H517" t="str">
            <v>Từ 07:00 đến 11:30 và từ 13:30 đến 17:00 từ thứ hai đến thứ sáu, thời gian trực và làm việc ngoài giờ theo phân công của Lãnh đạo</v>
          </cell>
          <cell r="I517" t="str">
            <v>GM-HS</v>
          </cell>
          <cell r="J517" t="str">
            <v>Điều dưỡng khoa Gây mê - Hồi sức.</v>
          </cell>
          <cell r="K517" t="str">
            <v>Điều dưỡng khoa GM-HS</v>
          </cell>
          <cell r="L517">
            <v>0</v>
          </cell>
        </row>
        <row r="518">
          <cell r="A518" t="str">
            <v>BV0220</v>
          </cell>
          <cell r="B518">
            <v>487</v>
          </cell>
          <cell r="C518" t="str">
            <v>000936/LS-CCHN</v>
          </cell>
          <cell r="D518" t="str">
            <v>Nông Bích Đào</v>
          </cell>
          <cell r="E518" t="str">
            <v>000936/LS-CCHN</v>
          </cell>
          <cell r="F518" t="str">
            <v>11/01/2023</v>
          </cell>
          <cell r="G518" t="str">
            <v>Thực hiện phạm vi hoạt động chuyên môn theo Thông tư số 26/2015/TTLT-BYT-BNV ngày 07/10/2015 quy định  mã số, tiêu chuẩn chức danh nghề nghiệp, điều dưỡng, hộ sinh, kỹ thuật y</v>
          </cell>
          <cell r="H518" t="str">
            <v>Từ 07:00 đến 11:30 và từ 13:30 đến 17:00 từ thứ hai đến thứ sáu, thời gian trực và làm việc ngoài giờ theo phân công của Lãnh đạo</v>
          </cell>
          <cell r="I518" t="str">
            <v>GM-HS</v>
          </cell>
          <cell r="J518" t="str">
            <v>Điều dưỡng khoa Gây mê - Hồi sức.</v>
          </cell>
          <cell r="K518" t="str">
            <v>Điều dưỡng khoa GM-HS</v>
          </cell>
          <cell r="L518">
            <v>0</v>
          </cell>
        </row>
        <row r="519">
          <cell r="A519" t="str">
            <v>BV0430</v>
          </cell>
          <cell r="B519">
            <v>488</v>
          </cell>
          <cell r="C519" t="str">
            <v>001027/LS-CCHN</v>
          </cell>
          <cell r="D519" t="str">
            <v>Ma Thị Hòe</v>
          </cell>
          <cell r="E519" t="str">
            <v>001027/LS-CCHN</v>
          </cell>
          <cell r="F519" t="str">
            <v>11/01/2023</v>
          </cell>
          <cell r="G519" t="str">
            <v>Thực hiện phạm vi hoạt động chuyên môn theo Thông tư số 26/2015/TTLT-BYT-BNV ngày 07/10/2015 quy định  mã số, tiêu chuẩn chức danh nghề nghiệp, điều dưỡng, hộ sinh, kỹ thuật y</v>
          </cell>
          <cell r="H519" t="str">
            <v>Từ 07:00 đến 11:30 và từ 13:30 đến 17:00 từ thứ hai đến thứ sáu, thời gian trực và làm việc ngoài giờ theo phân công của Lãnh đạo</v>
          </cell>
          <cell r="I519" t="str">
            <v>GM-HS</v>
          </cell>
          <cell r="J519" t="str">
            <v>Điều dưỡng khoa Gây mê - Hồi sức.</v>
          </cell>
          <cell r="K519" t="str">
            <v>Điều dưỡng khoa GM-HS</v>
          </cell>
          <cell r="L519">
            <v>0</v>
          </cell>
        </row>
        <row r="520">
          <cell r="A520" t="str">
            <v>BV0434</v>
          </cell>
          <cell r="B520">
            <v>489</v>
          </cell>
          <cell r="C520" t="str">
            <v>000918/LS-CCHN</v>
          </cell>
          <cell r="D520" t="str">
            <v>Lăng Thị Thương</v>
          </cell>
          <cell r="E520" t="str">
            <v>000918/LS-CCHN</v>
          </cell>
          <cell r="F520" t="str">
            <v>11/01/2023</v>
          </cell>
          <cell r="G520" t="str">
            <v>Thực hiện phạm vi hoạt động chuyên môn theo Thông tư số 26/2015/TTLT-BYT-BNV ngày 07/10/2015 quy định  mã số, tiêu chuẩn chức danh nghề nghiệp, điều dưỡng, hộ sinh, kỹ thuật y</v>
          </cell>
          <cell r="H520" t="str">
            <v>Từ 07:00 đến 11:30 và từ 13:30 đến 17:00 từ thứ hai đến thứ sáu, thời gian trực và làm việc ngoài giờ theo phân công của Lãnh đạo</v>
          </cell>
          <cell r="I520" t="str">
            <v>GM-HS</v>
          </cell>
          <cell r="J520" t="str">
            <v>Điều dưỡng khoa Gây mê - Hồi sức.</v>
          </cell>
          <cell r="K520" t="str">
            <v>Điều dưỡng khoa GM-HS</v>
          </cell>
          <cell r="L520">
            <v>0</v>
          </cell>
        </row>
        <row r="521">
          <cell r="A521" t="str">
            <v>BV0442</v>
          </cell>
          <cell r="B521">
            <v>490</v>
          </cell>
          <cell r="C521" t="str">
            <v>001039/LS-CCHN</v>
          </cell>
          <cell r="D521" t="str">
            <v>Nông Thị Bích Ngọc</v>
          </cell>
          <cell r="E521" t="str">
            <v>001039/LS-CCHN</v>
          </cell>
          <cell r="F521" t="str">
            <v>11/01/2023</v>
          </cell>
          <cell r="G521" t="str">
            <v>Thực hiện phạm vi hoạt động chuyên môn theo Thông tư số 26/2015/TTLT-BYT-BNV ngày 07/10/2015 quy định  mã số, tiêu chuẩn chức danh nghề nghiệp, điều dưỡng, hộ sinh, kỹ thuật y</v>
          </cell>
          <cell r="H521" t="str">
            <v>Từ 07:00 đến 11:30 và từ 13:30 đến 17:00 từ thứ hai đến thứ sáu, thời gian trực và làm việc ngoài giờ theo phân công của Lãnh đạo</v>
          </cell>
          <cell r="I521" t="str">
            <v>GM-HS</v>
          </cell>
          <cell r="J521" t="str">
            <v>Điều dưỡng khoa Gây mê - Hồi sức.</v>
          </cell>
          <cell r="K521" t="str">
            <v>Điều dưỡng khoa GM-HS</v>
          </cell>
          <cell r="L521">
            <v>0</v>
          </cell>
        </row>
        <row r="522">
          <cell r="A522" t="str">
            <v>BV0445</v>
          </cell>
          <cell r="B522">
            <v>491</v>
          </cell>
          <cell r="C522" t="str">
            <v>000389/LS-CCHN</v>
          </cell>
          <cell r="D522" t="str">
            <v>Nông Thị Len</v>
          </cell>
          <cell r="E522" t="str">
            <v>000389/LS-CCHN</v>
          </cell>
          <cell r="F522" t="str">
            <v>11/01/2023</v>
          </cell>
          <cell r="G522" t="str">
            <v>Thực hiện phạm vi hoạt động chuyên môn theo Thông tư số 26/2015/TTLT-BYT-BNV ngày 07/10/2015 quy định  mã số, tiêu chuẩn chức danh nghề nghiệp, điều dưỡng, hộ sinh, kỹ thuật y</v>
          </cell>
          <cell r="H522" t="str">
            <v>Từ 07:00 đến 11:30 và từ 13:30 đến 17:00 từ thứ hai đến thứ sáu, thời gian trực và làm việc ngoài giờ theo phân công của Lãnh đạo</v>
          </cell>
          <cell r="I522" t="str">
            <v>GM-HS</v>
          </cell>
          <cell r="J522" t="str">
            <v>Điều dưỡng khoa Gây mê - Hồi sức.</v>
          </cell>
          <cell r="K522" t="str">
            <v>Điều dưỡng khoa GM-HS</v>
          </cell>
          <cell r="L522">
            <v>0</v>
          </cell>
        </row>
        <row r="523">
          <cell r="A523" t="str">
            <v>BV0444</v>
          </cell>
          <cell r="B523">
            <v>492</v>
          </cell>
          <cell r="C523" t="str">
            <v>001040/LS-CCHN</v>
          </cell>
          <cell r="D523" t="str">
            <v>Vi Thị Hoài Vân</v>
          </cell>
          <cell r="E523" t="str">
            <v>001040/LS-CCHN</v>
          </cell>
          <cell r="F523" t="str">
            <v>11/01/2023</v>
          </cell>
          <cell r="G523" t="str">
            <v>Thực hiện phạm vi hoạt động chuyên môn theo Thông tư số 26/2015/TTLT-BYT-BNV ngày 07/10/2015 quy định  mã số, tiêu chuẩn chức danh nghề nghiệp, điều dưỡng, hộ sinh, kỹ thuật y</v>
          </cell>
          <cell r="H523" t="str">
            <v>Từ 07:00 đến 11:30 và từ 13:30 đến 17:00 từ thứ hai đến thứ sáu, thời gian trực và làm việc ngoài giờ theo phân công của Lãnh đạo</v>
          </cell>
          <cell r="I523" t="str">
            <v>GM-HS</v>
          </cell>
          <cell r="J523" t="str">
            <v>Điều dưỡng khoa Gây mê - Hồi sức.</v>
          </cell>
          <cell r="K523" t="str">
            <v>Điều dưỡng khoa GM-HS</v>
          </cell>
          <cell r="L523">
            <v>0</v>
          </cell>
        </row>
        <row r="524">
          <cell r="A524" t="str">
            <v>BV0440</v>
          </cell>
          <cell r="B524">
            <v>493</v>
          </cell>
          <cell r="C524" t="str">
            <v>001033/LS-CCHN</v>
          </cell>
          <cell r="D524" t="str">
            <v>Hoàng Thị Điệp</v>
          </cell>
          <cell r="E524" t="str">
            <v>001033/LS-CCHN</v>
          </cell>
          <cell r="F524" t="str">
            <v>24/06/2013</v>
          </cell>
          <cell r="G524" t="str">
            <v>Chăm sóc người bệnh theo chuyên khoa Gây mê hồi sức</v>
          </cell>
          <cell r="H524" t="str">
            <v>Từ 07:00 đến 11:30 và từ 13:30 đến 17:00 từ thứ hai đến thứ sáu, thời gian trực và làm việc ngoài giờ theo phân công của Lãnh đạo</v>
          </cell>
          <cell r="I524" t="str">
            <v>GM-HS</v>
          </cell>
          <cell r="J524" t="str">
            <v>Điều dưỡng khoa Gây mê - Hồi sức.</v>
          </cell>
          <cell r="K524" t="str">
            <v>Điều dưỡng khoa GM-HS</v>
          </cell>
          <cell r="L524">
            <v>0</v>
          </cell>
        </row>
        <row r="525">
          <cell r="A525" t="str">
            <v>BV0066</v>
          </cell>
          <cell r="B525">
            <v>494</v>
          </cell>
          <cell r="C525" t="str">
            <v>000790/LS-CCHN</v>
          </cell>
          <cell r="D525" t="str">
            <v>Lương Thị Quyến</v>
          </cell>
          <cell r="E525" t="str">
            <v>000790/LS-CCHN</v>
          </cell>
          <cell r="F525" t="str">
            <v>11/01/2023</v>
          </cell>
          <cell r="G525" t="str">
            <v>Thực hiện phạm vi hoạt động chuyên môn theo Thông tư số 26/2015/TTLT-BYT-BNV ngày 07/10/2015 quy định  mã số, tiêu chuẩn chức danh nghề nghiệp, điều dưỡng, hộ sinh, kỹ thuật y</v>
          </cell>
          <cell r="H525" t="str">
            <v>Từ 07:00 đến 11:30 và từ 13:30 đến 17:00 từ thứ hai đến thứ sáu, thời gian trực và làm việc ngoài giờ theo phân công của Lãnh đạo</v>
          </cell>
          <cell r="I525" t="str">
            <v>GM-HS</v>
          </cell>
          <cell r="J525" t="str">
            <v>Điều dưỡng khoa Gây mê - Hồi sức.</v>
          </cell>
          <cell r="K525" t="str">
            <v>Điều dưỡng khoa GM-HS</v>
          </cell>
          <cell r="L525">
            <v>0</v>
          </cell>
        </row>
        <row r="526">
          <cell r="A526" t="str">
            <v>BV0438</v>
          </cell>
          <cell r="B526">
            <v>495</v>
          </cell>
          <cell r="C526" t="str">
            <v>001034/LS-CCHN</v>
          </cell>
          <cell r="D526" t="str">
            <v>Lương Tuyết Nhung</v>
          </cell>
          <cell r="E526" t="str">
            <v>001034/LS-CCHN</v>
          </cell>
          <cell r="F526" t="str">
            <v>11/01/2023</v>
          </cell>
          <cell r="G526" t="str">
            <v>Thực hiện phạm vi hoạt động chuyên môn theo Thông tư số 26/2015/TTLT-BYT-BNV ngày 07/10/2015 quy định  mã số, tiêu chuẩn chức danh nghề nghiệp, điều dưỡng, hộ sinh, kỹ thuật y</v>
          </cell>
          <cell r="H526" t="str">
            <v>Từ 07:00 đến 11:30 và từ 13:30 đến 17:00 từ thứ hai đến thứ sáu, thời gian trực và làm việc ngoài giờ theo phân công của Lãnh đạo</v>
          </cell>
          <cell r="I526" t="str">
            <v>GM-HS</v>
          </cell>
          <cell r="J526" t="str">
            <v>Điều dưỡng khoa Gây mê - Hồi sức.</v>
          </cell>
          <cell r="K526" t="str">
            <v>Điều dưỡng khoa GM-HS</v>
          </cell>
          <cell r="L526">
            <v>0</v>
          </cell>
        </row>
        <row r="527">
          <cell r="A527" t="str">
            <v>BV0443</v>
          </cell>
          <cell r="B527">
            <v>496</v>
          </cell>
          <cell r="C527" t="str">
            <v>001037/LS-CCHN</v>
          </cell>
          <cell r="D527" t="str">
            <v>Vy Huyền Trang</v>
          </cell>
          <cell r="E527" t="str">
            <v>001037/LS-CCHN</v>
          </cell>
          <cell r="F527" t="str">
            <v>11/01/2023</v>
          </cell>
          <cell r="G527" t="str">
            <v>Thực hiện phạm vi hoạt động chuyên môn theo Thông tư số 26/2015/TTLT-BYT-BNV ngày 07/10/2015 quy định  mã số, tiêu chuẩn chức danh nghề nghiệp, điều dưỡng, hộ sinh, kỹ thuật y</v>
          </cell>
          <cell r="H527" t="str">
            <v>Từ 07:00 đến 11:30 và từ 13:30 đến 17:00 từ thứ hai đến thứ sáu, thời gian trực và làm việc ngoài giờ theo phân công của Lãnh đạo</v>
          </cell>
          <cell r="I527" t="str">
            <v>GM-HS</v>
          </cell>
          <cell r="J527" t="str">
            <v>Điều dưỡng khoa Gây mê - Hồi sức.</v>
          </cell>
          <cell r="K527" t="str">
            <v>Điều dưỡng khoa GM-HS</v>
          </cell>
          <cell r="L527">
            <v>0</v>
          </cell>
        </row>
        <row r="528">
          <cell r="A528" t="str">
            <v>BV0196</v>
          </cell>
          <cell r="B528">
            <v>497</v>
          </cell>
          <cell r="C528" t="str">
            <v>000920/LS-CCHN</v>
          </cell>
          <cell r="D528" t="str">
            <v>Vi Thị Niệm</v>
          </cell>
          <cell r="E528" t="str">
            <v>000920/LS-CCHN</v>
          </cell>
          <cell r="F528" t="str">
            <v>11/01/2023</v>
          </cell>
          <cell r="G528" t="str">
            <v>Thực hiện phạm vi hoạt động chuyên môn theo Thông tư số 26/2015/TTLT-BYT-BNV ngày 07/10/2015 quy định  mã số, tiêu chuẩn chức danh nghề nghiệp, điều dưỡng, hộ sinh, kỹ thuật y</v>
          </cell>
          <cell r="H528" t="str">
            <v>Từ 07:00 đến 11:30 và từ 13:30 đến 17:00 từ thứ hai đến thứ sáu, thời gian trực và làm việc ngoài giờ theo phân công của Lãnh đạo</v>
          </cell>
          <cell r="I528" t="str">
            <v>GM-HS</v>
          </cell>
          <cell r="J528" t="str">
            <v>Điều dưỡng khoa Gây mê - Hồi sức.</v>
          </cell>
          <cell r="K528" t="str">
            <v>Điều dưỡng khoa GM-HS</v>
          </cell>
          <cell r="L528">
            <v>0</v>
          </cell>
        </row>
        <row r="529">
          <cell r="A529" t="str">
            <v>BV1175</v>
          </cell>
          <cell r="B529">
            <v>498</v>
          </cell>
          <cell r="C529" t="str">
            <v>000726/LS-CCHN</v>
          </cell>
          <cell r="D529" t="str">
            <v>Ngô Hồng Lan</v>
          </cell>
          <cell r="E529" t="str">
            <v>000726/LS-CCHN</v>
          </cell>
          <cell r="F529" t="str">
            <v>25/07/2017</v>
          </cell>
          <cell r="G529" t="str">
            <v>Thực hiện phạm vi hoạt động chuyên môn theo quy định tại Thông tư số 26/2015/TTLT-BYT-BNV ngày 07/10/2015 quy định mã số, tiêu chuẩn chức danh nghề nghiệp điều dưỡng, hộ sinh, kỹ thuật y</v>
          </cell>
          <cell r="H529" t="str">
            <v>Từ 07:00 đến 11:30 và từ 13:30 đến 17:00 từ thứ hai đến thứ sáu, thời gian trực và làm việc ngoài giờ theo phân công của Lãnh đạo</v>
          </cell>
          <cell r="I529" t="str">
            <v>GM-HS</v>
          </cell>
          <cell r="J529" t="str">
            <v>Điều dưỡng khoa Gây mê - Hồi sức.</v>
          </cell>
          <cell r="K529" t="str">
            <v>Điều dưỡng khoa GM-HS</v>
          </cell>
          <cell r="L529">
            <v>0</v>
          </cell>
        </row>
        <row r="530">
          <cell r="A530" t="str">
            <v>BV0184</v>
          </cell>
          <cell r="B530">
            <v>499</v>
          </cell>
          <cell r="C530" t="str">
            <v>000924/LS-CCHN</v>
          </cell>
          <cell r="D530" t="str">
            <v>Hoàng Thị Hải Yến</v>
          </cell>
          <cell r="E530" t="str">
            <v>000924/LS-CCHN</v>
          </cell>
          <cell r="F530" t="str">
            <v>24/06/2013</v>
          </cell>
          <cell r="G530" t="str">
            <v>Theo quy định tại Quyết định số 41/2005/QĐ-BNV ngày 22/4/2005 của Bộ trưởng Bộ Nội vụ về việc ban hành tiêu chuẩn nghiệp vụ các ngạch viên chức y tế điều dưỡng</v>
          </cell>
          <cell r="H530" t="str">
            <v>Từ 07:00 đến 11:30 và từ 13:30 đến 17:00 từ thứ hai đến thứ sáu, thời gian trực và làm việc ngoài giờ theo phân công của Lãnh đạo</v>
          </cell>
          <cell r="I530" t="str">
            <v>Lão - CXK</v>
          </cell>
          <cell r="J530" t="str">
            <v>Điều dưỡng khoa Gây mê - Hồi sức.</v>
          </cell>
          <cell r="K530" t="str">
            <v>Điều dưỡng khoa GM-HS</v>
          </cell>
          <cell r="L530">
            <v>0</v>
          </cell>
        </row>
        <row r="531">
          <cell r="A531" t="str">
            <v>BV0437</v>
          </cell>
          <cell r="B531">
            <v>500</v>
          </cell>
          <cell r="C531" t="str">
            <v>001032/LS-CCHN</v>
          </cell>
          <cell r="D531" t="str">
            <v>Hoàng Thanh Lê</v>
          </cell>
          <cell r="E531" t="str">
            <v>001032/LS-CCHN</v>
          </cell>
          <cell r="F531" t="str">
            <v>24/06/2013</v>
          </cell>
          <cell r="G531" t="str">
            <v>Theo quy định tại Quyết định số 41/2005/QĐ-BNV ngày 22/4/2005 của Bộ trưởng Bộ Nội vụ về việc ban hành tiêu chuẩn nghiệp vụ các ngạch viên chức y tế điều dưỡng</v>
          </cell>
          <cell r="H531" t="str">
            <v>Từ 07:00 đến 11:30 và từ 13:30 đến 17:00 từ thứ hai đến thứ sáu, thời gian trực và làm việc ngoài giờ theo phân công của Lãnh đạo</v>
          </cell>
          <cell r="I531" t="str">
            <v>GM-HS</v>
          </cell>
          <cell r="J531" t="str">
            <v>Điều dưỡng khoa Gây mê - Hồi sức.</v>
          </cell>
          <cell r="K531" t="str">
            <v>Điều dưỡng khoa GM-HS</v>
          </cell>
          <cell r="L531">
            <v>0</v>
          </cell>
        </row>
        <row r="532">
          <cell r="A532" t="str">
            <v>BV0439</v>
          </cell>
          <cell r="B532">
            <v>501</v>
          </cell>
          <cell r="C532" t="str">
            <v>001031/LS-CCHN</v>
          </cell>
          <cell r="D532" t="str">
            <v>Trần Thị Nguyệt</v>
          </cell>
          <cell r="E532" t="str">
            <v>001031/LS-CCHN</v>
          </cell>
          <cell r="F532" t="str">
            <v>24/06/2013</v>
          </cell>
          <cell r="G532" t="str">
            <v>Theo quy định tại Quyết định số 41/2005/QĐ-BNV ngày 22/4/2005 của Bộ trưởng Bộ Nội vụ về việc ban hành tiêu chuẩn nghiệp vụ các ngạch viên chức y tế điều dưỡng</v>
          </cell>
          <cell r="H532" t="str">
            <v>Từ 07:00 đến 11:30 và từ 13:30 đến 17:00 từ thứ hai đến thứ sáu, thời gian trực và làm việc ngoài giờ theo phân công của Lãnh đạo</v>
          </cell>
          <cell r="I532" t="str">
            <v>GM-HS</v>
          </cell>
          <cell r="J532" t="str">
            <v>Điều dưỡng khoa Gây mê - Hồi sức.</v>
          </cell>
          <cell r="K532" t="str">
            <v>Điều dưỡng khoa GM-HS</v>
          </cell>
          <cell r="L532">
            <v>0</v>
          </cell>
        </row>
        <row r="533">
          <cell r="A533" t="str">
            <v>BV0436</v>
          </cell>
          <cell r="B533">
            <v>502</v>
          </cell>
          <cell r="C533" t="str">
            <v>001036/LS-CCHN</v>
          </cell>
          <cell r="D533" t="str">
            <v>Triệu Thị Minh</v>
          </cell>
          <cell r="E533" t="str">
            <v>001036/LS-CCHN</v>
          </cell>
          <cell r="F533" t="str">
            <v>24/06/2013</v>
          </cell>
          <cell r="G533" t="str">
            <v>Theo quy định tại Quyết định số 41/2005/QĐ-BNV ngày 22/4/2005 của Bộ trưởng Bộ Nội vụ về việc ban hành tiêu chuẩn nghiệp vụ các ngạch viên chức y tế điều dưỡng</v>
          </cell>
          <cell r="H533" t="str">
            <v>Từ 07:00 đến 11:30 và từ 13:30 đến 17:00 từ thứ hai đến thứ sáu, thời gian trực và làm việc ngoài giờ theo phân công của Lãnh đạo</v>
          </cell>
          <cell r="I533" t="str">
            <v>GM-HS</v>
          </cell>
          <cell r="J533" t="str">
            <v>Điều dưỡng khoa Gây mê - Hồi sức.</v>
          </cell>
          <cell r="K533" t="str">
            <v>Điều dưỡng khoa GM-HS</v>
          </cell>
          <cell r="L533">
            <v>0</v>
          </cell>
        </row>
        <row r="534">
          <cell r="A534" t="str">
            <v>BV0067</v>
          </cell>
          <cell r="B534">
            <v>503</v>
          </cell>
          <cell r="C534" t="str">
            <v>000789/LS-CCHN</v>
          </cell>
          <cell r="D534" t="str">
            <v>Hoàng Xuân Cường</v>
          </cell>
          <cell r="E534" t="str">
            <v>000789/LS-CCHN</v>
          </cell>
          <cell r="F534" t="str">
            <v>24/06/2013</v>
          </cell>
          <cell r="G534" t="str">
            <v>Theo quy định tại Quyết định số 41/2005/QĐ-BNV ngày 22/4/2005 của Bộ trưởng Bộ Nội vụ về việc ban hành tiêu chuẩn nghiệp vụ các ngạch viên chức y tế điều dưỡng</v>
          </cell>
          <cell r="H534" t="str">
            <v>Từ 07:00 đến 11:30 và từ 13:30 đến 17:00 từ thứ hai đến thứ sáu, thời gian trực và làm việc ngoài giờ theo phân công của Lãnh đạo</v>
          </cell>
          <cell r="I534" t="str">
            <v>GM-HS</v>
          </cell>
          <cell r="J534" t="str">
            <v>Điều dưỡng khoa Gây mê - Hồi sức.</v>
          </cell>
          <cell r="K534" t="str">
            <v>Điều dưỡng khoa GM-HS</v>
          </cell>
          <cell r="L534">
            <v>0</v>
          </cell>
        </row>
        <row r="535">
          <cell r="A535" t="str">
            <v>BV0762</v>
          </cell>
          <cell r="B535">
            <v>504</v>
          </cell>
          <cell r="C535" t="str">
            <v>003321/LS-CCHN</v>
          </cell>
          <cell r="D535" t="str">
            <v>Hoàng Thị Thuận</v>
          </cell>
          <cell r="E535" t="str">
            <v>003321/LS-CCHN</v>
          </cell>
          <cell r="F535" t="str">
            <v>20/07/2018</v>
          </cell>
          <cell r="G535" t="str">
            <v>Thực hiện phạm vi hoạt động chuyên môn theo quy định tại Thông tư số 26/2015/TTLT-BYT-BNV ngày 07/10/2015 quy định mã số, tiêu chuẩn chức danh nghề nghiệp điều dưỡng, hộ sinh, kỹ thuật y</v>
          </cell>
          <cell r="H535" t="str">
            <v>Từ 07:00 đến 11:30 và từ 13:30 đến 17:00 từ thứ hai đến thứ sáu, thời gian trực và làm việc ngoài giờ theo phân công của Lãnh đạo</v>
          </cell>
          <cell r="I535" t="str">
            <v>GM-HS</v>
          </cell>
          <cell r="J535" t="str">
            <v>Điều dưỡng khoa Gây mê - Hồi sức.</v>
          </cell>
          <cell r="K535" t="str">
            <v>Điều dưỡng khoa GM-HS</v>
          </cell>
          <cell r="L535">
            <v>0</v>
          </cell>
        </row>
        <row r="536">
          <cell r="A536" t="str">
            <v>BV0428</v>
          </cell>
          <cell r="B536">
            <v>505</v>
          </cell>
          <cell r="C536" t="str">
            <v>001025/LS-CCHN</v>
          </cell>
          <cell r="D536" t="str">
            <v>Lành Văn Lượng</v>
          </cell>
          <cell r="E536" t="str">
            <v>001025/LS-CCHN</v>
          </cell>
          <cell r="F536" t="str">
            <v>24/06/2013</v>
          </cell>
          <cell r="G536" t="str">
            <v>Chăm sóc người bệnh theo chuyên khoa Gây mê hồi sức</v>
          </cell>
          <cell r="H536" t="str">
            <v>Từ 07:00 đến 11:30 và từ 13:30 đến 17:00 từ thứ hai đến thứ sáu, thời gian trực và làm việc ngoài giờ theo phân công của Lãnh đạo</v>
          </cell>
          <cell r="I536" t="str">
            <v>GM-HS</v>
          </cell>
          <cell r="J536" t="str">
            <v>Điều dưỡng khoa Gây mê - Hồi sức.</v>
          </cell>
          <cell r="K536" t="str">
            <v>Điều dưỡng khoa GM-HS</v>
          </cell>
          <cell r="L536">
            <v>0</v>
          </cell>
        </row>
        <row r="537">
          <cell r="A537" t="str">
            <v>BV0429</v>
          </cell>
          <cell r="B537">
            <v>506</v>
          </cell>
          <cell r="C537" t="str">
            <v>001026/LS-CCHN</v>
          </cell>
          <cell r="D537" t="str">
            <v>Hoàng Thị Mơ</v>
          </cell>
          <cell r="E537" t="str">
            <v>001026/LS-CCHN</v>
          </cell>
          <cell r="F537" t="str">
            <v>24/06/2013</v>
          </cell>
          <cell r="G537" t="str">
            <v>Chăm sóc người bệnh theo chuyên khoa Gây mê hồi sức</v>
          </cell>
          <cell r="H537" t="str">
            <v>Từ 07:00 đến 11:30 và từ 13:30 đến 17:00 từ thứ hai đến thứ sáu, thời gian trực và làm việc ngoài giờ theo phân công của Lãnh đạo</v>
          </cell>
          <cell r="I537" t="str">
            <v>GM-HS</v>
          </cell>
          <cell r="J537" t="str">
            <v>Điều dưỡng khoa Gây mê - Hồi sức.</v>
          </cell>
          <cell r="K537" t="str">
            <v>Điều dưỡng khoa Gây mê - Hồi sức.</v>
          </cell>
          <cell r="L537">
            <v>0</v>
          </cell>
        </row>
        <row r="538">
          <cell r="A538" t="str">
            <v>BV0433</v>
          </cell>
          <cell r="B538">
            <v>507</v>
          </cell>
          <cell r="C538" t="str">
            <v>001030/LS-CCHN</v>
          </cell>
          <cell r="D538" t="str">
            <v>Nông Ngọc Tân</v>
          </cell>
          <cell r="E538" t="str">
            <v>001030/LS-CCHN</v>
          </cell>
          <cell r="F538" t="str">
            <v>11/01/2023</v>
          </cell>
          <cell r="G538" t="str">
            <v>Thực hiện phạm vi hoạt động chuyên môn theo Thông tư số 26/2015/TTLT-BYT-BNV ngày 07/10/2015 quy định  mã số, tiêu chuẩn chức danh nghề nghiệp, điều dưỡng, hộ sinh, kỹ thuật y</v>
          </cell>
          <cell r="H538" t="str">
            <v>Từ 07:00 đến 11:30 và từ 13:30 đến 17:00 từ thứ hai đến thứ sáu, thời gian trực và làm việc ngoài giờ theo phân công của Lãnh đạo</v>
          </cell>
          <cell r="I538" t="str">
            <v>GM-HS</v>
          </cell>
          <cell r="J538" t="str">
            <v>Điều dưỡng khoa Gây mê - Hồi sức.</v>
          </cell>
          <cell r="K538" t="str">
            <v>Điều dưỡng khoa Gây mê - Hồi sức.</v>
          </cell>
          <cell r="L538">
            <v>0</v>
          </cell>
        </row>
        <row r="539">
          <cell r="A539" t="str">
            <v>BV0738</v>
          </cell>
          <cell r="B539">
            <v>508</v>
          </cell>
          <cell r="C539" t="str">
            <v>003019/LS-CCHN</v>
          </cell>
          <cell r="D539" t="str">
            <v>Nguyễn Văn Huy</v>
          </cell>
          <cell r="E539" t="str">
            <v>003019/LS-CCHN</v>
          </cell>
          <cell r="F539" t="str">
            <v>16/06/2015</v>
          </cell>
          <cell r="G539" t="str">
            <v>Chăm sóc người bệnh theo chuyên khoa Gây mê hồi sức</v>
          </cell>
          <cell r="H539" t="str">
            <v>Từ 07:00 đến 11:30 và từ 13:30 đến 17:00 từ thứ hai đến thứ sáu, thời gian trực và làm việc ngoài giờ theo phân công của Lãnh đạo</v>
          </cell>
          <cell r="I539" t="str">
            <v>GM-HS</v>
          </cell>
          <cell r="J539" t="str">
            <v>Điều dưỡng khoa Gây mê - Hồi sức.</v>
          </cell>
          <cell r="K539" t="str">
            <v>Điều dưỡng khoa GM-HS</v>
          </cell>
          <cell r="L539">
            <v>0</v>
          </cell>
        </row>
        <row r="540">
          <cell r="A540" t="str">
            <v>BV0432</v>
          </cell>
          <cell r="B540">
            <v>509</v>
          </cell>
          <cell r="C540" t="str">
            <v>000188/LS-GPHN</v>
          </cell>
          <cell r="D540" t="str">
            <v>Lương Lệ Mỹ</v>
          </cell>
          <cell r="E540" t="str">
            <v>000188/LS-GPHN</v>
          </cell>
          <cell r="F540">
            <v>45657</v>
          </cell>
          <cell r="G540" t="str">
            <v>Điều dưỡng</v>
          </cell>
          <cell r="H540" t="str">
            <v>Từ 07:00 đến 11:30 và từ 13:30 đến 17:00 từ thứ hai đến thứ sáu, thời gian trực và làm việc ngoài giờ theo phân công của Lãnh đạo</v>
          </cell>
          <cell r="I540" t="str">
            <v>GM-HS</v>
          </cell>
          <cell r="J540" t="str">
            <v>Điều dưỡng khoa Gây mê - Hồi sức.</v>
          </cell>
          <cell r="K540" t="str">
            <v>Điều dưỡng khoa Gây mê - Hồi sức.</v>
          </cell>
          <cell r="L540">
            <v>0</v>
          </cell>
        </row>
        <row r="541">
          <cell r="D541" t="str">
            <v>KHOA DINH DƯỠNG</v>
          </cell>
          <cell r="I541" t="e">
            <v>#N/A</v>
          </cell>
        </row>
        <row r="542">
          <cell r="A542" t="str">
            <v>BV0685</v>
          </cell>
          <cell r="B542">
            <v>531</v>
          </cell>
          <cell r="C542" t="str">
            <v>002135/LS-CCHN</v>
          </cell>
          <cell r="D542" t="str">
            <v>Hoàng Sĩ Hoa</v>
          </cell>
          <cell r="E542" t="str">
            <v>002135/LS-CCHN</v>
          </cell>
          <cell r="F542" t="str">
            <v>01/12/2017</v>
          </cell>
          <cell r="G542" t="str">
            <v>Khám bệnh chữa bệnh Nội khoa</v>
          </cell>
          <cell r="H542" t="str">
            <v>Từ 07:00 đến 11:30 và từ 13:30 đến 17:00 từ thứ hai đến thứ sáu, thời gian trực và làm việc ngoài giờ theo phân công của Lãnh đạo</v>
          </cell>
          <cell r="I542" t="str">
            <v>Lão - CXK</v>
          </cell>
          <cell r="J542" t="str">
            <v>Bác sĩ  Khoa dinh dưỡng; Phụ trách khoa Lão - Cơ xương khớp;</v>
          </cell>
          <cell r="K542" t="str">
            <v>Phụ trách khoa Dinh dưỡng Bác sĩ khoa Lão</v>
          </cell>
          <cell r="L542">
            <v>0</v>
          </cell>
        </row>
        <row r="543">
          <cell r="A543" t="str">
            <v>BV0450</v>
          </cell>
          <cell r="B543">
            <v>511</v>
          </cell>
          <cell r="C543" t="str">
            <v>000798/LS-CCHN</v>
          </cell>
          <cell r="D543" t="str">
            <v>Vi Thị Dung</v>
          </cell>
          <cell r="E543" t="str">
            <v>000798/LS-CCHN</v>
          </cell>
          <cell r="F543" t="str">
            <v>24/06/2013</v>
          </cell>
          <cell r="G543" t="str">
            <v>Theo quy định tại Quyết định số 41/2005/QĐ-BNV ngày 22/4/2005 của Bộ trưởng Bộ Nội vụ về việc ban hành tiêu chuẩn nghiệp vụ các ngạch viên chức y tế điều dưỡng</v>
          </cell>
          <cell r="H543" t="str">
            <v>Từ 07:00 đến 11:30 và từ 13:30 đến 17:00 từ thứ hai đến thứ sáu, thời gian trực và làm việc ngoài giờ theo phân công của Lãnh đạo</v>
          </cell>
          <cell r="I543" t="str">
            <v>Dinh Dưỡng</v>
          </cell>
          <cell r="J543" t="str">
            <v>Điều dưỡng khoa Dinh dưỡng- Điều dưỡng trưởng</v>
          </cell>
          <cell r="K543" t="str">
            <v>Điều dưỡng khoa Dinh dưỡng- Điều dưỡng trưởng</v>
          </cell>
          <cell r="L543">
            <v>0</v>
          </cell>
        </row>
        <row r="544">
          <cell r="A544" t="str">
            <v>BV1236</v>
          </cell>
          <cell r="B544">
            <v>4</v>
          </cell>
          <cell r="C544" t="str">
            <v>000418/LS-GPHN</v>
          </cell>
          <cell r="D544" t="str">
            <v>Nguyễn Thị Thùy Linh</v>
          </cell>
          <cell r="E544" t="str">
            <v>000418/LS-GPHN</v>
          </cell>
          <cell r="F544">
            <v>45994</v>
          </cell>
          <cell r="G544" t="str">
            <v>Dinh dưỡng lâm sàng</v>
          </cell>
          <cell r="H544" t="str">
            <v>Từ 07:00 đến 11:30 và từ 13:30 đến 17:00 từ thứ hai đến thứ sáu, thời gian trực và làm việc ngoài giờ theo phân công của Lãnh đạo</v>
          </cell>
          <cell r="I544" t="str">
            <v>Dinh dưỡng</v>
          </cell>
          <cell r="J544" t="str">
            <v>Dinh dưỡng lâm sàng khoa Dinh dưỡng</v>
          </cell>
          <cell r="K544" t="str">
            <v>Dinh dưỡng khoa Dinh dưỡng</v>
          </cell>
        </row>
        <row r="545">
          <cell r="D545" t="str">
            <v>KHOA HUYẾT HỌC - TRUYỀN MÁU</v>
          </cell>
          <cell r="I545" t="e">
            <v>#N/A</v>
          </cell>
        </row>
        <row r="546">
          <cell r="A546" t="str">
            <v>BV0485</v>
          </cell>
          <cell r="B546">
            <v>513</v>
          </cell>
          <cell r="C546" t="str">
            <v>000557/LS-CCHN</v>
          </cell>
          <cell r="D546" t="str">
            <v>Nông Thị Nòm</v>
          </cell>
          <cell r="E546" t="str">
            <v>000557/LS-CCHN</v>
          </cell>
          <cell r="F546" t="str">
            <v>13/10/2016</v>
          </cell>
          <cell r="G546" t="str">
            <v>Chuyên khoa xét nghiệm</v>
          </cell>
          <cell r="H546" t="str">
            <v>Từ 07:00 đến 11:30 và từ 13:30 đến 17:00 từ thứ hai đến thứ sáu, thời gian trực và làm việc ngoài giờ theo phân công của Lãnh đạo</v>
          </cell>
          <cell r="I546" t="str">
            <v>HH-TM</v>
          </cell>
          <cell r="J546" t="str">
            <v>Bác sĩ khoa Huyết học - Truyền máu. Phó trưởng khoa</v>
          </cell>
          <cell r="K546" t="str">
            <v>Bác sĩ khoa Huyết học - Truyền máu. Phó trưởng khoa</v>
          </cell>
          <cell r="L546">
            <v>0</v>
          </cell>
        </row>
        <row r="547">
          <cell r="A547" t="str">
            <v>BV0484</v>
          </cell>
          <cell r="B547">
            <v>514</v>
          </cell>
          <cell r="C547" t="str">
            <v>002943/LS-CCHN</v>
          </cell>
          <cell r="D547" t="str">
            <v>Lâm Thị Kiểm</v>
          </cell>
          <cell r="E547" t="str">
            <v>002943/LS-CCHN</v>
          </cell>
          <cell r="F547" t="str">
            <v>13/02/2015</v>
          </cell>
          <cell r="G547" t="str">
            <v>Chuyên khoa xét nghiệm</v>
          </cell>
          <cell r="H547" t="str">
            <v>Từ 07:00 đến 11:30 và từ 13:30 đến 17:00 từ thứ hai đến thứ sáu, thời gian trực và làm việc ngoài giờ theo phân công của Lãnh đạo</v>
          </cell>
          <cell r="I547" t="str">
            <v>HH-TM</v>
          </cell>
          <cell r="J547" t="str">
            <v>Bác sĩ khoa Huyết học - Truyền máu - Phụ trách khoa</v>
          </cell>
          <cell r="K547" t="str">
            <v>Bác sĩ khoa Huyết học - Truyền máu - Phụ trách khoa</v>
          </cell>
          <cell r="L547" t="str">
            <v>Từ 07:00 đến 11:30 và từ 13:30 đến 17:00 Thứ bảy và chủ nhật hằng tuần, ngày nghỉ, ngày lễ. Tại Phòng khám đa khoa trung tâm Lạng Sơn</v>
          </cell>
        </row>
        <row r="548">
          <cell r="A548" t="str">
            <v>BV0487</v>
          </cell>
          <cell r="B548">
            <v>515</v>
          </cell>
          <cell r="C548" t="str">
            <v>001060/LS-CCHN</v>
          </cell>
          <cell r="D548" t="str">
            <v>Hoàng Thị Thúy</v>
          </cell>
          <cell r="E548" t="str">
            <v>001060/LS-CCHN</v>
          </cell>
          <cell r="F548" t="str">
            <v>02/08/2022</v>
          </cell>
          <cell r="G548" t="str">
            <v>KTV xét nghiệm. Theo quy định tại Thông tư số 23/2009/TTLT-BYT-BNV ngày 01/12/2009 của Bộ Y tế ban hành tiêu chuẩn nghiệp vụ các ngạch viên chức kỹ thuật y học</v>
          </cell>
          <cell r="H548" t="str">
            <v>Từ 07:00 đến 11:30 và từ 13:30 đến 17:00 từ thứ hai đến thứ sáu, thời gian trực và làm việc ngoài giờ theo phân công của Lãnh đạo</v>
          </cell>
          <cell r="I548" t="str">
            <v>HH-TM</v>
          </cell>
          <cell r="J548" t="str">
            <v>Kỹ thuật y khoa Huyết học - Truyền máu.</v>
          </cell>
          <cell r="K548" t="str">
            <v>Kỹ thuật y khoa HH-TM</v>
          </cell>
          <cell r="L548">
            <v>0</v>
          </cell>
        </row>
        <row r="549">
          <cell r="A549" t="str">
            <v>BV0488</v>
          </cell>
          <cell r="B549">
            <v>516</v>
          </cell>
          <cell r="C549" t="str">
            <v>001059/LS-CCHN</v>
          </cell>
          <cell r="D549" t="str">
            <v>Doãn Hồng Oanh</v>
          </cell>
          <cell r="E549" t="str">
            <v>001059/LS-CCHN</v>
          </cell>
          <cell r="F549" t="str">
            <v>26/08/2022</v>
          </cell>
          <cell r="G549" t="str">
            <v>Chuyên khoa xét nghiệm</v>
          </cell>
          <cell r="H549" t="str">
            <v>Từ 07:00 đến 11:30 và từ 13:30 đến 17:00 từ thứ hai đến thứ sáu, thời gian trực và làm việc ngoài giờ theo phân công của Lãnh đạo</v>
          </cell>
          <cell r="I549" t="str">
            <v>HH-TM</v>
          </cell>
          <cell r="J549" t="str">
            <v>Kỹ thuật y khoa Huyết học - Truyền máu.</v>
          </cell>
          <cell r="K549" t="str">
            <v>Kỹ thuật y khoa HH-TM</v>
          </cell>
          <cell r="L549">
            <v>0</v>
          </cell>
        </row>
        <row r="550">
          <cell r="A550" t="str">
            <v>BV0486</v>
          </cell>
          <cell r="B550">
            <v>517</v>
          </cell>
          <cell r="C550" t="str">
            <v>001057/LS-CCHN</v>
          </cell>
          <cell r="D550" t="str">
            <v>Hoàng Thị Bích Liên</v>
          </cell>
          <cell r="E550" t="str">
            <v>001057/LS-CCHN</v>
          </cell>
          <cell r="F550" t="str">
            <v>24/06/2013</v>
          </cell>
          <cell r="G550" t="str">
            <v>Theo quy định tại Thông tư số 23/2009/TT-BYT ngày 01/12/2009 của Bộ Y tế ban hành tiêu chuẩn nghiệp vụ các ngạch viên chức kỹ thuật y học</v>
          </cell>
          <cell r="H550" t="str">
            <v>Từ 07:00 đến 11:30 và từ 13:30 đến 17:00 từ thứ hai đến thứ sáu, thời gian trực và làm việc ngoài giờ theo phân công của Lãnh đạo</v>
          </cell>
          <cell r="I550" t="str">
            <v>HH-TM</v>
          </cell>
          <cell r="J550" t="str">
            <v>Kỹ thuật y khoa Huyết học - Truyền máu. Kỹ thuật y trưởng</v>
          </cell>
          <cell r="K550" t="str">
            <v>Kỹ thuật y khoa Huyết học - Truyền máu. Kỹ thuật y trưởng</v>
          </cell>
          <cell r="L550">
            <v>0</v>
          </cell>
        </row>
        <row r="551">
          <cell r="A551" t="str">
            <v>BV0493</v>
          </cell>
          <cell r="B551">
            <v>518</v>
          </cell>
          <cell r="C551" t="str">
            <v>001061/LS-CCHN</v>
          </cell>
          <cell r="D551" t="str">
            <v>Trần Thị Thanh Tuyền</v>
          </cell>
          <cell r="E551" t="str">
            <v>001061/LS-CCHN</v>
          </cell>
          <cell r="F551" t="str">
            <v>02/08/2022</v>
          </cell>
          <cell r="G551" t="str">
            <v>Chuyên khoa xét nghiệm</v>
          </cell>
          <cell r="H551" t="str">
            <v>Từ 07:00 đến 11:30 và từ 13:30 đến 17:00 từ thứ hai đến thứ sáu, thời gian trực và làm việc ngoài giờ theo phân công của Lãnh đạo</v>
          </cell>
          <cell r="I551" t="str">
            <v>HH-TM</v>
          </cell>
          <cell r="J551" t="str">
            <v>Kỹ thuật y khoa Huyết học - Truyền máu.</v>
          </cell>
          <cell r="K551" t="str">
            <v>Kỹ thuật y khoa HH-TM</v>
          </cell>
          <cell r="L551" t="str">
            <v>từ 07:00 đến 11:30, từ 13:30 đến 17:00 thứ bảy, chủ nhật hằng tuần. Tại Phòng khám đa khoa quốc tế Ngọc Lan</v>
          </cell>
        </row>
        <row r="552">
          <cell r="A552" t="str">
            <v>BV0492</v>
          </cell>
          <cell r="B552">
            <v>519</v>
          </cell>
          <cell r="C552" t="str">
            <v>004550/LS-CCHN</v>
          </cell>
          <cell r="D552" t="str">
            <v>Bế Thị Thu Trang</v>
          </cell>
          <cell r="E552" t="str">
            <v>004550/LS-CCHN</v>
          </cell>
          <cell r="F552" t="str">
            <v>26/08/2022</v>
          </cell>
          <cell r="G552" t="str">
            <v>Chuyên khoa xét nghiệm</v>
          </cell>
          <cell r="H552" t="str">
            <v>Từ 07:00 đến 11:30 và từ 13:30 đến 17:00 từ thứ hai đến thứ sáu, thời gian trực và làm việc ngoài giờ theo phân công của Lãnh đạo</v>
          </cell>
          <cell r="I552" t="str">
            <v>HH-TM</v>
          </cell>
          <cell r="J552" t="str">
            <v>Kỹ thuật y khoa Huyết học - Truyền máu.</v>
          </cell>
          <cell r="K552" t="str">
            <v>Kỹ thuật y khoa HH-TM</v>
          </cell>
          <cell r="L552">
            <v>0</v>
          </cell>
        </row>
        <row r="553">
          <cell r="A553" t="str">
            <v>BV1319</v>
          </cell>
          <cell r="B553">
            <v>520</v>
          </cell>
          <cell r="C553" t="str">
            <v>000236/LS-GPHN</v>
          </cell>
          <cell r="D553" t="str">
            <v>Đặng Phương Thảo</v>
          </cell>
          <cell r="E553" t="str">
            <v>000236/LS-GPHN</v>
          </cell>
          <cell r="F553">
            <v>45747</v>
          </cell>
          <cell r="G553" t="str">
            <v>Xét nghiệm y học</v>
          </cell>
          <cell r="H553" t="str">
            <v>Từ 07:00 đến 11:30 và từ 13:30 đến 17:00 từ thứ hai đến thứ sáu, thời gian trực và làm việc ngoài giờ theo phân công của Lãnh đạo</v>
          </cell>
          <cell r="I553" t="str">
            <v>HH-TM</v>
          </cell>
          <cell r="J553" t="str">
            <v>Kỹ thuật y khoa Huyết học - Truyền máu</v>
          </cell>
          <cell r="K553" t="str">
            <v>Kỹ thuật y khoa HH-TM</v>
          </cell>
        </row>
        <row r="554">
          <cell r="A554" t="str">
            <v>BV0494</v>
          </cell>
          <cell r="B554">
            <v>521</v>
          </cell>
          <cell r="C554" t="str">
            <v>001062/LS-CCHN</v>
          </cell>
          <cell r="D554" t="str">
            <v>Hoàng Huy Thưởng</v>
          </cell>
          <cell r="E554" t="str">
            <v>001062/LS-CCHN</v>
          </cell>
          <cell r="F554" t="str">
            <v>24/06/2013</v>
          </cell>
          <cell r="G554" t="str">
            <v>Theo quy định tại Thông tư số 23/2009/TT-BYT ngày 01/12/2009 của Bộ Y tế ban hành tiêu chuẩn nghiệp vụ các ngạch viên chức kỹ thuật y học</v>
          </cell>
          <cell r="H554" t="str">
            <v>Từ 07:00 đến 11:30 và từ 13:30 đến 17:00 từ thứ hai đến thứ sáu, thời gian trực và làm việc ngoài giờ theo phân công của Lãnh đạo</v>
          </cell>
          <cell r="I554" t="str">
            <v>HH-TM</v>
          </cell>
          <cell r="J554" t="str">
            <v>Kỹ thuật y khoa Huyết học - Truyền máu.</v>
          </cell>
          <cell r="K554" t="str">
            <v>Kỹ thuật y khoa HH-TM</v>
          </cell>
          <cell r="L554">
            <v>0</v>
          </cell>
        </row>
        <row r="555">
          <cell r="A555" t="str">
            <v>BV0491</v>
          </cell>
          <cell r="B555">
            <v>522</v>
          </cell>
          <cell r="C555" t="str">
            <v>001058/LS-CCHN</v>
          </cell>
          <cell r="D555" t="str">
            <v>Triệu Thị Đào</v>
          </cell>
          <cell r="E555" t="str">
            <v>001058/LS-CCHN</v>
          </cell>
          <cell r="F555" t="str">
            <v>24/06/2013</v>
          </cell>
          <cell r="G555" t="str">
            <v>Theo quy định tại Thông tư số 23/2009/TT-BYT ngày 01/12/2009 của Bộ Y tế ban hành tiêu chuẩn nghiệp vụ các ngạch viên chức kỹ thuật y học</v>
          </cell>
          <cell r="H555" t="str">
            <v>Từ 07:00 đến 11:30 và từ 13:30 đến 17:00 từ thứ hai đến thứ sáu, thời gian trực và làm việc ngoài giờ theo phân công của Lãnh đạo</v>
          </cell>
          <cell r="I555" t="str">
            <v>HH-TM</v>
          </cell>
          <cell r="J555" t="str">
            <v>Kỹ thuật y khoa Huyết học - Truyền máu.</v>
          </cell>
          <cell r="K555" t="str">
            <v>Kỹ thuật y khoa HH-TM</v>
          </cell>
          <cell r="L555">
            <v>0</v>
          </cell>
        </row>
        <row r="556">
          <cell r="A556" t="str">
            <v>BV0806</v>
          </cell>
          <cell r="B556">
            <v>523</v>
          </cell>
          <cell r="C556" t="str">
            <v>002082/LS-CCHN</v>
          </cell>
          <cell r="D556" t="str">
            <v>Nông Thị Dung</v>
          </cell>
          <cell r="E556" t="str">
            <v>002082/LS-CCHN</v>
          </cell>
          <cell r="F556" t="str">
            <v>29/08/2017</v>
          </cell>
          <cell r="G556" t="str">
            <v>Kỹ thuật viên xét nghiệm</v>
          </cell>
          <cell r="H556" t="str">
            <v>Từ 07:00 đến 11:30 và từ 13:30 đến 17:00 từ thứ hai đến thứ sáu, thời gian trực và làm việc ngoài giờ theo phân công của Lãnh đạo</v>
          </cell>
          <cell r="I556" t="str">
            <v>HH-TM</v>
          </cell>
          <cell r="J556" t="str">
            <v>Kỹ thuật y khoa Huyết học - Truyền máu.</v>
          </cell>
          <cell r="K556" t="str">
            <v>Kỹ thuật y khoa HH-TM</v>
          </cell>
          <cell r="L556">
            <v>0</v>
          </cell>
        </row>
        <row r="557">
          <cell r="A557" t="str">
            <v>BV0828</v>
          </cell>
          <cell r="B557">
            <v>524</v>
          </cell>
          <cell r="C557" t="str">
            <v>003324/LS-CCHN</v>
          </cell>
          <cell r="D557" t="str">
            <v>Triệu Thị Lên</v>
          </cell>
          <cell r="E557" t="str">
            <v>003324/LS-CCHN</v>
          </cell>
          <cell r="F557" t="str">
            <v>20/07/2018</v>
          </cell>
          <cell r="G557" t="str">
            <v>Kỹ thuật viên xét nghiệm</v>
          </cell>
          <cell r="H557" t="str">
            <v>Từ 07:00 đến 11:30 và từ 13:30 đến 17:00 từ thứ hai đến thứ sáu, thời gian trực và làm việc ngoài giờ theo phân công của Lãnh đạo</v>
          </cell>
          <cell r="I557" t="str">
            <v>HH-TM</v>
          </cell>
          <cell r="J557" t="str">
            <v>Kỹ thuật y khoa Huyết học - Truyền máu.</v>
          </cell>
          <cell r="K557" t="str">
            <v>Kỹ thuật y khoa Khám bệnh</v>
          </cell>
          <cell r="L557">
            <v>0</v>
          </cell>
        </row>
        <row r="558">
          <cell r="A558" t="str">
            <v>BV0766</v>
          </cell>
          <cell r="B558">
            <v>525</v>
          </cell>
          <cell r="C558" t="str">
            <v>003318/LS-CCHN</v>
          </cell>
          <cell r="D558" t="str">
            <v>Trần Thị Thủy</v>
          </cell>
          <cell r="E558" t="str">
            <v>003318/LS-CCHN</v>
          </cell>
          <cell r="F558" t="str">
            <v>20/07/2018</v>
          </cell>
          <cell r="G558" t="str">
            <v>Kỹ thuật viên xét nghiệm</v>
          </cell>
          <cell r="H558" t="str">
            <v>Từ 07:00 đến 11:30 và từ 13:30 đến 17:00 từ thứ hai đến thứ sáu, thời gian trực và làm việc ngoài giờ theo phân công của Lãnh đạo</v>
          </cell>
          <cell r="I558" t="str">
            <v>HH-TM</v>
          </cell>
          <cell r="J558" t="str">
            <v>Kỹ thuật y khoa Huyết học - Truyền máu.</v>
          </cell>
          <cell r="K558" t="str">
            <v>Kỹ thuật y khoa HH-TM</v>
          </cell>
          <cell r="L558">
            <v>0</v>
          </cell>
        </row>
        <row r="559">
          <cell r="D559" t="str">
            <v>KHOA HÓA SINH - VI SINH</v>
          </cell>
          <cell r="I559" t="e">
            <v>#N/A</v>
          </cell>
        </row>
        <row r="560">
          <cell r="A560" t="str">
            <v>BV0496</v>
          </cell>
          <cell r="B560">
            <v>526</v>
          </cell>
          <cell r="C560" t="str">
            <v>000125/LS-CCHN</v>
          </cell>
          <cell r="D560" t="str">
            <v>Vũ Thị Vy</v>
          </cell>
          <cell r="E560" t="str">
            <v>000125/LS-CCHN</v>
          </cell>
          <cell r="F560" t="str">
            <v>28/06/2012</v>
          </cell>
          <cell r="G560" t="str">
            <v>Chuyên khoa xét nghiệm</v>
          </cell>
          <cell r="H560" t="str">
            <v>Từ 07:00 đến 11:30 và từ 13:30 đến 17:00 từ thứ hai đến thứ sáu, thời gian trực và làm việc ngoài giờ theo phân công của Lãnh đạo</v>
          </cell>
          <cell r="I560" t="str">
            <v>HS-VS</v>
          </cell>
          <cell r="J560" t="str">
            <v>Bác sĩ khoa Sinh hóa - Vi sinh - Trưởng khoa.</v>
          </cell>
          <cell r="K560" t="str">
            <v>Bác sĩ khoa Sinh hóa - Vi sinh - Trưởng khoa.</v>
          </cell>
          <cell r="L560">
            <v>0</v>
          </cell>
        </row>
        <row r="561">
          <cell r="A561" t="str">
            <v>BV0701</v>
          </cell>
          <cell r="B561">
            <v>527</v>
          </cell>
          <cell r="C561" t="str">
            <v>000409/LS-CCHN</v>
          </cell>
          <cell r="D561" t="str">
            <v>Hoàng Diệu Linh</v>
          </cell>
          <cell r="E561" t="str">
            <v>000409/LS-CCHN</v>
          </cell>
          <cell r="F561" t="str">
            <v>01/06/2016</v>
          </cell>
          <cell r="G561" t="str">
            <v>Chuyên khoa xét nghiệm</v>
          </cell>
          <cell r="H561" t="str">
            <v>Từ 07:00 đến 11:30 và từ 13:30 đến 17:00 từ thứ hai đến thứ sáu, thời gian trực và làm việc ngoài giờ theo phân công của Lãnh đạo</v>
          </cell>
          <cell r="I561" t="str">
            <v>HS-VS</v>
          </cell>
          <cell r="J561" t="str">
            <v>Bác sĩ khoa Sinh hóa - Vi sinh - Phó trưởng khoa.</v>
          </cell>
          <cell r="K561" t="str">
            <v>Bác sĩ khoa Sinh hóa - Vi sinh - Phó trưởng khoa.</v>
          </cell>
          <cell r="L561" t="str">
            <v>Từ 07:00 đến 11:30 và từ 13:30 đến 17:00 Thứ bảy và chủ nhật hằng tuần, ngày nghỉ, ngày lễ. Tại Phòng khám đa khoa trung tâm Lạng Sơn</v>
          </cell>
        </row>
        <row r="562">
          <cell r="A562" t="str">
            <v>BV0955</v>
          </cell>
          <cell r="B562">
            <v>528</v>
          </cell>
          <cell r="C562" t="str">
            <v>004016/LS-CCHN</v>
          </cell>
          <cell r="D562" t="str">
            <v>Phan Thị Vân Anh</v>
          </cell>
          <cell r="E562" t="str">
            <v>004016/LS-CCHN</v>
          </cell>
          <cell r="F562" t="str">
            <v>21/10/2020</v>
          </cell>
          <cell r="G562" t="str">
            <v>Chuyên khoa xét nghiệm</v>
          </cell>
          <cell r="H562" t="str">
            <v>Từ 07:00 đến 11:30 và từ 13:30 đến 17:00 từ thứ hai đến thứ sáu, thời gian trực và làm việc ngoài giờ theo phân công của Lãnh đạo</v>
          </cell>
          <cell r="I562" t="str">
            <v>HS-VS</v>
          </cell>
          <cell r="J562" t="str">
            <v>Kỹ thuật y khoa Sinh hóa - Vi sinh.</v>
          </cell>
          <cell r="K562" t="str">
            <v>Kỹ thuật y khoa HS-VS</v>
          </cell>
          <cell r="L562">
            <v>0</v>
          </cell>
        </row>
        <row r="563">
          <cell r="A563" t="str">
            <v>BV0507</v>
          </cell>
          <cell r="B563">
            <v>529</v>
          </cell>
          <cell r="C563" t="str">
            <v>001068/LS-CCHN</v>
          </cell>
          <cell r="D563" t="str">
            <v>Hoàng Thị Hường</v>
          </cell>
          <cell r="E563" t="str">
            <v>001068/LS-CCHN</v>
          </cell>
          <cell r="F563" t="str">
            <v>04/11/2022</v>
          </cell>
          <cell r="G563" t="str">
            <v>Chuyên khoa xét nghiệm</v>
          </cell>
          <cell r="H563" t="str">
            <v>Từ 07:00 đến 11:30 và từ 13:30 đến 17:00 từ thứ hai đến thứ sáu, thời gian trực và làm việc ngoài giờ theo phân công của Lãnh đạo</v>
          </cell>
          <cell r="I563" t="str">
            <v>HS-VS</v>
          </cell>
          <cell r="J563" t="str">
            <v>Kỹ thuật y khoa Sinh hóa - Vi sinh.</v>
          </cell>
          <cell r="K563" t="str">
            <v>Kỹ thuật y khoa HS-VS</v>
          </cell>
          <cell r="L563">
            <v>0</v>
          </cell>
        </row>
        <row r="564">
          <cell r="A564" t="str">
            <v>BV0509</v>
          </cell>
          <cell r="B564">
            <v>530</v>
          </cell>
          <cell r="C564" t="str">
            <v>001072/LS-CCHN</v>
          </cell>
          <cell r="D564" t="str">
            <v>Hoàng Thị Mai Thành</v>
          </cell>
          <cell r="E564" t="str">
            <v>001072/LS-CCHN</v>
          </cell>
          <cell r="F564">
            <v>44869</v>
          </cell>
          <cell r="G564" t="str">
            <v>Chuyên khoa xét nghiệm</v>
          </cell>
          <cell r="H564" t="str">
            <v>Từ 07:00 đến 11:30 và từ 13:30 đến 17:00 từ thứ hai đến thứ sáu, thời gian trực và làm việc ngoài giờ theo phân công của Lãnh đạo</v>
          </cell>
          <cell r="I564" t="str">
            <v>HS-VS</v>
          </cell>
          <cell r="J564" t="str">
            <v>Kỹ thuật y khoa Sinh hóa - Vi sinh.</v>
          </cell>
          <cell r="K564" t="str">
            <v>Kỹ thuật y khoa HS-VS</v>
          </cell>
          <cell r="L564">
            <v>0</v>
          </cell>
        </row>
        <row r="565">
          <cell r="A565" t="str">
            <v>BV0503</v>
          </cell>
          <cell r="B565">
            <v>531</v>
          </cell>
          <cell r="C565" t="str">
            <v>000448/LS-CCHN</v>
          </cell>
          <cell r="D565" t="str">
            <v>Vũ Bích Thủy</v>
          </cell>
          <cell r="E565" t="str">
            <v>000448/LS-CCHN</v>
          </cell>
          <cell r="F565" t="str">
            <v>18/07/2016</v>
          </cell>
          <cell r="G565" t="str">
            <v>Chuyên khoa xét nghiệm</v>
          </cell>
          <cell r="H565" t="str">
            <v>Từ 07:00 đến 11:30 và từ 13:30 đến 17:00 từ thứ hai đến thứ sáu, thời gian trực và làm việc ngoài giờ theo phân công của Lãnh đạo</v>
          </cell>
          <cell r="I565" t="str">
            <v>HS-VS</v>
          </cell>
          <cell r="J565" t="str">
            <v>Kỹ thuật y khoa Sinh hóa - Vi sinh. Kỹ thuật y trưởng</v>
          </cell>
          <cell r="K565" t="str">
            <v>Phụ trách điều dưỡng Kỹ thuật y khoa HS-VS</v>
          </cell>
          <cell r="L565">
            <v>0</v>
          </cell>
        </row>
        <row r="566">
          <cell r="A566" t="str">
            <v>BV0813</v>
          </cell>
          <cell r="B566">
            <v>532</v>
          </cell>
          <cell r="C566" t="str">
            <v>003400/LS-CCHN</v>
          </cell>
          <cell r="D566" t="str">
            <v>Trần Thị Thảo</v>
          </cell>
          <cell r="E566" t="str">
            <v>003400/LS-CCHN</v>
          </cell>
          <cell r="F566" t="str">
            <v>21/11/2018</v>
          </cell>
          <cell r="G566" t="str">
            <v>Chuyên khoa xét nghiệm</v>
          </cell>
          <cell r="H566" t="str">
            <v>Từ 07:00 đến 11:30 và từ 13:30 đến 17:00 từ thứ hai đến thứ sáu, thời gian trực và làm việc ngoài giờ theo phân công của Lãnh đạo</v>
          </cell>
          <cell r="I566" t="str">
            <v>HS-VS</v>
          </cell>
          <cell r="J566" t="str">
            <v>Kỹ thuật y khoa Sinh hóa - Vi sinh.</v>
          </cell>
          <cell r="K566" t="str">
            <v>Kỹ thuật y khoa HS-VS</v>
          </cell>
          <cell r="L566">
            <v>0</v>
          </cell>
        </row>
        <row r="567">
          <cell r="A567" t="str">
            <v>BV1331</v>
          </cell>
          <cell r="B567">
            <v>533</v>
          </cell>
          <cell r="C567" t="str">
            <v>002868/HNO-GPHN</v>
          </cell>
          <cell r="D567" t="str">
            <v>Hoàng Thị Thu Huyền</v>
          </cell>
          <cell r="E567" t="str">
            <v>002868/HNO-GPHN</v>
          </cell>
          <cell r="F567">
            <v>45602</v>
          </cell>
          <cell r="G567" t="str">
            <v>Xét nghiệm y học</v>
          </cell>
          <cell r="H567" t="str">
            <v>Từ 07:00 đến 11:30 và từ 13:30 đến 17:00 từ thứ hai đến thứ sáu, thời gian trực và làm việc ngoài giờ theo phân công của Lãnh đạo</v>
          </cell>
          <cell r="I567" t="str">
            <v>HS-VS</v>
          </cell>
          <cell r="J567" t="str">
            <v>Kỹ thuật y khoa Hóa sinh - Vi sinh</v>
          </cell>
          <cell r="K567" t="str">
            <v>Kỹ thuật y khoa HS-VS</v>
          </cell>
          <cell r="L567" t="str">
            <v>Từ 07:00 đến 11:30 và từ 13:30 đến 17:00 Thứ bảy và chủ nhật hằng tuần, ngày nghỉ, ngày lễ. Tại Phòng khám đa khoa trung tâm Lạng Sơn</v>
          </cell>
        </row>
        <row r="568">
          <cell r="A568" t="str">
            <v>BV0501</v>
          </cell>
          <cell r="B568">
            <v>534</v>
          </cell>
          <cell r="C568" t="str">
            <v>000556/LS-CCHN</v>
          </cell>
          <cell r="D568" t="str">
            <v>Đặng Thị Thảo</v>
          </cell>
          <cell r="E568" t="str">
            <v>000556/LS-CCHN</v>
          </cell>
          <cell r="F568">
            <v>42656</v>
          </cell>
          <cell r="G568" t="str">
            <v>Kỹ thuật viên xét nghiệm</v>
          </cell>
          <cell r="H568" t="str">
            <v>Từ 07:00 đến 11:30 và từ 13:30 đến 17:00 từ thứ hai đến thứ sáu, thời gian trực và làm việc ngoài giờ theo phân công của Lãnh đạo</v>
          </cell>
          <cell r="I568" t="str">
            <v>HS-VS</v>
          </cell>
          <cell r="J568" t="str">
            <v>Kỹ thuật y khoa Tâm thần - Thần kinh / HS-VS / P. Điều dưỡng</v>
          </cell>
          <cell r="K568" t="str">
            <v>Kỹ thuật y khoa Tâm thần - Thần kinh / HS-VS / P. Điều dưỡng</v>
          </cell>
          <cell r="L568">
            <v>0</v>
          </cell>
        </row>
        <row r="569">
          <cell r="A569" t="str">
            <v>BV0502</v>
          </cell>
          <cell r="B569">
            <v>535</v>
          </cell>
          <cell r="C569" t="str">
            <v>001064/LS-CCHN</v>
          </cell>
          <cell r="D569" t="str">
            <v>Đỗ Thanh Thủy</v>
          </cell>
          <cell r="E569" t="str">
            <v>001064/LS-CCHN</v>
          </cell>
          <cell r="F569" t="str">
            <v>24/06/2013</v>
          </cell>
          <cell r="G569" t="str">
            <v>Theo quy định tại Thông tư số 23/2009/TT-BYT ngày 01/12/2009 của Bộ Y tế ban hành tiêu chuẩn nghiệp vụ các ngạch viên chức kỹ thuật y học</v>
          </cell>
          <cell r="H569" t="str">
            <v>Từ 07:00 đến 11:30 và từ 13:30 đến 17:00 từ thứ hai đến thứ sáu, thời gian trực và làm việc ngoài giờ theo phân công của Lãnh đạo</v>
          </cell>
          <cell r="I569" t="str">
            <v>HS-VS</v>
          </cell>
          <cell r="J569" t="str">
            <v>Kỹ thuật y khoa Nội TM / HS-VS  / TDCN</v>
          </cell>
          <cell r="K569" t="str">
            <v>Kỹ thuật y khoa Nội TM / HS-VS  / TDCN</v>
          </cell>
          <cell r="L569">
            <v>0</v>
          </cell>
        </row>
        <row r="570">
          <cell r="A570" t="str">
            <v>BV0510</v>
          </cell>
          <cell r="B570">
            <v>536</v>
          </cell>
          <cell r="C570" t="str">
            <v>000555/LS-CCHN</v>
          </cell>
          <cell r="D570" t="str">
            <v>Hoàng Thị Kim Hải</v>
          </cell>
          <cell r="E570" t="str">
            <v>000555/LS-CCHN</v>
          </cell>
          <cell r="F570" t="str">
            <v>13/10/2016</v>
          </cell>
          <cell r="G570" t="str">
            <v>Kỹ thuật viên xét nghiệm</v>
          </cell>
          <cell r="H570" t="str">
            <v>Từ 07:00 đến 11:30 và từ 13:30 đến 17:00 từ thứ hai đến thứ sáu, thời gian trực và làm việc ngoài giờ theo phân công của Lãnh đạo</v>
          </cell>
          <cell r="I570" t="str">
            <v>HS-VS</v>
          </cell>
          <cell r="J570" t="str">
            <v>Kỹ thuật y khoa Lão - CXK / HS-VS / P. Điều dưỡng</v>
          </cell>
          <cell r="K570" t="str">
            <v>Kỹ thuật y khoa Lão - CXK / HS-VS / P. Điều dưỡng</v>
          </cell>
          <cell r="L570">
            <v>0</v>
          </cell>
        </row>
        <row r="571">
          <cell r="A571" t="str">
            <v>BV0498</v>
          </cell>
          <cell r="B571">
            <v>537</v>
          </cell>
          <cell r="C571" t="str">
            <v>001069/LS-CCHN</v>
          </cell>
          <cell r="D571" t="str">
            <v>Nông Thị Hằng</v>
          </cell>
          <cell r="E571" t="str">
            <v>001069/LS-CCHN</v>
          </cell>
          <cell r="F571" t="str">
            <v>24/06/2013</v>
          </cell>
          <cell r="G571" t="str">
            <v>Theo quy định tại Thông tư số 23/2009/TT-BYT ngày 01/12/2009 của Bộ Y tế ban hành tiêu chuẩn nghiệp vụ các ngạch viên chức kỹ thuật y học</v>
          </cell>
          <cell r="H571" t="str">
            <v>Từ 07:00 đến 11:30 và từ 13:30 đến 17:00 từ thứ hai đến thứ sáu, thời gian trực và làm việc ngoài giờ theo phân công của Lãnh đạo</v>
          </cell>
          <cell r="I571" t="str">
            <v>HS-VS</v>
          </cell>
          <cell r="J571" t="str">
            <v>Kỹ thuật y khoa Nội Tổng hợp / HS-VS / P. Điều dưỡng</v>
          </cell>
          <cell r="K571" t="str">
            <v>Kỹ thuật y khoa Nội Tổng hợp / HS-VS / P. Điều dưỡng</v>
          </cell>
          <cell r="L571">
            <v>0</v>
          </cell>
        </row>
        <row r="572">
          <cell r="A572" t="str">
            <v>BV0827</v>
          </cell>
          <cell r="B572">
            <v>538</v>
          </cell>
          <cell r="C572" t="str">
            <v>000368/LS-CCHN</v>
          </cell>
          <cell r="D572" t="str">
            <v>Hoàng Văn Lượng</v>
          </cell>
          <cell r="E572" t="str">
            <v>000368/LS-CCHN</v>
          </cell>
          <cell r="F572" t="str">
            <v>01/06/2016</v>
          </cell>
          <cell r="G572" t="str">
            <v>Kỹ thuật viên xét nghiệm</v>
          </cell>
          <cell r="H572" t="str">
            <v>Từ 07:00 đến 11:30 và từ 13:30 đến 17:00 từ thứ hai đến thứ sáu, thời gian trực và làm việc ngoài giờ theo phân công của Lãnh đạo</v>
          </cell>
          <cell r="I572" t="str">
            <v>HS-VS</v>
          </cell>
          <cell r="J572" t="str">
            <v>Kỹ thuật y khoa Nội Thận-TN-LM / HS-VS / CĐHA</v>
          </cell>
          <cell r="K572" t="str">
            <v>Kỹ thuật y khoa Nội Thận-TN-LM / HS-VS / CĐHA</v>
          </cell>
          <cell r="L572">
            <v>0</v>
          </cell>
        </row>
        <row r="573">
          <cell r="A573" t="str">
            <v>BV1041</v>
          </cell>
          <cell r="B573">
            <v>539</v>
          </cell>
          <cell r="C573" t="str">
            <v>000665/LS-CCHN</v>
          </cell>
          <cell r="D573" t="str">
            <v>Vi Thị Hiển</v>
          </cell>
          <cell r="E573" t="str">
            <v>000665/LS-CCHN</v>
          </cell>
          <cell r="G573" t="str">
            <v>Kỹ thuật viên xét nghiệm</v>
          </cell>
          <cell r="H573" t="str">
            <v>Từ 07:00 đến 11:30 và từ 13:30 đến 17:00 từ thứ hai đến thứ sáu, thời gian trực và làm việc ngoài giờ theo phân công của Lãnh đạo</v>
          </cell>
          <cell r="I573" t="str">
            <v>HS-VS</v>
          </cell>
          <cell r="J573" t="str">
            <v>Kỹ thuật y khoa Nội Tiêu hóa / HS-VS / P. Điều dưỡng</v>
          </cell>
          <cell r="K573" t="str">
            <v>Kỹ thuật y khoa Nội Tiêu hóa / HS-VS / P. Điều dưỡng</v>
          </cell>
        </row>
        <row r="574">
          <cell r="A574" t="str">
            <v>BV0505</v>
          </cell>
          <cell r="B574">
            <v>540</v>
          </cell>
          <cell r="C574" t="str">
            <v>000174/LS-CCHN</v>
          </cell>
          <cell r="D574" t="str">
            <v>Thi Thị Thuận</v>
          </cell>
          <cell r="E574" t="str">
            <v>000174/LS-CCHN</v>
          </cell>
          <cell r="F574" t="str">
            <v>01/08/2012</v>
          </cell>
          <cell r="G574" t="str">
            <v>Thực hiện kỹ thuật chuyên môn xét nghiệm</v>
          </cell>
          <cell r="H574" t="str">
            <v>Từ 07:00 đến 11:30 và từ 13:30 đến 17:00 từ thứ hai đến thứ sáu, thời gian trực và làm việc ngoài giờ theo phân công của Lãnh đạo</v>
          </cell>
          <cell r="I574" t="str">
            <v>HS-VS</v>
          </cell>
          <cell r="J574" t="str">
            <v>Kỹ thuật y khoa UB - YHHN / HS-VS / TDCN</v>
          </cell>
          <cell r="K574" t="str">
            <v>Kỹ thuật y khoa UB - YHHN / HS-VS / TDCN</v>
          </cell>
          <cell r="L574">
            <v>0</v>
          </cell>
        </row>
        <row r="575">
          <cell r="D575" t="str">
            <v>KHOA THĂM DÒ CHỨC NĂNG</v>
          </cell>
          <cell r="I575" t="e">
            <v>#N/A</v>
          </cell>
        </row>
        <row r="576">
          <cell r="A576" t="str">
            <v>BV0538</v>
          </cell>
          <cell r="B576">
            <v>541</v>
          </cell>
          <cell r="C576" t="str">
            <v>003064/LS-CCHN</v>
          </cell>
          <cell r="D576" t="str">
            <v>Nguyễn Thu Trang</v>
          </cell>
          <cell r="E576" t="str">
            <v>003064/LS-CCHN</v>
          </cell>
          <cell r="F576" t="str">
            <v>11/01/2023</v>
          </cell>
          <cell r="G576" t="str">
            <v>Khám bệnh, chữa bệnh Nội khoa</v>
          </cell>
          <cell r="H576" t="str">
            <v>Từ 07:00 đến 11:30 và từ 13:30 đến 17:00 từ thứ hai đến thứ sáu, thời gian trực và làm việc ngoài giờ theo phân công của Lãnh đạo</v>
          </cell>
          <cell r="I576" t="str">
            <v>TDCN</v>
          </cell>
          <cell r="J576" t="str">
            <v>Bác sĩ khoa Thăm dò chức năng - Phó trưởng khoa.</v>
          </cell>
          <cell r="K576" t="str">
            <v>Bác sĩ khoa Thăm dò chức năng - Phó trưởng khoa.</v>
          </cell>
          <cell r="L576" t="str">
            <v>Từ 07:00 đến 11:30 và từ 13:30 đến 17:00 Thứ bảy và chủ nhật hằng tuần; Tại Phòng khám đa khoa trung tâm CS2</v>
          </cell>
        </row>
        <row r="577">
          <cell r="A577" t="str">
            <v>BV0537</v>
          </cell>
          <cell r="B577">
            <v>542</v>
          </cell>
          <cell r="C577" t="str">
            <v>001088/LS-CCHN</v>
          </cell>
          <cell r="D577" t="str">
            <v>Đoàn Văn Sang</v>
          </cell>
          <cell r="E577" t="str">
            <v>001088/LS-CCHN</v>
          </cell>
          <cell r="F577" t="str">
            <v>11/01/2023</v>
          </cell>
          <cell r="G577" t="str">
            <v>Khám bệnh, chữa bệnh Nội khoa</v>
          </cell>
          <cell r="H577" t="str">
            <v>Từ 07:00 đến 11:30 và từ 13:30 đến 17:00 từ thứ hai đến thứ sáu, thời gian trực và làm việc ngoài giờ theo phân công của Lãnh đạo</v>
          </cell>
          <cell r="I577" t="str">
            <v>TDCN</v>
          </cell>
          <cell r="J577" t="str">
            <v>Bác sĩ khoa Thăm dò chức năng - Trưởng khoa.</v>
          </cell>
          <cell r="K577" t="str">
            <v>Bác sĩ khoa Thăm dò chức năng - Trưởng khoa.</v>
          </cell>
        </row>
        <row r="578">
          <cell r="A578" t="str">
            <v>BV0836</v>
          </cell>
          <cell r="B578">
            <v>543</v>
          </cell>
          <cell r="C578" t="str">
            <v>003574/LS-CCHN</v>
          </cell>
          <cell r="D578" t="str">
            <v>Nguyễn Ngọc Linh</v>
          </cell>
          <cell r="E578" t="str">
            <v>003574/LS-CCHN</v>
          </cell>
          <cell r="F578" t="str">
            <v>20/09/2019</v>
          </cell>
          <cell r="G578" t="str">
            <v>Khám bệnh, chữa bệnh Nội khoa</v>
          </cell>
          <cell r="H578" t="str">
            <v>Từ 07:00 đến 11:30 và từ 13:30 đến 17:00 từ thứ hai đến thứ sáu, thời gian trực và làm việc ngoài giờ theo phân công của Lãnh đạo</v>
          </cell>
          <cell r="I578" t="str">
            <v>TDCN</v>
          </cell>
          <cell r="J578" t="str">
            <v>Bác sĩ khoa Thăm dò chức năng.</v>
          </cell>
          <cell r="K578" t="str">
            <v>Bác sĩ khoa TDCN</v>
          </cell>
          <cell r="L578" t="str">
            <v>07:00 đến 11:30 và từ 13:30 đến 17:00 thứ bảy, chủ nhật; Phòng khám đa khoa Trường Sinh</v>
          </cell>
        </row>
        <row r="579">
          <cell r="A579" t="str">
            <v>BV0943</v>
          </cell>
          <cell r="B579">
            <v>544</v>
          </cell>
          <cell r="C579" t="str">
            <v>004297/LS-CCHN</v>
          </cell>
          <cell r="D579" t="str">
            <v>Hoàng Thị Mỹ Linh</v>
          </cell>
          <cell r="E579" t="str">
            <v>004297/LS-CCHN</v>
          </cell>
          <cell r="F579" t="str">
            <v>20/07/2021</v>
          </cell>
          <cell r="G579" t="str">
            <v>Khám bệnh chữa bệnh Nội khoa</v>
          </cell>
          <cell r="H579" t="str">
            <v>Từ 07:00 đến 11:30 và từ 13:30 đến 17:00 từ thứ hai đến thứ sáu, thời gian trực và làm việc ngoài giờ theo phân công của Lãnh đạo</v>
          </cell>
          <cell r="I579" t="str">
            <v>TDCN</v>
          </cell>
          <cell r="J579" t="str">
            <v>Bác sĩ khoa Thăm dò chức năng.</v>
          </cell>
          <cell r="K579" t="str">
            <v>Bác sĩ khoa TDCN</v>
          </cell>
          <cell r="L579">
            <v>0</v>
          </cell>
        </row>
        <row r="580">
          <cell r="A580" t="str">
            <v>BV0024</v>
          </cell>
          <cell r="B580">
            <v>545</v>
          </cell>
          <cell r="C580" t="str">
            <v>000750/LS-CCHN</v>
          </cell>
          <cell r="D580" t="str">
            <v>Mã Thị Thủy</v>
          </cell>
          <cell r="E580" t="str">
            <v>000750/LS-CCHN</v>
          </cell>
          <cell r="F580" t="str">
            <v>11/01/2023</v>
          </cell>
          <cell r="G580" t="str">
            <v>Thực hiện phạm vi hoạt động chuyên môn theo Thông tư số 26/2015/TTLT-BYT-BNV ngày 07/10/2015 quy định  mã số, tiêu chuẩn chức danh nghề nghiệp, điều dưỡng, hộ sinh, kỹ thuật y</v>
          </cell>
          <cell r="H580" t="str">
            <v>Từ 07:00 đến 11:30 và từ 13:30 đến 17:00 từ thứ hai đến thứ sáu, thời gian trực và làm việc ngoài giờ theo phân công của Lãnh đạo</v>
          </cell>
          <cell r="I580" t="str">
            <v>TDCN</v>
          </cell>
          <cell r="J580" t="str">
            <v>Điều dưỡng khoa Thăm dò chức năng- Điều dưỡng trưởng</v>
          </cell>
          <cell r="K580" t="str">
            <v>Điều dưỡng khoa Thăm dò chức năng- Điều dưỡng trưởng</v>
          </cell>
          <cell r="L580">
            <v>0</v>
          </cell>
        </row>
        <row r="581">
          <cell r="A581" t="str">
            <v>BV0540</v>
          </cell>
          <cell r="B581">
            <v>546</v>
          </cell>
          <cell r="C581" t="str">
            <v>001092/LS-CCHN</v>
          </cell>
          <cell r="D581" t="str">
            <v>Hoàng Thị Hiển</v>
          </cell>
          <cell r="E581" t="str">
            <v>001092/LS-CCHN</v>
          </cell>
          <cell r="F581" t="str">
            <v>24/06/2013</v>
          </cell>
          <cell r="G581" t="str">
            <v>Theo quy định tại Quyết định số 41/2005/QĐ-BNV ngày 22/4/2005 của Bộ trưởng Bộ Nội vụ về việc ban hành tiêu chuẩn nghiệp vụ các ngạch viên chức y tế điều dưỡng</v>
          </cell>
          <cell r="H581" t="str">
            <v>Từ 07:00 đến 11:30 và từ 13:30 đến 17:00 từ thứ hai đến thứ sáu, thời gian trực và làm việc ngoài giờ theo phân công của Lãnh đạo</v>
          </cell>
          <cell r="I581" t="str">
            <v>TDCN</v>
          </cell>
          <cell r="J581" t="str">
            <v>Điều dưỡng khoa Thăm dò chức năng.</v>
          </cell>
          <cell r="K581" t="str">
            <v>Điều dưỡng khoa TDCN</v>
          </cell>
          <cell r="L581">
            <v>0</v>
          </cell>
        </row>
        <row r="582">
          <cell r="A582" t="str">
            <v>BV0234</v>
          </cell>
          <cell r="B582">
            <v>547</v>
          </cell>
          <cell r="C582" t="str">
            <v>000949/LS-CCHN</v>
          </cell>
          <cell r="D582" t="str">
            <v>Chu Văn Huân</v>
          </cell>
          <cell r="E582" t="str">
            <v>000949/LS-CCHN</v>
          </cell>
          <cell r="F582" t="str">
            <v>11/01/2023</v>
          </cell>
          <cell r="G582" t="str">
            <v>Thực hiện phạm vi hoạt động chuyên môn theo Thông tư số 26/2015/TTLT-BYT-BNV ngày 07/10/2015 quy định  mã số, tiêu chuẩn chức danh nghề nghiệp, điều dưỡng, hộ sinh, kỹ thuật y</v>
          </cell>
          <cell r="H582" t="str">
            <v>Từ 07:00 đến 11:30 và từ 13:30 đến 17:00 từ thứ hai đến thứ sáu, thời gian trực và làm việc ngoài giờ theo phân công của Lãnh đạo</v>
          </cell>
          <cell r="I582" t="str">
            <v>TDCN</v>
          </cell>
          <cell r="J582" t="str">
            <v>Điều dưỡng khoa Thăm dò chức năng</v>
          </cell>
          <cell r="K582" t="str">
            <v>Điều dưỡng khoa TDCN</v>
          </cell>
          <cell r="L582">
            <v>0</v>
          </cell>
        </row>
        <row r="583">
          <cell r="A583" t="str">
            <v>BV0064</v>
          </cell>
          <cell r="B583">
            <v>548</v>
          </cell>
          <cell r="C583" t="str">
            <v>000787/LS-CCHN</v>
          </cell>
          <cell r="D583" t="str">
            <v>Dương Thị Cương</v>
          </cell>
          <cell r="E583" t="str">
            <v>000787/LS-CCHN</v>
          </cell>
          <cell r="F583" t="str">
            <v>11/01/2023</v>
          </cell>
          <cell r="G583" t="str">
            <v>Thực hiện phạm vi hoạt động chuyên môn theo Thông tư số 26/2015/TTLT-BYT-BNV ngày 07/10/2015 quy định  mã số, tiêu chuẩn chức danh nghề nghiệp, điều dưỡng, hộ sinh, kỹ thuật y</v>
          </cell>
          <cell r="H583" t="str">
            <v>Từ 07:00 đến 11:30 và từ 13:30 đến 17:00 từ thứ hai đến thứ sáu, thời gian trực và làm việc ngoài giờ theo phân công của Lãnh đạo</v>
          </cell>
          <cell r="I583" t="str">
            <v>TDCN</v>
          </cell>
          <cell r="J583" t="str">
            <v>Điều dưỡng khoa Ngoại Thận - Tiết niệu / TDCN</v>
          </cell>
          <cell r="K583" t="str">
            <v>Điều dưỡng khoa Ngoại Thận - Tiết niệu / TDCN</v>
          </cell>
          <cell r="L583">
            <v>0</v>
          </cell>
        </row>
        <row r="584">
          <cell r="A584" t="str">
            <v>BV0548</v>
          </cell>
          <cell r="B584">
            <v>549</v>
          </cell>
          <cell r="C584" t="str">
            <v>000775/LS-CCHN</v>
          </cell>
          <cell r="D584" t="str">
            <v>Triệu Văn Tuân</v>
          </cell>
          <cell r="E584" t="str">
            <v>000775/LS-CCHN</v>
          </cell>
          <cell r="F584" t="str">
            <v>11/01/2023</v>
          </cell>
          <cell r="G584" t="str">
            <v>Thực hiện phạm vi hoạt động chuyên môn theo Thông tư số 26/2015/TTLT-BYT-BNV ngày 07/10/2015 quy định  mã số, tiêu chuẩn chức danh nghề nghiệp, điều dưỡng, hộ sinh, kỹ thuật y</v>
          </cell>
          <cell r="H584" t="str">
            <v>Từ 07:00 đến 11:30 và từ 13:30 đến 17:00 từ thứ hai đến thứ sáu, thời gian trực và làm việc ngoài giờ theo phân công của Lãnh đạo</v>
          </cell>
          <cell r="I584" t="str">
            <v>TDCN</v>
          </cell>
          <cell r="J584" t="str">
            <v>Điều dưỡng khoa Ngoại Thận - Tiết niệu / TDCN</v>
          </cell>
          <cell r="K584" t="str">
            <v>Điều dưỡng khoa Ngoại Thận - Tiết niệu / TDCN</v>
          </cell>
        </row>
        <row r="585">
          <cell r="A585" t="str">
            <v>BV0542</v>
          </cell>
          <cell r="B585">
            <v>550</v>
          </cell>
          <cell r="C585" t="str">
            <v>001091/LS-CCHN</v>
          </cell>
          <cell r="D585" t="str">
            <v>Hoàng Thanh Hương</v>
          </cell>
          <cell r="E585" t="str">
            <v>001091/LS-CCHN</v>
          </cell>
          <cell r="F585" t="str">
            <v>11/01/2023</v>
          </cell>
          <cell r="G585" t="str">
            <v>Thực hiện phạm vi hoạt động chuyên môn theo Thông tư số 26/2015/TTLT-BYT-BNV ngày 07/10/2015 quy định  mã số, tiêu chuẩn chức danh nghề nghiệp, điều dưỡng, hộ sinh, kỹ thuật y</v>
          </cell>
          <cell r="H585" t="str">
            <v>Từ 07:00 đến 11:30 và từ 13:30 đến 17:00 từ thứ hai đến thứ sáu, thời gian trực và làm việc ngoài giờ theo phân công của Lãnh đạo</v>
          </cell>
          <cell r="I585" t="str">
            <v>TDCN</v>
          </cell>
          <cell r="J585" t="str">
            <v>Điều dưỡng khoa Thăm dò chức năng.</v>
          </cell>
          <cell r="K585" t="str">
            <v>Điều dưỡng khoa TDCN</v>
          </cell>
          <cell r="L585">
            <v>0</v>
          </cell>
        </row>
        <row r="586">
          <cell r="A586" t="str">
            <v>BV0545</v>
          </cell>
          <cell r="B586">
            <v>551</v>
          </cell>
          <cell r="C586" t="str">
            <v>001095/LS-CCHN</v>
          </cell>
          <cell r="D586" t="str">
            <v>Lã Bích Hiệp</v>
          </cell>
          <cell r="E586" t="str">
            <v>001095/LS-CCHN</v>
          </cell>
          <cell r="F586" t="str">
            <v>11/01/2023</v>
          </cell>
          <cell r="G586" t="str">
            <v>Thực hiện phạm vi hoạt động chuyên môn theo Thông tư số 26/2015/TTLT-BYT-BNV ngày 07/10/2015 quy định  mã số, tiêu chuẩn chức danh nghề nghiệp, điều dưỡng, hộ sinh, kỹ thuật y</v>
          </cell>
          <cell r="H586" t="str">
            <v>Từ 07:00 đến 11:30 và từ 13:30 đến 17:00 từ thứ hai đến thứ sáu, thời gian trực và làm việc ngoài giờ theo phân công của Lãnh đạo</v>
          </cell>
          <cell r="I586" t="str">
            <v>TDCN</v>
          </cell>
          <cell r="J586" t="str">
            <v>Điều dưỡng khoa Thăm dò chức năng.</v>
          </cell>
          <cell r="K586" t="str">
            <v>Điều dưỡng khoa TDCN</v>
          </cell>
          <cell r="L586">
            <v>0</v>
          </cell>
        </row>
        <row r="587">
          <cell r="A587" t="str">
            <v>BV0543</v>
          </cell>
          <cell r="B587">
            <v>552</v>
          </cell>
          <cell r="C587" t="str">
            <v>001093/LS-CCHN</v>
          </cell>
          <cell r="D587" t="str">
            <v>Lăng Kim Liên</v>
          </cell>
          <cell r="E587" t="str">
            <v>001093/LS-CCHN</v>
          </cell>
          <cell r="F587" t="str">
            <v>11/01/2023</v>
          </cell>
          <cell r="G587" t="str">
            <v>Thực hiện phạm vi hoạt động chuyên môn theo Thông tư số 26/2015/TTLT-BYT-BNV ngày 07/10/2015 quy định  mã số, tiêu chuẩn chức danh nghề nghiệp, điều dưỡng, hộ sinh, kỹ thuật y</v>
          </cell>
          <cell r="H587" t="str">
            <v>Từ 07:00 đến 11:30 và từ 13:30 đến 17:00 từ thứ hai đến thứ sáu, thời gian trực và làm việc ngoài giờ theo phân công của Lãnh đạo</v>
          </cell>
          <cell r="I587" t="str">
            <v>TDCN</v>
          </cell>
          <cell r="J587" t="str">
            <v>Điều dưỡng khoa Thăm dò chức năng.</v>
          </cell>
          <cell r="K587" t="str">
            <v>Điều dưỡng khoa TDCN</v>
          </cell>
          <cell r="L587">
            <v>0</v>
          </cell>
        </row>
        <row r="588">
          <cell r="A588" t="str">
            <v>BV0541</v>
          </cell>
          <cell r="B588">
            <v>553</v>
          </cell>
          <cell r="C588" t="str">
            <v>000824/LS-CCHN</v>
          </cell>
          <cell r="D588" t="str">
            <v>Nông Thị Kim Hoa</v>
          </cell>
          <cell r="E588" t="str">
            <v>000824/LS-CCHN</v>
          </cell>
          <cell r="F588" t="str">
            <v>24/06/2013</v>
          </cell>
          <cell r="G588" t="str">
            <v>Theo quy định tại Quyết định số 41/2005/QĐ-BNV ngày 22/4/2005 của Bộ trưởng Bộ Nội vụ về việc ban hành tiêu chuẩn nghiệp vụ các ngạch viên chức y tế điều dưỡng</v>
          </cell>
          <cell r="H588" t="str">
            <v>Từ 07:00 đến 11:30 và từ 13:30 đến 17:00 từ thứ hai đến thứ sáu, thời gian trực và làm việc ngoài giờ theo phân công của Lãnh đạo</v>
          </cell>
          <cell r="I588" t="str">
            <v>TDCN</v>
          </cell>
          <cell r="J588" t="str">
            <v>Điều dưỡng khoa Thăm dò chức năng.</v>
          </cell>
          <cell r="K588" t="str">
            <v>Điều dưỡng khoa TDCN</v>
          </cell>
          <cell r="L588">
            <v>0</v>
          </cell>
        </row>
        <row r="589">
          <cell r="A589" t="str">
            <v>BV0916</v>
          </cell>
          <cell r="B589">
            <v>554</v>
          </cell>
          <cell r="C589" t="str">
            <v>003723/LS-CCHN</v>
          </cell>
          <cell r="D589" t="str">
            <v>Hà Kim Thoa</v>
          </cell>
          <cell r="E589" t="str">
            <v>003723/LS-CCHN</v>
          </cell>
          <cell r="F589" t="str">
            <v>22/05/2020</v>
          </cell>
          <cell r="G589" t="str">
            <v>Thực hiện phạm vi hoạt động chuyên môn theo quy định tại Thông tư số 26/2015/TTLT-BYT-BNV ngày 07/10/2015 quy định mã số, tiêu chuẩn chức danh nghề nghiệp điều dưỡng, hộ sinh, kỹ thuật y</v>
          </cell>
          <cell r="H589" t="str">
            <v>Từ 07:00 đến 11:30 và từ 13:30 đến 17:00 từ thứ hai đến thứ sáu, thời gian trực và làm việc ngoài giờ theo phân công của Lãnh đạo</v>
          </cell>
          <cell r="I589" t="str">
            <v>TDCN</v>
          </cell>
          <cell r="J589" t="str">
            <v>Điều dưỡng khoa Nội Thận-TN-LM / TDCN / CĐHA</v>
          </cell>
          <cell r="K589" t="str">
            <v>Điều dưỡng khoa Nội Thận-TN-LM / TDCN / CĐHA</v>
          </cell>
          <cell r="L589">
            <v>0</v>
          </cell>
        </row>
        <row r="590">
          <cell r="D590" t="str">
            <v>KHOA CHẨN ĐOÁN HÌNH ẢNH</v>
          </cell>
          <cell r="I590" t="e">
            <v>#N/A</v>
          </cell>
        </row>
        <row r="591">
          <cell r="A591" t="str">
            <v>BV0514</v>
          </cell>
          <cell r="B591">
            <v>555</v>
          </cell>
          <cell r="C591" t="str">
            <v>003062/LS-CCHN</v>
          </cell>
          <cell r="D591" t="str">
            <v>Lý Kiên Trung</v>
          </cell>
          <cell r="E591" t="str">
            <v>003062/LS-CCHN</v>
          </cell>
          <cell r="F591" t="str">
            <v>11/01/2023</v>
          </cell>
          <cell r="G591" t="str">
            <v>Chuyên khoa Chẩn đoán hình ảnh</v>
          </cell>
          <cell r="H591" t="str">
            <v>Từ 07:00 đến 11:30 và từ 13:30 đến 17:00 từ thứ hai đến thứ sáu, thời gian trực và làm việc ngoài giờ theo phân công của Lãnh đạo</v>
          </cell>
          <cell r="I591" t="str">
            <v>CĐHA</v>
          </cell>
          <cell r="J591" t="str">
            <v>Bác sĩ khoa Chẩn đoán hình ảnh - Trưởng khoa.</v>
          </cell>
          <cell r="K591" t="str">
            <v>Bác sĩ khoa Chẩn đoán hình ảnh - Trưởng khoa.</v>
          </cell>
          <cell r="L591" t="str">
            <v>Từ 11:35 đến 13:20 và từ 17:10 đến 21:00 thứ hai đến thứ sáu; từ 08:00 đến 21:00 thứ bảy, chủ nhật hằng tuần. Tại Cơ sở chẩn đoán hình ảnh Bác sĩ Trung</v>
          </cell>
        </row>
        <row r="592">
          <cell r="A592" t="str">
            <v>BV0497</v>
          </cell>
          <cell r="B592">
            <v>556</v>
          </cell>
          <cell r="C592" t="str">
            <v>003649/LS-CCHN</v>
          </cell>
          <cell r="D592" t="str">
            <v>Hoàng Thế Xuân</v>
          </cell>
          <cell r="E592" t="str">
            <v>003649/LS-CCHN</v>
          </cell>
          <cell r="F592" t="str">
            <v>29/11/2019</v>
          </cell>
          <cell r="G592" t="str">
            <v>Chuyên khoa Chẩn đoán hình ảnh</v>
          </cell>
          <cell r="H592" t="str">
            <v>Từ 07:00 đến 11:30 và từ 13:30 đến 17:00 từ thứ hai đến thứ sáu, thời gian trực và làm việc ngoài giờ theo phân công của Lãnh đạo</v>
          </cell>
          <cell r="I592" t="str">
            <v>CĐHA</v>
          </cell>
          <cell r="J592" t="str">
            <v>Bác sĩ khoa Chẩn đoán hình ảnh - Phó trưởng khoa.</v>
          </cell>
          <cell r="K592" t="str">
            <v>Bác sĩ khoa Chẩn đoán hình ảnh - Phó trưởng khoa.</v>
          </cell>
          <cell r="L592" t="str">
            <v>Từ 11:40 đến 13:20 và từ 17:10 đến 21:00 thứ hai đến thứ sáu; từ 07:00 đến 21:00 thứ bảy, chủ nhật hằng tuần. Tại Phòng khám CĐHA số 5 Bông Lau</v>
          </cell>
        </row>
        <row r="593">
          <cell r="A593" t="str">
            <v>BV0678</v>
          </cell>
          <cell r="B593">
            <v>557</v>
          </cell>
          <cell r="C593" t="str">
            <v>003319/LS-CCHN</v>
          </cell>
          <cell r="D593" t="str">
            <v>Hoàng Trọng Hiếu</v>
          </cell>
          <cell r="E593" t="str">
            <v>003319/LS-CCHN</v>
          </cell>
          <cell r="F593" t="str">
            <v>20/07/2018</v>
          </cell>
          <cell r="G593" t="str">
            <v>Khám bệnh, chữa bệnh Nội khoa</v>
          </cell>
          <cell r="H593" t="str">
            <v>Từ 07:00 đến 11:30 và từ 13:30 đến 17:00 từ thứ hai đến thứ sáu, thời gian trực và làm việc ngoài giờ theo phân công của Lãnh đạo</v>
          </cell>
          <cell r="I593" t="str">
            <v>CĐHA</v>
          </cell>
          <cell r="J593" t="str">
            <v>Bác sĩ khoa Chẩn đoán hình ảnh.</v>
          </cell>
          <cell r="K593" t="str">
            <v>Bác sĩ khoa CĐHA</v>
          </cell>
          <cell r="L593" t="str">
            <v>từ 07:00 đến 11:30, từ 13:30 đến 17:00 thứ bảy, chủ nhật hằng tuần. Phòng khám đa khoa Phú Lộc</v>
          </cell>
        </row>
        <row r="594">
          <cell r="A594" t="str">
            <v>BV1223</v>
          </cell>
          <cell r="B594">
            <v>558</v>
          </cell>
          <cell r="C594" t="str">
            <v>004490/LS-CCHN</v>
          </cell>
          <cell r="D594" t="str">
            <v>Hoàng Thị Thanh Mai</v>
          </cell>
          <cell r="E594" t="str">
            <v>004490/LS-CCHN</v>
          </cell>
          <cell r="F594" t="str">
            <v>06/04/2022</v>
          </cell>
          <cell r="G594" t="str">
            <v>Khám bệnh chữa bệnh Nội khoa</v>
          </cell>
          <cell r="H594" t="str">
            <v>Từ 07:00 đến 11:30 và từ 13:30 đến 17:00 từ thứ hai đến thứ sáu, thời gian trực và làm việc ngoài giờ theo phân công của Lãnh đạo</v>
          </cell>
          <cell r="I594" t="str">
            <v>CĐHA</v>
          </cell>
          <cell r="J594" t="str">
            <v>Bác sĩ khoa Chẩn đoán hình ảnh.</v>
          </cell>
          <cell r="K594" t="str">
            <v>Bác sĩ khoa CĐHA</v>
          </cell>
          <cell r="L594">
            <v>0</v>
          </cell>
        </row>
        <row r="595">
          <cell r="A595" t="str">
            <v>BV0517</v>
          </cell>
          <cell r="B595">
            <v>559</v>
          </cell>
          <cell r="C595" t="str">
            <v>002144/LS-CCHN</v>
          </cell>
          <cell r="D595" t="str">
            <v>Nguyễn Thị Bách</v>
          </cell>
          <cell r="E595" t="str">
            <v>002144/LS-CCHN</v>
          </cell>
          <cell r="F595" t="str">
            <v>01/12/2017</v>
          </cell>
          <cell r="G595" t="str">
            <v>Chuyên khoa Chẩn đoán hình ảnh</v>
          </cell>
          <cell r="H595" t="str">
            <v>Từ 07:00 đến 11:30 và từ 13:30 đến 17:00 từ thứ hai đến thứ sáu, thời gian trực và làm việc ngoài giờ theo phân công của Lãnh đạo</v>
          </cell>
          <cell r="I595" t="str">
            <v>CĐHA</v>
          </cell>
          <cell r="J595" t="str">
            <v>Bác sĩ khoa Chẩn đoán hình ảnh.</v>
          </cell>
          <cell r="K595" t="str">
            <v>Bác sĩ khoa CĐHA</v>
          </cell>
          <cell r="L595">
            <v>0</v>
          </cell>
        </row>
        <row r="596">
          <cell r="A596" t="str">
            <v>BV0755</v>
          </cell>
          <cell r="B596">
            <v>560</v>
          </cell>
          <cell r="C596" t="str">
            <v>003590/LS-CCHN</v>
          </cell>
          <cell r="D596" t="str">
            <v>Lương Khánh Tú</v>
          </cell>
          <cell r="E596" t="str">
            <v>003590/LS-CCHN</v>
          </cell>
          <cell r="F596" t="str">
            <v>20/09/2019</v>
          </cell>
          <cell r="G596" t="str">
            <v>Khám bệnh, chữa bệnh Nội khoa</v>
          </cell>
          <cell r="H596" t="str">
            <v>Từ 07:00 đến 11:30 và từ 13:30 đến 17:00 từ thứ hai đến thứ sáu, thời gian trực và làm việc ngoài giờ theo phân công của Lãnh đạo</v>
          </cell>
          <cell r="I596" t="str">
            <v>CĐHA</v>
          </cell>
          <cell r="J596" t="str">
            <v>Bác sĩ khoa Chẩn đoán hình ảnh.</v>
          </cell>
          <cell r="K596" t="str">
            <v>Bác sĩ khoa CĐHA</v>
          </cell>
          <cell r="L596">
            <v>0</v>
          </cell>
        </row>
        <row r="597">
          <cell r="A597" t="str">
            <v>BV1228</v>
          </cell>
          <cell r="B597">
            <v>561</v>
          </cell>
          <cell r="C597" t="str">
            <v>000057/LS-GPHN</v>
          </cell>
          <cell r="D597" t="str">
            <v>Trần Hoàng Vân Anh</v>
          </cell>
          <cell r="E597" t="str">
            <v>000057/LS-GPHN</v>
          </cell>
          <cell r="G597" t="str">
            <v>Chuyên khoa Nội khoa</v>
          </cell>
          <cell r="H597" t="str">
            <v>Từ 07:00 đến 11:30 và từ 13:30 đến 17:00 từ thứ hai đến thứ sáu, thời gian trực và làm việc ngoài giờ theo phân công của Lãnh đạo</v>
          </cell>
          <cell r="I597" t="str">
            <v>CĐHA</v>
          </cell>
          <cell r="J597" t="str">
            <v>Bác sĩ, Khoa Chẩn đoán hình ảnh</v>
          </cell>
          <cell r="K597" t="str">
            <v>Bác sĩ khoa CĐHA</v>
          </cell>
        </row>
        <row r="598">
          <cell r="A598" t="str">
            <v>BV1276</v>
          </cell>
          <cell r="C598" t="str">
            <v>000359/LS-GPHN</v>
          </cell>
          <cell r="D598" t="str">
            <v>Lương Thị Lan Hương</v>
          </cell>
          <cell r="E598" t="str">
            <v>000359/LS-GPHN</v>
          </cell>
          <cell r="F598">
            <v>45917</v>
          </cell>
          <cell r="G598" t="str">
            <v>Y khoa</v>
          </cell>
          <cell r="H598" t="str">
            <v>Từ 07:00 đến 11:30 và từ 13:30 đến 17:00 từ thứ hai đến thứ sáu, thời gian trực và làm việc ngoài giờ theo phân công của Lãnh đạo</v>
          </cell>
          <cell r="I598" t="str">
            <v>CĐHA</v>
          </cell>
          <cell r="J598" t="str">
            <v>Bác sĩ khoa Chẩn đoán hình ảnh</v>
          </cell>
          <cell r="K598" t="str">
            <v>Bác sĩ khoa CĐHA</v>
          </cell>
        </row>
        <row r="599">
          <cell r="C599" t="str">
            <v>000536/LS-GPHN</v>
          </cell>
          <cell r="D599" t="str">
            <v>Phạm Quốc Khánh</v>
          </cell>
          <cell r="E599" t="str">
            <v>000536/LS-GPHN</v>
          </cell>
          <cell r="F599">
            <v>46135</v>
          </cell>
          <cell r="G599" t="str">
            <v>Y khoa</v>
          </cell>
          <cell r="H599" t="str">
            <v>Từ 07:00 đến 11:30 và từ 13:30 đến 17:00 từ thứ hai đến thứ sáu, thời gian trực và làm việc ngoài giờ theo phân công của Lãnh đạo</v>
          </cell>
          <cell r="I599" t="e">
            <v>#N/A</v>
          </cell>
          <cell r="J599" t="str">
            <v>Bác sĩ khoa Chẩn đoán hình ảnh, Hồi sức tích cực - Chống độc</v>
          </cell>
        </row>
        <row r="600">
          <cell r="A600" t="str">
            <v>BV0530</v>
          </cell>
          <cell r="B600">
            <v>564</v>
          </cell>
          <cell r="C600" t="str">
            <v>001083/LS-CCHN</v>
          </cell>
          <cell r="D600" t="str">
            <v>Hoàng Trung Diện</v>
          </cell>
          <cell r="E600" t="str">
            <v>001083/LS-CCHN</v>
          </cell>
          <cell r="F600" t="str">
            <v>11/12/2022</v>
          </cell>
          <cell r="G600" t="str">
            <v>Thực hiện phạm vi hoạt động chuyên môn theo quy định tại Thông tư số 26/2015/TTLT-BYT-BNV ngày 07/10/2015 quy định mã số, tiêu chuẩn chức danh nghề nghiệp điều dưỡng, hộ sinh, kỹ thuật y</v>
          </cell>
          <cell r="H600" t="str">
            <v>Từ 07:00 đến 11:30 và từ 13:30 đến 17:00 từ thứ hai đến thứ sáu, thời gian trực và làm việc ngoài giờ theo phân công của Lãnh đạo</v>
          </cell>
          <cell r="I600" t="str">
            <v>CĐHA</v>
          </cell>
          <cell r="J600" t="str">
            <v>Điều dưỡng khoa Chẩn đoán hình ảnh.</v>
          </cell>
          <cell r="K600" t="str">
            <v>Điều dưỡng khoa CĐHA</v>
          </cell>
          <cell r="L600">
            <v>0</v>
          </cell>
        </row>
        <row r="601">
          <cell r="A601" t="str">
            <v>BV0528</v>
          </cell>
          <cell r="B601">
            <v>565</v>
          </cell>
          <cell r="C601" t="str">
            <v>001081/LS-CCHN</v>
          </cell>
          <cell r="D601" t="str">
            <v>Lưu Viết Hoàn</v>
          </cell>
          <cell r="E601" t="str">
            <v>001081/LS-CCHN</v>
          </cell>
          <cell r="F601" t="str">
            <v>11/12/2022</v>
          </cell>
          <cell r="G601" t="str">
            <v>Thực hiện phạm vi hoạt động chuyên môn theo quy định tại Thông tư số 26/2015/TTLT-BYT-BNV ngày 07/10/2015 quy định mã số, tiêu chuẩn chức danh nghề nghiệp điều dưỡng, hộ sinh, kỹ thuật y</v>
          </cell>
          <cell r="H601" t="str">
            <v>Từ 07:00 đến 11:30 và từ 13:30 đến 17:00 từ thứ hai đến thứ sáu, thời gian trực và làm việc ngoài giờ theo phân công của Lãnh đạo</v>
          </cell>
          <cell r="I601" t="str">
            <v>CĐHA</v>
          </cell>
          <cell r="J601" t="str">
            <v>Điều dưỡng khoa Chẩn đoán hình ảnh.</v>
          </cell>
          <cell r="K601" t="str">
            <v>Điều dưỡng khoa CĐHA</v>
          </cell>
          <cell r="L601">
            <v>0</v>
          </cell>
        </row>
        <row r="602">
          <cell r="A602" t="str">
            <v>BV0529</v>
          </cell>
          <cell r="B602">
            <v>566</v>
          </cell>
          <cell r="C602" t="str">
            <v>001082/LS-CCHN</v>
          </cell>
          <cell r="D602" t="str">
            <v>Hoàng Ngọc Quảng</v>
          </cell>
          <cell r="E602" t="str">
            <v>001082/LS-CCHN</v>
          </cell>
          <cell r="F602" t="str">
            <v>11/12/2022</v>
          </cell>
          <cell r="G602" t="str">
            <v>Thực hiện phạm vi hoạt động chuyên môn theo quy định tại Thông tư số 26/2015/TTLT-BYT-BNV ngày 07/10/2015 quy định mã số, tiêu chuẩn chức danh nghề nghiệp điều dưỡng, hộ sinh, kỹ thuật y</v>
          </cell>
          <cell r="H602" t="str">
            <v>Từ 07:00 đến 11:30 và từ 13:30 đến 17:00 từ thứ hai đến thứ sáu, thời gian trực và làm việc ngoài giờ theo phân công của Lãnh đạo</v>
          </cell>
          <cell r="I602" t="str">
            <v>CĐHA</v>
          </cell>
          <cell r="J602" t="str">
            <v>Điều dưỡng khoa Chẩn đoán hình ảnh.</v>
          </cell>
          <cell r="K602" t="str">
            <v>Điều dưỡng khoa CĐHA</v>
          </cell>
          <cell r="L602">
            <v>0</v>
          </cell>
        </row>
        <row r="603">
          <cell r="A603" t="str">
            <v>BV0531</v>
          </cell>
          <cell r="B603">
            <v>567</v>
          </cell>
          <cell r="C603" t="str">
            <v>001084/LS-CCHN</v>
          </cell>
          <cell r="D603" t="str">
            <v>Lâm Minh Mạnh</v>
          </cell>
          <cell r="E603" t="str">
            <v>001084/LS-CCHN</v>
          </cell>
          <cell r="F603" t="str">
            <v>11/12/2022</v>
          </cell>
          <cell r="G603" t="str">
            <v>Thực hiện phạm vi hoạt động chuyên môn theo quy định tại Thông tư số 26/2015/TTLT-BYT-BNV ngày 07/10/2015 quy định mã số, tiêu chuẩn chức danh nghề nghiệp điều dưỡng, hộ sinh, kỹ thuật y</v>
          </cell>
          <cell r="H603" t="str">
            <v>Từ 07:00 đến 11:30 và từ 13:30 đến 17:00 từ thứ hai đến thứ sáu, thời gian trực và làm việc ngoài giờ theo phân công của Lãnh đạo</v>
          </cell>
          <cell r="I603" t="str">
            <v>CĐHA</v>
          </cell>
          <cell r="J603" t="str">
            <v>Điều dưỡng khoa Chẩn đoán hình ảnh.</v>
          </cell>
          <cell r="K603" t="str">
            <v>Điều dưỡng khoa CĐHA</v>
          </cell>
          <cell r="L603">
            <v>0</v>
          </cell>
        </row>
        <row r="604">
          <cell r="A604" t="str">
            <v>BV0748</v>
          </cell>
          <cell r="B604">
            <v>587</v>
          </cell>
          <cell r="C604" t="str">
            <v xml:space="preserve">003406/LS-CCHN </v>
          </cell>
          <cell r="D604" t="str">
            <v>Đào Thị Trà</v>
          </cell>
          <cell r="E604" t="str">
            <v xml:space="preserve">003406/LS-CCHN </v>
          </cell>
          <cell r="G604" t="str">
            <v>Thực hiện phạm vi hoạt động chuyên môn theo quy định tại Thông tư số 26/2015/TTLT-BYT-BNV ngày 07/10/2015 quy định mã số, tiêu chuẩn chức danh nghề nghiệp điều dưỡng, hộ sinh, kỹ thuật y</v>
          </cell>
          <cell r="H604" t="str">
            <v>Từ 07:00 đến 11:30 và từ 13:30 đến 17:00 từ thứ hai đến thứ sáu, thời gian trực và làm việc ngoài giờ theo phân công của Lãnh đạo</v>
          </cell>
          <cell r="I604" t="str">
            <v>CĐHA</v>
          </cell>
          <cell r="J604" t="str">
            <v>Điều dưỡng khoa Chấn thương - Bỏng / CĐHA</v>
          </cell>
          <cell r="K604" t="str">
            <v>Điều dưỡng khoa Chấn thương - Bỏng / CĐHA</v>
          </cell>
        </row>
        <row r="605">
          <cell r="A605" t="str">
            <v>BV0527</v>
          </cell>
          <cell r="B605">
            <v>569</v>
          </cell>
          <cell r="C605" t="str">
            <v>001080/LS-CCHN</v>
          </cell>
          <cell r="D605" t="str">
            <v>Ngô Thị Thúy</v>
          </cell>
          <cell r="E605" t="str">
            <v>001080/LS-CCHN</v>
          </cell>
          <cell r="F605" t="str">
            <v>11/12/2022</v>
          </cell>
          <cell r="G605" t="str">
            <v>Thực hiện phạm vi hoạt động chuyên môn theo quy định tại Thông tư số 26/2015/TTLT-BYT-BNV ngày 07/10/2015 quy định mã số, tiêu chuẩn chức danh nghề nghiệp điều dưỡng, hộ sinh, kỹ thuật y</v>
          </cell>
          <cell r="H605" t="str">
            <v>Từ 07:00 đến 11:30 và từ 13:30 đến 17:00 từ thứ hai đến thứ sáu, thời gian trực và làm việc ngoài giờ theo phân công của Lãnh đạo</v>
          </cell>
          <cell r="I605" t="str">
            <v>CĐHA</v>
          </cell>
          <cell r="J605" t="str">
            <v>Điều dưỡng khoa Chấn thương - Bỏng / CĐHA</v>
          </cell>
          <cell r="K605" t="str">
            <v>Điều dưỡng khoa Chấn thương - Bỏng / CĐHA</v>
          </cell>
          <cell r="L605">
            <v>0</v>
          </cell>
        </row>
        <row r="606">
          <cell r="A606" t="str">
            <v>BV0105</v>
          </cell>
          <cell r="B606">
            <v>570</v>
          </cell>
          <cell r="C606" t="str">
            <v>000814/LS-CCHN</v>
          </cell>
          <cell r="D606" t="str">
            <v>Hứa Quang Phong</v>
          </cell>
          <cell r="E606" t="str">
            <v>000814/LS-CCHN</v>
          </cell>
          <cell r="F606" t="str">
            <v>11/12/2022</v>
          </cell>
          <cell r="G606" t="str">
            <v>Thực hiện phạm vi hoạt động chuyên môn theo quy định tại Thông tư số 26/2015/TTLT-BYT-BNV ngày 07/10/2015 quy định mã số, tiêu chuẩn chức danh nghề nghiệp điều dưỡng, hộ sinh, kỹ thuật y</v>
          </cell>
          <cell r="H606" t="str">
            <v>Từ 07:00 đến 11:30 và từ 13:30 đến 17:00 từ thứ hai đến thứ sáu, thời gian trực và làm việc ngoài giờ theo phân công của Lãnh đạo</v>
          </cell>
          <cell r="I606" t="str">
            <v>CĐHA</v>
          </cell>
          <cell r="J606" t="str">
            <v>Điều dưỡng khoa Chẩn đoán hình ảnh.</v>
          </cell>
          <cell r="K606" t="str">
            <v>Điều dưỡng khoa HSTC-CĐ</v>
          </cell>
          <cell r="L606">
            <v>0</v>
          </cell>
        </row>
        <row r="607">
          <cell r="A607" t="str">
            <v>BV0824</v>
          </cell>
          <cell r="B607">
            <v>571</v>
          </cell>
          <cell r="C607" t="str">
            <v>002951/LS-CCHN</v>
          </cell>
          <cell r="D607" t="str">
            <v>Lô Hoàng Cương</v>
          </cell>
          <cell r="E607" t="str">
            <v>002951/LS-CCHN</v>
          </cell>
          <cell r="F607" t="str">
            <v>11/01/2023</v>
          </cell>
          <cell r="G607" t="str">
            <v>Thực hiện phạm vi hoạt động chuyên môn theo Thông tư số 26/2015/TTLT-BYT-BNV ngày 07/10/2015 quy định  mã số, tiêu chuẩn chức danh nghề nghiệp, điều dưỡng, hộ sinh, kỹ thuật y</v>
          </cell>
          <cell r="H607" t="str">
            <v>Từ 07:00 đến 11:30 và từ 13:30 đến 17:00 từ thứ hai đến thứ sáu, thời gian trực và làm việc ngoài giờ theo phân công của Lãnh đạo</v>
          </cell>
          <cell r="I607" t="str">
            <v>CĐHA</v>
          </cell>
          <cell r="J607" t="str">
            <v>Điều dưỡng khoa Chẩn đoán hình ảnh.</v>
          </cell>
          <cell r="K607" t="str">
            <v>Điều dưỡng khoa HSTC-CĐ</v>
          </cell>
          <cell r="L607">
            <v>0</v>
          </cell>
        </row>
        <row r="608">
          <cell r="A608" t="str">
            <v>BV0532</v>
          </cell>
          <cell r="B608">
            <v>572</v>
          </cell>
          <cell r="C608" t="str">
            <v>001085/LS-CCHN</v>
          </cell>
          <cell r="D608" t="str">
            <v>Nguyễn Xuân Mai</v>
          </cell>
          <cell r="E608" t="str">
            <v>001085/LS-CCHN</v>
          </cell>
          <cell r="F608" t="str">
            <v>11/12/2022</v>
          </cell>
          <cell r="G608" t="str">
            <v>Thực hiện phạm vi hoạt động chuyên môn theo quy định tại Thông tư số 26/2015/TTLT-BYT-BNV ngày 07/10/2015 quy định mã số, tiêu chuẩn chức danh nghề nghiệp điều dưỡng, hộ sinh, kỹ thuật y</v>
          </cell>
          <cell r="H608" t="str">
            <v>Từ 07:00 đến 11:30 và từ 13:30 đến 17:00 từ thứ hai đến thứ sáu, thời gian trực và làm việc ngoài giờ theo phân công của Lãnh đạo</v>
          </cell>
          <cell r="I608" t="str">
            <v>CĐHA</v>
          </cell>
          <cell r="J608" t="str">
            <v>Điều dưỡng khoa HSTC-CĐ / CĐHA / P. Điều dưỡng</v>
          </cell>
          <cell r="K608" t="str">
            <v>Điều dưỡng khoa HSTC-CĐ / CĐHA / P. Điều dưỡng</v>
          </cell>
          <cell r="L608">
            <v>0</v>
          </cell>
        </row>
        <row r="609">
          <cell r="A609" t="str">
            <v>BV0519</v>
          </cell>
          <cell r="B609">
            <v>573</v>
          </cell>
          <cell r="C609" t="str">
            <v>000170/LS-CCHN</v>
          </cell>
          <cell r="D609" t="str">
            <v>Trương Hùng Khoan</v>
          </cell>
          <cell r="E609" t="str">
            <v>000170/LS-CCHN</v>
          </cell>
          <cell r="F609" t="str">
            <v>01/08/2012</v>
          </cell>
          <cell r="G609" t="str">
            <v>Thực hiện kỹ thuật chuyên môn về hình ảnh y học</v>
          </cell>
          <cell r="H609" t="str">
            <v>Từ 07:00 đến 11:30 và từ 13:30 đến 17:00 từ thứ hai đến thứ sáu, thời gian trực và làm việc ngoài giờ theo phân công của Lãnh đạo</v>
          </cell>
          <cell r="I609" t="str">
            <v>CĐHA</v>
          </cell>
          <cell r="J609" t="str">
            <v>Kỹ thuật y khoa Chẩn đoán hình ảnh.</v>
          </cell>
          <cell r="K609" t="str">
            <v>Kỹ thuật y khoa CĐHA</v>
          </cell>
          <cell r="L609">
            <v>0</v>
          </cell>
        </row>
        <row r="610">
          <cell r="A610" t="str">
            <v>BV0997</v>
          </cell>
          <cell r="B610">
            <v>574</v>
          </cell>
          <cell r="C610" t="str">
            <v>002106/LS-CCHN</v>
          </cell>
          <cell r="D610" t="str">
            <v>Bạch Tiến Cường</v>
          </cell>
          <cell r="E610" t="str">
            <v>002106/LS-CCHN</v>
          </cell>
          <cell r="F610" t="str">
            <v>30/10/2017</v>
          </cell>
          <cell r="G610" t="str">
            <v>Kỹ thuật viên hình ảnh y học</v>
          </cell>
          <cell r="H610" t="str">
            <v>Từ 07:00 đến 11:30 và từ 13:30 đến 17:00 từ thứ hai đến thứ sáu, thời gian trực và làm việc ngoài giờ theo phân công của Lãnh đạo</v>
          </cell>
          <cell r="I610" t="str">
            <v>CĐHA</v>
          </cell>
          <cell r="J610" t="str">
            <v>Kỹ thuật y khoa Chẩn đoán hình ảnh.</v>
          </cell>
          <cell r="K610" t="str">
            <v>Kỹ thuật y khoa CĐHA</v>
          </cell>
          <cell r="L610">
            <v>0</v>
          </cell>
        </row>
        <row r="611">
          <cell r="A611" t="str">
            <v>BV0518</v>
          </cell>
          <cell r="B611">
            <v>575</v>
          </cell>
          <cell r="C611" t="str">
            <v>000173/LS-CCHN</v>
          </cell>
          <cell r="D611" t="str">
            <v>Nguyễn Anh Tuấn</v>
          </cell>
          <cell r="E611" t="str">
            <v>000173/LS-CCHN</v>
          </cell>
          <cell r="F611" t="str">
            <v>01/08/2012</v>
          </cell>
          <cell r="G611" t="str">
            <v>Thực hiện kỹ thuật chuyên môn về hình ảnh y học</v>
          </cell>
          <cell r="H611" t="str">
            <v>Từ 07:00 đến 11:30 và từ 13:30 đến 17:00 từ thứ hai đến thứ sáu, thời gian trực và làm việc ngoài giờ theo phân công của Lãnh đạo</v>
          </cell>
          <cell r="I611" t="str">
            <v>CĐHA</v>
          </cell>
          <cell r="J611" t="str">
            <v>Kỹ thuật y khoa Chẩn đoán hình ảnh. Kỹ thuật y trưởng</v>
          </cell>
          <cell r="K611" t="str">
            <v>Kỹ thuật y khoa Chẩn đoán hình ảnh. Kỹ thuật y trưởng</v>
          </cell>
          <cell r="L611" t="str">
            <v>Từ 07:00 đến 11:30 và từ 13:30 đến 17:00 Thứ bảy và chủ nhật hằng tuần, ngày nghỉ, ngày lễ. Tại Phòng khám đa khoa trung tâm Lạng Sơn</v>
          </cell>
        </row>
        <row r="612">
          <cell r="A612" t="str">
            <v>BV0520</v>
          </cell>
          <cell r="B612">
            <v>576</v>
          </cell>
          <cell r="C612" t="str">
            <v>001075/LS-CCHN</v>
          </cell>
          <cell r="D612" t="str">
            <v>Nguyễn Trung Hiếu</v>
          </cell>
          <cell r="E612" t="str">
            <v>001075/LS-CCHN</v>
          </cell>
          <cell r="F612" t="str">
            <v>24/06/2013</v>
          </cell>
          <cell r="G612" t="str">
            <v>Theo quy định tại Thông tư số 23/2009/TT-BYT ngày 01/12/2009 của Bộ Y tế ban hành tiêu chuẩn nghiệp vụ các ngạch viên chức kỹ thuật y học</v>
          </cell>
          <cell r="H612" t="str">
            <v>Từ 07:00 đến 11:30 và từ 13:30 đến 17:00 từ thứ hai đến thứ sáu, thời gian trực và làm việc ngoài giờ theo phân công của Lãnh đạo</v>
          </cell>
          <cell r="I612" t="str">
            <v>CĐHA</v>
          </cell>
          <cell r="J612" t="str">
            <v>Kỹ thuật y khoa Chẩn đoán hình ảnh.</v>
          </cell>
          <cell r="K612" t="str">
            <v>Kỹ thuật y khoa CĐHA</v>
          </cell>
          <cell r="L612" t="str">
            <v>Từ 07:00 đến 11:30 và từ 13:30 đến 17:00 Thứ bảy và chủ nhật hằng tuần, ngày nghỉ, ngày lễ. Tại Phòng khám đa khoa trung tâm Lạng Sơn</v>
          </cell>
        </row>
        <row r="613">
          <cell r="A613" t="str">
            <v>BV0524</v>
          </cell>
          <cell r="B613">
            <v>577</v>
          </cell>
          <cell r="C613" t="str">
            <v>000171/LS-CCHN</v>
          </cell>
          <cell r="D613" t="str">
            <v>Trần Trung Dũng</v>
          </cell>
          <cell r="E613" t="str">
            <v>000171/LS-CCHN</v>
          </cell>
          <cell r="F613" t="str">
            <v>01/08/2012</v>
          </cell>
          <cell r="G613" t="str">
            <v>Thực hiện kỹ thuật chuyên môn về hình ảnh y học</v>
          </cell>
          <cell r="H613" t="str">
            <v>Từ 07:00 đến 11:30 và từ 13:30 đến 17:00 từ thứ hai đến thứ sáu, thời gian trực và làm việc ngoài giờ theo phân công của Lãnh đạo</v>
          </cell>
          <cell r="I613" t="str">
            <v>CĐHA</v>
          </cell>
          <cell r="J613" t="str">
            <v>Kỹ thuật y khoa Chẩn đoán hình ảnh.</v>
          </cell>
          <cell r="K613" t="str">
            <v>Kỹ thuật y khoa CĐHA</v>
          </cell>
          <cell r="L613" t="str">
            <v>Từ 07:00 đến 11:30 và từ 13:30 đến 17:00 Thứ bảy và chủ nhật hằng tuần, ngày nghỉ, ngày lễ. Tại Phòng khám đa khoa trung tâm Lạng Sơn</v>
          </cell>
        </row>
        <row r="614">
          <cell r="A614" t="str">
            <v>BV0525</v>
          </cell>
          <cell r="B614">
            <v>578</v>
          </cell>
          <cell r="C614" t="str">
            <v>001077/LS-CCHN</v>
          </cell>
          <cell r="D614" t="str">
            <v>Hoàng Tư Vấn</v>
          </cell>
          <cell r="E614" t="str">
            <v>001077/LS-CCHN</v>
          </cell>
          <cell r="F614" t="str">
            <v>24/06/2013</v>
          </cell>
          <cell r="G614" t="str">
            <v>Theo quy định tại Thông tư số 23/2009/TT-BYT ngày 01/12/2009 của Bộ Y tế ban hành tiêu chuẩn nghiệp vụ các ngạch viên chức kỹ thuật y học</v>
          </cell>
          <cell r="H614" t="str">
            <v>Từ 07:00 đến 11:30 và từ 13:30 đến 17:00 từ thứ hai đến thứ sáu, thời gian trực và làm việc ngoài giờ theo phân công của Lãnh đạo</v>
          </cell>
          <cell r="I614" t="str">
            <v>CĐHA</v>
          </cell>
          <cell r="J614" t="str">
            <v>Kỹ thuật y khoa Chẩn đoán hình ảnh.</v>
          </cell>
          <cell r="K614" t="str">
            <v>Kỹ thuật y khoa CĐHA</v>
          </cell>
          <cell r="L614" t="str">
            <v>Từ 11:40 đến 13:20 và từ 17:10 đến 21:00 thứ hai đến thứ sáu; từ 07:00 đến 21:00 thứ bảy, chủ nhật hằng tuần. Tại Phòng khám ĐK Phúc Hải</v>
          </cell>
        </row>
        <row r="615">
          <cell r="A615" t="str">
            <v>BV0526</v>
          </cell>
          <cell r="B615">
            <v>579</v>
          </cell>
          <cell r="C615" t="str">
            <v>001079/LS-CCHN</v>
          </cell>
          <cell r="D615" t="str">
            <v>Hoàng Văn Sỹ</v>
          </cell>
          <cell r="E615" t="str">
            <v>001079/LS-CCHN</v>
          </cell>
          <cell r="F615" t="str">
            <v>11/12/2022</v>
          </cell>
          <cell r="G615" t="str">
            <v>Thực hiện phạm vi hoạt động chuyên môn theo quy định tại Thông tư số 26/2015/TTLT-BYT-BNV ngày 07/10/2015 quy định mã số, tiêu chuẩn chức danh nghề nghiệp điều dưỡng, hộ sinh, kỹ thuật y</v>
          </cell>
          <cell r="H615" t="str">
            <v>Từ 07:00 đến 11:30 và từ 13:30 đến 17:00 từ thứ hai đến thứ sáu, thời gian trực và làm việc ngoài giờ theo phân công của Lãnh đạo</v>
          </cell>
          <cell r="I615" t="str">
            <v>CĐHA</v>
          </cell>
          <cell r="J615" t="str">
            <v>Kỹ thuật y khoa Chẩn đoán hình ảnh.</v>
          </cell>
          <cell r="K615" t="str">
            <v>Kỹ thuật y khoa CĐHA</v>
          </cell>
          <cell r="L615">
            <v>0</v>
          </cell>
        </row>
        <row r="616">
          <cell r="A616" t="str">
            <v>BV0850</v>
          </cell>
          <cell r="B616">
            <v>580</v>
          </cell>
          <cell r="C616" t="str">
            <v>003798/LS-CCHN</v>
          </cell>
          <cell r="D616" t="str">
            <v>Dương Minh Thiện</v>
          </cell>
          <cell r="E616" t="str">
            <v>003798/LS-CCHN</v>
          </cell>
          <cell r="F616" t="str">
            <v>21/07/2020</v>
          </cell>
          <cell r="G616" t="str">
            <v>Thực hiện phạm vi hoạt động chuyên môn theo quy định tại Thông tư số 26/2015/TTLT-BYT-BNV ngày 07/10/2015 quy định mã số, tiêu chuẩn chức danh nghề nghiệp điều dưỡng, hộ sinh, kỹ thuật y</v>
          </cell>
          <cell r="H616" t="str">
            <v>Từ 07:00 đến 11:30 và từ 13:30 đến 17:00 từ thứ hai đến thứ sáu, thời gian trực và làm việc ngoài giờ theo phân công của Lãnh đạo</v>
          </cell>
          <cell r="I616" t="str">
            <v>CĐHA</v>
          </cell>
          <cell r="J616" t="str">
            <v>Kỹ thuật y khoa Chẩn đoán hình ảnh.</v>
          </cell>
          <cell r="K616" t="str">
            <v>Kỹ thuật y khoa CĐHA</v>
          </cell>
          <cell r="L616">
            <v>0</v>
          </cell>
        </row>
        <row r="617">
          <cell r="A617" t="str">
            <v>BV0521</v>
          </cell>
          <cell r="B617">
            <v>581</v>
          </cell>
          <cell r="C617" t="str">
            <v>001076/LS-CCHN</v>
          </cell>
          <cell r="D617" t="str">
            <v>Hoàng Văn Bé</v>
          </cell>
          <cell r="E617" t="str">
            <v>001076/LS-CCHN</v>
          </cell>
          <cell r="F617" t="str">
            <v>24/06/2013</v>
          </cell>
          <cell r="G617" t="str">
            <v>Theo quy định tại Thông tư số 23/2009/TT-BYT ngày 01/12/2009 của Bộ Y tế ban hành tiêu chuẩn nghiệp vụ các ngạch viên chức kỹ thuật y học</v>
          </cell>
          <cell r="H617" t="str">
            <v>Từ 07:00 đến 11:30 và từ 13:30 đến 17:00 từ thứ hai đến thứ sáu, thời gian trực và làm việc ngoài giờ theo phân công của Lãnh đạo</v>
          </cell>
          <cell r="I617" t="str">
            <v>CĐHA</v>
          </cell>
          <cell r="J617" t="str">
            <v>Kỹ thuật y khoa Chẩn đoán hình ảnh.</v>
          </cell>
          <cell r="K617" t="str">
            <v>Kỹ thuật y khoa CĐHA</v>
          </cell>
          <cell r="L617" t="str">
            <v>Từ 07:00 đến 11:30 và từ 13:30 đến 17:00 Thứ bảy và chủ nhật hằng tuần, ngày nghỉ, ngày lễ. Tại Phòng khám đa khoa trung tâm Lạng Sơn</v>
          </cell>
        </row>
        <row r="618">
          <cell r="A618" t="str">
            <v>BV0523</v>
          </cell>
          <cell r="B618">
            <v>582</v>
          </cell>
          <cell r="C618" t="str">
            <v>001078/LS-CCHN</v>
          </cell>
          <cell r="D618" t="str">
            <v>Hoàng Văn Hòa</v>
          </cell>
          <cell r="E618" t="str">
            <v>001078/LS-CCHN</v>
          </cell>
          <cell r="F618" t="str">
            <v>11/12/2022</v>
          </cell>
          <cell r="G618" t="str">
            <v>Thực hiện phạm vi hoạt động chuyên môn theo quy định tại Thông tư số 26/2015/TTLT-BYT-BNV ngày 07/10/2015 quy định mã số, tiêu chuẩn chức danh nghề nghiệp điều dưỡng, hộ sinh, kỹ thuật y</v>
          </cell>
          <cell r="H618" t="str">
            <v>Từ 07:00 đến 11:30 và từ 13:30 đến 17:00 từ thứ hai đến thứ sáu, thời gian trực và làm việc ngoài giờ theo phân công của Lãnh đạo</v>
          </cell>
          <cell r="I618" t="str">
            <v>CĐHA</v>
          </cell>
          <cell r="J618" t="str">
            <v>Kỹ thuật y khoa Chẩn đoán hình ảnh.</v>
          </cell>
          <cell r="K618" t="str">
            <v>Kỹ thuật y khoa CĐHA</v>
          </cell>
          <cell r="L618">
            <v>0</v>
          </cell>
        </row>
        <row r="619">
          <cell r="A619" t="str">
            <v>BV1279</v>
          </cell>
          <cell r="B619">
            <v>6</v>
          </cell>
          <cell r="C619" t="str">
            <v>000352/LS-GPHN</v>
          </cell>
          <cell r="D619" t="str">
            <v>Dương Đức Anh</v>
          </cell>
          <cell r="E619" t="str">
            <v>000352/LS-GPHN</v>
          </cell>
          <cell r="F619">
            <v>45917</v>
          </cell>
          <cell r="G619" t="str">
            <v>Hình ảnh y học</v>
          </cell>
          <cell r="H619" t="str">
            <v>Từ 07:00 đến 11:30 và từ 13:30 đến 17:00 từ thứ hai đến thứ sáu, thời gian trực và làm việc ngoài giờ theo phân công của Lãnh đạo</v>
          </cell>
          <cell r="I619" t="str">
            <v>CĐHA</v>
          </cell>
          <cell r="J619" t="str">
            <v>Kỹ thuật y khoa Chẩn đoán hình ảnh</v>
          </cell>
          <cell r="K619" t="str">
            <v>Kỹ thuật y khoa CĐHA</v>
          </cell>
        </row>
        <row r="620">
          <cell r="A620" t="str">
            <v>BV0422</v>
          </cell>
          <cell r="B620">
            <v>584</v>
          </cell>
          <cell r="C620" t="str">
            <v>000745/LS-CCHN</v>
          </cell>
          <cell r="D620" t="str">
            <v>Vũ Thủy Tiên</v>
          </cell>
          <cell r="E620" t="str">
            <v>000745/LS-CCHN</v>
          </cell>
          <cell r="G620" t="str">
            <v>Theo Quy định tại Thông tư số 12/2011/TT-BYT ngày 15/3/2011 của Bộ Y tế quy định tiêu chuẩn các ngạch viên chức hộ sinh</v>
          </cell>
          <cell r="H620" t="str">
            <v>Từ 07:00 đến 11:30 và từ 13:30 đến 17:00 từ thứ hai đến thứ sáu, thời gian trực và làm việc ngoài giờ theo phân công của Lãnh đạo</v>
          </cell>
          <cell r="I620" t="str">
            <v>CĐHA</v>
          </cell>
          <cell r="J620" t="str">
            <v>Hộ sinh, khoa Chẩn đoán hình ảnh</v>
          </cell>
          <cell r="K620" t="str">
            <v>Hộ sinh khoa CĐHA</v>
          </cell>
        </row>
        <row r="621">
          <cell r="D621" t="str">
            <v>KHOA GIẢI PHẪU BỆNH</v>
          </cell>
          <cell r="I621" t="e">
            <v>#N/A</v>
          </cell>
        </row>
        <row r="622">
          <cell r="A622" t="str">
            <v>BV0550</v>
          </cell>
          <cell r="B622">
            <v>585</v>
          </cell>
          <cell r="C622" t="str">
            <v>000072/LS-CCHN</v>
          </cell>
          <cell r="D622" t="str">
            <v>Chu Văn Hải</v>
          </cell>
          <cell r="E622" t="str">
            <v>000072/LS-CCHN</v>
          </cell>
          <cell r="F622" t="str">
            <v>11/01/2023</v>
          </cell>
          <cell r="G622" t="str">
            <v>Bác sĩ chuyên khoa Giải phẫu bệnh</v>
          </cell>
          <cell r="H622" t="str">
            <v>Từ 07:00 đến 11:30 và từ 13:30 đến 17:00 từ thứ hai đến thứ sáu, thời gian trực và làm việc ngoài giờ theo phân công của Lãnh đạo</v>
          </cell>
          <cell r="I622" t="str">
            <v>GPB</v>
          </cell>
          <cell r="J622" t="str">
            <v>Bác sĩ khoa Giải phẫu bệnh - Trưởng khoa.</v>
          </cell>
          <cell r="K622" t="str">
            <v>Bác sĩ khoa Giải phẫu bệnh - Trưởng khoa.</v>
          </cell>
          <cell r="L622">
            <v>0</v>
          </cell>
        </row>
        <row r="623">
          <cell r="A623" t="str">
            <v>BV0739</v>
          </cell>
          <cell r="B623">
            <v>586</v>
          </cell>
          <cell r="C623" t="str">
            <v>003390/LS-CCHN</v>
          </cell>
          <cell r="D623" t="str">
            <v>Nguyễn Thị Thường</v>
          </cell>
          <cell r="E623" t="str">
            <v>003390/LS-CCHN</v>
          </cell>
          <cell r="F623" t="str">
            <v>21/11/2018</v>
          </cell>
          <cell r="G623" t="str">
            <v>Chuyên khoa xét nghiệm; chuyên khoa Giải phẫu bệnh</v>
          </cell>
          <cell r="H623" t="str">
            <v>Từ 07:00 đến 11:30 và từ 13:30 đến 17:00 từ thứ hai đến thứ sáu, thời gian trực và làm việc ngoài giờ theo phân công của Lãnh đạo</v>
          </cell>
          <cell r="I623" t="str">
            <v>GPB</v>
          </cell>
          <cell r="J623" t="str">
            <v>Bác sĩ khoa Giải phẫu bệnh.</v>
          </cell>
          <cell r="K623" t="str">
            <v>Bác sĩ khoa Giải phẫu bệnh.</v>
          </cell>
          <cell r="L623">
            <v>0</v>
          </cell>
        </row>
        <row r="624">
          <cell r="A624" t="str">
            <v>BV0544</v>
          </cell>
          <cell r="B624">
            <v>587</v>
          </cell>
          <cell r="C624" t="str">
            <v>001094/LS-CCHN</v>
          </cell>
          <cell r="D624" t="str">
            <v>Nguyễn Thị Nga</v>
          </cell>
          <cell r="E624" t="str">
            <v>001094/LS-CCHN</v>
          </cell>
          <cell r="F624" t="str">
            <v>11/12/2022</v>
          </cell>
          <cell r="G624" t="str">
            <v>Thực hiện phạm vi hoạt động chuyên môn theo quy định tại Thông tư số 26/2015/TTLT-BYT-BNV ngày 07/10/2015 quy định mã số, tiêu chuẩn chức danh nghề nghiệp điều dưỡng, hộ sinh, kỹ thuật y</v>
          </cell>
          <cell r="H624" t="str">
            <v>Từ 07:00 đến 11:30 và từ 13:30 đến 17:00 từ thứ hai đến thứ sáu, thời gian trực và làm việc ngoài giờ theo phân công của Lãnh đạo</v>
          </cell>
          <cell r="I624" t="str">
            <v>GPB</v>
          </cell>
          <cell r="J624" t="str">
            <v>Điều dưỡng khoa Giải phẫu bệnh - Điều dưỡng trưởng</v>
          </cell>
          <cell r="K624" t="str">
            <v>Điều dưỡng khoa Giải phẫu bệnh - Điều dưỡng trưởng</v>
          </cell>
          <cell r="L624">
            <v>0</v>
          </cell>
        </row>
        <row r="625">
          <cell r="A625" t="str">
            <v>BV0822</v>
          </cell>
          <cell r="B625">
            <v>588</v>
          </cell>
          <cell r="C625" t="str">
            <v>002934/LS-CCHN</v>
          </cell>
          <cell r="D625" t="str">
            <v>Hoàng Đức Thịnh</v>
          </cell>
          <cell r="E625" t="str">
            <v>002934/LS-CCHN</v>
          </cell>
          <cell r="F625" t="str">
            <v>11/12/2022</v>
          </cell>
          <cell r="G625" t="str">
            <v>Thực hiện phạm vi hoạt động chuyên môn theo quy định tại Thông tư số 26/2015/TTLT-BYT-BNV ngày 07/10/2015 quy định mã số, tiêu chuẩn chức danh nghề nghiệp điều dưỡng, hộ sinh, kỹ thuật y</v>
          </cell>
          <cell r="H625" t="str">
            <v>Từ 07:00 đến 11:30 và từ 13:30 đến 17:00 từ thứ hai đến thứ sáu, thời gian trực và làm việc ngoài giờ theo phân công của Lãnh đạo</v>
          </cell>
          <cell r="I625" t="str">
            <v>GPB</v>
          </cell>
          <cell r="J625" t="str">
            <v>Điều dưỡng khoa UB-YHHN / GPB / TDCN</v>
          </cell>
          <cell r="K625" t="str">
            <v>Điều dưỡng khoa UB-YHHN / GPB / TDCN</v>
          </cell>
          <cell r="L625">
            <v>0</v>
          </cell>
        </row>
        <row r="626">
          <cell r="A626" t="str">
            <v>BV0304</v>
          </cell>
          <cell r="B626">
            <v>589</v>
          </cell>
          <cell r="C626" t="str">
            <v>001043/LS-CCHN</v>
          </cell>
          <cell r="D626" t="str">
            <v>Võ Thị Hương</v>
          </cell>
          <cell r="E626" t="str">
            <v>001043/LS-CCHN</v>
          </cell>
          <cell r="F626" t="str">
            <v>11/12/2022</v>
          </cell>
          <cell r="G626" t="str">
            <v>Thực hiện phạm vi hoạt động chuyên môn theo quy định tại Thông tư số 26/2015/TTLT-BYT-BNV ngày 07/10/2015 quy định mã số, tiêu chuẩn chức danh nghề nghiệp điều dưỡng, hộ sinh, kỹ thuật y</v>
          </cell>
          <cell r="H626" t="str">
            <v>Từ 07:00 đến 11:30 và từ 13:30 đến 17:00 từ thứ hai đến thứ sáu, thời gian trực và làm việc ngoài giờ theo phân công của Lãnh đạo</v>
          </cell>
          <cell r="I626" t="str">
            <v>GPB</v>
          </cell>
          <cell r="J626" t="str">
            <v>Điều dưỡng khoa UB-YHHN / GPB / TDCN</v>
          </cell>
          <cell r="K626" t="str">
            <v>Điều dưỡng khoa UB-YHHN / GPB / TDCN</v>
          </cell>
          <cell r="L626">
            <v>0</v>
          </cell>
        </row>
        <row r="627">
          <cell r="A627" t="str">
            <v>BV0108</v>
          </cell>
          <cell r="B627">
            <v>590</v>
          </cell>
          <cell r="C627" t="str">
            <v>000808/LS-CCHN</v>
          </cell>
          <cell r="D627" t="str">
            <v>Nông Thị Hồng Điệp</v>
          </cell>
          <cell r="E627" t="str">
            <v>000808/LS-CCHN</v>
          </cell>
          <cell r="F627" t="str">
            <v>11/12/2022</v>
          </cell>
          <cell r="G627" t="str">
            <v>Thực hiện phạm vi hoạt động chuyên môn theo quy định tại Thông tư số 26/2015/TTLT-BYT-BNV ngày 07/10/2015 quy định mã số, tiêu chuẩn chức danh nghề nghiệp điều dưỡng, hộ sinh, kỹ thuật y</v>
          </cell>
          <cell r="H627" t="str">
            <v>Từ 07:00 đến 11:30 và từ 13:30 đến 17:00 từ thứ hai đến thứ sáu, thời gian trực và làm việc ngoài giờ theo phân công của Lãnh đạo</v>
          </cell>
          <cell r="I627" t="str">
            <v>GPB</v>
          </cell>
          <cell r="J627" t="str">
            <v>Điều dưỡng khoa UB-YHHN / GPB / TDCN</v>
          </cell>
          <cell r="K627" t="str">
            <v>Điều dưỡng khoa UB-YHHN / GPB / TDCN</v>
          </cell>
          <cell r="L627">
            <v>0</v>
          </cell>
        </row>
        <row r="628">
          <cell r="A628" t="str">
            <v>BV0553</v>
          </cell>
          <cell r="B628">
            <v>591</v>
          </cell>
          <cell r="C628" t="str">
            <v>001099/LS-CCHN</v>
          </cell>
          <cell r="D628" t="str">
            <v>Nguyễn Tiến Lâm</v>
          </cell>
          <cell r="E628" t="str">
            <v>001099/LS-CCHN</v>
          </cell>
          <cell r="F628" t="str">
            <v>11/12/2022</v>
          </cell>
          <cell r="G628" t="str">
            <v>Chuyên khoa xét nghiệm</v>
          </cell>
          <cell r="H628" t="str">
            <v>Từ 07:00 đến 11:30 và từ 13:30 đến 17:00 từ thứ hai đến thứ sáu, thời gian trực và làm việc ngoài giờ theo phân công của Lãnh đạo</v>
          </cell>
          <cell r="I628" t="str">
            <v>GPB</v>
          </cell>
          <cell r="J628" t="str">
            <v>Kỹ thuật y khoa Giải phẫu bệnh.</v>
          </cell>
          <cell r="K628" t="str">
            <v>Kỹ thuật y khoa GPB</v>
          </cell>
          <cell r="L628">
            <v>0</v>
          </cell>
        </row>
        <row r="629">
          <cell r="D629" t="str">
            <v>KHOA KIỂM SOÁT NHIỄM KHUẨN</v>
          </cell>
          <cell r="I629" t="e">
            <v>#N/A</v>
          </cell>
        </row>
        <row r="630">
          <cell r="A630" t="str">
            <v>BV0222</v>
          </cell>
          <cell r="B630">
            <v>592</v>
          </cell>
          <cell r="C630" t="str">
            <v>000934/LS-CCHN</v>
          </cell>
          <cell r="D630" t="str">
            <v>Hoàng Thị Thùy</v>
          </cell>
          <cell r="E630" t="str">
            <v>000934/LS-CCHN</v>
          </cell>
          <cell r="F630" t="str">
            <v>11/12/2022</v>
          </cell>
          <cell r="G630" t="str">
            <v>Thực hiện phạm vi hoạt động chuyên môn theo quy định tại Thông tư số 26/2015/TTLT-BYT-BNV ngày 07/10/2015 quy định mã số, tiêu chuẩn chức danh nghề nghiệp điều dưỡng, hộ sinh, kỹ thuật y</v>
          </cell>
          <cell r="H630" t="str">
            <v>Từ 07:00 đến 11:30 và từ 13:30 đến 17:00 từ thứ hai đến thứ sáu, thời gian trực và làm việc ngoài giờ theo phân công của Lãnh đạo</v>
          </cell>
          <cell r="I630" t="str">
            <v>KSNK</v>
          </cell>
          <cell r="J630" t="str">
            <v>Phụ trách điều dưỡng Điều dưỡng khoa Nhi / KSNK</v>
          </cell>
          <cell r="K630" t="str">
            <v>Phụ trách điều dưỡng Điều dưỡng khoa Nhi / KSNK</v>
          </cell>
          <cell r="L630">
            <v>0</v>
          </cell>
        </row>
        <row r="631">
          <cell r="A631" t="str">
            <v>BV0558</v>
          </cell>
          <cell r="B631">
            <v>593</v>
          </cell>
          <cell r="C631" t="str">
            <v>001102/LS-CCHN</v>
          </cell>
          <cell r="D631" t="str">
            <v>Nguyễn Lệ Hà</v>
          </cell>
          <cell r="E631" t="str">
            <v>001102/LS-CCHN</v>
          </cell>
          <cell r="F631" t="str">
            <v>24/06/2013</v>
          </cell>
          <cell r="G631" t="str">
            <v>Theo quy định tại Quyết định số 41/2005/QĐ-BNV ngày 22/4/2005 của Bộ trưởng Bộ Nội vụ về việc ban hành tiêu chuẩn nghiệp vụ các ngạch viên chức y tế điều dưỡng</v>
          </cell>
          <cell r="H631" t="str">
            <v>Từ 07:00 đến 11:30 và từ 13:30 đến 17:00 từ thứ hai đến thứ sáu, thời gian trực và làm việc ngoài giờ theo phân công của Lãnh đạo</v>
          </cell>
          <cell r="I631" t="str">
            <v>KSNK</v>
          </cell>
          <cell r="J631" t="str">
            <v>Điều dưỡng khoa Nhi / KSNK</v>
          </cell>
          <cell r="K631" t="str">
            <v>Điều dưỡng khoa Nhi / KSNK</v>
          </cell>
          <cell r="L631">
            <v>0</v>
          </cell>
        </row>
        <row r="632">
          <cell r="A632" t="str">
            <v>BV0720</v>
          </cell>
          <cell r="B632">
            <v>594</v>
          </cell>
          <cell r="C632" t="str">
            <v>003396/LS-CCHN</v>
          </cell>
          <cell r="D632" t="str">
            <v>Hoàng Ánh Dương</v>
          </cell>
          <cell r="E632" t="str">
            <v>003396/LS-CCHN</v>
          </cell>
          <cell r="F632" t="str">
            <v>21/11/2018</v>
          </cell>
          <cell r="G632" t="str">
            <v>Thực hiện phạm vi hoạt động chuyên môn theo quy định tại Thông tư số 26/2015/TTLT-BYT-BNV ngày 07/10/2015 quy định mã số, tiêu chuẩn chức danh nghề nghiệp điều dưỡng, hộ sinh, kỹ thuật y</v>
          </cell>
          <cell r="H632" t="str">
            <v>Từ 07:00 đến 11:30 và từ 13:30 đến 17:00 từ thứ hai đến thứ sáu, thời gian trực và làm việc ngoài giờ theo phân công của Lãnh đạo</v>
          </cell>
          <cell r="I632" t="str">
            <v>KSNK</v>
          </cell>
          <cell r="J632" t="str">
            <v>Điều dưỡng khoa HSTC-CĐ / KSNK / P. Điều dưỡng</v>
          </cell>
          <cell r="K632" t="str">
            <v>Điều dưỡng khoa HSTC-CĐ / KSNK / P. Điều dưỡng</v>
          </cell>
          <cell r="L632">
            <v>0</v>
          </cell>
        </row>
        <row r="633">
          <cell r="A633" t="str">
            <v>BV0339</v>
          </cell>
          <cell r="B633">
            <v>595</v>
          </cell>
          <cell r="C633" t="str">
            <v>000382/LS-CCHN</v>
          </cell>
          <cell r="D633" t="str">
            <v>Hoàng Trung Thực</v>
          </cell>
          <cell r="E633" t="str">
            <v>000382/LS-CCHN</v>
          </cell>
          <cell r="F633" t="str">
            <v>06/01/2016</v>
          </cell>
          <cell r="G633" t="str">
            <v>Thực hiện phạm vi hoạt động chuyên môn theo quy định tại Thông tư số 26/2015/TTLT-BYT-BNV ngày 07/10/2015 quy định mã số, tiêu chuẩn chức danh nghề nghiệp điều dưỡng, hộ sinh, kỹ thuật y</v>
          </cell>
          <cell r="H633" t="str">
            <v>Từ 07:00 đến 11:30 và từ 13:30 đến 17:00 từ thứ hai đến thứ sáu, thời gian trực và làm việc ngoài giờ theo phân công của Lãnh đạo</v>
          </cell>
          <cell r="I633" t="str">
            <v>KSNK</v>
          </cell>
          <cell r="J633" t="str">
            <v>Điều dưỡng khoa Nội T-TN-LM / KSNK</v>
          </cell>
          <cell r="K633" t="str">
            <v>Điều dưỡng khoa Nội T-TN-LM / KSNK</v>
          </cell>
          <cell r="L633">
            <v>0</v>
          </cell>
        </row>
        <row r="634">
          <cell r="A634" t="str">
            <v>BV0557</v>
          </cell>
          <cell r="B634">
            <v>596</v>
          </cell>
          <cell r="C634" t="str">
            <v>001101/LS-CCHN</v>
          </cell>
          <cell r="D634" t="str">
            <v>Lương Thị Cúc</v>
          </cell>
          <cell r="E634" t="str">
            <v>001101/LS-CCHN</v>
          </cell>
          <cell r="G634" t="str">
            <v>Theo quy định tại Quyết định số 41/2005/QĐ-BNV ngày 22/4/2005 của Bộ trưởng Bộ Nội vụ về việc ban hành tiêu chuẩn nghiệp vụ các ngạch viên chức y tế điều dưỡng</v>
          </cell>
          <cell r="H634" t="str">
            <v>Từ 07:00 đến 11:30 và từ 13:30 đến 17:00 từ thứ hai đến thứ sáu, thời gian trực và làm việc ngoài giờ theo phân công của Lãnh đạo</v>
          </cell>
          <cell r="I634" t="str">
            <v>KSNK</v>
          </cell>
          <cell r="J634" t="str">
            <v>Điều dưỡng khoa Nhi / KSNK</v>
          </cell>
          <cell r="K634" t="str">
            <v>Điều dưỡng khoa Nhi / KSNK</v>
          </cell>
        </row>
        <row r="635">
          <cell r="A635" t="str">
            <v>BV0927</v>
          </cell>
          <cell r="B635">
            <v>597</v>
          </cell>
          <cell r="C635" t="str">
            <v>004336/LS-CCHN</v>
          </cell>
          <cell r="D635" t="str">
            <v xml:space="preserve">Đỗ Nhật Tùng </v>
          </cell>
          <cell r="E635" t="str">
            <v>004336/LS-CCHN</v>
          </cell>
          <cell r="F635" t="str">
            <v>17/8/2021</v>
          </cell>
          <cell r="G635" t="str">
            <v>Phát hiện và xử trí các bệnh thông thường; xử trí ban đầu một số trường hợp cấp cứu tại cộng đồng</v>
          </cell>
          <cell r="H635" t="str">
            <v>Từ 07:00 đến 11:30 và từ 13:30 đến 17:00 từ thứ hai đến thứ sáu, thời gian trực và làm việc ngoài giờ theo phân công của Lãnh đạo</v>
          </cell>
          <cell r="I635" t="str">
            <v>KSNK</v>
          </cell>
          <cell r="J635" t="str">
            <v>Y học dự phòng, khoa Khám bệnh, khoa Kiểm soát nhiễm khuẩn</v>
          </cell>
          <cell r="K635" t="str">
            <v>Y học dự phòng khoa KSNK</v>
          </cell>
        </row>
        <row r="636">
          <cell r="A636" t="str">
            <v>BV0097</v>
          </cell>
          <cell r="B636">
            <v>598</v>
          </cell>
          <cell r="C636" t="str">
            <v>000802/LS-CCHN</v>
          </cell>
          <cell r="D636" t="str">
            <v>Nguyễn Thị Oanh</v>
          </cell>
          <cell r="E636" t="str">
            <v>000802/LS-CCHN</v>
          </cell>
          <cell r="F636" t="str">
            <v>24/06/2013</v>
          </cell>
          <cell r="G636" t="str">
            <v>Theo quy định tại Quyết định số 41/2005/QĐ-BNV ngày 22/4/2005 của Bộ trưởng Bộ Nội vụ về việc ban hành tiêu chuẩn nghiệp vụ các ngạch viên chức y tế điều dưỡng</v>
          </cell>
          <cell r="H636" t="str">
            <v>Từ 07:00 đến 11:30 và từ 13:30 đến 17:00 từ thứ hai đến thứ sáu, thời gian trực và làm việc ngoài giờ theo phân công của Lãnh đạo</v>
          </cell>
          <cell r="I636" t="str">
            <v>KSNK</v>
          </cell>
          <cell r="J636" t="str">
            <v>Điều dưỡng khoa KSNK / Nội Tổng hợp / P. Điều dưỡng</v>
          </cell>
          <cell r="K636" t="str">
            <v>Điều dưỡng khoa KSNK / Nội Tổng hợp / P. Điều dưỡng</v>
          </cell>
          <cell r="L636">
            <v>0</v>
          </cell>
        </row>
        <row r="637">
          <cell r="A637" t="str">
            <v>BV0409</v>
          </cell>
          <cell r="B637">
            <v>599</v>
          </cell>
          <cell r="C637" t="str">
            <v>001041/LS-CCHN</v>
          </cell>
          <cell r="D637" t="str">
            <v>Chu Thị Bích Thoan</v>
          </cell>
          <cell r="E637" t="str">
            <v>001041/LS-CCHN</v>
          </cell>
          <cell r="F637" t="str">
            <v>24/06/2013</v>
          </cell>
          <cell r="G637" t="str">
            <v>Theo quy định tại Quyết định số 41/2005/QĐ-BNV ngày 22/4/2005 của Bộ trưởng Bộ Nội vụ về việc ban hành tiêu chuẩn nghiệp vụ các ngạch viên chức y tế điều dưỡng</v>
          </cell>
          <cell r="H637" t="str">
            <v>Từ 07:00 đến 11:30 và từ 13:30 đến 17:00 từ thứ hai đến thứ sáu, thời gian trực và làm việc ngoài giờ theo phân công của Lãnh đạo</v>
          </cell>
          <cell r="I637" t="str">
            <v>KSNK</v>
          </cell>
          <cell r="J637" t="str">
            <v>Điều dưỡng khoa Nội Tổng hợp/ P. Điều dưỡng / phó trưởng khoa KSNK</v>
          </cell>
          <cell r="K637" t="str">
            <v>Phó trưởng khoa Điều dưỡng khoa Nội Tổng hợp / KSNK / P. Điều dưỡng</v>
          </cell>
          <cell r="L637">
            <v>0</v>
          </cell>
        </row>
        <row r="638">
          <cell r="D638" t="str">
            <v>PHÒNG ĐIỀU DƯỠNG</v>
          </cell>
          <cell r="I638" t="e">
            <v>#N/A</v>
          </cell>
        </row>
        <row r="639">
          <cell r="A639" t="str">
            <v>BV0897</v>
          </cell>
          <cell r="B639">
            <v>600</v>
          </cell>
          <cell r="C639" t="str">
            <v>003730/LS-CCHN</v>
          </cell>
          <cell r="D639" t="str">
            <v>Mông Thị Bích Thùy</v>
          </cell>
          <cell r="E639" t="str">
            <v>003730/LS-CCHN</v>
          </cell>
          <cell r="F639">
            <v>43973</v>
          </cell>
          <cell r="G639" t="str">
            <v>Thực hiện phạm vi hoạt động chuyên môn theo quy định tại Thông tư số 26/2015/TTLT-BYT-BNV ngày 07/10/2015 quy định mã số, tiêu chuẩn chức danh nghề nghiệp điều dưỡng, hộ sinh, kỹ thuật y</v>
          </cell>
          <cell r="H639" t="str">
            <v>Từ 07:00 đến 11:30 và từ 13:30 đến 17:00 từ thứ hai đến thứ sáu, thời gian trực và làm việc ngoài giờ theo phân công của Lãnh đạo</v>
          </cell>
          <cell r="I639" t="str">
            <v>Điều dưỡng</v>
          </cell>
          <cell r="J639" t="str">
            <v>Điều dưỡng khoa HSTC-CĐ / Điều dưỡng</v>
          </cell>
          <cell r="K639" t="str">
            <v>Điều dưỡng khoa HSTC-CĐ / Điều dưỡng</v>
          </cell>
        </row>
        <row r="640">
          <cell r="A640" t="str">
            <v>BV0920</v>
          </cell>
          <cell r="B640">
            <v>601</v>
          </cell>
          <cell r="C640" t="str">
            <v>003237/LS-CCHN</v>
          </cell>
          <cell r="D640" t="str">
            <v>Phùng Thị Thùy Linh</v>
          </cell>
          <cell r="E640" t="str">
            <v>003237/LS-CCHN</v>
          </cell>
          <cell r="F640" t="str">
            <v>09/05/2018</v>
          </cell>
          <cell r="G640" t="str">
            <v>Thực hiện phạm vi hoạt động chuyên môn theo quy định tại Thông tư số 26/2015/TTLT-BYT-BNV ngày 07/10/2015 quy định mã số, tiêu chuẩn chức danh nghề nghiệp điều dưỡng, hộ sinh, kỹ thuật y</v>
          </cell>
          <cell r="H640" t="str">
            <v>Từ 07:00 đến 11:30 và từ 13:30 đến 17:00 từ thứ hai đến thứ sáu, thời gian trực và làm việc ngoài giờ theo phân công của Lãnh đạo</v>
          </cell>
          <cell r="I640" t="str">
            <v>Điều dưỡng</v>
          </cell>
          <cell r="J640" t="str">
            <v>Điều dưỡng khoa Nội Tổng hợp / P.Điều dưỡng</v>
          </cell>
          <cell r="K640" t="str">
            <v>Điều dưỡng khoa Nội Tổng hợp / Điều dưỡng / P. Điều dưỡng</v>
          </cell>
          <cell r="L640">
            <v>0</v>
          </cell>
        </row>
        <row r="641">
          <cell r="A641" t="str">
            <v>BV0212</v>
          </cell>
          <cell r="B641">
            <v>602</v>
          </cell>
          <cell r="C641" t="str">
            <v>000930/LS-CCHN</v>
          </cell>
          <cell r="D641" t="str">
            <v>Nguyễn Thị Liễu</v>
          </cell>
          <cell r="E641" t="str">
            <v>000930/LS-CCHN</v>
          </cell>
          <cell r="F641" t="str">
            <v>11/01/2023</v>
          </cell>
          <cell r="G641" t="str">
            <v>Thực hiện phạm vi hoạt động chuyên môn theo Thông tư số 26/2015/TTLT-BYT-BNV ngày 07/10/2015 quy định  mã số, tiêu chuẩn chức danh nghề nghiệp, điều dưỡng, hộ sinh, kỹ thuật y</v>
          </cell>
          <cell r="H641" t="str">
            <v>Từ 07:00 đến 11:30 và từ 13:30 đến 17:00 từ thứ hai đến thứ sáu, thời gian trực và làm việc ngoài giờ theo phân công của Lãnh đạo</v>
          </cell>
          <cell r="I641" t="str">
            <v>Điều dưỡng</v>
          </cell>
          <cell r="J641" t="str">
            <v>Điều dưỡng khoa Chấn thương - Bỏng. Trưởng phòng Điều dưỡng</v>
          </cell>
          <cell r="K641" t="str">
            <v>Trưởng phòng Điều dưỡng khoa Chấn thương - Bỏng / Điều dưỡng</v>
          </cell>
          <cell r="L641">
            <v>0</v>
          </cell>
        </row>
        <row r="642">
          <cell r="A642" t="str">
            <v>BV0100</v>
          </cell>
          <cell r="B642">
            <v>603</v>
          </cell>
          <cell r="C642" t="str">
            <v>000806/LS-CCHN</v>
          </cell>
          <cell r="D642" t="str">
            <v>Nguyễn Thị Thu Thương</v>
          </cell>
          <cell r="E642" t="str">
            <v>000806/LS-CCHN</v>
          </cell>
          <cell r="F642" t="str">
            <v>11/12/2022</v>
          </cell>
          <cell r="G642" t="str">
            <v>Thực hiện phạm vi hoạt động chuyên môn theo quy định tại Thông tư số 26/2015/TTLT-BYT-BNV ngày 07/10/2015 quy định mã số, tiêu chuẩn chức danh nghề nghiệp điều dưỡng, hộ sinh, kỹ thuật y</v>
          </cell>
          <cell r="H642" t="str">
            <v>Từ 07:00 đến 11:30 và từ 13:30 đến 17:00 từ thứ hai đến thứ sáu, thời gian trực và làm việc ngoài giờ theo phân công của Lãnh đạo</v>
          </cell>
          <cell r="I642" t="str">
            <v>Điều dưỡng</v>
          </cell>
          <cell r="J642" t="str">
            <v>Điều dưỡng khoa Nội Tiêu hóa / Phó trưởng phòng Điều dưỡng / Điều dưỡng trưởng khoa Khám bệnh</v>
          </cell>
          <cell r="K642" t="str">
            <v>Phó trưởng phòng/ Điều dưỡng trưởng Điều dưỡng khoa Nội Tiêu hóa / Điều dưỡng</v>
          </cell>
          <cell r="L642">
            <v>0</v>
          </cell>
        </row>
        <row r="643">
          <cell r="D643" t="str">
            <v>PHÒNG TỔ CHỨC CÁN BỘ</v>
          </cell>
          <cell r="I643" t="e">
            <v>#N/A</v>
          </cell>
        </row>
        <row r="644">
          <cell r="A644" t="str">
            <v>BV0821</v>
          </cell>
          <cell r="B644">
            <v>604</v>
          </cell>
          <cell r="C644" t="str">
            <v>001242/LS-CCHN</v>
          </cell>
          <cell r="D644" t="str">
            <v>Trần Đức Vinh</v>
          </cell>
          <cell r="E644" t="str">
            <v>001242/LS-CCHN</v>
          </cell>
          <cell r="F644" t="str">
            <v>19/07/2013</v>
          </cell>
          <cell r="G644" t="str">
            <v>Khám bệnh chữa bệnh chuyên khoa Mắt</v>
          </cell>
          <cell r="H644" t="str">
            <v>Từ 07:00 đến 11:30 và từ 13:30 đến 17:00 từ thứ hai đến thứ sáu, thời gian trực và làm việc ngoài giờ theo phân công của Lãnh đạo</v>
          </cell>
          <cell r="I644" t="str">
            <v>TCCB</v>
          </cell>
          <cell r="J644" t="str">
            <v>Bác sĩ khoa Mắt / Khám bệnh; Trưởng phòng Tổ chức cán bộ</v>
          </cell>
          <cell r="K644" t="str">
            <v>Trưởng phòng bác sĩ khoa TCCB / Khám bệnh</v>
          </cell>
          <cell r="L644" t="str">
            <v>Từ 11:40 đến 13:20 và từ 17:10 đến 21:00 thứ hai đến thứ sáu; từ 07:00 đến 21:00 thứ bảy, chủ nhật hàng tuần. Tại cơ sở kính thuốc số 10 ngõ 303 (10A cũ) đường Bắc Sơn, TP Lạng Sơn.</v>
          </cell>
        </row>
        <row r="645">
          <cell r="D645" t="str">
            <v>PHÒNG HÀNH CHÍNH QUẢN TRỊ</v>
          </cell>
          <cell r="I645" t="e">
            <v>#N/A</v>
          </cell>
        </row>
        <row r="646">
          <cell r="A646" t="str">
            <v>BV0058</v>
          </cell>
          <cell r="B646">
            <v>605</v>
          </cell>
          <cell r="C646" t="str">
            <v>000774/LS-CCHN</v>
          </cell>
          <cell r="D646" t="str">
            <v>Vy Thị Thu Hằng</v>
          </cell>
          <cell r="E646" t="str">
            <v>000774/LS-CCHN</v>
          </cell>
          <cell r="F646" t="str">
            <v>11/12/2022</v>
          </cell>
          <cell r="G646" t="str">
            <v>Thực hiện phạm vi hoạt động chuyên môn theo quy định tại Thông tư số 26/2015/TTLT-BYT-BNV ngày 07/10/2015 quy định mã số, tiêu chuẩn chức danh nghề nghiệp điều dưỡng, hộ sinh, kỹ thuật y</v>
          </cell>
          <cell r="H646" t="str">
            <v>Từ 07:00 đến 11:30 và từ 13:30 đến 17:00 từ thứ hai đến thứ sáu, thời gian trực và làm việc ngoài giờ theo phân công của Lãnh đạo</v>
          </cell>
          <cell r="I646" t="str">
            <v>HCQT</v>
          </cell>
          <cell r="J646" t="str">
            <v>Điều dưỡng khoa Nội Thận-TN-LM, Trưởng phòng Hành chính quản trị.</v>
          </cell>
          <cell r="K646" t="str">
            <v>Trưởng phòng Điều dưỡng khoa Nội Thận-TN-LM / HCQT</v>
          </cell>
          <cell r="L646">
            <v>0</v>
          </cell>
        </row>
        <row r="647">
          <cell r="A647" t="str">
            <v>BV0596</v>
          </cell>
          <cell r="B647">
            <v>606</v>
          </cell>
          <cell r="C647" t="str">
            <v>001104/LS-CCHN</v>
          </cell>
          <cell r="D647" t="str">
            <v>Phạm Văn Bình</v>
          </cell>
          <cell r="E647" t="str">
            <v>001104/LS-CCHN</v>
          </cell>
          <cell r="F647" t="str">
            <v>24/06/2013</v>
          </cell>
          <cell r="G647" t="str">
            <v>Theo quy định tại Quyết định số 41/2005/QĐ-BNV ngày 22/4/2005 của Bộ trưởng Bộ Nội vụ về việc ban hành tiêu chuẩn nghiệp vụ các ngạch viên chức y tế điều dưỡng</v>
          </cell>
          <cell r="H647" t="str">
            <v>Từ 07:00 đến 11:30 và từ 13:30 đến 17:00 từ thứ hai đến thứ sáu, thời gian trực và làm việc ngoài giờ theo phân công của Lãnh đạo</v>
          </cell>
          <cell r="I647" t="str">
            <v>HCQT</v>
          </cell>
          <cell r="J647" t="str">
            <v>Điều dưỡng khoa Nội Thận-TN-LM, Phó trưởng phòng Hành chính quản trị.</v>
          </cell>
          <cell r="K647" t="str">
            <v>Phó trưởng phòng Điều dưỡng khoa Nội Thận-TN-LM / HCQT</v>
          </cell>
          <cell r="L647">
            <v>0</v>
          </cell>
        </row>
        <row r="648">
          <cell r="D648" t="str">
            <v>PHÒNG KẾ HOẠCH TỔNG HỢP</v>
          </cell>
          <cell r="I648" t="e">
            <v>#N/A</v>
          </cell>
        </row>
        <row r="649">
          <cell r="A649" t="str">
            <v>BV0299</v>
          </cell>
          <cell r="B649">
            <v>607</v>
          </cell>
          <cell r="C649" t="str">
            <v>000851/LS-CCHN</v>
          </cell>
          <cell r="D649" t="str">
            <v>Hoàng Đức Thuận</v>
          </cell>
          <cell r="E649" t="str">
            <v>000851/LS-CCHN</v>
          </cell>
          <cell r="F649" t="str">
            <v>11/01/2023</v>
          </cell>
          <cell r="G649" t="str">
            <v>Khám bệnh, chữa bệnh chuyên khoa Nhi khoa</v>
          </cell>
          <cell r="H649" t="str">
            <v>Từ 07:00 đến 11:30 và từ 13:30 đến 17:00 từ thứ hai đến thứ sáu, thời gian trực và làm việc ngoài giờ theo phân công của Lãnh đạo</v>
          </cell>
          <cell r="I649" t="str">
            <v>KHTH</v>
          </cell>
          <cell r="J649" t="str">
            <v>Bác sĩ khoa Nhi. Trưởng phòng Kế hoạch tổng hợp</v>
          </cell>
          <cell r="K649" t="str">
            <v>Trưởng phòng bác sĩ khoa Nhi / KHTH</v>
          </cell>
          <cell r="L649" t="str">
            <v>Từ 11:40 đến 13:20 và từ 17:10 đến 21:00 thứ hai đến thứ sáu; từ 07:00 đến 21:00 thứ bảy, chủ nhật hằng tuần. Tại Phòng khám chuyên khoa nhi An Thịnh</v>
          </cell>
        </row>
        <row r="650">
          <cell r="A650" t="str">
            <v>BV0231</v>
          </cell>
          <cell r="B650">
            <v>608</v>
          </cell>
          <cell r="C650" t="str">
            <v>000945/LS-CCHN</v>
          </cell>
          <cell r="D650" t="str">
            <v>Nguyễn Thị Hương</v>
          </cell>
          <cell r="E650" t="str">
            <v>000945/LS-CCHN</v>
          </cell>
          <cell r="F650" t="str">
            <v>11/12/2022</v>
          </cell>
          <cell r="G650" t="str">
            <v>Thực hiện phạm vi hoạt động chuyên môn theo quy định tại Thông tư số 26/2015/TTLT-BYT-BNV ngày 07/10/2015 quy định mã số, tiêu chuẩn chức danh nghề nghiệp điều dưỡng, hộ sinh, kỹ thuật y</v>
          </cell>
          <cell r="H650" t="str">
            <v>Từ 07:00 đến 11:30 và từ 13:30 đến 17:00 từ thứ hai đến thứ sáu, thời gian trực và làm việc ngoài giờ theo phân công của Lãnh đạo</v>
          </cell>
          <cell r="I650" t="str">
            <v>KHTH</v>
          </cell>
          <cell r="J650" t="str">
            <v>Điều dưỡng khoa Nội Tiêu hóa / KHTH / P. Điều dưỡng</v>
          </cell>
          <cell r="K650" t="str">
            <v>Điều dưỡng khoa Nội Tiêu hóa / KHTH / P. Điều dưỡng</v>
          </cell>
          <cell r="L650">
            <v>0</v>
          </cell>
        </row>
        <row r="651">
          <cell r="A651" t="str">
            <v>BV0669</v>
          </cell>
          <cell r="B651">
            <v>609</v>
          </cell>
          <cell r="C651" t="str">
            <v>001106/LS-CCHN</v>
          </cell>
          <cell r="D651" t="str">
            <v>Lành Thị Điển</v>
          </cell>
          <cell r="E651" t="str">
            <v>001106/LS-CCHN</v>
          </cell>
          <cell r="F651" t="str">
            <v>11/12/2022</v>
          </cell>
          <cell r="G651" t="str">
            <v>Thực hiện phạm vi hoạt động chuyên môn theo quy định tại Thông tư số 26/2015/TTLT-BYT-BNV ngày 07/10/2015 quy định mã số, tiêu chuẩn chức danh nghề nghiệp điều dưỡng, hộ sinh, kỹ thuật y</v>
          </cell>
          <cell r="H651" t="str">
            <v>Từ 07:00 đến 11:30 và từ 13:30 đến 17:00 từ thứ hai đến thứ sáu, thời gian trực và làm việc ngoài giờ theo phân công của Lãnh đạo</v>
          </cell>
          <cell r="I651" t="str">
            <v>KHTH</v>
          </cell>
          <cell r="J651" t="str">
            <v>Điều dưỡng khoa Nội Tiêu hóa / KHTH / CĐHA</v>
          </cell>
          <cell r="K651" t="str">
            <v>Điều dưỡng khoa Nội Tiêu hóa / KHTH / CĐHA</v>
          </cell>
          <cell r="L651">
            <v>0</v>
          </cell>
        </row>
        <row r="652">
          <cell r="A652" t="str">
            <v>BV0926</v>
          </cell>
          <cell r="B652">
            <v>610</v>
          </cell>
          <cell r="C652" t="str">
            <v>004334/LS-CCHN</v>
          </cell>
          <cell r="D652" t="str">
            <v>Đinh Thị Hải Yến</v>
          </cell>
          <cell r="E652" t="str">
            <v>004334/LS-CCHN</v>
          </cell>
          <cell r="F652" t="str">
            <v>17/8/2021</v>
          </cell>
          <cell r="G652" t="str">
            <v>Phát hiện và xử trí các bệnh thông thường; xử trí ban đầu một số trường hợp cấp cứu tại cộng đồng</v>
          </cell>
          <cell r="H652" t="str">
            <v>Từ 07:00 đến 11:30 và từ 13:30 đến 17:00 từ thứ hai đến thứ sáu, thời gian trực và làm việc ngoài giờ theo phân công của Lãnh đạo</v>
          </cell>
          <cell r="I652" t="str">
            <v>KHTH</v>
          </cell>
          <cell r="J652" t="str">
            <v>Y học dự phòng khoa Dinh dưỡng, kiểm soát nhiễm khuẩn, phòng Kế hoạch tổng hợp</v>
          </cell>
          <cell r="K652" t="str">
            <v>Y học dự phòng khoa Dinh dưỡng</v>
          </cell>
        </row>
        <row r="653">
          <cell r="D653" t="str">
            <v>PHÒNG CÔNG TÁC XÃ HỘI</v>
          </cell>
          <cell r="I653" t="e">
            <v>#N/A</v>
          </cell>
        </row>
        <row r="654">
          <cell r="A654" t="str">
            <v>BV0078</v>
          </cell>
          <cell r="B654">
            <v>611</v>
          </cell>
          <cell r="C654" t="str">
            <v>000422/LS-CCHN</v>
          </cell>
          <cell r="D654" t="str">
            <v>Phạm Lan Anh</v>
          </cell>
          <cell r="E654" t="str">
            <v>000422/LS-CCHN</v>
          </cell>
          <cell r="F654" t="str">
            <v>18/07/2016</v>
          </cell>
          <cell r="G654" t="str">
            <v>Theo quy định tại Quyết định số 41/2005/QĐ-BNV ngày 22/4/2005 của Bộ trưởng Bộ Nội vụ về việc ban hành tiêu chuẩn nghiệp vụ các ngạch viên chức y tế điều dưỡng</v>
          </cell>
          <cell r="H654" t="str">
            <v>Từ 07:00 đến 11:30 và từ 13:30 đến 17:00 từ thứ hai đến thứ sáu, thời gian trực và làm việc ngoài giờ theo phân công của Lãnh đạo</v>
          </cell>
          <cell r="I654" t="str">
            <v>CTXH</v>
          </cell>
          <cell r="J654" t="str">
            <v>Điều dưỡng phòng Công tác xã hội, Điều dưỡng; khoa HSTC-CĐ</v>
          </cell>
          <cell r="K654" t="str">
            <v>Trưởng phòng Điều dưỡng khoa HSTC-CĐ / CTXH / P. Điều dưỡng</v>
          </cell>
          <cell r="L654">
            <v>0</v>
          </cell>
        </row>
        <row r="655">
          <cell r="A655" t="str">
            <v>BV0382</v>
          </cell>
          <cell r="B655">
            <v>612</v>
          </cell>
          <cell r="C655" t="str">
            <v>000994/LS-CCHN</v>
          </cell>
          <cell r="D655" t="str">
            <v>Vy Thị Hồng Thơ</v>
          </cell>
          <cell r="E655" t="str">
            <v>000994/LS-CCHN</v>
          </cell>
          <cell r="F655" t="str">
            <v>11/01/2023</v>
          </cell>
          <cell r="G655" t="str">
            <v>Thực hiện phạm vi hoạt động chuyên môn theo Thông tư số 26/2015/TTLT-BYT-BNV ngày 07/10/2015 quy định  mã số, tiêu chuẩn chức danh nghề nghiệp, điều dưỡng, hộ sinh, kỹ thuật y</v>
          </cell>
          <cell r="H655" t="str">
            <v>Từ 07:00 đến 11:30 và từ 13:30 đến 17:00 từ thứ hai đến thứ sáu, thời gian trực và làm việc ngoài giờ theo phân công của Lãnh đạo</v>
          </cell>
          <cell r="I655" t="str">
            <v>CTXH</v>
          </cell>
          <cell r="J655" t="str">
            <v>Điều dưỡng khoa HSTC-CĐ / CTXH / P. Điều dưỡng</v>
          </cell>
          <cell r="K655" t="str">
            <v>Điều dưỡng khoa HSTC-CĐ / CTXH / P. Điều dưỡng</v>
          </cell>
          <cell r="L655">
            <v>0</v>
          </cell>
        </row>
        <row r="656">
          <cell r="A656" t="str">
            <v>BV0084</v>
          </cell>
          <cell r="B656">
            <v>613</v>
          </cell>
          <cell r="C656" t="str">
            <v>000431/LS-CCHN</v>
          </cell>
          <cell r="D656" t="str">
            <v>Hoàng Thị Mai Anh</v>
          </cell>
          <cell r="E656" t="str">
            <v>000431/LS-CCHN</v>
          </cell>
          <cell r="F656" t="str">
            <v>11/01/2023</v>
          </cell>
          <cell r="G656" t="str">
            <v>Thực hiện phạm vi hoạt động chuyên môn theo Thông tư số 26/2015/TTLT-BYT-BNV ngày 07/10/2015 quy định  mã số, tiêu chuẩn chức danh nghề nghiệp, điều dưỡng, hộ sinh, kỹ thuật y</v>
          </cell>
          <cell r="H656" t="str">
            <v>Từ 07:00 đến 11:30 và từ 13:30 đến 17:00 từ thứ hai đến thứ sáu, thời gian trực và làm việc ngoài giờ theo phân công của Lãnh đạo</v>
          </cell>
          <cell r="I656" t="str">
            <v>CTXH</v>
          </cell>
          <cell r="J656" t="str">
            <v>Điều dưỡng khoa HSTC-CĐ / CTXH / P. Điều dưỡng</v>
          </cell>
          <cell r="K656" t="str">
            <v>Điều dưỡng khoa HSTC-CĐ / CTXH / P. Điều dưỡng</v>
          </cell>
          <cell r="L656">
            <v>0</v>
          </cell>
        </row>
        <row r="657">
          <cell r="A657" t="str">
            <v>BV0037</v>
          </cell>
          <cell r="B657">
            <v>614</v>
          </cell>
          <cell r="C657" t="str">
            <v>000779/LS-CCHN</v>
          </cell>
          <cell r="D657" t="str">
            <v>Triệu Thị Thảo</v>
          </cell>
          <cell r="E657" t="str">
            <v>000779/LS-CCHN</v>
          </cell>
          <cell r="F657" t="str">
            <v>24/06/2013</v>
          </cell>
          <cell r="G657" t="str">
            <v>Theo quy định tại Quyết định số 41/2005/QĐ-BNV ngày 22/4/2005 của Bộ trưởng Bộ Nội vụ về việc ban hành tiêu chuẩn nghiệp vụ các ngạch viên chức y tế điều dưỡng</v>
          </cell>
          <cell r="H657" t="str">
            <v>Từ 07:00 đến 11:30 và từ 13:30 đến 17:00 từ thứ hai đến thứ sáu, thời gian trực và làm việc ngoài giờ theo phân công của Lãnh đạo</v>
          </cell>
          <cell r="I657" t="str">
            <v>CTXH</v>
          </cell>
          <cell r="J657" t="str">
            <v>Điều dưỡng khoa khám bệnh, phòng Công tác xã hội</v>
          </cell>
          <cell r="K657" t="e">
            <v>#N/A</v>
          </cell>
          <cell r="L657">
            <v>0</v>
          </cell>
        </row>
        <row r="658">
          <cell r="D658" t="str">
            <v>PHÒNG QUẢN LÝ CHẤT LƯỢNG</v>
          </cell>
          <cell r="I658" t="e">
            <v>#N/A</v>
          </cell>
        </row>
        <row r="659">
          <cell r="A659" t="str">
            <v>BV0164</v>
          </cell>
          <cell r="B659">
            <v>615</v>
          </cell>
          <cell r="C659" t="str">
            <v>000500/LS-CCHN</v>
          </cell>
          <cell r="D659" t="str">
            <v>Lương Văn Sỹ</v>
          </cell>
          <cell r="E659" t="str">
            <v>000500/LS-CCHN</v>
          </cell>
          <cell r="F659" t="str">
            <v>24/08/2016</v>
          </cell>
          <cell r="G659" t="str">
            <v>Khám bệnh, chữa bệnh Ngoại khoa</v>
          </cell>
          <cell r="H659" t="str">
            <v>Từ 07:00 đến 11:30 và từ 13:30 đến 17:00 từ thứ hai đến thứ sáu, thời gian trực và làm việc ngoài giờ theo phân công của Lãnh đạo</v>
          </cell>
          <cell r="I659" t="str">
            <v>QLCL</v>
          </cell>
          <cell r="J659" t="str">
            <v>Bác sĩ khoa Thần kinh - Lồng ngực. Trưởng phòng Quản lý chất lượng</v>
          </cell>
          <cell r="K659" t="str">
            <v>Trưởng phòng bác sĩ khoa Ngoại TK-LN / QLCL</v>
          </cell>
          <cell r="L659">
            <v>0</v>
          </cell>
        </row>
        <row r="660">
          <cell r="A660" t="str">
            <v>BV0668</v>
          </cell>
          <cell r="B660">
            <v>616</v>
          </cell>
          <cell r="C660" t="str">
            <v>001105/LS-CCHN</v>
          </cell>
          <cell r="D660" t="str">
            <v>Trần Thị Bích</v>
          </cell>
          <cell r="E660" t="str">
            <v>001105/LS-CCHN</v>
          </cell>
          <cell r="F660" t="str">
            <v>11/01/2023</v>
          </cell>
          <cell r="G660" t="str">
            <v>Thực hiện phạm vi hoạt động chuyên môn theo Thông tư số 26/2015/TTLT-BYT-BNV ngày 07/10/2015 quy định  mã số, tiêu chuẩn chức danh nghề nghiệp, điều dưỡng, hộ sinh, kỹ thuật y</v>
          </cell>
          <cell r="H660" t="str">
            <v>Từ 07:00 đến 11:30 và từ 13:30 đến 17:00 từ thứ hai đến thứ sáu, thời gian trực và làm việc ngoài giờ theo phân công của Lãnh đạo</v>
          </cell>
          <cell r="I660" t="str">
            <v>QLCL</v>
          </cell>
          <cell r="J660" t="str">
            <v>Điều dưỡng khoa Nhi / QLCL</v>
          </cell>
          <cell r="K660" t="str">
            <v>Điều dưỡng khoa Nhi / QLCL</v>
          </cell>
          <cell r="L660">
            <v>0</v>
          </cell>
        </row>
        <row r="661">
          <cell r="D661" t="str">
            <v>PHÒNG CHỈ ĐẠO TUYẾN</v>
          </cell>
          <cell r="I661" t="e">
            <v>#N/A</v>
          </cell>
        </row>
        <row r="662">
          <cell r="A662" t="str">
            <v>BV0247</v>
          </cell>
          <cell r="B662">
            <v>617</v>
          </cell>
          <cell r="C662" t="str">
            <v>000374/LS-CCHN</v>
          </cell>
          <cell r="D662" t="str">
            <v>Đặng Thị Thơm</v>
          </cell>
          <cell r="E662" t="str">
            <v>000374/LS-CCHN</v>
          </cell>
          <cell r="F662" t="str">
            <v>11/01/2023</v>
          </cell>
          <cell r="G662" t="str">
            <v>Khám chữa bệnh chuyên khoa Phụ sản</v>
          </cell>
          <cell r="H662" t="str">
            <v>Từ 07:00 đến 11:30 và từ 13:30 đến 17:00 từ thứ hai đến thứ sáu, thời gian trực và làm việc ngoài giờ theo phân công của Lãnh đạo</v>
          </cell>
          <cell r="I662" t="str">
            <v>Chỉ đạo tuyến</v>
          </cell>
          <cell r="J662" t="str">
            <v>Bác sĩ khoa Phụ sản. Trưởng phòng Chỉ đạo tuyến</v>
          </cell>
          <cell r="K662" t="str">
            <v>Trưởng phòng bác sĩ khoa Phụ sản / Chỉ đạo tuyến</v>
          </cell>
        </row>
        <row r="663">
          <cell r="A663" t="str">
            <v>BV0225</v>
          </cell>
          <cell r="B663">
            <v>618</v>
          </cell>
          <cell r="C663" t="str">
            <v>000941/LS-CCHN</v>
          </cell>
          <cell r="D663" t="str">
            <v>Hà Thị Thanh</v>
          </cell>
          <cell r="E663" t="str">
            <v>000941/LS-CCHN</v>
          </cell>
          <cell r="F663" t="str">
            <v>24/06/2013</v>
          </cell>
          <cell r="G663" t="str">
            <v>Theo quy định tại Quyết định số 41/2005/QĐ-BNV ngày 22/4/2005 của Bộ trưởng Bộ Nội vụ về việc ban hành tiêu chuẩn nghiệp vụ các ngạch viên chức y tế điều dưỡng</v>
          </cell>
          <cell r="H663" t="str">
            <v>Từ 07:00 đến 11:30 và từ 13:30 đến 17:00 từ thứ hai đến thứ sáu, thời gian trực và làm việc ngoài giờ theo phân công của Lãnh đạo</v>
          </cell>
          <cell r="I663" t="str">
            <v>Chỉ đạo tuyến</v>
          </cell>
          <cell r="J663" t="str">
            <v>Điều dưỡng khoa khám bệnh, phòng Chỉ đạo tuyến</v>
          </cell>
          <cell r="K663" t="e">
            <v>#N/A</v>
          </cell>
          <cell r="L663">
            <v>0</v>
          </cell>
        </row>
        <row r="664">
          <cell r="D664" t="str">
            <v xml:space="preserve"> THAY ĐỔI SO VỚI LẦN ĐĂNG KÝ TRƯỚC</v>
          </cell>
          <cell r="I664" t="e">
            <v>#N/A</v>
          </cell>
        </row>
        <row r="665">
          <cell r="A665" t="str">
            <v>BV0449</v>
          </cell>
          <cell r="B665">
            <v>1</v>
          </cell>
          <cell r="C665" t="str">
            <v>001048/LS-CCHN</v>
          </cell>
          <cell r="D665" t="str">
            <v>Nguyễn Văn Quỳnh</v>
          </cell>
          <cell r="E665" t="str">
            <v>001048/LS-CCHN</v>
          </cell>
          <cell r="F665" t="str">
            <v>24/06/2013</v>
          </cell>
          <cell r="G665" t="str">
            <v>Theo quy định tại Quyết định số 41/2005/QĐ-BNV ngày 22/4/2005 của Bộ trưởng Bộ Nội vụ về việc ban hành tiêu chuẩn nghiệp vụ các ngạch viên chức y tế điều dưỡng</v>
          </cell>
          <cell r="H665" t="str">
            <v>Từ 07:00 đến 11:30 và từ 13:30 đến 17:00 từ thứ hai đến thứ sáu, thời gian trực và làm việc ngoài giờ theo phân công của Lãnh đạo</v>
          </cell>
          <cell r="I665" t="e">
            <v>#N/A</v>
          </cell>
          <cell r="J665" t="str">
            <v>Điều dưỡng khoa Chẩn đoán hình ảnh.</v>
          </cell>
          <cell r="K665" t="str">
            <v>Điều dưỡng khoa CĐHA</v>
          </cell>
          <cell r="L665">
            <v>0</v>
          </cell>
        </row>
        <row r="666">
          <cell r="A666" t="str">
            <v>BV0070</v>
          </cell>
          <cell r="B666">
            <v>2</v>
          </cell>
          <cell r="C666" t="str">
            <v>001045/LS-CCHN</v>
          </cell>
          <cell r="D666" t="str">
            <v>Mai Thị Thúy</v>
          </cell>
          <cell r="E666" t="str">
            <v>001045/LS-CCHN</v>
          </cell>
          <cell r="F666" t="str">
            <v>11/01/2023</v>
          </cell>
          <cell r="G666" t="str">
            <v>Thực hiện phạm vi hoạt động chuyên môn theo Thông tư số 26/2015/TTLT-BYT-BNV ngày 07/10/2015 quy định  mã số, tiêu chuẩn chức danh nghề nghiệp, điều dưỡng, hộ sinh, kỹ thuật y</v>
          </cell>
          <cell r="H666" t="str">
            <v>Từ 07:00 đến 11:30 và từ 13:30 đến 17:00 từ thứ hai đến thứ sáu, thời gian trực và làm việc ngoài giờ theo phân công của Lãnh đạo</v>
          </cell>
          <cell r="I666" t="e">
            <v>#N/A</v>
          </cell>
          <cell r="J666" t="str">
            <v>Điều dưỡng khoa Cấp cứu  / HSTC-CĐ</v>
          </cell>
          <cell r="K666" t="str">
            <v>Điều dưỡng khoa HSTC-CĐ</v>
          </cell>
          <cell r="L666">
            <v>0</v>
          </cell>
        </row>
        <row r="667">
          <cell r="A667" t="str">
            <v>BV0265</v>
          </cell>
          <cell r="B667">
            <v>3</v>
          </cell>
          <cell r="C667" t="str">
            <v>000964/LS-CCHN</v>
          </cell>
          <cell r="D667" t="str">
            <v>Quách Thị Hà</v>
          </cell>
          <cell r="E667" t="str">
            <v>000964/LS-CCHN</v>
          </cell>
          <cell r="F667" t="str">
            <v>11/12/2022</v>
          </cell>
          <cell r="G667" t="str">
            <v>Thực hiện phạm vi hoạt động chuyên môn theo quy định tại Thông tư số 26/2015/TTLT-BYT-BNV ngày 07/10/2015 quy định mã số, tiêu chuẩn chức danh nghề nghiệp điều dưỡng, hộ sinh, kỹ thuật y</v>
          </cell>
          <cell r="H667" t="str">
            <v>Từ 07:00 đến 11:30 và từ 13:30 đến 17:00 từ thứ hai đến thứ sáu, thời gian trực và làm việc ngoài giờ theo phân công của Lãnh đạo</v>
          </cell>
          <cell r="I667" t="e">
            <v>#N/A</v>
          </cell>
          <cell r="J667" t="str">
            <v>Hộ sinh khoa Phụ sản.</v>
          </cell>
          <cell r="K667" t="str">
            <v>Hộ sinh khoa Phụ sản</v>
          </cell>
          <cell r="L667" t="str">
            <v>Từ 11:40 đến 13:20 và từ 17:10 đến 21:00 thứ hai đến thứ sáu; từ 07:00 đến 21:00 thứ bảy, chủ nhật hằng tuần. Tại Cơ sở chăm sóc mẹ và bé</v>
          </cell>
        </row>
        <row r="668">
          <cell r="A668" t="str">
            <v>BV1298</v>
          </cell>
          <cell r="B668">
            <v>4</v>
          </cell>
          <cell r="C668" t="str">
            <v>000005/LS-GPHN</v>
          </cell>
          <cell r="D668" t="str">
            <v>Hứa Đức Anh</v>
          </cell>
          <cell r="E668" t="str">
            <v>000005/LS-GPHN</v>
          </cell>
          <cell r="F668">
            <v>45443</v>
          </cell>
          <cell r="G668" t="str">
            <v>Y khoa</v>
          </cell>
          <cell r="H668" t="str">
            <v>Từ 07:00 đến 11:30 và từ 13:30 đến 17:00 từ thứ hai đến thứ sáu, thời gian trực và làm việc ngoài giờ theo phân công của Lãnh đạo</v>
          </cell>
          <cell r="I668" t="str">
            <v>HSTC-CĐ</v>
          </cell>
          <cell r="J668" t="str">
            <v>Bác sĩ khoa Hồi sức tích cực - Chống độc</v>
          </cell>
        </row>
        <row r="669">
          <cell r="A669" t="str">
            <v>BV1370</v>
          </cell>
          <cell r="B669">
            <v>5</v>
          </cell>
          <cell r="C669" t="str">
            <v>000414/LS-GPHN</v>
          </cell>
          <cell r="D669" t="str">
            <v>Vũ Thị Ngọc Mai</v>
          </cell>
          <cell r="E669" t="str">
            <v>000414/LS-GPHN</v>
          </cell>
          <cell r="F669">
            <v>45994</v>
          </cell>
          <cell r="G669" t="str">
            <v>Y khoa</v>
          </cell>
          <cell r="H669" t="str">
            <v>Từ 07:00 đến 11:30 và từ 13:30 đến 17:00 từ thứ hai đến thứ sáu, thời gian trực và làm việc ngoài giờ theo phân công của Lãnh đạo</v>
          </cell>
          <cell r="I669" t="str">
            <v>TDCN</v>
          </cell>
          <cell r="J669" t="str">
            <v>Bác sĩ khoa Thăm dò chức năng</v>
          </cell>
        </row>
        <row r="670">
          <cell r="A670" t="str">
            <v>BV1040</v>
          </cell>
          <cell r="B670">
            <v>6</v>
          </cell>
          <cell r="C670" t="str">
            <v>004499/LS-CCHN</v>
          </cell>
          <cell r="D670" t="str">
            <v>Dương Thị Thùy</v>
          </cell>
          <cell r="E670" t="str">
            <v>004499/LS-CCHN</v>
          </cell>
          <cell r="F670">
            <v>44657</v>
          </cell>
          <cell r="G670" t="str">
            <v>Khám bệnh, chữa bệnh Nội khoa</v>
          </cell>
          <cell r="H670" t="str">
            <v>Từ 07:00 đến 11:30 và từ 13:30 đến 17:00 từ thứ hai đến thứ sáu, thời gian trực và làm việc ngoài giờ theo phân công của Lãnh đạo</v>
          </cell>
          <cell r="I670" t="str">
            <v>Nội Tổng hợp</v>
          </cell>
          <cell r="J670" t="str">
            <v>Bác sĩ khoa Nội Tổng hợp</v>
          </cell>
        </row>
        <row r="671">
          <cell r="A671" t="str">
            <v>BV1376</v>
          </cell>
          <cell r="B671">
            <v>7</v>
          </cell>
          <cell r="C671" t="str">
            <v>000540/LS-GPHN</v>
          </cell>
          <cell r="D671" t="str">
            <v>Hà Kiên Trung</v>
          </cell>
          <cell r="E671" t="str">
            <v>000540/LS-GPHN</v>
          </cell>
          <cell r="F671">
            <v>46135</v>
          </cell>
          <cell r="G671" t="str">
            <v>Y khoa</v>
          </cell>
          <cell r="H671" t="str">
            <v>Từ 07:00 đến 11:30 và từ 13:30 đến 17:00 từ thứ hai đến thứ sáu, thời gian trực và làm việc ngoài giờ theo phân công của Lãnh đạo</v>
          </cell>
          <cell r="I671" t="str">
            <v>Tâm thần - Thần kinh</v>
          </cell>
          <cell r="J671" t="str">
            <v>Bác sĩ khoa Tâm thần - Thần kinh</v>
          </cell>
        </row>
        <row r="672">
          <cell r="A672" t="str">
            <v>BV0884</v>
          </cell>
          <cell r="B672">
            <v>8</v>
          </cell>
          <cell r="C672" t="str">
            <v>004124/LS-CCHN</v>
          </cell>
          <cell r="D672" t="str">
            <v>Trần Hoàn Hảo</v>
          </cell>
          <cell r="E672" t="str">
            <v>004124/LS-CCHN</v>
          </cell>
          <cell r="F672">
            <v>44235</v>
          </cell>
          <cell r="G672" t="str">
            <v>Phát hiện và xử trí các bệnh thông thường; xử trí ban đầu một số trường hợp cấp cứu tại cộng đồng</v>
          </cell>
          <cell r="H672" t="str">
            <v>Từ 07:00 đến 11:30 và từ 13:30 đến 17:00 từ thứ hai đến thứ sáu, thời gian trực và làm việc ngoài giờ theo phân công của Lãnh đạo</v>
          </cell>
          <cell r="I672" t="str">
            <v>QLCL</v>
          </cell>
          <cell r="J672" t="str">
            <v>Bác sĩ y học dự phòng khoa KSNK; Khám bệnh</v>
          </cell>
        </row>
        <row r="673">
          <cell r="A673" t="str">
            <v>BV1383</v>
          </cell>
          <cell r="B673">
            <v>9</v>
          </cell>
          <cell r="C673" t="str">
            <v>000481/LS-GPHN</v>
          </cell>
          <cell r="D673" t="str">
            <v>Hoàng Mai Hòa</v>
          </cell>
          <cell r="E673" t="str">
            <v>000481/LS-GPHN</v>
          </cell>
          <cell r="F673">
            <v>46066</v>
          </cell>
          <cell r="G673" t="str">
            <v>Điều dưỡng</v>
          </cell>
          <cell r="H673" t="str">
            <v>Từ 07:00 đến 11:30 và từ 13:30 đến 17:00 từ thứ hai đến thứ sáu, thời gian trực và làm việc ngoài giờ theo phân công của Lãnh đạo</v>
          </cell>
          <cell r="I673" t="str">
            <v>HSTC-CĐ</v>
          </cell>
          <cell r="J673" t="str">
            <v>Điều dưỡng khoa Hồi sức Tích cực - Chống độc</v>
          </cell>
        </row>
        <row r="674">
          <cell r="A674" t="str">
            <v>BV1384</v>
          </cell>
          <cell r="B674">
            <v>10</v>
          </cell>
          <cell r="C674" t="str">
            <v>000391/LS-GPHN</v>
          </cell>
          <cell r="D674" t="str">
            <v>Hoàng Thị Hương</v>
          </cell>
          <cell r="E674" t="str">
            <v>000391/LS-GPHN</v>
          </cell>
          <cell r="F674">
            <v>45554</v>
          </cell>
          <cell r="G674" t="str">
            <v>Điều dưỡng</v>
          </cell>
          <cell r="H674" t="str">
            <v>Từ 07:00 đến 11:30 và từ 13:30 đến 17:00 từ thứ hai đến thứ sáu, thời gian trực và làm việc ngoài giờ theo phân công của Lãnh đạo</v>
          </cell>
          <cell r="I674" t="str">
            <v>Cấp cứu</v>
          </cell>
          <cell r="J674" t="str">
            <v>Điều dưỡng khoa Cấp cứu</v>
          </cell>
        </row>
        <row r="675">
          <cell r="A675" t="str">
            <v>BV1385</v>
          </cell>
          <cell r="B675">
            <v>11</v>
          </cell>
          <cell r="C675" t="str">
            <v>001524/TNG-GPHN</v>
          </cell>
          <cell r="D675" t="str">
            <v>Phùng Tú Oanh</v>
          </cell>
          <cell r="E675" t="str">
            <v>001524/TNG-GPHN</v>
          </cell>
          <cell r="F675">
            <v>46122</v>
          </cell>
          <cell r="G675" t="str">
            <v>Điều dưỡng</v>
          </cell>
          <cell r="H675" t="str">
            <v>Từ 07:00 đến 11:30 và từ 13:30 đến 17:00 từ thứ hai đến thứ sáu, thời gian trực và làm việc ngoài giờ theo phân công của Lãnh đạo</v>
          </cell>
          <cell r="I675" t="str">
            <v>HSTC-CĐ</v>
          </cell>
          <cell r="J675" t="str">
            <v>Điều dưỡng khoa Hồi sức Tích cực - Chống độc</v>
          </cell>
        </row>
        <row r="676">
          <cell r="A676" t="str">
            <v>BV1386</v>
          </cell>
          <cell r="B676">
            <v>12</v>
          </cell>
          <cell r="C676" t="str">
            <v>000527/LS-GPHN</v>
          </cell>
          <cell r="D676" t="str">
            <v>Hoàng Thu Thùy</v>
          </cell>
          <cell r="E676" t="str">
            <v>000527/LS-GPHN</v>
          </cell>
          <cell r="F676">
            <v>46135</v>
          </cell>
          <cell r="G676" t="str">
            <v>Điều dưỡng</v>
          </cell>
          <cell r="H676" t="str">
            <v>Từ 07:00 đến 11:30 và từ 13:30 đến 17:00 từ thứ hai đến thứ sáu, thời gian trực và làm việc ngoài giờ theo phân công của Lãnh đạo</v>
          </cell>
          <cell r="I676" t="str">
            <v>HSTC-CĐ</v>
          </cell>
          <cell r="J676" t="str">
            <v>Điều dưỡng khoa Hồi sức Tích cực - Chống độc</v>
          </cell>
        </row>
        <row r="677">
          <cell r="A677" t="str">
            <v>BV1398</v>
          </cell>
          <cell r="B677">
            <v>13</v>
          </cell>
          <cell r="C677" t="str">
            <v>000432/LS-GPHN</v>
          </cell>
          <cell r="D677" t="str">
            <v>Hoàng Thị Kim Ngân</v>
          </cell>
          <cell r="E677" t="str">
            <v>000432/LS-GPHN</v>
          </cell>
          <cell r="F677">
            <v>46002</v>
          </cell>
          <cell r="G677" t="str">
            <v>Điều dưỡng</v>
          </cell>
          <cell r="H677" t="str">
            <v>Từ 07:00 đến 11:30 và từ 13:30 đến 17:00 từ thứ hai đến thứ sáu, thời gian trực và làm việc ngoài giờ theo phân công của Lãnh đạo</v>
          </cell>
          <cell r="I677" t="str">
            <v>HSTC-CĐ</v>
          </cell>
          <cell r="J677" t="str">
            <v>Điều dưỡng khoa Hồi sức Tích cực - Chống độc</v>
          </cell>
        </row>
        <row r="678">
          <cell r="A678" t="str">
            <v>BV1387</v>
          </cell>
          <cell r="B678">
            <v>14</v>
          </cell>
          <cell r="C678" t="str">
            <v>003578/LS-CCHN</v>
          </cell>
          <cell r="D678" t="str">
            <v>Lý Thị Hoàn</v>
          </cell>
          <cell r="E678" t="str">
            <v>003578/LS-CCHN</v>
          </cell>
          <cell r="F678">
            <v>43497</v>
          </cell>
          <cell r="G678" t="str">
            <v>Thực hiện phạm vi hoạt động chuyên môn theo quy định tại thông tư số 26/2015/TTLT-BYT-BNV ngày 07 tháng 10 năm 2015 quy định mã số, tiêu chuẩn chức danh nghề nghiệp Điều dưỡng, Hộ sinh, Kỹ thuật viên</v>
          </cell>
          <cell r="H678" t="str">
            <v>Từ 07:00 đến 11:30 và từ 13:30 đến 17:00 từ thứ hai đến thứ sáu, thời gian trực và làm việc ngoài giờ theo phân công của Lãnh đạo</v>
          </cell>
          <cell r="I678" t="str">
            <v>Nội Tổng hợp</v>
          </cell>
          <cell r="J678" t="str">
            <v>Điều dưỡng khoa Nội Tổng hợp</v>
          </cell>
        </row>
        <row r="679">
          <cell r="A679" t="str">
            <v>BV1389</v>
          </cell>
          <cell r="B679">
            <v>15</v>
          </cell>
          <cell r="C679" t="str">
            <v>004304/LS-CCHN</v>
          </cell>
          <cell r="D679" t="str">
            <v>Bùi Hồng Lan</v>
          </cell>
          <cell r="E679" t="str">
            <v>004304/LS-CCHN</v>
          </cell>
          <cell r="F679">
            <v>45301</v>
          </cell>
          <cell r="G679" t="str">
            <v>Theo quy định tại Thông tư số 26/2015/TTLT-BYT-BNV ngày 07 tháng 10 năm 2015 quy định mã số, tiêu chuẩn chức danh nghề nghiệp điều dưỡng, hộ sinh, kỹ thuật y.</v>
          </cell>
          <cell r="H679" t="str">
            <v>Từ 07:00 đến 11:30 và từ 13:30 đến 17:00 từ thứ hai đến thứ sáu, thời gian trực và làm việc ngoài giờ theo phân công của Lãnh đạo</v>
          </cell>
          <cell r="I679" t="str">
            <v>Nội tổng hợp</v>
          </cell>
          <cell r="J679" t="str">
            <v>Điều dưỡng khoa Nội tổng hợp</v>
          </cell>
        </row>
        <row r="680">
          <cell r="A680" t="str">
            <v>BV1390</v>
          </cell>
          <cell r="B680">
            <v>16</v>
          </cell>
          <cell r="C680" t="str">
            <v>000031/BK-GPHN</v>
          </cell>
          <cell r="D680" t="str">
            <v>Hà Thị Thanh</v>
          </cell>
          <cell r="E680" t="str">
            <v>000031/BK-GPHN</v>
          </cell>
          <cell r="F680">
            <v>45434</v>
          </cell>
          <cell r="G680" t="str">
            <v xml:space="preserve">Điều dưỡng </v>
          </cell>
          <cell r="H680" t="str">
            <v>Từ 07:00 đến 11:30 và từ 13:30 đến 17:00 từ thứ hai đến thứ sáu, thời gian trực và làm việc ngoài giờ theo phân công của Lãnh đạo</v>
          </cell>
          <cell r="I680" t="str">
            <v>HSTC-CĐ</v>
          </cell>
          <cell r="J680" t="str">
            <v>Điều dưỡng khoa Hồi sức Tích cực - Chống độc</v>
          </cell>
        </row>
        <row r="681">
          <cell r="A681" t="str">
            <v>BV1391</v>
          </cell>
          <cell r="B681">
            <v>17</v>
          </cell>
          <cell r="C681" t="str">
            <v>000121/LS-GPHN</v>
          </cell>
          <cell r="D681" t="str">
            <v>Nông Thị Vị</v>
          </cell>
          <cell r="E681" t="str">
            <v>000121/LS-GPHN</v>
          </cell>
          <cell r="F681">
            <v>45521</v>
          </cell>
          <cell r="G681" t="str">
            <v>Điều dưỡng</v>
          </cell>
          <cell r="H681" t="str">
            <v>Từ 07:00 đến 11:30 và từ 13:30 đến 17:00 từ thứ hai đến thứ sáu, thời gian trực và làm việc ngoài giờ theo phân công của Lãnh đạo</v>
          </cell>
          <cell r="I681" t="str">
            <v>Cấp cứu</v>
          </cell>
          <cell r="J681" t="str">
            <v>Điều dưỡng khoa Cấp cứu</v>
          </cell>
        </row>
        <row r="682">
          <cell r="A682" t="str">
            <v>BV1392</v>
          </cell>
          <cell r="B682">
            <v>18</v>
          </cell>
          <cell r="C682" t="str">
            <v>000204/LS-GPHN</v>
          </cell>
          <cell r="D682" t="str">
            <v>Hoàng Quốc Việt</v>
          </cell>
          <cell r="E682" t="str">
            <v>000204/LS-GPHN</v>
          </cell>
          <cell r="F682">
            <v>45680</v>
          </cell>
          <cell r="G682" t="str">
            <v>Điều dưỡng</v>
          </cell>
          <cell r="H682" t="str">
            <v>Từ 07:00 đến 11:30 và từ 13:30 đến 17:00 từ thứ hai đến thứ sáu, thời gian trực và làm việc ngoài giờ theo phân công của Lãnh đạo</v>
          </cell>
          <cell r="I682" t="str">
            <v>HSTC-CĐ</v>
          </cell>
          <cell r="J682" t="str">
            <v>Điều dưỡng khoa Hồi sức Tích cực - Chống độc</v>
          </cell>
        </row>
        <row r="683">
          <cell r="A683" t="str">
            <v>BV1393</v>
          </cell>
          <cell r="B683">
            <v>19</v>
          </cell>
          <cell r="C683" t="str">
            <v>003587/LS-CCHN</v>
          </cell>
          <cell r="D683" t="str">
            <v>Tô Thị Thúy Duyên</v>
          </cell>
          <cell r="E683" t="str">
            <v>003587/LS-CCHN</v>
          </cell>
          <cell r="F683">
            <v>43728</v>
          </cell>
          <cell r="G683" t="str">
            <v>Chuyên khoa xét nghiệm</v>
          </cell>
          <cell r="H683" t="str">
            <v>Từ 07:00 đến 11:30 và từ 13:30 đến 17:00 từ thứ hai đến thứ sáu, thời gian trực và làm việc ngoài giờ theo phân công của Lãnh đạo</v>
          </cell>
          <cell r="I683" t="str">
            <v>HH-TM</v>
          </cell>
          <cell r="J683" t="str">
            <v>Kỹ thuật y khoa Huyết học - Truyền máu</v>
          </cell>
        </row>
        <row r="685">
          <cell r="L685" t="str">
            <v>Lạng Sơn, ngày 19 tháng 6 năm 2026</v>
          </cell>
        </row>
        <row r="686">
          <cell r="L686" t="str">
            <v>GIÁM ĐỐC</v>
          </cell>
        </row>
        <row r="692">
          <cell r="L692" t="str">
            <v>Trương Quý Trường</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Đ cho phép thực hiện"/>
      <sheetName val="QĐ cho phép thực hiện (2023)"/>
      <sheetName val="Hướng dẫn ghi"/>
      <sheetName val="CDNN"/>
      <sheetName val="MÃ KHOA MÃ PK"/>
      <sheetName val="điều chỉnh giường 18.6.2025"/>
      <sheetName val="Phạm vi"/>
      <sheetName val="Hướng dẫn 2026"/>
      <sheetName val="DS UPLOAD 2026 (2)"/>
      <sheetName val="DS UPLOAD 2026"/>
      <sheetName val="DANH SÁCH ĐÃ UPLOAD"/>
      <sheetName val="26.11.2024 TĂNG 6"/>
      <sheetName val="08.11.2024 Du Huy Vinh"/>
      <sheetName val="10.10.2024 Tăng Nương Hồng Bình"/>
      <sheetName val="19.8.2024"/>
      <sheetName val="19.7.2024 SA Sản"/>
      <sheetName val="19.7.2024 thêm vị trí 4 5"/>
      <sheetName val="14.6.2024"/>
      <sheetName val="14.5.2024"/>
      <sheetName val="28.5.2024 Cấp cứu"/>
      <sheetName val="25.03.2024 Hiếu đô"/>
      <sheetName val="Mã khám bệnh QĐ 7603"/>
      <sheetName val="25.3.2024"/>
      <sheetName val="23.01.2024"/>
      <sheetName val="05.01.2024"/>
      <sheetName val="23.11 HIếu CĐHA"/>
      <sheetName val="16.11 7 mới"/>
      <sheetName val="02.11 Nghị Bèn"/>
      <sheetName val="31.10 sửa SAng Trang 3 mới"/>
      <sheetName val="20.10 Trang THìn Lila CHầm"/>
      <sheetName val="19.10 Sửa hiếu Ngân"/>
      <sheetName val="18.10 sửa Linh, Sang, Trang"/>
      <sheetName val="9.10.2023 sửa Hướng Mai"/>
      <sheetName val="02.10 sửa Du Tuấn Thanh"/>
      <sheetName val="UPLOAD 06.9"/>
      <sheetName val="UPLOAD 28.8"/>
      <sheetName val="UPLOAD 24.7"/>
      <sheetName val="UPLOAD 10.7 sửa Lượng Hiền"/>
      <sheetName val="UPLOAD 20.6"/>
      <sheetName val="UPLOAD 15.6.2023"/>
      <sheetName val="UPLOAD 09.6.2023"/>
      <sheetName val="UPLOAD 12.5.2023 (Tỉnh)"/>
      <sheetName val="UPLOAD 12.5.2023"/>
      <sheetName val="UPLOAD 08.5.2023 (2)"/>
      <sheetName val="UPLOAD 08.5.2023"/>
      <sheetName val="CHƯA UP"/>
      <sheetName val="MẪ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
          <cell r="A2" t="str">
            <v>BV0929</v>
          </cell>
          <cell r="D2" t="str">
            <v>K02;01.02</v>
          </cell>
          <cell r="E2" t="str">
            <v>Khoa Cấp cứu;Hồi sức cấp cứu và chống độc</v>
          </cell>
          <cell r="F2" t="str">
            <v>Triệu Thị Hạ</v>
          </cell>
          <cell r="G2">
            <v>2</v>
          </cell>
          <cell r="H2" t="str">
            <v>020193002215</v>
          </cell>
          <cell r="I2" t="str">
            <v>1</v>
          </cell>
          <cell r="K2" t="str">
            <v>004235/LS-CCHN</v>
          </cell>
          <cell r="L2" t="str">
            <v>20210610</v>
          </cell>
          <cell r="M2" t="str">
            <v>Sở Y tế tỉnh Lạng Sơn</v>
          </cell>
          <cell r="N2" t="str">
            <v>102</v>
          </cell>
        </row>
        <row r="3">
          <cell r="A3" t="str">
            <v>BV0959</v>
          </cell>
          <cell r="D3" t="str">
            <v>K02;01.02</v>
          </cell>
          <cell r="E3" t="str">
            <v>Khoa Cấp cứu;Hồi sức cấp cứu và chống độc</v>
          </cell>
          <cell r="F3" t="str">
            <v>Liễu Thị Ngân</v>
          </cell>
          <cell r="G3">
            <v>2</v>
          </cell>
          <cell r="H3" t="str">
            <v>020194010077</v>
          </cell>
          <cell r="I3" t="str">
            <v>1</v>
          </cell>
          <cell r="K3" t="str">
            <v>004296/LS-CCHN</v>
          </cell>
          <cell r="L3" t="str">
            <v>20210720</v>
          </cell>
          <cell r="M3" t="str">
            <v>Sở Y tế tỉnh Lạng Sơn</v>
          </cell>
          <cell r="N3" t="str">
            <v>102</v>
          </cell>
          <cell r="P3" t="str">
            <v>01.0239;01.0303;01.0092</v>
          </cell>
        </row>
        <row r="4">
          <cell r="A4" t="str">
            <v>BV1267</v>
          </cell>
          <cell r="D4" t="str">
            <v>K02;01.02</v>
          </cell>
          <cell r="E4" t="str">
            <v>Khoa Cấp cứu;Hồi sức cấp cứu và chống độc</v>
          </cell>
          <cell r="F4" t="str">
            <v>Trần Văn Tuyến</v>
          </cell>
          <cell r="G4">
            <v>1</v>
          </cell>
          <cell r="H4" t="str">
            <v>001092022720</v>
          </cell>
          <cell r="I4" t="str">
            <v>1</v>
          </cell>
          <cell r="K4" t="str">
            <v>050361/BYT-CCHN</v>
          </cell>
          <cell r="L4">
            <v>20240401</v>
          </cell>
          <cell r="M4" t="str">
            <v>Bộ Y tế</v>
          </cell>
          <cell r="N4" t="str">
            <v>102</v>
          </cell>
        </row>
        <row r="5">
          <cell r="A5" t="str">
            <v>BV0890</v>
          </cell>
          <cell r="D5" t="str">
            <v>K02;01.02</v>
          </cell>
          <cell r="E5" t="str">
            <v>Khoa Cấp cứu;Hồi sức cấp cứu và chống độc</v>
          </cell>
          <cell r="F5" t="str">
            <v>Nông Quốc Thiên</v>
          </cell>
          <cell r="G5">
            <v>1</v>
          </cell>
          <cell r="H5" t="str">
            <v>020094010940</v>
          </cell>
          <cell r="I5" t="str">
            <v>1</v>
          </cell>
          <cell r="K5" t="str">
            <v>004162/LS-CCHN</v>
          </cell>
          <cell r="L5" t="str">
            <v>20210406</v>
          </cell>
          <cell r="M5" t="str">
            <v>Sở Y tế tỉnh Lạng Sơn</v>
          </cell>
          <cell r="N5" t="str">
            <v>101;102</v>
          </cell>
          <cell r="O5" t="str">
            <v>20250415_569/QĐ-SYT</v>
          </cell>
        </row>
        <row r="6">
          <cell r="A6" t="str">
            <v>BV1233</v>
          </cell>
          <cell r="D6" t="str">
            <v>K02;01.02</v>
          </cell>
          <cell r="E6" t="str">
            <v>Khoa Cấp cứu;Hồi sức cấp cứu và chống độc</v>
          </cell>
          <cell r="F6" t="str">
            <v>Lê Thị Lệ</v>
          </cell>
          <cell r="G6">
            <v>2</v>
          </cell>
          <cell r="H6" t="str">
            <v>020198005331</v>
          </cell>
          <cell r="I6" t="str">
            <v>1</v>
          </cell>
          <cell r="K6" t="str">
            <v>000067/LS-GPHN</v>
          </cell>
          <cell r="L6">
            <v>20240629</v>
          </cell>
          <cell r="M6" t="str">
            <v>Sở Y tế tỉnh Lạng Sơn</v>
          </cell>
          <cell r="N6" t="str">
            <v>102</v>
          </cell>
        </row>
        <row r="7">
          <cell r="A7" t="str">
            <v>BV0974</v>
          </cell>
          <cell r="D7" t="str">
            <v>K4849;K2425;10.24;10.25</v>
          </cell>
          <cell r="E7" t="str">
            <v>Khoa Hồi sức tích cực - Chống độc;Khoa Chấn thương - Bỏng;Chấn thương chỉnh hình;Bỏng</v>
          </cell>
          <cell r="F7" t="str">
            <v>Nông Văn Bảo</v>
          </cell>
          <cell r="G7">
            <v>1</v>
          </cell>
          <cell r="H7" t="str">
            <v>020096005488</v>
          </cell>
          <cell r="I7" t="str">
            <v>3</v>
          </cell>
          <cell r="K7" t="str">
            <v>004094/LS-CCHN</v>
          </cell>
          <cell r="L7" t="str">
            <v>20210119</v>
          </cell>
          <cell r="M7" t="str">
            <v>Sở Y tế tỉnh Lạng Sơn</v>
          </cell>
          <cell r="N7" t="str">
            <v>302</v>
          </cell>
        </row>
        <row r="8">
          <cell r="A8" t="str">
            <v>BV0011</v>
          </cell>
          <cell r="D8" t="str">
            <v>K4849;K2425;10.24;10.25</v>
          </cell>
          <cell r="E8" t="str">
            <v>Khoa Hồi sức tích cực - Chống độc;Khoa Chấn thương - Bỏng;Chấn thương chỉnh hình;Bỏng</v>
          </cell>
          <cell r="F8" t="str">
            <v>Vi Văn Hải</v>
          </cell>
          <cell r="G8">
            <v>1</v>
          </cell>
          <cell r="H8" t="str">
            <v>025081000976</v>
          </cell>
          <cell r="I8" t="str">
            <v>3</v>
          </cell>
          <cell r="K8" t="str">
            <v>000739/LS-CCHN</v>
          </cell>
          <cell r="L8" t="str">
            <v>20230111</v>
          </cell>
          <cell r="M8" t="str">
            <v>Sở Y tế tỉnh Lạng Sơn</v>
          </cell>
          <cell r="N8" t="str">
            <v>302</v>
          </cell>
        </row>
        <row r="9">
          <cell r="A9" t="str">
            <v>BV0719</v>
          </cell>
          <cell r="D9" t="str">
            <v>K4849;K2425;10.24;10.25</v>
          </cell>
          <cell r="E9" t="str">
            <v>Khoa Hồi sức tích cực - Chống độc;Khoa Chấn thương - Bỏng;Chấn thương chỉnh hình;Bỏng</v>
          </cell>
          <cell r="F9" t="str">
            <v>Nông Văn Thảo</v>
          </cell>
          <cell r="G9">
            <v>1</v>
          </cell>
          <cell r="H9" t="str">
            <v>020091002288</v>
          </cell>
          <cell r="I9" t="str">
            <v>3</v>
          </cell>
          <cell r="K9" t="str">
            <v>003417/LS-CCHN</v>
          </cell>
          <cell r="L9" t="str">
            <v>20190121</v>
          </cell>
          <cell r="M9" t="str">
            <v>Sở Y tế tỉnh Lạng Sơn</v>
          </cell>
          <cell r="N9" t="str">
            <v>302</v>
          </cell>
        </row>
        <row r="10">
          <cell r="A10" t="str">
            <v>BV0718</v>
          </cell>
          <cell r="D10" t="str">
            <v>K2425;10.24;10.25</v>
          </cell>
          <cell r="E10" t="str">
            <v>Khoa Chấn thương - Bỏng;Chấn thương chỉnh hình;Bỏng</v>
          </cell>
          <cell r="F10" t="str">
            <v>Lâm Thị Phượng</v>
          </cell>
          <cell r="G10">
            <v>2</v>
          </cell>
          <cell r="H10" t="str">
            <v>020194005623</v>
          </cell>
          <cell r="I10" t="str">
            <v>3</v>
          </cell>
          <cell r="K10" t="str">
            <v>002142/LS-CCHN</v>
          </cell>
          <cell r="L10" t="str">
            <v>20171201</v>
          </cell>
          <cell r="M10" t="str">
            <v>Sở Y tế tỉnh Lạng Sơn</v>
          </cell>
          <cell r="N10" t="str">
            <v>302</v>
          </cell>
        </row>
        <row r="11">
          <cell r="A11" t="str">
            <v>BV0224</v>
          </cell>
          <cell r="D11" t="str">
            <v>K2425;10.24;10.25</v>
          </cell>
          <cell r="E11" t="str">
            <v>Khoa Chấn thương - Bỏng;Chấn thương chỉnh hình;Bỏng</v>
          </cell>
          <cell r="F11" t="str">
            <v>Lê Trọng Huấn</v>
          </cell>
          <cell r="G11">
            <v>1</v>
          </cell>
          <cell r="H11" t="str">
            <v>020087004744</v>
          </cell>
          <cell r="I11" t="str">
            <v>3</v>
          </cell>
          <cell r="K11" t="str">
            <v>000940/LS-CCHN</v>
          </cell>
          <cell r="L11" t="str">
            <v>20230111</v>
          </cell>
          <cell r="M11" t="str">
            <v>Sở Y tế tỉnh Lạng Sơn</v>
          </cell>
          <cell r="N11" t="str">
            <v>301</v>
          </cell>
        </row>
        <row r="12">
          <cell r="A12" t="str">
            <v>BV0229</v>
          </cell>
          <cell r="D12" t="str">
            <v>K2425;10.24;10.25</v>
          </cell>
          <cell r="E12" t="str">
            <v>Khoa Chấn thương - Bỏng;Chấn thương chỉnh hình;Bỏng</v>
          </cell>
          <cell r="F12" t="str">
            <v>Chu Thị Huệ</v>
          </cell>
          <cell r="G12">
            <v>2</v>
          </cell>
          <cell r="H12" t="str">
            <v>020187012007</v>
          </cell>
          <cell r="I12" t="str">
            <v>3</v>
          </cell>
          <cell r="K12" t="str">
            <v>000943/LS-CCHN</v>
          </cell>
          <cell r="L12" t="str">
            <v>20230111</v>
          </cell>
          <cell r="M12" t="str">
            <v>Sở Y tế tỉnh Lạng Sơn</v>
          </cell>
          <cell r="N12" t="str">
            <v>302</v>
          </cell>
        </row>
        <row r="13">
          <cell r="A13" t="str">
            <v>BV0228</v>
          </cell>
          <cell r="D13" t="str">
            <v>K2425;10.24;10.25</v>
          </cell>
          <cell r="E13" t="str">
            <v>Khoa Chấn thương - Bỏng;Chấn thương chỉnh hình;Bỏng</v>
          </cell>
          <cell r="F13" t="str">
            <v>Đàm Thị Na</v>
          </cell>
          <cell r="G13">
            <v>2</v>
          </cell>
          <cell r="H13" t="str">
            <v>020186002959</v>
          </cell>
          <cell r="I13" t="str">
            <v>3</v>
          </cell>
          <cell r="K13" t="str">
            <v>000942/LS-CCHN</v>
          </cell>
          <cell r="L13" t="str">
            <v>20230111</v>
          </cell>
          <cell r="M13" t="str">
            <v>Sở Y tế tỉnh Lạng Sơn</v>
          </cell>
          <cell r="N13" t="str">
            <v>302</v>
          </cell>
        </row>
        <row r="14">
          <cell r="A14" t="str">
            <v>BV0026</v>
          </cell>
          <cell r="D14" t="str">
            <v>K2425;10.24;10.25</v>
          </cell>
          <cell r="E14" t="str">
            <v>Khoa Chấn thương - Bỏng;Chấn thương chỉnh hình;Bỏng</v>
          </cell>
          <cell r="F14" t="str">
            <v>Hoàng Huy Thắng</v>
          </cell>
          <cell r="G14">
            <v>1</v>
          </cell>
          <cell r="H14" t="str">
            <v>020086007096</v>
          </cell>
          <cell r="I14" t="str">
            <v>3</v>
          </cell>
          <cell r="K14" t="str">
            <v>000751/LS-CCHN</v>
          </cell>
          <cell r="L14" t="str">
            <v>20230111</v>
          </cell>
          <cell r="M14" t="str">
            <v>Sở Y tế tỉnh Lạng Sơn</v>
          </cell>
          <cell r="N14" t="str">
            <v>302</v>
          </cell>
        </row>
        <row r="15">
          <cell r="A15" t="str">
            <v>BV1044</v>
          </cell>
          <cell r="D15" t="str">
            <v>K2425;10.24;10.25</v>
          </cell>
          <cell r="E15" t="str">
            <v>Khoa Chấn thương - Bỏng;Chấn thương chỉnh hình;Bỏng</v>
          </cell>
          <cell r="F15" t="str">
            <v>Hoàng Thị Chuyên</v>
          </cell>
          <cell r="G15">
            <v>2</v>
          </cell>
          <cell r="H15" t="str">
            <v>020194000485</v>
          </cell>
          <cell r="I15" t="str">
            <v>3</v>
          </cell>
          <cell r="K15" t="str">
            <v>004246/LS-CCHN</v>
          </cell>
          <cell r="L15" t="str">
            <v>20210610</v>
          </cell>
          <cell r="M15" t="str">
            <v>Sở Y tế tỉnh Lạng Sơn</v>
          </cell>
          <cell r="N15" t="str">
            <v>302</v>
          </cell>
        </row>
        <row r="16">
          <cell r="A16" t="str">
            <v>BV0866</v>
          </cell>
          <cell r="D16" t="str">
            <v>K2425;10.24;10.25</v>
          </cell>
          <cell r="E16" t="str">
            <v>Khoa Chấn thương - Bỏng;Chấn thương chỉnh hình;Bỏng</v>
          </cell>
          <cell r="F16" t="str">
            <v>Hoàng Minh Tuệ</v>
          </cell>
          <cell r="G16">
            <v>1</v>
          </cell>
          <cell r="H16" t="str">
            <v>020097001291</v>
          </cell>
          <cell r="I16" t="str">
            <v>3</v>
          </cell>
          <cell r="K16" t="str">
            <v>003627/LS-CCHN</v>
          </cell>
          <cell r="L16" t="str">
            <v>20191121</v>
          </cell>
          <cell r="M16" t="str">
            <v>Sở Y tế tỉnh Lạng Sơn</v>
          </cell>
          <cell r="N16" t="str">
            <v>302</v>
          </cell>
        </row>
        <row r="17">
          <cell r="A17" t="str">
            <v>BV0857</v>
          </cell>
          <cell r="D17" t="str">
            <v>K2425;10.24;10.25</v>
          </cell>
          <cell r="E17" t="str">
            <v>Khoa Chấn thương - Bỏng;Chấn thương chỉnh hình;Bỏng</v>
          </cell>
          <cell r="F17" t="str">
            <v>Lương Sơn Tùng</v>
          </cell>
          <cell r="G17">
            <v>1</v>
          </cell>
          <cell r="H17" t="str">
            <v>020097008876</v>
          </cell>
          <cell r="I17" t="str">
            <v>3</v>
          </cell>
          <cell r="K17" t="str">
            <v>003719/LS-CCHN</v>
          </cell>
          <cell r="L17" t="str">
            <v>20200522</v>
          </cell>
          <cell r="M17" t="str">
            <v>Sở Y tế tỉnh Lạng Sơn</v>
          </cell>
          <cell r="N17" t="str">
            <v>302</v>
          </cell>
        </row>
        <row r="18">
          <cell r="A18" t="str">
            <v>BV0789</v>
          </cell>
          <cell r="D18" t="str">
            <v>K2425;10.24;10.25</v>
          </cell>
          <cell r="E18" t="str">
            <v>Khoa Chấn thương - Bỏng;Chấn thương chỉnh hình;Bỏng</v>
          </cell>
          <cell r="F18" t="str">
            <v>Nguyễn Thị Tuyền</v>
          </cell>
          <cell r="G18">
            <v>2</v>
          </cell>
          <cell r="H18" t="str">
            <v>030195005409</v>
          </cell>
          <cell r="I18" t="str">
            <v>3</v>
          </cell>
          <cell r="K18" t="str">
            <v>003806/LS-CCHN</v>
          </cell>
          <cell r="L18" t="str">
            <v>20200721</v>
          </cell>
          <cell r="M18" t="str">
            <v>Sở Y tế tỉnh Lạng Sơn</v>
          </cell>
          <cell r="N18" t="str">
            <v>302</v>
          </cell>
        </row>
        <row r="19">
          <cell r="A19" t="str">
            <v>BV0970</v>
          </cell>
          <cell r="D19" t="str">
            <v>K2425;10.24;10.25</v>
          </cell>
          <cell r="E19" t="str">
            <v>Khoa Chấn thương - Bỏng;Chấn thương chỉnh hình;Bỏng</v>
          </cell>
          <cell r="F19" t="str">
            <v>Hoàng Thị Quy</v>
          </cell>
          <cell r="G19">
            <v>2</v>
          </cell>
          <cell r="H19" t="str">
            <v>020197001208</v>
          </cell>
          <cell r="I19" t="str">
            <v>3</v>
          </cell>
          <cell r="K19" t="str">
            <v>004084/LS-CCHN</v>
          </cell>
          <cell r="L19" t="str">
            <v>20210119</v>
          </cell>
          <cell r="M19" t="str">
            <v>Sở Y tế tỉnh Lạng Sơn</v>
          </cell>
          <cell r="N19" t="str">
            <v>302</v>
          </cell>
        </row>
        <row r="20">
          <cell r="A20" t="str">
            <v>BV1087</v>
          </cell>
          <cell r="D20" t="str">
            <v>K2425;10.24;10.25</v>
          </cell>
          <cell r="E20" t="str">
            <v>Khoa Chấn thương - Bỏng;Chấn thương chỉnh hình;Bỏng</v>
          </cell>
          <cell r="F20" t="str">
            <v>Ngô Thị Ìn</v>
          </cell>
          <cell r="G20">
            <v>2</v>
          </cell>
          <cell r="H20" t="str">
            <v>020198001085</v>
          </cell>
          <cell r="I20" t="str">
            <v>3</v>
          </cell>
          <cell r="K20" t="str">
            <v>004527/LS-CCHN</v>
          </cell>
          <cell r="L20" t="str">
            <v>20220512</v>
          </cell>
          <cell r="M20" t="str">
            <v>Sở Y tế tỉnh Lạng Sơn</v>
          </cell>
          <cell r="N20" t="str">
            <v>302</v>
          </cell>
        </row>
        <row r="21">
          <cell r="A21" t="str">
            <v>BV1045</v>
          </cell>
          <cell r="D21" t="str">
            <v>K2425;10.24;10.25</v>
          </cell>
          <cell r="E21" t="str">
            <v>Khoa Chấn thương - Bỏng;Chấn thương chỉnh hình;Bỏng</v>
          </cell>
          <cell r="F21" t="str">
            <v>Nông Thị Ngọc Lan</v>
          </cell>
          <cell r="G21">
            <v>2</v>
          </cell>
          <cell r="H21" t="str">
            <v>020197008006</v>
          </cell>
          <cell r="I21" t="str">
            <v>3</v>
          </cell>
          <cell r="K21" t="str">
            <v>004440/LS-CCHN</v>
          </cell>
          <cell r="L21" t="str">
            <v>20220218</v>
          </cell>
          <cell r="M21" t="str">
            <v>Sở Y tế tỉnh Lạng Sơn</v>
          </cell>
          <cell r="N21" t="str">
            <v>301</v>
          </cell>
        </row>
        <row r="22">
          <cell r="A22" t="str">
            <v>BV0893</v>
          </cell>
          <cell r="D22" t="str">
            <v>K2425;10.24;10.25</v>
          </cell>
          <cell r="E22" t="str">
            <v>Khoa Chấn thương - Bỏng;Chấn thương chỉnh hình;Bỏng</v>
          </cell>
          <cell r="F22" t="str">
            <v>Mã Thị Lâm</v>
          </cell>
          <cell r="G22">
            <v>2</v>
          </cell>
          <cell r="H22" t="str">
            <v>020197008489</v>
          </cell>
          <cell r="I22" t="str">
            <v>3</v>
          </cell>
          <cell r="K22" t="str">
            <v>004134/LS-CCHN</v>
          </cell>
          <cell r="L22" t="str">
            <v>20210208</v>
          </cell>
          <cell r="M22" t="str">
            <v>Sở Y tế tỉnh Lạng Sơn</v>
          </cell>
          <cell r="N22" t="str">
            <v>302</v>
          </cell>
        </row>
        <row r="23">
          <cell r="A23" t="str">
            <v>BV0810</v>
          </cell>
          <cell r="D23" t="str">
            <v>K2425;10.24;10.25</v>
          </cell>
          <cell r="E23" t="str">
            <v>Khoa Chấn thương - Bỏng;Chấn thương chỉnh hình;Bỏng</v>
          </cell>
          <cell r="F23" t="str">
            <v>Trịnh Bá Hưởng</v>
          </cell>
          <cell r="G23">
            <v>1</v>
          </cell>
          <cell r="H23" t="str">
            <v>020089001304</v>
          </cell>
          <cell r="I23" t="str">
            <v>1</v>
          </cell>
          <cell r="K23" t="str">
            <v>003556/LS-CCHN</v>
          </cell>
          <cell r="L23" t="str">
            <v>20190821</v>
          </cell>
          <cell r="M23" t="str">
            <v>Sở Y tế tỉnh Lạng Sơn</v>
          </cell>
          <cell r="N23" t="str">
            <v>110</v>
          </cell>
        </row>
        <row r="24">
          <cell r="A24" t="str">
            <v>BV0840</v>
          </cell>
          <cell r="D24" t="str">
            <v>K2425;10.24;10.25</v>
          </cell>
          <cell r="E24" t="str">
            <v>Khoa Chấn thương - Bỏng;Chấn thương chỉnh hình;Bỏng</v>
          </cell>
          <cell r="F24" t="str">
            <v>Lộc Huy Hiệp</v>
          </cell>
          <cell r="G24">
            <v>1</v>
          </cell>
          <cell r="H24" t="str">
            <v>020092012322</v>
          </cell>
          <cell r="I24" t="str">
            <v>1</v>
          </cell>
          <cell r="K24" t="str">
            <v>003635/LS-CCHN</v>
          </cell>
          <cell r="L24" t="str">
            <v>20191121</v>
          </cell>
          <cell r="M24" t="str">
            <v>Sở Y tế tỉnh Lạng Sơn</v>
          </cell>
          <cell r="N24" t="str">
            <v>110</v>
          </cell>
        </row>
        <row r="25">
          <cell r="A25" t="str">
            <v>BV1036</v>
          </cell>
          <cell r="D25" t="str">
            <v>K2425;10.24;10.25</v>
          </cell>
          <cell r="E25" t="str">
            <v>Khoa Chấn thương - Bỏng;Chấn thương chỉnh hình;Bỏng</v>
          </cell>
          <cell r="F25" t="str">
            <v>Chu Việt Dũng</v>
          </cell>
          <cell r="G25">
            <v>1</v>
          </cell>
          <cell r="H25" t="str">
            <v>020094004565</v>
          </cell>
          <cell r="I25" t="str">
            <v>1</v>
          </cell>
          <cell r="K25" t="str">
            <v>004509/LS-CCHN</v>
          </cell>
          <cell r="L25" t="str">
            <v>20220406</v>
          </cell>
          <cell r="M25" t="str">
            <v>Sở Y tế tỉnh Lạng Sơn</v>
          </cell>
          <cell r="N25" t="str">
            <v>110</v>
          </cell>
        </row>
        <row r="26">
          <cell r="A26" t="str">
            <v>BV0207</v>
          </cell>
          <cell r="D26" t="str">
            <v>K2425;10.24;10.25</v>
          </cell>
          <cell r="E26" t="str">
            <v>Khoa Chấn thương - Bỏng;Chấn thương chỉnh hình;Bỏng</v>
          </cell>
          <cell r="F26" t="str">
            <v>Nhữ Văn Vinh</v>
          </cell>
          <cell r="G26">
            <v>1</v>
          </cell>
          <cell r="H26" t="str">
            <v>022068004114</v>
          </cell>
          <cell r="I26" t="str">
            <v>1</v>
          </cell>
          <cell r="J26" t="str">
            <v>2</v>
          </cell>
          <cell r="K26" t="str">
            <v>000927/LS-CCHN</v>
          </cell>
          <cell r="L26" t="str">
            <v>20130624</v>
          </cell>
          <cell r="M26" t="str">
            <v>Sở Y tế tỉnh Lạng Sơn</v>
          </cell>
          <cell r="N26" t="str">
            <v>110</v>
          </cell>
          <cell r="P26" t="str">
            <v>10.0929;10.0930;27.0439;27.0440;27.0444;27.0447;27.0449;27.0451;27.0452;27.0458;27.0460;27.0463;27.0473;27.0479;27.0481;27.0482;27.0483;27.0486;27.0503;27.0504</v>
          </cell>
        </row>
        <row r="27">
          <cell r="A27" t="str">
            <v>BV0760</v>
          </cell>
          <cell r="D27" t="str">
            <v>K2425;10.24;10.25</v>
          </cell>
          <cell r="E27" t="str">
            <v>Khoa Chấn thương - Bỏng;Chấn thương chỉnh hình;Bỏng</v>
          </cell>
          <cell r="F27" t="str">
            <v>Hồ Hoàn Tuấn</v>
          </cell>
          <cell r="G27">
            <v>1</v>
          </cell>
          <cell r="H27" t="str">
            <v>020071006188</v>
          </cell>
          <cell r="I27" t="str">
            <v>1</v>
          </cell>
          <cell r="K27" t="str">
            <v>000049/LS-CCHN</v>
          </cell>
          <cell r="L27" t="str">
            <v>20120509</v>
          </cell>
          <cell r="M27" t="str">
            <v>Sở Y tế tỉnh Lạng Sơn</v>
          </cell>
          <cell r="N27" t="str">
            <v>110;128</v>
          </cell>
          <cell r="P27" t="str">
            <v>27.0460;27.0463;27.0479;27.0481;10.0927;10.1118;10.0929;10.0930</v>
          </cell>
        </row>
        <row r="28">
          <cell r="A28" t="str">
            <v>BV0206</v>
          </cell>
          <cell r="D28" t="str">
            <v>K2425;10.24;10.25</v>
          </cell>
          <cell r="E28" t="str">
            <v>Khoa Chấn thương - Bỏng;Chấn thương chỉnh hình;Bỏng</v>
          </cell>
          <cell r="F28" t="str">
            <v>Trần Tuấn Việt</v>
          </cell>
          <cell r="G28">
            <v>1</v>
          </cell>
          <cell r="H28" t="str">
            <v>020080007236</v>
          </cell>
          <cell r="I28" t="str">
            <v>1</v>
          </cell>
          <cell r="K28" t="str">
            <v>000928/LS-CCHN</v>
          </cell>
          <cell r="L28" t="str">
            <v>20130624</v>
          </cell>
          <cell r="M28" t="str">
            <v>Sở Y tế tỉnh Lạng Sơn</v>
          </cell>
          <cell r="N28" t="str">
            <v>110;128</v>
          </cell>
          <cell r="O28" t="str">
            <v>20210507_1381/QĐ-SYT</v>
          </cell>
        </row>
        <row r="29">
          <cell r="A29" t="str">
            <v>BV0677</v>
          </cell>
          <cell r="D29" t="str">
            <v>K2425;10.24;10.25</v>
          </cell>
          <cell r="E29" t="str">
            <v>Khoa Chấn thương - Bỏng;Chấn thương chỉnh hình;Bỏng</v>
          </cell>
          <cell r="F29" t="str">
            <v>Hoàng Thị Hòa</v>
          </cell>
          <cell r="G29">
            <v>2</v>
          </cell>
          <cell r="H29" t="str">
            <v>020189005497</v>
          </cell>
          <cell r="I29" t="str">
            <v>1</v>
          </cell>
          <cell r="K29" t="str">
            <v>002133/LS-CCHN</v>
          </cell>
          <cell r="L29" t="str">
            <v>20171201</v>
          </cell>
          <cell r="M29" t="str">
            <v>Sở Y tế tỉnh Lạng Sơn</v>
          </cell>
          <cell r="N29" t="str">
            <v>110;128</v>
          </cell>
          <cell r="O29" t="str">
            <v>20210805_2329/QĐ-SYT</v>
          </cell>
        </row>
        <row r="30">
          <cell r="A30" t="str">
            <v>BV1239</v>
          </cell>
          <cell r="D30" t="str">
            <v>K2425;10.24;10.25</v>
          </cell>
          <cell r="E30" t="str">
            <v>Khoa Chấn thương - Bỏng;Chấn thương chỉnh hình;Bỏng</v>
          </cell>
          <cell r="F30" t="str">
            <v>Lương Thanh Huỳnh</v>
          </cell>
          <cell r="G30">
            <v>1</v>
          </cell>
          <cell r="H30" t="str">
            <v>020096007228</v>
          </cell>
          <cell r="I30" t="str">
            <v>3</v>
          </cell>
          <cell r="K30" t="str">
            <v>002102/LS-CCHN</v>
          </cell>
          <cell r="L30" t="str">
            <v>20170928</v>
          </cell>
          <cell r="M30" t="str">
            <v>Sở Y tế tỉnh Lạng Sơn</v>
          </cell>
          <cell r="N30" t="str">
            <v>302</v>
          </cell>
        </row>
        <row r="31">
          <cell r="A31" t="str">
            <v>BV1213</v>
          </cell>
          <cell r="D31" t="str">
            <v>K2425;10.24;10.25</v>
          </cell>
          <cell r="E31" t="str">
            <v>Khoa Chấn thương - Bỏng;Chấn thương chỉnh hình;Bỏng</v>
          </cell>
          <cell r="F31" t="str">
            <v>Triệu Quảng Đông</v>
          </cell>
          <cell r="G31">
            <v>1</v>
          </cell>
          <cell r="H31" t="str">
            <v>020098007583</v>
          </cell>
          <cell r="I31" t="str">
            <v>1</v>
          </cell>
          <cell r="K31" t="str">
            <v>000035/LS-GPHN</v>
          </cell>
          <cell r="L31">
            <v>20240614</v>
          </cell>
          <cell r="M31" t="str">
            <v>Sở Y tế tỉnh Lạng Sơn</v>
          </cell>
          <cell r="N31" t="str">
            <v>110</v>
          </cell>
        </row>
        <row r="32">
          <cell r="A32" t="str">
            <v>BV1139</v>
          </cell>
          <cell r="D32" t="str">
            <v>K2425;10.24;10.25</v>
          </cell>
          <cell r="E32" t="str">
            <v>Khoa Chấn thương - Bỏng;Chấn thương chỉnh hình;Bỏng</v>
          </cell>
          <cell r="F32" t="str">
            <v>Hoàng Văn Cánh</v>
          </cell>
          <cell r="G32">
            <v>1</v>
          </cell>
          <cell r="H32" t="str">
            <v>020099001098</v>
          </cell>
          <cell r="I32" t="str">
            <v>3</v>
          </cell>
          <cell r="K32" t="str">
            <v>005707/LS-CCHN</v>
          </cell>
          <cell r="L32">
            <v>20231031</v>
          </cell>
          <cell r="M32" t="str">
            <v>Sở Y tế tỉnh Lạng Sơn</v>
          </cell>
          <cell r="N32" t="str">
            <v>302</v>
          </cell>
        </row>
        <row r="33">
          <cell r="A33" t="str">
            <v>BV1140</v>
          </cell>
          <cell r="D33" t="str">
            <v>K2425;10.24;10.25</v>
          </cell>
          <cell r="E33" t="str">
            <v>Khoa Chấn thương - Bỏng;Chấn thương chỉnh hình;Bỏng</v>
          </cell>
          <cell r="F33" t="str">
            <v>Sầm Thị Hồng</v>
          </cell>
          <cell r="G33">
            <v>2</v>
          </cell>
          <cell r="H33" t="str">
            <v>004195000680</v>
          </cell>
          <cell r="I33" t="str">
            <v>3</v>
          </cell>
          <cell r="K33" t="str">
            <v>000122/LS-GPHN</v>
          </cell>
          <cell r="L33">
            <v>20240817</v>
          </cell>
          <cell r="M33" t="str">
            <v>Sở Y tế tỉnh Lạng Sơn</v>
          </cell>
          <cell r="N33" t="str">
            <v>301</v>
          </cell>
        </row>
        <row r="34">
          <cell r="A34" t="str">
            <v>BV1202</v>
          </cell>
          <cell r="D34" t="str">
            <v>K2425;10.24;10.25</v>
          </cell>
          <cell r="E34" t="str">
            <v>Khoa Chấn thương - Bỏng;Chấn thương chỉnh hình;Bỏng</v>
          </cell>
          <cell r="F34" t="str">
            <v>Luân Văn Lượng</v>
          </cell>
          <cell r="G34">
            <v>1</v>
          </cell>
          <cell r="H34" t="str">
            <v>020097003006</v>
          </cell>
          <cell r="I34" t="str">
            <v>3</v>
          </cell>
          <cell r="K34" t="str">
            <v>000123/LS-GPHN</v>
          </cell>
          <cell r="L34">
            <v>20240817</v>
          </cell>
          <cell r="M34" t="str">
            <v>Sở Y tế tỉnh Lạng Sơn</v>
          </cell>
          <cell r="N34" t="str">
            <v>302</v>
          </cell>
        </row>
        <row r="35">
          <cell r="A35" t="str">
            <v>BV1242</v>
          </cell>
          <cell r="D35" t="str">
            <v>K2425;10.24;10.25</v>
          </cell>
          <cell r="E35" t="str">
            <v>Khoa Chấn thương - Bỏng;Chấn thương chỉnh hình;Bỏng</v>
          </cell>
          <cell r="F35" t="str">
            <v>Nguyễn Thúy Quỳnh</v>
          </cell>
          <cell r="G35">
            <v>2</v>
          </cell>
          <cell r="H35" t="str">
            <v>020300007278</v>
          </cell>
          <cell r="I35" t="str">
            <v>3</v>
          </cell>
          <cell r="K35" t="str">
            <v>000181/LS-GPHN</v>
          </cell>
          <cell r="L35">
            <v>20241207</v>
          </cell>
          <cell r="M35" t="str">
            <v>Sở Y tế tỉnh Lạng Sơn</v>
          </cell>
          <cell r="N35" t="str">
            <v>301</v>
          </cell>
        </row>
        <row r="36">
          <cell r="A36" t="str">
            <v>BV0757</v>
          </cell>
          <cell r="D36" t="str">
            <v>K2425;10.24;10.25</v>
          </cell>
          <cell r="E36" t="str">
            <v>Khoa Chấn thương - Bỏng;Chấn thương chỉnh hình;Bỏng</v>
          </cell>
          <cell r="F36" t="str">
            <v>Phạm Minh Hoàng</v>
          </cell>
          <cell r="G36">
            <v>1</v>
          </cell>
          <cell r="H36" t="str">
            <v>020090007183</v>
          </cell>
          <cell r="I36" t="str">
            <v>1</v>
          </cell>
          <cell r="K36" t="str">
            <v>003397/LS-CCHN</v>
          </cell>
          <cell r="L36" t="str">
            <v>20191121</v>
          </cell>
          <cell r="M36" t="str">
            <v>Sở Y tế tỉnh Lạng Sơn</v>
          </cell>
          <cell r="N36" t="str">
            <v>110</v>
          </cell>
        </row>
        <row r="37">
          <cell r="A37" t="str">
            <v>BV1234</v>
          </cell>
          <cell r="D37" t="str">
            <v>K2425;10.24;10.25</v>
          </cell>
          <cell r="E37" t="str">
            <v>Khoa Chấn thương - Bỏng;Chấn thương chỉnh hình;Bỏng</v>
          </cell>
          <cell r="F37" t="str">
            <v>Vũ Hoàng Mai Linh</v>
          </cell>
          <cell r="G37">
            <v>2</v>
          </cell>
          <cell r="H37" t="str">
            <v>020198006454</v>
          </cell>
          <cell r="I37" t="str">
            <v>1</v>
          </cell>
          <cell r="K37" t="str">
            <v>000255/LS-GPHN</v>
          </cell>
          <cell r="L37">
            <v>20250425</v>
          </cell>
          <cell r="M37" t="str">
            <v>Sở Y tế tỉnh Lạng Sơn</v>
          </cell>
          <cell r="N37" t="str">
            <v>110</v>
          </cell>
        </row>
        <row r="38">
          <cell r="A38" t="str">
            <v>BV1251</v>
          </cell>
          <cell r="D38" t="str">
            <v>K2425;10.24;10.25</v>
          </cell>
          <cell r="E38" t="str">
            <v>Khoa Chấn thương - Bỏng;Chấn thương chỉnh hình;Bỏng</v>
          </cell>
          <cell r="F38" t="str">
            <v>Nguyễn Thị Bích Phương</v>
          </cell>
          <cell r="G38">
            <v>2</v>
          </cell>
          <cell r="H38" t="str">
            <v>020300008106</v>
          </cell>
          <cell r="I38" t="str">
            <v>3</v>
          </cell>
          <cell r="K38" t="str">
            <v>000232/LS-GPHN</v>
          </cell>
          <cell r="L38">
            <v>20250331</v>
          </cell>
          <cell r="M38" t="str">
            <v>Sở Y tế tỉnh Lạng Sơn</v>
          </cell>
          <cell r="N38" t="str">
            <v>301</v>
          </cell>
        </row>
        <row r="39">
          <cell r="A39" t="str">
            <v>BV1341</v>
          </cell>
          <cell r="D39" t="str">
            <v>K2425;10.24;10.25</v>
          </cell>
          <cell r="E39" t="str">
            <v>Khoa Chấn thương - Bỏng;Chấn thương chỉnh hình;Bỏng</v>
          </cell>
          <cell r="F39" t="str">
            <v>Lâm Văn Lương</v>
          </cell>
          <cell r="G39">
            <v>1</v>
          </cell>
          <cell r="H39" t="str">
            <v>020096004522</v>
          </cell>
          <cell r="I39" t="str">
            <v>1</v>
          </cell>
          <cell r="K39" t="str">
            <v>000372/LS-GPHN</v>
          </cell>
          <cell r="L39">
            <v>20250926</v>
          </cell>
          <cell r="M39" t="str">
            <v>Sở Y tế tỉnh Lạng Sơn</v>
          </cell>
          <cell r="N39" t="str">
            <v>132</v>
          </cell>
        </row>
        <row r="40">
          <cell r="A40" t="str">
            <v>BV1291</v>
          </cell>
          <cell r="D40" t="str">
            <v>K2425;10.24;10.25</v>
          </cell>
          <cell r="E40" t="str">
            <v>Khoa Chấn thương - Bỏng;Chấn thương chỉnh hình;Bỏng</v>
          </cell>
          <cell r="F40" t="str">
            <v>Hoàng Tiến Hùng</v>
          </cell>
          <cell r="G40">
            <v>1</v>
          </cell>
          <cell r="H40" t="str">
            <v>020203001990</v>
          </cell>
          <cell r="I40" t="str">
            <v>3</v>
          </cell>
          <cell r="K40" t="str">
            <v>000390/LS-GPHN</v>
          </cell>
          <cell r="L40">
            <v>20251022</v>
          </cell>
          <cell r="M40" t="str">
            <v>Sở Y tế tỉnh Lạng Sơn</v>
          </cell>
          <cell r="N40" t="str">
            <v>302</v>
          </cell>
        </row>
        <row r="41">
          <cell r="A41" t="str">
            <v>BV1278</v>
          </cell>
          <cell r="D41" t="str">
            <v>K2425;10.24;10.25</v>
          </cell>
          <cell r="E41" t="str">
            <v>Khoa Chấn thương - Bỏng;Chấn thương chỉnh hình;Bỏng</v>
          </cell>
          <cell r="F41" t="str">
            <v>Vũ Trần Hiếu</v>
          </cell>
          <cell r="G41">
            <v>1</v>
          </cell>
          <cell r="H41" t="str">
            <v>020096005224</v>
          </cell>
          <cell r="I41">
            <v>1</v>
          </cell>
          <cell r="K41" t="str">
            <v>000426/LS-GPHN</v>
          </cell>
          <cell r="L41" t="str">
            <v>20251211</v>
          </cell>
          <cell r="M41" t="str">
            <v>Sở Y tế tỉnh Lạng Sơn</v>
          </cell>
          <cell r="N41" t="str">
            <v>132</v>
          </cell>
        </row>
        <row r="42">
          <cell r="A42" t="str">
            <v>BV0226</v>
          </cell>
          <cell r="D42" t="str">
            <v>K13;02.13;02.09</v>
          </cell>
          <cell r="E42" t="str">
            <v>Khoa Da liễu;Da liễu; Dị ứng- Miễn dịch lâm sàng</v>
          </cell>
          <cell r="F42" t="str">
            <v>Mã Thị Linh</v>
          </cell>
          <cell r="G42">
            <v>2</v>
          </cell>
          <cell r="H42" t="str">
            <v>020186001044</v>
          </cell>
          <cell r="I42" t="str">
            <v>3</v>
          </cell>
          <cell r="K42" t="str">
            <v>000939/LS-CCHN</v>
          </cell>
          <cell r="L42" t="str">
            <v>20130624</v>
          </cell>
          <cell r="M42" t="str">
            <v>Sở Y tế tỉnh Lạng Sơn</v>
          </cell>
          <cell r="N42" t="str">
            <v>302</v>
          </cell>
        </row>
        <row r="43">
          <cell r="A43" t="str">
            <v>BV0341</v>
          </cell>
          <cell r="D43" t="str">
            <v>K13;02.13;02.09</v>
          </cell>
          <cell r="E43" t="str">
            <v>Khoa Da liễu;Da liễu; Dị ứng- Miễn dịch lâm sàng</v>
          </cell>
          <cell r="F43" t="str">
            <v>Mông Tuấn Hùng</v>
          </cell>
          <cell r="G43">
            <v>1</v>
          </cell>
          <cell r="H43" t="str">
            <v>020071000379</v>
          </cell>
          <cell r="I43" t="str">
            <v>1</v>
          </cell>
          <cell r="J43" t="str">
            <v>2</v>
          </cell>
          <cell r="K43" t="str">
            <v>000110/LS-CCHN</v>
          </cell>
          <cell r="L43" t="str">
            <v>20120628</v>
          </cell>
          <cell r="M43" t="str">
            <v>Sở Y tế tỉnh Lạng Sơn</v>
          </cell>
          <cell r="N43" t="str">
            <v>105</v>
          </cell>
        </row>
        <row r="44">
          <cell r="A44" t="str">
            <v>BV0823</v>
          </cell>
          <cell r="D44" t="str">
            <v>K13;02.13;02.09</v>
          </cell>
          <cell r="E44" t="str">
            <v>Khoa Da liễu;Da liễu; Dị ứng- Miễn dịch lâm sàng</v>
          </cell>
          <cell r="F44" t="str">
            <v>Lương Thị Hằng</v>
          </cell>
          <cell r="G44">
            <v>2</v>
          </cell>
          <cell r="H44" t="str">
            <v>020174002035</v>
          </cell>
          <cell r="I44" t="str">
            <v>1</v>
          </cell>
          <cell r="K44" t="str">
            <v>000518/LS-CCHN</v>
          </cell>
          <cell r="L44" t="str">
            <v>20161013</v>
          </cell>
          <cell r="M44" t="str">
            <v>Sở Y tế tỉnh Lạng Sơn</v>
          </cell>
          <cell r="N44" t="str">
            <v>105</v>
          </cell>
        </row>
        <row r="45">
          <cell r="A45" t="str">
            <v>BV0349</v>
          </cell>
          <cell r="D45" t="str">
            <v>K13;02.13;02.09</v>
          </cell>
          <cell r="E45" t="str">
            <v>Khoa Da liễu;Da liễu; Dị ứng- Miễn dịch lâm sàng</v>
          </cell>
          <cell r="F45" t="str">
            <v>Dương Thị Tiếp</v>
          </cell>
          <cell r="G45">
            <v>2</v>
          </cell>
          <cell r="H45" t="str">
            <v>020187001506</v>
          </cell>
          <cell r="I45" t="str">
            <v>3</v>
          </cell>
          <cell r="K45" t="str">
            <v>000883/LS-CCHN</v>
          </cell>
          <cell r="L45" t="str">
            <v>20230111</v>
          </cell>
          <cell r="M45" t="str">
            <v>Sở Y tế tỉnh Lạng Sơn</v>
          </cell>
          <cell r="N45" t="str">
            <v>301</v>
          </cell>
        </row>
        <row r="46">
          <cell r="A46" t="str">
            <v>BV0134</v>
          </cell>
          <cell r="D46" t="str">
            <v>K4849;K13;02.13;02.09</v>
          </cell>
          <cell r="E46" t="str">
            <v>Khoa Hồi sức tích cực - Chống độc;Khoa Da liễu;Da liễu; Dị ứng- Miễn dịch lâm sàng</v>
          </cell>
          <cell r="F46" t="str">
            <v>Lý Thị Dần</v>
          </cell>
          <cell r="G46">
            <v>2</v>
          </cell>
          <cell r="H46" t="str">
            <v>020179006580</v>
          </cell>
          <cell r="I46" t="str">
            <v>3</v>
          </cell>
          <cell r="K46" t="str">
            <v>000831/LS-CCHN</v>
          </cell>
          <cell r="L46" t="str">
            <v>20130624</v>
          </cell>
          <cell r="M46" t="str">
            <v>Sở Y tế tỉnh Lạng Sơn</v>
          </cell>
          <cell r="N46" t="str">
            <v>302</v>
          </cell>
        </row>
        <row r="47">
          <cell r="A47" t="str">
            <v>BV0113</v>
          </cell>
          <cell r="D47" t="str">
            <v>K13;02.13;02.09</v>
          </cell>
          <cell r="E47" t="str">
            <v>Khoa Da liễu;Da liễu; Dị ứng- Miễn dịch lâm sàng</v>
          </cell>
          <cell r="F47" t="str">
            <v>Lăng Hồng Chiêm</v>
          </cell>
          <cell r="G47">
            <v>2</v>
          </cell>
          <cell r="H47" t="str">
            <v>020183002322</v>
          </cell>
          <cell r="I47" t="str">
            <v>3</v>
          </cell>
          <cell r="K47" t="str">
            <v>000812/LS-CCHN</v>
          </cell>
          <cell r="L47" t="str">
            <v>20230111</v>
          </cell>
          <cell r="M47" t="str">
            <v>Sở Y tế tỉnh Lạng Sơn</v>
          </cell>
          <cell r="N47" t="str">
            <v>302</v>
          </cell>
        </row>
        <row r="48">
          <cell r="A48" t="str">
            <v>BV0141</v>
          </cell>
          <cell r="D48" t="str">
            <v>K13;02.13;02.09</v>
          </cell>
          <cell r="E48" t="str">
            <v>Khoa Da liễu;Da liễu; Dị ứng- Miễn dịch lâm sàng</v>
          </cell>
          <cell r="F48" t="str">
            <v>Vũ Thị Thu Trang</v>
          </cell>
          <cell r="G48">
            <v>2</v>
          </cell>
          <cell r="H48" t="str">
            <v>020192011493</v>
          </cell>
          <cell r="I48" t="str">
            <v>3</v>
          </cell>
          <cell r="K48" t="str">
            <v>000377/LS-CCHN</v>
          </cell>
          <cell r="L48" t="str">
            <v>20230111</v>
          </cell>
          <cell r="M48" t="str">
            <v>Sở Y tế tỉnh Lạng Sơn</v>
          </cell>
          <cell r="N48" t="str">
            <v>302</v>
          </cell>
        </row>
        <row r="49">
          <cell r="A49" t="str">
            <v>BV0329</v>
          </cell>
          <cell r="D49" t="str">
            <v>K13;02.13;02.09</v>
          </cell>
          <cell r="E49" t="str">
            <v>Khoa Da liễu;Da liễu; Dị ứng- Miễn dịch lâm sàng</v>
          </cell>
          <cell r="F49" t="str">
            <v>Đào Thị Ngọc</v>
          </cell>
          <cell r="G49">
            <v>2</v>
          </cell>
          <cell r="H49" t="str">
            <v>036182023580</v>
          </cell>
          <cell r="I49" t="str">
            <v>3</v>
          </cell>
          <cell r="K49" t="str">
            <v>000387/LS-CCHN</v>
          </cell>
          <cell r="L49" t="str">
            <v>20160601</v>
          </cell>
          <cell r="M49" t="str">
            <v>Sở Y tế tỉnh Lạng Sơn</v>
          </cell>
          <cell r="N49" t="str">
            <v>301</v>
          </cell>
        </row>
        <row r="50">
          <cell r="A50" t="str">
            <v>BV0342</v>
          </cell>
          <cell r="D50" t="str">
            <v>K13;02.13;02.09</v>
          </cell>
          <cell r="E50" t="str">
            <v>Khoa Da liễu;Da liễu; Dị ứng- Miễn dịch lâm sàng</v>
          </cell>
          <cell r="F50" t="str">
            <v>Nguyễn Mạnh Cường</v>
          </cell>
          <cell r="G50">
            <v>1</v>
          </cell>
          <cell r="H50" t="str">
            <v>020069007177</v>
          </cell>
          <cell r="I50" t="str">
            <v>1</v>
          </cell>
          <cell r="K50" t="str">
            <v>000880/LS-CCHN</v>
          </cell>
          <cell r="L50" t="str">
            <v>20130624</v>
          </cell>
          <cell r="M50" t="str">
            <v>Sở Y tế tỉnh Lạng Sơn</v>
          </cell>
          <cell r="N50" t="str">
            <v>102;105</v>
          </cell>
          <cell r="O50" t="str">
            <v>20170124_571/QĐ-SYT</v>
          </cell>
        </row>
        <row r="51">
          <cell r="A51" t="str">
            <v>BV1160</v>
          </cell>
          <cell r="D51" t="str">
            <v>K13;02.13;02.09</v>
          </cell>
          <cell r="E51" t="str">
            <v>Khoa Da liễu;Da liễu; Dị ứng- Miễn dịch lâm sàng</v>
          </cell>
          <cell r="F51" t="str">
            <v>Hoàng Thị Mai Trinh</v>
          </cell>
          <cell r="G51">
            <v>2</v>
          </cell>
          <cell r="H51" t="str">
            <v>020190011756</v>
          </cell>
          <cell r="I51" t="str">
            <v>1</v>
          </cell>
          <cell r="K51" t="str">
            <v>004362/LS-CCHN</v>
          </cell>
          <cell r="L51" t="str">
            <v>20211007</v>
          </cell>
          <cell r="M51" t="str">
            <v>Sở Y tế tỉnh Lạng Sơn</v>
          </cell>
          <cell r="N51" t="str">
            <v>102;105</v>
          </cell>
          <cell r="O51" t="str">
            <v>20260213_293/QĐ-SYT</v>
          </cell>
        </row>
        <row r="52">
          <cell r="A52" t="str">
            <v>BV0920</v>
          </cell>
          <cell r="D52" t="str">
            <v>K03;02.03;02.06;02.08</v>
          </cell>
          <cell r="E52" t="str">
            <v>Khoa Nội Tổng hợp;Nội Tổng hợp;Nội cơ - xương - khớp;Nội tiết</v>
          </cell>
          <cell r="F52" t="str">
            <v>Phùng Thị Thùy Linh</v>
          </cell>
          <cell r="G52">
            <v>2</v>
          </cell>
          <cell r="H52" t="str">
            <v>020193006464</v>
          </cell>
          <cell r="I52" t="str">
            <v>3</v>
          </cell>
          <cell r="K52" t="str">
            <v>003237/LS-CCHN</v>
          </cell>
          <cell r="L52" t="str">
            <v>20180509</v>
          </cell>
          <cell r="M52" t="str">
            <v>Sở Y tế tỉnh Lạng Sơn</v>
          </cell>
          <cell r="N52" t="str">
            <v>302</v>
          </cell>
        </row>
        <row r="53">
          <cell r="A53" t="str">
            <v>BV0004</v>
          </cell>
          <cell r="D53" t="str">
            <v>K01;K03;02.03; 02.06; 02.08</v>
          </cell>
          <cell r="E53" t="str">
            <v>Khoa Khám bệnh; Khoa Nội Tổng hợp;Nội Tổng hợp;Nội cơ - xương - khớp;Nội tiết</v>
          </cell>
          <cell r="F53" t="str">
            <v>Nguyễn Văn Thắng</v>
          </cell>
          <cell r="G53">
            <v>1</v>
          </cell>
          <cell r="H53" t="str">
            <v>024078001825</v>
          </cell>
          <cell r="I53" t="str">
            <v>1</v>
          </cell>
          <cell r="K53" t="str">
            <v>000730/LS-CCHN</v>
          </cell>
          <cell r="L53" t="str">
            <v>20130426</v>
          </cell>
          <cell r="M53" t="str">
            <v>Sở Y tế tỉnh Lạng Sơn</v>
          </cell>
          <cell r="N53" t="str">
            <v>102</v>
          </cell>
          <cell r="P53" t="str">
            <v>01.0239;01.0303;01.0092;18.0015;18.0016</v>
          </cell>
        </row>
        <row r="54">
          <cell r="A54" t="str">
            <v>BV0290</v>
          </cell>
          <cell r="D54" t="str">
            <v>K01</v>
          </cell>
          <cell r="E54" t="str">
            <v>Khoa Khám bệnh</v>
          </cell>
          <cell r="F54" t="str">
            <v>Ngọ Thị Ngoan</v>
          </cell>
          <cell r="G54">
            <v>2</v>
          </cell>
          <cell r="H54" t="str">
            <v>024183004315</v>
          </cell>
          <cell r="I54" t="str">
            <v>4</v>
          </cell>
          <cell r="K54" t="str">
            <v>000969/LS-CCHN</v>
          </cell>
          <cell r="L54" t="str">
            <v>20130624</v>
          </cell>
          <cell r="M54" t="str">
            <v>Sở Y tế tỉnh Lạng Sơn</v>
          </cell>
          <cell r="N54" t="str">
            <v>402</v>
          </cell>
        </row>
        <row r="55">
          <cell r="A55" t="str">
            <v>BV0299</v>
          </cell>
          <cell r="D55" t="str">
            <v>K18;03.18</v>
          </cell>
          <cell r="E55" t="str">
            <v>Khoa Nhi;Nhi</v>
          </cell>
          <cell r="F55" t="str">
            <v>Hoàng Đức Thuận</v>
          </cell>
          <cell r="G55">
            <v>1</v>
          </cell>
          <cell r="H55" t="str">
            <v>020087002770</v>
          </cell>
          <cell r="I55" t="str">
            <v>1</v>
          </cell>
          <cell r="J55" t="str">
            <v>4</v>
          </cell>
          <cell r="K55" t="str">
            <v>000851/LS-CCHN</v>
          </cell>
          <cell r="L55" t="str">
            <v>20130624</v>
          </cell>
          <cell r="M55" t="str">
            <v>Sở Y tế tỉnh Lạng Sơn</v>
          </cell>
          <cell r="N55" t="str">
            <v>103</v>
          </cell>
        </row>
        <row r="56">
          <cell r="A56" t="str">
            <v>BV0685</v>
          </cell>
          <cell r="D56" t="str">
            <v>K45;K1706;02.03; 02.06; 02.08</v>
          </cell>
          <cell r="E56" t="str">
            <v>Khoa dinh dưỡng; Khoa Lão - Cơ xương khớp;Nội Tổng hợp;Nội cơ - xương - khớp;Nội tiết</v>
          </cell>
          <cell r="F56" t="str">
            <v>Hoàng Sĩ Hoa</v>
          </cell>
          <cell r="G56">
            <v>2</v>
          </cell>
          <cell r="H56" t="str">
            <v>020190006385</v>
          </cell>
          <cell r="I56" t="str">
            <v>1</v>
          </cell>
          <cell r="J56" t="str">
            <v>5</v>
          </cell>
          <cell r="K56" t="str">
            <v>002135/LS-CCHN</v>
          </cell>
          <cell r="L56" t="str">
            <v>20171201</v>
          </cell>
          <cell r="M56" t="str">
            <v>Sở Y tế tỉnh Lạng Sơn</v>
          </cell>
          <cell r="N56" t="str">
            <v>102</v>
          </cell>
        </row>
        <row r="57">
          <cell r="A57" t="str">
            <v>BV0077</v>
          </cell>
          <cell r="D57" t="str">
            <v>K1706;02.03; 02.06; 02.08</v>
          </cell>
          <cell r="E57" t="str">
            <v>Khoa Lão - Cơ xương khớp;Nội Tổng hợp;Nội cơ - xương - khớp;Nội tiết</v>
          </cell>
          <cell r="F57" t="str">
            <v>Hoàng Thị Minh Hồng</v>
          </cell>
          <cell r="G57">
            <v>2</v>
          </cell>
          <cell r="H57" t="str">
            <v>020170006326</v>
          </cell>
          <cell r="I57" t="str">
            <v>1</v>
          </cell>
          <cell r="J57" t="str">
            <v>5</v>
          </cell>
          <cell r="K57" t="str">
            <v>000792/LS-CCHN</v>
          </cell>
          <cell r="L57" t="str">
            <v>20130624</v>
          </cell>
          <cell r="M57" t="str">
            <v>Sở Y tế tỉnh Lạng Sơn</v>
          </cell>
          <cell r="N57" t="str">
            <v>102</v>
          </cell>
          <cell r="P57" t="str">
            <v>18.0018;18.0020;18.0030;18.0031;18.0034;18.0035;18.0036;18.0054</v>
          </cell>
        </row>
        <row r="58">
          <cell r="A58" t="str">
            <v>BV1285</v>
          </cell>
          <cell r="D58" t="str">
            <v>K1706;02.03; 02.06; 02.08</v>
          </cell>
          <cell r="E58" t="str">
            <v>Khoa Lão - Cơ xương khớp;Nội Tổng hợp;Nội cơ - xương - khớp;Nội tiết</v>
          </cell>
          <cell r="F58" t="str">
            <v>Hoàng Hải Yến</v>
          </cell>
          <cell r="G58">
            <v>2</v>
          </cell>
          <cell r="H58" t="str">
            <v>020196008669</v>
          </cell>
          <cell r="I58" t="str">
            <v>1</v>
          </cell>
          <cell r="K58" t="str">
            <v>000080/LS-GPHN</v>
          </cell>
          <cell r="L58">
            <v>20240710</v>
          </cell>
          <cell r="M58" t="str">
            <v>Sở Y tế tỉnh Lạng Sơn</v>
          </cell>
          <cell r="N58" t="str">
            <v>102</v>
          </cell>
        </row>
        <row r="59">
          <cell r="A59" t="str">
            <v>BV1359</v>
          </cell>
          <cell r="D59" t="str">
            <v>K1706;02.03; 02.06; 02.08</v>
          </cell>
          <cell r="E59" t="str">
            <v>Khoa Lão - Cơ xương khớp;Nội Tổng hợp;Nội cơ - xương - khớp;Nội tiết</v>
          </cell>
          <cell r="F59" t="str">
            <v>Dương Thị Hồng Hà</v>
          </cell>
          <cell r="G59">
            <v>2</v>
          </cell>
          <cell r="H59" t="str">
            <v>020195008240</v>
          </cell>
          <cell r="I59" t="str">
            <v>1</v>
          </cell>
          <cell r="K59" t="str">
            <v>000028/LS-GPHN</v>
          </cell>
          <cell r="L59">
            <v>20240614</v>
          </cell>
          <cell r="M59" t="str">
            <v>Sở Y tế tỉnh Lạng Sơn</v>
          </cell>
          <cell r="N59" t="str">
            <v>132</v>
          </cell>
        </row>
        <row r="60">
          <cell r="A60" t="str">
            <v>BV1327</v>
          </cell>
          <cell r="D60" t="str">
            <v>K1706;02.03; 02.06; 02.08</v>
          </cell>
          <cell r="E60" t="str">
            <v>Khoa Lão - Cơ xương khớp;Nội Tổng hợp;Nội cơ - xương - khớp;Nội tiết</v>
          </cell>
          <cell r="F60" t="str">
            <v>Triệu Phương Huyền</v>
          </cell>
          <cell r="G60">
            <v>2</v>
          </cell>
          <cell r="H60" t="str">
            <v>020301006641</v>
          </cell>
          <cell r="I60" t="str">
            <v>3</v>
          </cell>
          <cell r="K60" t="str">
            <v>000270/LS-GPHN</v>
          </cell>
          <cell r="L60">
            <v>20250519</v>
          </cell>
          <cell r="M60" t="str">
            <v>Sở Y tế tỉnh Lạng Sơn</v>
          </cell>
          <cell r="N60" t="str">
            <v>302</v>
          </cell>
        </row>
        <row r="61">
          <cell r="A61" t="str">
            <v>BV1253</v>
          </cell>
          <cell r="D61" t="str">
            <v>K1706;02.03; 02.06; 02.08</v>
          </cell>
          <cell r="E61" t="str">
            <v>Khoa Lão - Cơ xương khớp;Nội Tổng hợp;Nội cơ - xương - khớp;Nội tiết</v>
          </cell>
          <cell r="F61" t="str">
            <v>Trần Thị Hồng Hạnh</v>
          </cell>
          <cell r="G61">
            <v>2</v>
          </cell>
          <cell r="H61" t="str">
            <v>020198004470</v>
          </cell>
          <cell r="I61" t="str">
            <v>1</v>
          </cell>
          <cell r="K61" t="str">
            <v>000366/LS-GPHN</v>
          </cell>
          <cell r="L61">
            <v>20250926</v>
          </cell>
          <cell r="M61" t="str">
            <v>Sở Y tế tỉnh Lạng Sơn</v>
          </cell>
          <cell r="N61" t="str">
            <v>132</v>
          </cell>
        </row>
        <row r="62">
          <cell r="A62" t="str">
            <v>BV0391</v>
          </cell>
          <cell r="D62" t="str">
            <v>K30;14.30</v>
          </cell>
          <cell r="E62" t="str">
            <v>Khoa Mắt;Mắt</v>
          </cell>
          <cell r="F62" t="str">
            <v>Bạch Ngọc Sỹ</v>
          </cell>
          <cell r="G62">
            <v>1</v>
          </cell>
          <cell r="H62" t="str">
            <v>020070005953</v>
          </cell>
          <cell r="I62" t="str">
            <v>1</v>
          </cell>
          <cell r="J62" t="str">
            <v>2</v>
          </cell>
          <cell r="K62" t="str">
            <v>000013/LS-CCHN</v>
          </cell>
          <cell r="L62" t="str">
            <v>20120509</v>
          </cell>
          <cell r="M62" t="str">
            <v>Sở Y tế tỉnh Lạng Sơn</v>
          </cell>
          <cell r="N62" t="str">
            <v>114</v>
          </cell>
        </row>
        <row r="63">
          <cell r="A63" t="str">
            <v>BV0392</v>
          </cell>
          <cell r="D63" t="str">
            <v>K30;14.30</v>
          </cell>
          <cell r="E63" t="str">
            <v>Khoa Mắt;Mắt</v>
          </cell>
          <cell r="F63" t="str">
            <v>Hoàng Sơn</v>
          </cell>
          <cell r="G63">
            <v>1</v>
          </cell>
          <cell r="H63" t="str">
            <v>020077008233</v>
          </cell>
          <cell r="I63" t="str">
            <v>1</v>
          </cell>
          <cell r="K63" t="str">
            <v>000014/LS-CCHN</v>
          </cell>
          <cell r="L63" t="str">
            <v>20120509</v>
          </cell>
          <cell r="M63" t="str">
            <v>Sở Y tế tỉnh Lạng Sơn</v>
          </cell>
          <cell r="N63" t="str">
            <v>114</v>
          </cell>
        </row>
        <row r="64">
          <cell r="A64" t="str">
            <v>BV0393</v>
          </cell>
          <cell r="D64" t="str">
            <v>K30;14.30</v>
          </cell>
          <cell r="E64" t="str">
            <v>Khoa Mắt;Mắt</v>
          </cell>
          <cell r="F64" t="str">
            <v>Trần Quốc Hải</v>
          </cell>
          <cell r="G64">
            <v>1</v>
          </cell>
          <cell r="H64" t="str">
            <v>020066001738</v>
          </cell>
          <cell r="I64" t="str">
            <v>1</v>
          </cell>
          <cell r="K64" t="str">
            <v>000012/LS-CCHN</v>
          </cell>
          <cell r="L64" t="str">
            <v>20120509</v>
          </cell>
          <cell r="M64" t="str">
            <v>Sở Y tế tỉnh Lạng Sơn</v>
          </cell>
          <cell r="N64" t="str">
            <v>114</v>
          </cell>
        </row>
        <row r="65">
          <cell r="A65" t="str">
            <v>BV0395</v>
          </cell>
          <cell r="D65" t="str">
            <v>K30;14.30</v>
          </cell>
          <cell r="E65" t="str">
            <v>Khoa Mắt;Mắt</v>
          </cell>
          <cell r="F65" t="str">
            <v>Lý Ngọc Thủy</v>
          </cell>
          <cell r="G65">
            <v>2</v>
          </cell>
          <cell r="H65" t="str">
            <v>020187003173</v>
          </cell>
          <cell r="I65" t="str">
            <v>1</v>
          </cell>
          <cell r="K65" t="str">
            <v>003073/LS-CCHN</v>
          </cell>
          <cell r="L65" t="str">
            <v>20150907</v>
          </cell>
          <cell r="M65" t="str">
            <v>Sở Y tế tỉnh Lạng Sơn</v>
          </cell>
          <cell r="N65" t="str">
            <v>129</v>
          </cell>
        </row>
        <row r="66">
          <cell r="A66" t="str">
            <v>BV0398</v>
          </cell>
          <cell r="D66" t="str">
            <v>K30;14.30</v>
          </cell>
          <cell r="E66" t="str">
            <v>Khoa Mắt;Mắt</v>
          </cell>
          <cell r="F66" t="str">
            <v>Phạm Thị Ngần</v>
          </cell>
          <cell r="G66">
            <v>2</v>
          </cell>
          <cell r="H66" t="str">
            <v>036190019794</v>
          </cell>
          <cell r="I66" t="str">
            <v>3</v>
          </cell>
          <cell r="K66" t="str">
            <v>000454/LS-CCHN</v>
          </cell>
          <cell r="L66" t="str">
            <v>20160824</v>
          </cell>
          <cell r="M66" t="str">
            <v>Sở Y tế tỉnh Lạng Sơn</v>
          </cell>
          <cell r="N66" t="str">
            <v>301</v>
          </cell>
        </row>
        <row r="67">
          <cell r="A67" t="str">
            <v>BV0302</v>
          </cell>
          <cell r="D67" t="str">
            <v>K30;14.30</v>
          </cell>
          <cell r="E67" t="str">
            <v>Khoa Mắt;Mắt</v>
          </cell>
          <cell r="F67" t="str">
            <v>Nguyễn Thanh Thúy</v>
          </cell>
          <cell r="G67">
            <v>2</v>
          </cell>
          <cell r="H67" t="str">
            <v>020189010948</v>
          </cell>
          <cell r="I67" t="str">
            <v>3</v>
          </cell>
          <cell r="K67" t="str">
            <v>000868/LS-CCHN</v>
          </cell>
          <cell r="L67" t="str">
            <v>20230111</v>
          </cell>
          <cell r="M67" t="str">
            <v>Sở Y tế tỉnh Lạng Sơn</v>
          </cell>
          <cell r="N67" t="str">
            <v>301</v>
          </cell>
        </row>
        <row r="68">
          <cell r="A68" t="str">
            <v>BV0403</v>
          </cell>
          <cell r="D68" t="str">
            <v>K30;14.30</v>
          </cell>
          <cell r="E68" t="str">
            <v>Khoa Mắt;Mắt</v>
          </cell>
          <cell r="F68" t="str">
            <v>Hà Thị Thanh Lý</v>
          </cell>
          <cell r="G68">
            <v>2</v>
          </cell>
          <cell r="H68" t="str">
            <v>020186009778</v>
          </cell>
          <cell r="I68" t="str">
            <v>3</v>
          </cell>
          <cell r="K68" t="str">
            <v>001011/LS-CCHN</v>
          </cell>
          <cell r="L68" t="str">
            <v>20230111</v>
          </cell>
          <cell r="M68" t="str">
            <v>Sở Y tế tỉnh Lạng Sơn</v>
          </cell>
          <cell r="N68" t="str">
            <v>302</v>
          </cell>
        </row>
        <row r="69">
          <cell r="A69" t="str">
            <v>BV0402</v>
          </cell>
          <cell r="D69" t="str">
            <v>K4849;K30;14.30</v>
          </cell>
          <cell r="E69" t="str">
            <v>Khoa Hồi sức tích cực - Chống độc;Khoa Mắt;Mắt</v>
          </cell>
          <cell r="F69" t="str">
            <v>Hoàng Thị Loan</v>
          </cell>
          <cell r="G69">
            <v>2</v>
          </cell>
          <cell r="H69" t="str">
            <v>020186006224</v>
          </cell>
          <cell r="I69" t="str">
            <v>3</v>
          </cell>
          <cell r="K69" t="str">
            <v>001010/LS-CCHN</v>
          </cell>
          <cell r="L69" t="str">
            <v>20230111</v>
          </cell>
          <cell r="M69" t="str">
            <v>Sở Y tế tỉnh Lạng Sơn</v>
          </cell>
          <cell r="N69" t="str">
            <v>302</v>
          </cell>
        </row>
        <row r="70">
          <cell r="A70" t="str">
            <v>BV0400</v>
          </cell>
          <cell r="D70" t="str">
            <v>K30;14.30</v>
          </cell>
          <cell r="E70" t="str">
            <v>Khoa Mắt;Mắt</v>
          </cell>
          <cell r="F70" t="str">
            <v>Hoàng Minh Hiếu</v>
          </cell>
          <cell r="G70">
            <v>1</v>
          </cell>
          <cell r="H70" t="str">
            <v>020082001431</v>
          </cell>
          <cell r="I70" t="str">
            <v>3</v>
          </cell>
          <cell r="K70" t="str">
            <v>002290/LS-CCHN</v>
          </cell>
          <cell r="L70" t="str">
            <v>20140404</v>
          </cell>
          <cell r="M70" t="str">
            <v>Sở Y tế tỉnh Lạng Sơn</v>
          </cell>
          <cell r="N70" t="str">
            <v>301</v>
          </cell>
        </row>
        <row r="71">
          <cell r="A71" t="str">
            <v>BV0936</v>
          </cell>
          <cell r="D71" t="str">
            <v>K05;02.05;02.50</v>
          </cell>
          <cell r="E71" t="str">
            <v>Khoa Nội Tiêu hóa;Nội Tiêu hóa;Nội Hô hấp</v>
          </cell>
          <cell r="F71" t="str">
            <v>Lăng Thị Thảo</v>
          </cell>
          <cell r="G71">
            <v>2</v>
          </cell>
          <cell r="H71" t="str">
            <v>020195009747</v>
          </cell>
          <cell r="I71" t="str">
            <v>1</v>
          </cell>
          <cell r="K71" t="str">
            <v>004236/LS-CCHN</v>
          </cell>
          <cell r="L71" t="str">
            <v>20210610</v>
          </cell>
          <cell r="M71" t="str">
            <v>Sở Y tế tỉnh Lạng Sơn</v>
          </cell>
          <cell r="N71" t="str">
            <v>102</v>
          </cell>
        </row>
        <row r="72">
          <cell r="A72" t="str">
            <v>BV0851</v>
          </cell>
          <cell r="D72" t="str">
            <v>K05;02.05;02.50</v>
          </cell>
          <cell r="E72" t="str">
            <v>Khoa Nội Tiêu hóa;Nội Tiêu hóa;Nội Hô hấp</v>
          </cell>
          <cell r="F72" t="str">
            <v>Hoàng Thị Anh Tú</v>
          </cell>
          <cell r="G72">
            <v>2</v>
          </cell>
          <cell r="H72" t="str">
            <v>020193007054</v>
          </cell>
          <cell r="I72" t="str">
            <v>1</v>
          </cell>
          <cell r="K72" t="str">
            <v>003983/LS-CCHN</v>
          </cell>
          <cell r="L72" t="str">
            <v>20201021</v>
          </cell>
          <cell r="M72" t="str">
            <v>Sở Y tế tỉnh Lạng Sơn</v>
          </cell>
          <cell r="N72" t="str">
            <v>102</v>
          </cell>
        </row>
        <row r="73">
          <cell r="A73" t="str">
            <v>BV1039</v>
          </cell>
          <cell r="D73" t="str">
            <v>K05;02.05;02.50</v>
          </cell>
          <cell r="E73" t="str">
            <v>Khoa Nội Tiêu hóa;Nội Tiêu hóa;Nội Hô hấp</v>
          </cell>
          <cell r="F73" t="str">
            <v>Hoàng Thị Thêm</v>
          </cell>
          <cell r="G73">
            <v>2</v>
          </cell>
          <cell r="H73" t="str">
            <v>020195001872</v>
          </cell>
          <cell r="I73" t="str">
            <v>1</v>
          </cell>
          <cell r="K73" t="str">
            <v>004503/LS-CCHN</v>
          </cell>
          <cell r="L73" t="str">
            <v>20220406</v>
          </cell>
          <cell r="M73" t="str">
            <v>Sở Y tế tỉnh Lạng Sơn</v>
          </cell>
          <cell r="N73" t="str">
            <v>102</v>
          </cell>
        </row>
        <row r="74">
          <cell r="A74" t="str">
            <v>BV0162</v>
          </cell>
          <cell r="D74" t="str">
            <v>K05;02.05;02.50</v>
          </cell>
          <cell r="E74" t="str">
            <v>Khoa Nội Tiêu hóa;Nội Tiêu hóa;Nội Hô hấp</v>
          </cell>
          <cell r="F74" t="str">
            <v>Bế Thái Hưng</v>
          </cell>
          <cell r="G74">
            <v>1</v>
          </cell>
          <cell r="H74" t="str">
            <v>020068001743</v>
          </cell>
          <cell r="I74" t="str">
            <v>1</v>
          </cell>
          <cell r="J74" t="str">
            <v>5</v>
          </cell>
          <cell r="K74" t="str">
            <v>002911/LS-CCHN</v>
          </cell>
          <cell r="L74" t="str">
            <v>20141231</v>
          </cell>
          <cell r="M74" t="str">
            <v>Sở Y tế tỉnh Lạng Sơn</v>
          </cell>
          <cell r="N74" t="str">
            <v>102</v>
          </cell>
        </row>
        <row r="75">
          <cell r="A75" t="str">
            <v>BV0723</v>
          </cell>
          <cell r="D75" t="str">
            <v>K05;02.05;02.50</v>
          </cell>
          <cell r="E75" t="str">
            <v>Khoa Nội Tiêu hóa;Nội Tiêu hóa;Nội Hô hấp</v>
          </cell>
          <cell r="F75" t="str">
            <v>Hoàng Thị Mai Hồng</v>
          </cell>
          <cell r="G75">
            <v>2</v>
          </cell>
          <cell r="H75" t="str">
            <v>020193006895</v>
          </cell>
          <cell r="I75" t="str">
            <v>3</v>
          </cell>
          <cell r="K75" t="str">
            <v>003303/LS-CCHN</v>
          </cell>
          <cell r="L75" t="str">
            <v>20180628</v>
          </cell>
          <cell r="M75" t="str">
            <v>Sở Y tế tỉnh Lạng Sơn</v>
          </cell>
          <cell r="N75" t="str">
            <v>302</v>
          </cell>
        </row>
        <row r="76">
          <cell r="A76" t="str">
            <v>BV0131</v>
          </cell>
          <cell r="D76" t="str">
            <v>K05;02.05;02.50</v>
          </cell>
          <cell r="E76" t="str">
            <v>Khoa Nội Tiêu hóa;Nội Tiêu hóa;Nội Hô hấp</v>
          </cell>
          <cell r="F76" t="str">
            <v>Hoàng Thị Thu</v>
          </cell>
          <cell r="G76">
            <v>2</v>
          </cell>
          <cell r="H76" t="str">
            <v>020181004827</v>
          </cell>
          <cell r="I76" t="str">
            <v>3</v>
          </cell>
          <cell r="K76" t="str">
            <v>000826/LS-CCHN</v>
          </cell>
          <cell r="L76" t="str">
            <v>20230111</v>
          </cell>
          <cell r="M76" t="str">
            <v>Sở Y tế tỉnh Lạng Sơn</v>
          </cell>
          <cell r="N76" t="str">
            <v>301</v>
          </cell>
        </row>
        <row r="77">
          <cell r="A77" t="str">
            <v>BV0345</v>
          </cell>
          <cell r="D77" t="str">
            <v>K05;02.05;02.50</v>
          </cell>
          <cell r="E77" t="str">
            <v>Khoa Nội Tiêu hóa;Nội Tiêu hóa;Nội Hô hấp</v>
          </cell>
          <cell r="F77" t="str">
            <v>Lâm Lệ Thu</v>
          </cell>
          <cell r="G77">
            <v>2</v>
          </cell>
          <cell r="H77" t="str">
            <v>020177004799</v>
          </cell>
          <cell r="I77" t="str">
            <v>3</v>
          </cell>
          <cell r="K77" t="str">
            <v>000881/LS-CCHN</v>
          </cell>
          <cell r="L77" t="str">
            <v>20230111</v>
          </cell>
          <cell r="M77" t="str">
            <v>Sở Y tế tỉnh Lạng Sơn</v>
          </cell>
          <cell r="N77" t="str">
            <v>302</v>
          </cell>
        </row>
        <row r="78">
          <cell r="A78" t="str">
            <v>BV0019</v>
          </cell>
          <cell r="D78" t="str">
            <v>K05;02.05;02.50</v>
          </cell>
          <cell r="E78" t="str">
            <v>Khoa Nội Tiêu hóa;Nội Tiêu hóa;Nội Hô hấp</v>
          </cell>
          <cell r="F78" t="str">
            <v>Bế Thị Liễu</v>
          </cell>
          <cell r="G78">
            <v>2</v>
          </cell>
          <cell r="H78" t="str">
            <v>020184010044</v>
          </cell>
          <cell r="I78" t="str">
            <v>3</v>
          </cell>
          <cell r="K78" t="str">
            <v>000738/LS-CCHN</v>
          </cell>
          <cell r="L78" t="str">
            <v>20230111</v>
          </cell>
          <cell r="M78" t="str">
            <v>Sở Y tế tỉnh Lạng Sơn</v>
          </cell>
          <cell r="N78" t="str">
            <v>301</v>
          </cell>
        </row>
        <row r="79">
          <cell r="A79" t="str">
            <v>BV0023</v>
          </cell>
          <cell r="D79" t="str">
            <v>K05;02.05;02.50</v>
          </cell>
          <cell r="E79" t="str">
            <v>Khoa Nội Tiêu hóa;Nội Tiêu hóa;Nội Hô hấp</v>
          </cell>
          <cell r="F79" t="str">
            <v>Nguyễn Thị Bích Ngọc</v>
          </cell>
          <cell r="G79">
            <v>2</v>
          </cell>
          <cell r="H79" t="str">
            <v>025186004751</v>
          </cell>
          <cell r="I79" t="str">
            <v>3</v>
          </cell>
          <cell r="K79" t="str">
            <v>000747/LS-CCHN</v>
          </cell>
          <cell r="L79" t="str">
            <v>20230111</v>
          </cell>
          <cell r="M79" t="str">
            <v>Sở Y tế tỉnh Lạng Sơn</v>
          </cell>
          <cell r="N79" t="str">
            <v>301</v>
          </cell>
        </row>
        <row r="80">
          <cell r="A80" t="str">
            <v>BV0903</v>
          </cell>
          <cell r="D80" t="str">
            <v>K05;02.05;02.50</v>
          </cell>
          <cell r="E80" t="str">
            <v>Khoa Nội Tiêu hóa;Nội Tiêu hóa;Nội Hô hấp</v>
          </cell>
          <cell r="F80" t="str">
            <v>Chu Văn Thưởng</v>
          </cell>
          <cell r="G80">
            <v>1</v>
          </cell>
          <cell r="H80" t="str">
            <v>020096009521</v>
          </cell>
          <cell r="I80" t="str">
            <v>3</v>
          </cell>
          <cell r="K80" t="str">
            <v>003802/LS-CCHN</v>
          </cell>
          <cell r="L80" t="str">
            <v>20200721</v>
          </cell>
          <cell r="M80" t="str">
            <v>Sở Y tế tỉnh Lạng Sơn</v>
          </cell>
          <cell r="N80" t="str">
            <v>302</v>
          </cell>
        </row>
        <row r="81">
          <cell r="A81" t="str">
            <v>BV0139</v>
          </cell>
          <cell r="D81" t="str">
            <v>K05;02.05;02.50</v>
          </cell>
          <cell r="E81" t="str">
            <v>Khoa Nội Tiêu hóa;Nội Tiêu hóa;Nội Hô hấp</v>
          </cell>
          <cell r="F81" t="str">
            <v>Trần Thị Nhình</v>
          </cell>
          <cell r="G81">
            <v>2</v>
          </cell>
          <cell r="H81" t="str">
            <v>020186005566</v>
          </cell>
          <cell r="I81" t="str">
            <v>3</v>
          </cell>
          <cell r="K81" t="str">
            <v>000833/LS-CCHN</v>
          </cell>
          <cell r="L81" t="str">
            <v>20230111</v>
          </cell>
          <cell r="M81" t="str">
            <v>Sở Y tế tỉnh Lạng Sơn</v>
          </cell>
          <cell r="N81" t="str">
            <v>301</v>
          </cell>
        </row>
        <row r="82">
          <cell r="A82" t="str">
            <v>BV0902</v>
          </cell>
          <cell r="D82" t="str">
            <v>K05;02.05;02.50</v>
          </cell>
          <cell r="E82" t="str">
            <v>Khoa Nội Tiêu hóa;Nội Tiêu hóa;Nội Hô hấp</v>
          </cell>
          <cell r="F82" t="str">
            <v>Vi Ngọc Anh</v>
          </cell>
          <cell r="G82">
            <v>2</v>
          </cell>
          <cell r="H82" t="str">
            <v>020194006155</v>
          </cell>
          <cell r="I82" t="str">
            <v>3</v>
          </cell>
          <cell r="K82" t="str">
            <v>003712/LS-CCHN</v>
          </cell>
          <cell r="L82" t="str">
            <v>20200417</v>
          </cell>
          <cell r="M82" t="str">
            <v>Sở Y tế tỉnh Lạng Sơn</v>
          </cell>
          <cell r="N82" t="str">
            <v>302</v>
          </cell>
        </row>
        <row r="83">
          <cell r="A83" t="str">
            <v>BV0904</v>
          </cell>
          <cell r="D83" t="str">
            <v>K05;02.05;02.50</v>
          </cell>
          <cell r="E83" t="str">
            <v>Khoa Nội Tiêu hóa;Nội Tiêu hóa;Nội Hô hấp</v>
          </cell>
          <cell r="F83" t="str">
            <v>Vy Thị Nga</v>
          </cell>
          <cell r="G83">
            <v>2</v>
          </cell>
          <cell r="H83" t="str">
            <v>020197007885</v>
          </cell>
          <cell r="I83" t="str">
            <v>3</v>
          </cell>
          <cell r="K83" t="str">
            <v>003713/LS-CCHN</v>
          </cell>
          <cell r="L83" t="str">
            <v>20200417</v>
          </cell>
          <cell r="M83" t="str">
            <v>Sở Y tế tỉnh Lạng Sơn</v>
          </cell>
          <cell r="N83" t="str">
            <v>302</v>
          </cell>
        </row>
        <row r="84">
          <cell r="A84" t="str">
            <v>BV0086</v>
          </cell>
          <cell r="D84" t="str">
            <v>K4849;K05;02.05;02.50</v>
          </cell>
          <cell r="E84" t="str">
            <v>Khoa Hồi sức tích cực - Chống độc;Khoa Nội Tiêu hóa;Nội Tiêu hóa;Nội Hô hấp</v>
          </cell>
          <cell r="F84" t="str">
            <v>Triệu Thị Thanh Hòa</v>
          </cell>
          <cell r="G84">
            <v>2</v>
          </cell>
          <cell r="H84" t="str">
            <v>020186009648</v>
          </cell>
          <cell r="I84" t="str">
            <v>3</v>
          </cell>
          <cell r="K84" t="str">
            <v>000895/LS-CCHN</v>
          </cell>
          <cell r="L84" t="str">
            <v>20130624</v>
          </cell>
          <cell r="M84" t="str">
            <v>Sở Y tế tỉnh Lạng Sơn</v>
          </cell>
          <cell r="N84" t="str">
            <v>302</v>
          </cell>
        </row>
        <row r="85">
          <cell r="A85" t="str">
            <v>BV1082</v>
          </cell>
          <cell r="D85" t="str">
            <v>K4849;K05;02.05;02.50</v>
          </cell>
          <cell r="E85" t="str">
            <v>Khoa Hồi sức tích cực - Chống độc;Khoa Nội Tiêu hóa;Nội Tiêu hóa;Nội Hô hấp</v>
          </cell>
          <cell r="F85" t="str">
            <v>Hoàng Thị Vinh</v>
          </cell>
          <cell r="G85">
            <v>2</v>
          </cell>
          <cell r="H85" t="str">
            <v>020195000999</v>
          </cell>
          <cell r="I85" t="str">
            <v>3</v>
          </cell>
          <cell r="K85" t="str">
            <v>004492/LS-CCHN</v>
          </cell>
          <cell r="L85" t="str">
            <v>20220406</v>
          </cell>
          <cell r="M85" t="str">
            <v>Sở Y tế tỉnh Lạng Sơn</v>
          </cell>
          <cell r="N85" t="str">
            <v>302</v>
          </cell>
        </row>
        <row r="86">
          <cell r="A86" t="str">
            <v>BV0676</v>
          </cell>
          <cell r="D86" t="str">
            <v>K05;02.05;02.50</v>
          </cell>
          <cell r="E86" t="str">
            <v>Khoa Nội Tiêu hóa;Nội Tiêu hóa;Nội Hô hấp</v>
          </cell>
          <cell r="F86" t="str">
            <v>Lương Văn Lực</v>
          </cell>
          <cell r="G86">
            <v>1</v>
          </cell>
          <cell r="H86" t="str">
            <v>020090012670</v>
          </cell>
          <cell r="I86" t="str">
            <v>1</v>
          </cell>
          <cell r="K86" t="str">
            <v>003449/LS-CCHN</v>
          </cell>
          <cell r="L86" t="str">
            <v>20190517</v>
          </cell>
          <cell r="M86" t="str">
            <v>Sở Y tế tỉnh Lạng Sơn</v>
          </cell>
          <cell r="N86" t="str">
            <v>102</v>
          </cell>
          <cell r="P86" t="str">
            <v>01.0346;01.0209;01.0002;02.0085;21.0014</v>
          </cell>
        </row>
        <row r="87">
          <cell r="A87" t="str">
            <v>BV1295</v>
          </cell>
          <cell r="D87" t="str">
            <v>K05;02.05;02.50</v>
          </cell>
          <cell r="E87" t="str">
            <v>Khoa Nội Tiêu hóa;Nội Tiêu hóa;Nội Hô hấp</v>
          </cell>
          <cell r="F87" t="str">
            <v>Hoàng Thị Mai</v>
          </cell>
          <cell r="G87">
            <v>2</v>
          </cell>
          <cell r="H87" t="str">
            <v>020191008463</v>
          </cell>
          <cell r="I87" t="str">
            <v>3</v>
          </cell>
          <cell r="K87" t="str">
            <v>000268/LS-GPHN</v>
          </cell>
          <cell r="L87">
            <v>20250519</v>
          </cell>
          <cell r="M87" t="str">
            <v>Sở Y tế tỉnh Lạng Sơn</v>
          </cell>
          <cell r="N87" t="str">
            <v>302</v>
          </cell>
        </row>
        <row r="88">
          <cell r="A88" t="str">
            <v>BV1256</v>
          </cell>
          <cell r="D88" t="str">
            <v>K05;02.05;02.50</v>
          </cell>
          <cell r="E88" t="str">
            <v>Khoa Nội Tiêu hóa;Nội Tiêu hóa;Nội Hô hấp</v>
          </cell>
          <cell r="F88" t="str">
            <v>Nông Thị Hồng Hạnh</v>
          </cell>
          <cell r="G88">
            <v>2</v>
          </cell>
          <cell r="H88" t="str">
            <v>006193004260</v>
          </cell>
          <cell r="I88" t="str">
            <v>1</v>
          </cell>
          <cell r="K88" t="str">
            <v>000347/LS-GPHN</v>
          </cell>
          <cell r="L88">
            <v>20250908</v>
          </cell>
          <cell r="M88" t="str">
            <v>Sở Y tế tỉnh Lạng Sơn</v>
          </cell>
          <cell r="N88" t="str">
            <v>102</v>
          </cell>
        </row>
        <row r="89">
          <cell r="A89" t="str">
            <v>BV1312</v>
          </cell>
          <cell r="D89" t="str">
            <v>K05;02.05;02.50</v>
          </cell>
          <cell r="E89" t="str">
            <v>Khoa Nội Tiêu hóa;Nội Tiêu hóa;Nội Hô hấp</v>
          </cell>
          <cell r="F89" t="str">
            <v>Dương Thị Duyên</v>
          </cell>
          <cell r="G89">
            <v>2</v>
          </cell>
          <cell r="H89" t="str">
            <v>020303001535</v>
          </cell>
          <cell r="I89">
            <v>3</v>
          </cell>
          <cell r="K89" t="str">
            <v>000461/LS-GPHN</v>
          </cell>
          <cell r="L89">
            <v>20260122</v>
          </cell>
          <cell r="M89" t="str">
            <v>Sở Y tế tỉnh Lạng Sơn</v>
          </cell>
          <cell r="N89">
            <v>302</v>
          </cell>
        </row>
        <row r="90">
          <cell r="A90" t="str">
            <v>BV1029</v>
          </cell>
          <cell r="D90" t="str">
            <v>K04;02.04</v>
          </cell>
          <cell r="E90" t="str">
            <v>Khoa Nội tim mạch;Nội Tim mạch</v>
          </cell>
          <cell r="F90" t="str">
            <v>Đào Thị Ngọc Huyền</v>
          </cell>
          <cell r="G90">
            <v>2</v>
          </cell>
          <cell r="H90" t="str">
            <v>020188005576</v>
          </cell>
          <cell r="I90" t="str">
            <v>1</v>
          </cell>
          <cell r="K90" t="str">
            <v>003569/LS-CCHN</v>
          </cell>
          <cell r="L90" t="str">
            <v>20190920</v>
          </cell>
          <cell r="M90" t="str">
            <v>Sở Y tế tỉnh Lạng Sơn</v>
          </cell>
          <cell r="N90" t="str">
            <v>102</v>
          </cell>
        </row>
        <row r="91">
          <cell r="A91" t="str">
            <v>BV1025</v>
          </cell>
          <cell r="D91" t="str">
            <v>K04;02.04</v>
          </cell>
          <cell r="E91" t="str">
            <v>Khoa Nội tim mạch;Nội Tim mạch</v>
          </cell>
          <cell r="F91" t="str">
            <v>Trương Trung Nghĩa</v>
          </cell>
          <cell r="G91">
            <v>1</v>
          </cell>
          <cell r="H91" t="str">
            <v>020093001249</v>
          </cell>
          <cell r="I91" t="str">
            <v>1</v>
          </cell>
          <cell r="K91" t="str">
            <v>004480/LS-CCHN</v>
          </cell>
          <cell r="L91" t="str">
            <v>20220314</v>
          </cell>
          <cell r="M91" t="str">
            <v>Sở Y tế tỉnh Lạng Sơn</v>
          </cell>
          <cell r="N91" t="str">
            <v>102</v>
          </cell>
        </row>
        <row r="92">
          <cell r="A92" t="str">
            <v>BV0932</v>
          </cell>
          <cell r="D92" t="str">
            <v>K04;02.04</v>
          </cell>
          <cell r="E92" t="str">
            <v>Khoa Nội tim mạch;Nội Tim mạch</v>
          </cell>
          <cell r="F92" t="str">
            <v>Hứa Minh Huyền</v>
          </cell>
          <cell r="G92">
            <v>2</v>
          </cell>
          <cell r="H92" t="str">
            <v>020195005088</v>
          </cell>
          <cell r="I92" t="str">
            <v>1</v>
          </cell>
          <cell r="K92" t="str">
            <v>004213/LS-CCHN</v>
          </cell>
          <cell r="L92" t="str">
            <v>20210512</v>
          </cell>
          <cell r="M92" t="str">
            <v>Sở Y tế tỉnh Lạng Sơn</v>
          </cell>
          <cell r="N92" t="str">
            <v>102</v>
          </cell>
          <cell r="P92" t="str">
            <v>01.0002</v>
          </cell>
        </row>
        <row r="93">
          <cell r="A93" t="str">
            <v>BV0094</v>
          </cell>
          <cell r="D93" t="str">
            <v>K04;02.04</v>
          </cell>
          <cell r="E93" t="str">
            <v>Khoa Nội tim mạch;Nội Tim mạch</v>
          </cell>
          <cell r="F93" t="str">
            <v>Nguyễn Ngọc Bình</v>
          </cell>
          <cell r="G93">
            <v>1</v>
          </cell>
          <cell r="H93" t="str">
            <v>012088000188</v>
          </cell>
          <cell r="I93" t="str">
            <v>1</v>
          </cell>
          <cell r="K93" t="str">
            <v>000403/LS-CCHN</v>
          </cell>
          <cell r="L93" t="str">
            <v>20160106</v>
          </cell>
          <cell r="M93" t="str">
            <v>Sở Y tế tỉnh Lạng Sơn</v>
          </cell>
          <cell r="N93" t="str">
            <v>102</v>
          </cell>
          <cell r="P93" t="str">
            <v>02.0101</v>
          </cell>
        </row>
        <row r="94">
          <cell r="A94" t="str">
            <v>BV0122</v>
          </cell>
          <cell r="D94" t="str">
            <v>K04;02.04</v>
          </cell>
          <cell r="E94" t="str">
            <v>Khoa Nội tim mạch;Nội Tim mạch</v>
          </cell>
          <cell r="F94" t="str">
            <v>Trần Thị Quy</v>
          </cell>
          <cell r="G94">
            <v>2</v>
          </cell>
          <cell r="H94" t="str">
            <v>020188001354</v>
          </cell>
          <cell r="I94" t="str">
            <v>1</v>
          </cell>
          <cell r="K94" t="str">
            <v>000503/LS-CCHN</v>
          </cell>
          <cell r="L94" t="str">
            <v>20160824</v>
          </cell>
          <cell r="M94" t="str">
            <v>Sở Y tế tỉnh Lạng Sơn</v>
          </cell>
          <cell r="N94" t="str">
            <v>102</v>
          </cell>
          <cell r="P94" t="str">
            <v>01.0002</v>
          </cell>
        </row>
        <row r="95">
          <cell r="A95" t="str">
            <v>BV0092</v>
          </cell>
          <cell r="D95" t="str">
            <v>K04;02.04</v>
          </cell>
          <cell r="E95" t="str">
            <v>Khoa Nội tim mạch;Nội Tim mạch</v>
          </cell>
          <cell r="F95" t="str">
            <v>Hà Đình Nghị</v>
          </cell>
          <cell r="G95">
            <v>1</v>
          </cell>
          <cell r="H95" t="str">
            <v>020074001330</v>
          </cell>
          <cell r="I95" t="str">
            <v>1</v>
          </cell>
          <cell r="J95" t="str">
            <v>2</v>
          </cell>
          <cell r="K95" t="str">
            <v>001782/LS-CCHN</v>
          </cell>
          <cell r="L95" t="str">
            <v>20131226</v>
          </cell>
          <cell r="M95" t="str">
            <v>Sở Y tế tỉnh Lạng Sơn</v>
          </cell>
          <cell r="N95" t="str">
            <v>102</v>
          </cell>
          <cell r="P95" t="str">
            <v>01.0019;01.0002;02.0077;02.0085;02.0095;02.0101;02.0109;02.0112;02.0113;02.0315;02.0316;02.0437;02.0452;02.0453;03.0019;03.0043;03.0044;03.2266;03.2290;03.4248;03.4249;18.0023;18.0024;18.0029;18.0045;18.0046;18.0047;18.0049;18.0050;18.0052;18.0669;18.0670;21.0007;21.0008;21.0012;21.0014</v>
          </cell>
        </row>
        <row r="96">
          <cell r="A96" t="str">
            <v>BV0837</v>
          </cell>
          <cell r="D96" t="str">
            <v>K04;02.04</v>
          </cell>
          <cell r="E96" t="str">
            <v>Khoa Nội tim mạch;Nội Tim mạch</v>
          </cell>
          <cell r="F96" t="str">
            <v>Hoàng Thị Bèn</v>
          </cell>
          <cell r="G96">
            <v>2</v>
          </cell>
          <cell r="H96" t="str">
            <v>020191002544</v>
          </cell>
          <cell r="I96" t="str">
            <v>1</v>
          </cell>
          <cell r="K96" t="str">
            <v>003355/LS-CCHN</v>
          </cell>
          <cell r="L96" t="str">
            <v>20180917</v>
          </cell>
          <cell r="M96" t="str">
            <v>Sở Y tế tỉnh Lạng Sơn</v>
          </cell>
          <cell r="N96" t="str">
            <v>102</v>
          </cell>
          <cell r="P96" t="str">
            <v>01.0002;02.0113;18.0052;02.0095;21.0012;02.0085;21.0014</v>
          </cell>
        </row>
        <row r="97">
          <cell r="A97" t="str">
            <v>BV1153</v>
          </cell>
          <cell r="D97" t="str">
            <v>K04;02.04</v>
          </cell>
          <cell r="E97" t="str">
            <v>Khoa Nội tim mạch;Nội Tim mạch</v>
          </cell>
          <cell r="F97" t="str">
            <v>Đàm Quang Diệu</v>
          </cell>
          <cell r="G97">
            <v>1</v>
          </cell>
          <cell r="H97" t="str">
            <v>020095001919</v>
          </cell>
          <cell r="I97" t="str">
            <v>1</v>
          </cell>
          <cell r="K97" t="str">
            <v>005652/LS-CCHN</v>
          </cell>
          <cell r="L97" t="str">
            <v>20230727</v>
          </cell>
          <cell r="M97" t="str">
            <v>Sở Y tế tỉnh Lạng Sơn</v>
          </cell>
          <cell r="N97" t="str">
            <v>102</v>
          </cell>
        </row>
        <row r="98">
          <cell r="A98" t="str">
            <v>BV0116</v>
          </cell>
          <cell r="D98" t="str">
            <v>K04;02.04</v>
          </cell>
          <cell r="E98" t="str">
            <v>Khoa Nội tim mạch;Nội Tim mạch</v>
          </cell>
          <cell r="F98" t="str">
            <v>Lương Thị Lê</v>
          </cell>
          <cell r="G98">
            <v>2</v>
          </cell>
          <cell r="H98" t="str">
            <v>020186010789</v>
          </cell>
          <cell r="I98" t="str">
            <v>3</v>
          </cell>
          <cell r="K98" t="str">
            <v>001501/LS-CCHN</v>
          </cell>
          <cell r="L98" t="str">
            <v>20230111</v>
          </cell>
          <cell r="M98" t="str">
            <v>Sở Y tế tỉnh Lạng Sơn</v>
          </cell>
          <cell r="N98" t="str">
            <v>302</v>
          </cell>
        </row>
        <row r="99">
          <cell r="A99" t="str">
            <v>BV0030</v>
          </cell>
          <cell r="D99" t="str">
            <v>K04;02.04</v>
          </cell>
          <cell r="E99" t="str">
            <v>Khoa Nội tim mạch;Nội Tim mạch</v>
          </cell>
          <cell r="F99" t="str">
            <v>Trương Thị Theo</v>
          </cell>
          <cell r="G99">
            <v>2</v>
          </cell>
          <cell r="H99" t="str">
            <v>020189005052</v>
          </cell>
          <cell r="I99" t="str">
            <v>3</v>
          </cell>
          <cell r="K99" t="str">
            <v>000762/LS-CCHN</v>
          </cell>
          <cell r="L99" t="str">
            <v>20230111</v>
          </cell>
          <cell r="M99" t="str">
            <v>Sở Y tế tỉnh Lạng Sơn</v>
          </cell>
          <cell r="N99" t="str">
            <v>301</v>
          </cell>
        </row>
        <row r="100">
          <cell r="A100" t="str">
            <v>BV1080</v>
          </cell>
          <cell r="D100" t="str">
            <v>K04;02.04</v>
          </cell>
          <cell r="E100" t="str">
            <v>Khoa Nội tim mạch;Nội Tim mạch</v>
          </cell>
          <cell r="F100" t="str">
            <v>Lăng Thị Ly</v>
          </cell>
          <cell r="G100">
            <v>2</v>
          </cell>
          <cell r="H100" t="str">
            <v>020192001966</v>
          </cell>
          <cell r="I100" t="str">
            <v>3</v>
          </cell>
          <cell r="K100" t="str">
            <v>004535/LS-CCHN</v>
          </cell>
          <cell r="L100" t="str">
            <v>20220526</v>
          </cell>
          <cell r="M100" t="str">
            <v>Sở Y tế tỉnh Lạng Sơn</v>
          </cell>
          <cell r="N100" t="str">
            <v>302</v>
          </cell>
        </row>
        <row r="101">
          <cell r="A101" t="str">
            <v>BV0306</v>
          </cell>
          <cell r="D101" t="str">
            <v>K04;02.04</v>
          </cell>
          <cell r="E101" t="str">
            <v>Khoa Nội tim mạch;Nội Tim mạch</v>
          </cell>
          <cell r="F101" t="str">
            <v>Lý Thị Thủy</v>
          </cell>
          <cell r="G101">
            <v>2</v>
          </cell>
          <cell r="H101" t="str">
            <v>020183007867</v>
          </cell>
          <cell r="I101" t="str">
            <v>3</v>
          </cell>
          <cell r="K101" t="str">
            <v>000856/LS-CCHN</v>
          </cell>
          <cell r="L101" t="str">
            <v>20230111</v>
          </cell>
          <cell r="M101" t="str">
            <v>Sở Y tế tỉnh Lạng Sơn</v>
          </cell>
          <cell r="N101" t="str">
            <v>301</v>
          </cell>
        </row>
        <row r="102">
          <cell r="A102" t="str">
            <v>BV0710</v>
          </cell>
          <cell r="D102" t="str">
            <v>K04;02.04</v>
          </cell>
          <cell r="E102" t="str">
            <v>Khoa Nội tim mạch;Nội Tim mạch</v>
          </cell>
          <cell r="F102" t="str">
            <v>Đàm Thị Ánh</v>
          </cell>
          <cell r="G102">
            <v>2</v>
          </cell>
          <cell r="H102" t="str">
            <v>020193011019</v>
          </cell>
          <cell r="I102" t="str">
            <v>3</v>
          </cell>
          <cell r="K102" t="str">
            <v>002165/LS-CCHN</v>
          </cell>
          <cell r="L102" t="str">
            <v>20190717</v>
          </cell>
          <cell r="M102" t="str">
            <v>Sở Y tế tỉnh Lạng Sơn</v>
          </cell>
          <cell r="N102" t="str">
            <v>302</v>
          </cell>
        </row>
        <row r="103">
          <cell r="A103" t="str">
            <v>BV0908</v>
          </cell>
          <cell r="D103" t="str">
            <v>K04;02.04</v>
          </cell>
          <cell r="E103" t="str">
            <v>Khoa Nội tim mạch;Nội Tim mạch</v>
          </cell>
          <cell r="F103" t="str">
            <v>Vi Thị Mĩ Linh</v>
          </cell>
          <cell r="G103">
            <v>2</v>
          </cell>
          <cell r="H103" t="str">
            <v>020196008799</v>
          </cell>
          <cell r="I103" t="str">
            <v>3</v>
          </cell>
          <cell r="K103" t="str">
            <v>003715/LS-CCHN</v>
          </cell>
          <cell r="L103" t="str">
            <v>20200522</v>
          </cell>
          <cell r="M103" t="str">
            <v>Sở Y tế tỉnh Lạng Sơn</v>
          </cell>
          <cell r="N103" t="str">
            <v>302</v>
          </cell>
        </row>
        <row r="104">
          <cell r="A104" t="str">
            <v>BV0873</v>
          </cell>
          <cell r="D104" t="str">
            <v>K04;02.04</v>
          </cell>
          <cell r="E104" t="str">
            <v>Khoa Nội tim mạch;Nội Tim mạch</v>
          </cell>
          <cell r="F104" t="str">
            <v>Triệu Thị Xuân</v>
          </cell>
          <cell r="G104">
            <v>2</v>
          </cell>
          <cell r="H104" t="str">
            <v>020197007773</v>
          </cell>
          <cell r="I104" t="str">
            <v>3</v>
          </cell>
          <cell r="K104" t="str">
            <v>003714/LS-CCHN</v>
          </cell>
          <cell r="L104" t="str">
            <v>20200522</v>
          </cell>
          <cell r="M104" t="str">
            <v>Sở Y tế tỉnh Lạng Sơn</v>
          </cell>
          <cell r="N104" t="str">
            <v>302</v>
          </cell>
        </row>
        <row r="105">
          <cell r="A105" t="str">
            <v>BV0984</v>
          </cell>
          <cell r="D105" t="str">
            <v>K04;02.04</v>
          </cell>
          <cell r="E105" t="str">
            <v>Khoa Nội tim mạch;Nội Tim mạch</v>
          </cell>
          <cell r="F105" t="str">
            <v>Dương Thị Yên</v>
          </cell>
          <cell r="G105">
            <v>2</v>
          </cell>
          <cell r="H105" t="str">
            <v>020198006758</v>
          </cell>
          <cell r="I105" t="str">
            <v>3</v>
          </cell>
          <cell r="K105" t="str">
            <v>004340/LS-CCHN</v>
          </cell>
          <cell r="L105" t="str">
            <v>20210817</v>
          </cell>
          <cell r="M105" t="str">
            <v>Sở Y tế tỉnh Lạng Sơn</v>
          </cell>
          <cell r="N105" t="str">
            <v>302</v>
          </cell>
        </row>
        <row r="106">
          <cell r="A106" t="str">
            <v>BV0032</v>
          </cell>
          <cell r="D106" t="str">
            <v>K04;02.04</v>
          </cell>
          <cell r="E106" t="str">
            <v>Khoa Nội tim mạch;Nội Tim mạch</v>
          </cell>
          <cell r="F106" t="str">
            <v>Nguyễn Huyền Trang</v>
          </cell>
          <cell r="G106">
            <v>2</v>
          </cell>
          <cell r="H106" t="str">
            <v>030191013549</v>
          </cell>
          <cell r="I106" t="str">
            <v>3</v>
          </cell>
          <cell r="K106" t="str">
            <v>000391/LS-CCHN</v>
          </cell>
          <cell r="L106" t="str">
            <v>20160601</v>
          </cell>
          <cell r="M106" t="str">
            <v>Sở Y tế tỉnh Lạng Sơn</v>
          </cell>
          <cell r="N106" t="str">
            <v>302</v>
          </cell>
        </row>
        <row r="107">
          <cell r="A107" t="str">
            <v>BV0079</v>
          </cell>
          <cell r="D107" t="str">
            <v>K04;02.04</v>
          </cell>
          <cell r="E107" t="str">
            <v>Khoa Nội tim mạch;Nội Tim mạch</v>
          </cell>
          <cell r="F107" t="str">
            <v>Nguyễn Văn Hưng</v>
          </cell>
          <cell r="G107">
            <v>1</v>
          </cell>
          <cell r="H107" t="str">
            <v>020083003106</v>
          </cell>
          <cell r="I107" t="str">
            <v>3</v>
          </cell>
          <cell r="K107" t="str">
            <v>004375/LS-CCHN</v>
          </cell>
          <cell r="L107" t="str">
            <v>20211105</v>
          </cell>
          <cell r="M107" t="str">
            <v>Sở Y tế tỉnh Lạng Sơn</v>
          </cell>
          <cell r="N107" t="str">
            <v>301</v>
          </cell>
        </row>
        <row r="108">
          <cell r="A108" t="str">
            <v>BV0780</v>
          </cell>
          <cell r="D108" t="str">
            <v>K04;02.04</v>
          </cell>
          <cell r="E108" t="str">
            <v>Khoa Nội tim mạch;Nội Tim mạch</v>
          </cell>
          <cell r="F108" t="str">
            <v>Nguyễn Thị Hường</v>
          </cell>
          <cell r="G108">
            <v>2</v>
          </cell>
          <cell r="H108" t="str">
            <v>020193000513</v>
          </cell>
          <cell r="I108" t="str">
            <v>3</v>
          </cell>
          <cell r="K108" t="str">
            <v>003387/LS-CCHN</v>
          </cell>
          <cell r="L108" t="str">
            <v>20181121</v>
          </cell>
          <cell r="M108" t="str">
            <v>Sở Y tế tỉnh Lạng Sơn</v>
          </cell>
          <cell r="N108" t="str">
            <v>302</v>
          </cell>
        </row>
        <row r="109">
          <cell r="A109" t="str">
            <v>BV0915</v>
          </cell>
          <cell r="D109" t="str">
            <v>K4849;K04;02.04</v>
          </cell>
          <cell r="E109" t="str">
            <v>Khoa Hồi sức tích cực - Chống độc;Khoa Nội tim mạch;Nội Tim mạch</v>
          </cell>
          <cell r="F109" t="str">
            <v>Chu Mạnh Dũng</v>
          </cell>
          <cell r="G109">
            <v>1</v>
          </cell>
          <cell r="H109" t="str">
            <v>020092002324</v>
          </cell>
          <cell r="I109" t="str">
            <v>3</v>
          </cell>
          <cell r="K109" t="str">
            <v>005685/LS-CCHN</v>
          </cell>
          <cell r="L109" t="str">
            <v>20230918</v>
          </cell>
          <cell r="M109" t="str">
            <v>Sở Y tế tỉnh Lạng Sơn</v>
          </cell>
          <cell r="N109" t="str">
            <v>302</v>
          </cell>
        </row>
        <row r="110">
          <cell r="A110" t="str">
            <v>BV1330</v>
          </cell>
          <cell r="D110" t="str">
            <v>K4849;K04;02.04</v>
          </cell>
          <cell r="E110" t="str">
            <v>Khoa Hồi sức tích cực - Chống độc;Khoa Nội tim mạch;Nội Tim mạch</v>
          </cell>
          <cell r="F110" t="str">
            <v>Vi Thị Bình</v>
          </cell>
          <cell r="G110">
            <v>2</v>
          </cell>
          <cell r="H110" t="str">
            <v>020303003694</v>
          </cell>
          <cell r="I110" t="str">
            <v>3</v>
          </cell>
          <cell r="K110" t="str">
            <v>000343/LS-GPHN</v>
          </cell>
          <cell r="L110">
            <v>20250905</v>
          </cell>
          <cell r="M110" t="str">
            <v>Sở Y tế tỉnh Lạng Sơn</v>
          </cell>
          <cell r="N110" t="str">
            <v>302</v>
          </cell>
        </row>
        <row r="111">
          <cell r="A111" t="str">
            <v>BV0777</v>
          </cell>
          <cell r="D111" t="str">
            <v>K03;02.03;02.06;02.08</v>
          </cell>
          <cell r="E111" t="str">
            <v>Khoa Nội Tổng hợp;Nội Tổng hợp;Nội cơ - xương - khớp;Nội tiết</v>
          </cell>
          <cell r="F111" t="str">
            <v>Bế Thị Ly La</v>
          </cell>
          <cell r="G111">
            <v>2</v>
          </cell>
          <cell r="H111" t="str">
            <v>020192000497</v>
          </cell>
          <cell r="I111" t="str">
            <v>1</v>
          </cell>
          <cell r="K111" t="str">
            <v>003440/LS-CCHN</v>
          </cell>
          <cell r="L111" t="str">
            <v>20190821</v>
          </cell>
          <cell r="M111" t="str">
            <v>Sở Y tế tỉnh Lạng Sơn</v>
          </cell>
          <cell r="N111" t="str">
            <v>102</v>
          </cell>
          <cell r="P111" t="str">
            <v>01.0002</v>
          </cell>
        </row>
        <row r="112">
          <cell r="A112" t="str">
            <v>BV0005</v>
          </cell>
          <cell r="D112" t="str">
            <v>K03;02.03;02.06;02.08</v>
          </cell>
          <cell r="E112" t="str">
            <v>Khoa Nội Tổng hợp;Nội Tổng hợp;Nội cơ - xương - khớp;Nội tiết</v>
          </cell>
          <cell r="F112" t="str">
            <v>Hoàng Văn Hiệp</v>
          </cell>
          <cell r="G112">
            <v>1</v>
          </cell>
          <cell r="H112" t="str">
            <v>020068001744</v>
          </cell>
          <cell r="I112" t="str">
            <v>1</v>
          </cell>
          <cell r="K112" t="str">
            <v>000428/LS-CCHN</v>
          </cell>
          <cell r="L112" t="str">
            <v>20160718</v>
          </cell>
          <cell r="M112" t="str">
            <v>Sở Y tế tỉnh Lạng Sơn</v>
          </cell>
          <cell r="N112" t="str">
            <v>102</v>
          </cell>
          <cell r="P112" t="str">
            <v>01.0002</v>
          </cell>
        </row>
        <row r="113">
          <cell r="A113" t="str">
            <v>BV0957</v>
          </cell>
          <cell r="D113" t="str">
            <v>K03;02.03;02.06;02.08</v>
          </cell>
          <cell r="E113" t="str">
            <v>Khoa Nội Tổng hợp;Nội Tổng hợp;Nội cơ - xương - khớp;Nội tiết</v>
          </cell>
          <cell r="F113" t="str">
            <v>Phương Thanh Tâm</v>
          </cell>
          <cell r="G113">
            <v>2</v>
          </cell>
          <cell r="H113" t="str">
            <v>020193002197</v>
          </cell>
          <cell r="I113" t="str">
            <v>1</v>
          </cell>
          <cell r="K113" t="str">
            <v>004378/LS-CCHN</v>
          </cell>
          <cell r="L113" t="str">
            <v>20211105</v>
          </cell>
          <cell r="M113" t="str">
            <v>Sở Y tế tỉnh Lạng Sơn</v>
          </cell>
          <cell r="N113" t="str">
            <v>102</v>
          </cell>
        </row>
        <row r="114">
          <cell r="A114" t="str">
            <v>BV0980</v>
          </cell>
          <cell r="D114" t="str">
            <v>K03;02.03;02.06;02.08</v>
          </cell>
          <cell r="E114" t="str">
            <v>Khoa Nội Tổng hợp;Nội Tổng hợp;Nội cơ - xương - khớp;Nội tiết</v>
          </cell>
          <cell r="F114" t="str">
            <v>Chu Đức Thịnh</v>
          </cell>
          <cell r="G114">
            <v>1</v>
          </cell>
          <cell r="H114" t="str">
            <v>020097001294</v>
          </cell>
          <cell r="I114" t="str">
            <v>3</v>
          </cell>
          <cell r="K114" t="str">
            <v>004312/LS-CCHN</v>
          </cell>
          <cell r="L114" t="str">
            <v>20210720</v>
          </cell>
          <cell r="M114" t="str">
            <v>Sở Y tế tỉnh Lạng Sơn</v>
          </cell>
          <cell r="N114" t="str">
            <v>302</v>
          </cell>
        </row>
        <row r="115">
          <cell r="A115" t="str">
            <v>BV0782</v>
          </cell>
          <cell r="D115" t="str">
            <v>K03;02.03;02.06;02.08</v>
          </cell>
          <cell r="E115" t="str">
            <v>Khoa Nội Tổng hợp;Nội Tổng hợp;Nội cơ - xương - khớp;Nội tiết</v>
          </cell>
          <cell r="F115" t="str">
            <v>Chu Thị Phượng</v>
          </cell>
          <cell r="G115">
            <v>2</v>
          </cell>
          <cell r="H115" t="str">
            <v>020194007387</v>
          </cell>
          <cell r="I115" t="str">
            <v>3</v>
          </cell>
          <cell r="K115" t="str">
            <v>003377/LS-CCHN</v>
          </cell>
          <cell r="L115" t="str">
            <v>20181017</v>
          </cell>
          <cell r="M115" t="str">
            <v>Sở Y tế tỉnh Lạng Sơn</v>
          </cell>
          <cell r="N115" t="str">
            <v>302</v>
          </cell>
        </row>
        <row r="116">
          <cell r="A116" t="str">
            <v>BV0117</v>
          </cell>
          <cell r="D116" t="str">
            <v>K03;02.03;02.06;02.08</v>
          </cell>
          <cell r="E116" t="str">
            <v>Khoa Nội Tổng hợp;Nội Tổng hợp;Nội cơ - xương - khớp;Nội tiết</v>
          </cell>
          <cell r="F116" t="str">
            <v>Ba Thị Quyên</v>
          </cell>
          <cell r="G116">
            <v>2</v>
          </cell>
          <cell r="H116" t="str">
            <v>020186009139</v>
          </cell>
          <cell r="I116" t="str">
            <v>3</v>
          </cell>
          <cell r="K116" t="str">
            <v>001347/LS-CCHN</v>
          </cell>
          <cell r="L116" t="str">
            <v>20230111</v>
          </cell>
          <cell r="M116" t="str">
            <v>Sở Y tế tỉnh Lạng Sơn</v>
          </cell>
          <cell r="N116" t="str">
            <v>302</v>
          </cell>
        </row>
        <row r="117">
          <cell r="A117" t="str">
            <v>BV0977</v>
          </cell>
          <cell r="D117" t="str">
            <v>K03;02.03;02.06;02.08</v>
          </cell>
          <cell r="E117" t="str">
            <v>Khoa Nội Tổng hợp;Nội Tổng hợp;Nội cơ - xương - khớp;Nội tiết</v>
          </cell>
          <cell r="F117" t="str">
            <v>Hoàng Kim Tuyến</v>
          </cell>
          <cell r="G117">
            <v>2</v>
          </cell>
          <cell r="H117" t="str">
            <v>020197005550</v>
          </cell>
          <cell r="I117" t="str">
            <v>3</v>
          </cell>
          <cell r="K117" t="str">
            <v>004306/LS-CCHN</v>
          </cell>
          <cell r="L117" t="str">
            <v>20210720</v>
          </cell>
          <cell r="M117" t="str">
            <v>Sở Y tế tỉnh Lạng Sơn</v>
          </cell>
          <cell r="N117" t="str">
            <v>302</v>
          </cell>
        </row>
        <row r="118">
          <cell r="A118" t="str">
            <v>BV0143</v>
          </cell>
          <cell r="D118" t="str">
            <v>K03;02.03;02.06;02.08</v>
          </cell>
          <cell r="E118" t="str">
            <v>Khoa Nội Tổng hợp;Nội Tổng hợp;Nội cơ - xương - khớp;Nội tiết</v>
          </cell>
          <cell r="F118" t="str">
            <v>Mã Thị Thu</v>
          </cell>
          <cell r="G118">
            <v>2</v>
          </cell>
          <cell r="H118" t="str">
            <v>020187002661</v>
          </cell>
          <cell r="I118" t="str">
            <v>3</v>
          </cell>
          <cell r="K118" t="str">
            <v>000817/LS-CCHN</v>
          </cell>
          <cell r="L118" t="str">
            <v>20230111</v>
          </cell>
          <cell r="M118" t="str">
            <v>Sở Y tế tỉnh Lạng Sơn</v>
          </cell>
          <cell r="N118" t="str">
            <v>302</v>
          </cell>
        </row>
        <row r="119">
          <cell r="A119" t="str">
            <v>BV0138</v>
          </cell>
          <cell r="D119" t="str">
            <v>K03;02.03;02.06;02.08</v>
          </cell>
          <cell r="E119" t="str">
            <v>Khoa Nội Tổng hợp;Nội Tổng hợp;Nội cơ - xương - khớp;Nội tiết</v>
          </cell>
          <cell r="F119" t="str">
            <v>Nguyễn Thị Liên</v>
          </cell>
          <cell r="G119">
            <v>2</v>
          </cell>
          <cell r="H119" t="str">
            <v>020186011783</v>
          </cell>
          <cell r="I119" t="str">
            <v>3</v>
          </cell>
          <cell r="K119" t="str">
            <v>000835/LS-CCHN</v>
          </cell>
          <cell r="L119" t="str">
            <v>20230111</v>
          </cell>
          <cell r="M119" t="str">
            <v>Sở Y tế tỉnh Lạng Sơn</v>
          </cell>
          <cell r="N119" t="str">
            <v>302</v>
          </cell>
        </row>
        <row r="120">
          <cell r="A120" t="str">
            <v>BV0020</v>
          </cell>
          <cell r="D120" t="str">
            <v>K03;02.03;02.06;02.08</v>
          </cell>
          <cell r="E120" t="str">
            <v>Khoa Nội Tổng hợp;Nội Tổng hợp;Nội cơ - xương - khớp;Nội tiết</v>
          </cell>
          <cell r="F120" t="str">
            <v>Nguyễn Thị Hiền</v>
          </cell>
          <cell r="G120">
            <v>2</v>
          </cell>
          <cell r="H120" t="str">
            <v>020184009125</v>
          </cell>
          <cell r="I120" t="str">
            <v>3</v>
          </cell>
          <cell r="K120" t="str">
            <v>000746/LS-CCHN</v>
          </cell>
          <cell r="L120" t="str">
            <v>20230111</v>
          </cell>
          <cell r="M120" t="str">
            <v>Sở Y tế tỉnh Lạng Sơn</v>
          </cell>
          <cell r="N120" t="str">
            <v>302</v>
          </cell>
        </row>
        <row r="121">
          <cell r="A121" t="str">
            <v>BV0098</v>
          </cell>
          <cell r="D121" t="str">
            <v>K03;02.03;02.06;02.08</v>
          </cell>
          <cell r="E121" t="str">
            <v>Khoa Nội Tổng hợp;Nội Tổng hợp;Nội cơ - xương - khớp;Nội tiết</v>
          </cell>
          <cell r="F121" t="str">
            <v>Nguyễn Kim Chung</v>
          </cell>
          <cell r="G121">
            <v>2</v>
          </cell>
          <cell r="H121" t="str">
            <v>020169007770</v>
          </cell>
          <cell r="I121" t="str">
            <v>3</v>
          </cell>
          <cell r="K121" t="str">
            <v>000809/LS-CCHN</v>
          </cell>
          <cell r="L121" t="str">
            <v>20130624</v>
          </cell>
          <cell r="M121" t="str">
            <v>Sở Y tế tỉnh Lạng Sơn</v>
          </cell>
          <cell r="N121" t="str">
            <v>301</v>
          </cell>
        </row>
        <row r="122">
          <cell r="A122" t="str">
            <v>BV0343</v>
          </cell>
          <cell r="D122" t="str">
            <v>K03;02.03;02.06;02.08</v>
          </cell>
          <cell r="E122" t="str">
            <v>Khoa Nội Tổng hợp;Nội Tổng hợp;Nội cơ - xương - khớp;Nội tiết</v>
          </cell>
          <cell r="F122" t="str">
            <v>Đoàn Thị Thanh Thúy</v>
          </cell>
          <cell r="G122">
            <v>2</v>
          </cell>
          <cell r="H122" t="str">
            <v>037179008631</v>
          </cell>
          <cell r="I122" t="str">
            <v>3</v>
          </cell>
          <cell r="K122" t="str">
            <v>001234/LS-CCHN</v>
          </cell>
          <cell r="L122" t="str">
            <v>20130719</v>
          </cell>
          <cell r="M122" t="str">
            <v>Sở Y tế tỉnh Lạng Sơn</v>
          </cell>
          <cell r="N122" t="str">
            <v>301</v>
          </cell>
        </row>
        <row r="123">
          <cell r="A123" t="str">
            <v>BV0366</v>
          </cell>
          <cell r="D123" t="str">
            <v>K03;02.03;02.06;02.08</v>
          </cell>
          <cell r="E123" t="str">
            <v>Khoa Nội Tổng hợp;Nội Tổng hợp;Nội cơ - xương - khớp;Nội tiết</v>
          </cell>
          <cell r="F123" t="str">
            <v>Hoàng Quốc Hưởng</v>
          </cell>
          <cell r="G123">
            <v>1</v>
          </cell>
          <cell r="H123" t="str">
            <v>020082001010</v>
          </cell>
          <cell r="I123" t="str">
            <v>1</v>
          </cell>
          <cell r="K123" t="str">
            <v>000044/LS-GPHN</v>
          </cell>
          <cell r="L123">
            <v>20240624</v>
          </cell>
          <cell r="M123" t="str">
            <v>Sở Y tế tỉnh Lạng Sơn</v>
          </cell>
          <cell r="N123" t="str">
            <v>102</v>
          </cell>
        </row>
        <row r="124">
          <cell r="A124" t="str">
            <v>BV0068</v>
          </cell>
          <cell r="D124" t="str">
            <v>K03;02.03;02.06;02.08</v>
          </cell>
          <cell r="E124" t="str">
            <v>Khoa Nội Tổng hợp;Nội Tổng hợp;Nội cơ - xương - khớp;Nội tiết</v>
          </cell>
          <cell r="F124" t="str">
            <v>Hoàng Thị Nga</v>
          </cell>
          <cell r="G124">
            <v>2</v>
          </cell>
          <cell r="H124" t="str">
            <v>020188006649</v>
          </cell>
          <cell r="I124" t="str">
            <v>3</v>
          </cell>
          <cell r="K124" t="str">
            <v>000786/LS-CCHN</v>
          </cell>
          <cell r="L124" t="str">
            <v>20230111</v>
          </cell>
          <cell r="M124" t="str">
            <v>Sở Y tế tỉnh Lạng Sơn</v>
          </cell>
          <cell r="N124" t="str">
            <v>302</v>
          </cell>
        </row>
        <row r="125">
          <cell r="A125" t="str">
            <v>BV1296</v>
          </cell>
          <cell r="D125" t="str">
            <v>K4849;K03;02.03;02.06;02.08</v>
          </cell>
          <cell r="E125" t="str">
            <v>Khoa Hồi sức tích cực - Chống độc;Khoa Nội Tổng hợp;Nội Tổng hợp;Nội cơ - xương - khớp;Nội tiết</v>
          </cell>
          <cell r="F125" t="str">
            <v>Hoàng Thị Năm</v>
          </cell>
          <cell r="G125">
            <v>2</v>
          </cell>
          <cell r="H125" t="str">
            <v>020301000202</v>
          </cell>
          <cell r="I125" t="str">
            <v>3</v>
          </cell>
          <cell r="K125" t="str">
            <v>000299/LS-GPHN</v>
          </cell>
          <cell r="L125">
            <v>20250711</v>
          </cell>
          <cell r="M125" t="str">
            <v>Sở Y tế tỉnh Lạng Sơn</v>
          </cell>
          <cell r="N125" t="str">
            <v>302</v>
          </cell>
        </row>
        <row r="126">
          <cell r="A126" t="str">
            <v>BV0101</v>
          </cell>
          <cell r="D126" t="str">
            <v>K4849;K03;02.03;02.06;02.08</v>
          </cell>
          <cell r="E126" t="str">
            <v>Khoa Hồi sức tích cực - Chống độc;Khoa Nội Tổng hợp;Nội Tổng hợp;Nội cơ - xương - khớp;Nội tiết</v>
          </cell>
          <cell r="F126" t="str">
            <v>Đàm Thùy Mai</v>
          </cell>
          <cell r="G126">
            <v>2</v>
          </cell>
          <cell r="H126" t="str">
            <v>020191012426</v>
          </cell>
          <cell r="I126" t="str">
            <v>3</v>
          </cell>
          <cell r="K126" t="str">
            <v>000116/LS-GPHN</v>
          </cell>
          <cell r="L126">
            <v>20240807</v>
          </cell>
          <cell r="M126" t="str">
            <v>Sở Y tế tỉnh Lạng Sơn</v>
          </cell>
          <cell r="N126" t="str">
            <v>301</v>
          </cell>
        </row>
        <row r="127">
          <cell r="A127" t="str">
            <v>BV1257</v>
          </cell>
          <cell r="D127" t="str">
            <v>K03;02.03;02.06;02.08</v>
          </cell>
          <cell r="E127" t="str">
            <v>Khoa Nội Tổng hợp;Nội Tổng hợp;Nội cơ - xương - khớp;Nội tiết</v>
          </cell>
          <cell r="F127" t="str">
            <v>Vũ Phong Toàn</v>
          </cell>
          <cell r="G127">
            <v>1</v>
          </cell>
          <cell r="H127" t="str">
            <v>020099005502</v>
          </cell>
          <cell r="I127" t="str">
            <v>1</v>
          </cell>
          <cell r="K127" t="str">
            <v>000311/LS-GPHN</v>
          </cell>
          <cell r="L127">
            <v>20250807</v>
          </cell>
          <cell r="M127" t="str">
            <v>Sở Y tế tỉnh Lạng Sơn</v>
          </cell>
          <cell r="N127" t="str">
            <v>102</v>
          </cell>
        </row>
        <row r="128">
          <cell r="A128" t="str">
            <v>BV1274</v>
          </cell>
          <cell r="D128" t="str">
            <v>K03;02.03;02.06;02.08</v>
          </cell>
          <cell r="E128" t="str">
            <v>Khoa Nội Tổng hợp;Nội Tổng hợp;Nội cơ - xương - khớp;Nội tiết</v>
          </cell>
          <cell r="F128" t="str">
            <v>Phan Thị Ái Vân</v>
          </cell>
          <cell r="G128">
            <v>2</v>
          </cell>
          <cell r="H128" t="str">
            <v>020194006233</v>
          </cell>
          <cell r="I128" t="str">
            <v>3</v>
          </cell>
          <cell r="K128" t="str">
            <v>000292/LS-GPHN</v>
          </cell>
          <cell r="L128">
            <v>20250711</v>
          </cell>
          <cell r="M128" t="str">
            <v>Sở Y tế tỉnh Lạng Sơn</v>
          </cell>
          <cell r="N128" t="str">
            <v>302</v>
          </cell>
        </row>
        <row r="129">
          <cell r="A129" t="str">
            <v>BV1340</v>
          </cell>
          <cell r="D129" t="str">
            <v>K03;02.03;02.06;02.08</v>
          </cell>
          <cell r="E129" t="str">
            <v>Khoa Nội Tổng hợp;Nội Tổng hợp;Nội cơ - xương - khớp;Nội tiết</v>
          </cell>
          <cell r="F129" t="str">
            <v>Trịnh Vân Trang</v>
          </cell>
          <cell r="G129">
            <v>2</v>
          </cell>
          <cell r="H129" t="str">
            <v>020199003451</v>
          </cell>
          <cell r="I129" t="str">
            <v>1</v>
          </cell>
          <cell r="K129" t="str">
            <v>000381/LS-GPHN</v>
          </cell>
          <cell r="L129">
            <v>20251010</v>
          </cell>
          <cell r="M129" t="str">
            <v>Sở Y tế tỉnh Lạng Sơn</v>
          </cell>
          <cell r="N129" t="str">
            <v>132</v>
          </cell>
        </row>
        <row r="130">
          <cell r="A130" t="str">
            <v>BV0051</v>
          </cell>
          <cell r="D130" t="str">
            <v>K03;02.03;02.06;02.08</v>
          </cell>
          <cell r="E130" t="str">
            <v>Khoa Nội Tổng hợp;Nội Tổng hợp;Nội cơ - xương - khớp;Nội tiết</v>
          </cell>
          <cell r="F130" t="str">
            <v>Đỗ Quang Hiếu</v>
          </cell>
          <cell r="G130">
            <v>1</v>
          </cell>
          <cell r="H130" t="str">
            <v>020090004711</v>
          </cell>
          <cell r="I130" t="str">
            <v>1</v>
          </cell>
          <cell r="J130" t="str">
            <v>2</v>
          </cell>
          <cell r="K130" t="str">
            <v>000543/LS-CCHN</v>
          </cell>
          <cell r="L130" t="str">
            <v>20161013</v>
          </cell>
          <cell r="M130" t="str">
            <v>Sở Y tế tỉnh Lạng Sơn</v>
          </cell>
          <cell r="N130" t="str">
            <v>102;101</v>
          </cell>
          <cell r="O130" t="str">
            <v>20250923_1712/QĐ-SYT</v>
          </cell>
          <cell r="P130" t="str">
            <v>01.0174;01.0175</v>
          </cell>
        </row>
        <row r="131">
          <cell r="A131" t="str">
            <v>BV0147</v>
          </cell>
          <cell r="D131" t="str">
            <v>K0735;02.07;02.10</v>
          </cell>
          <cell r="E131" t="str">
            <v>Khoa Nội Thận - Tiết niệu - Lọc máu;Nội thận - Tiết niệu; Huyết học</v>
          </cell>
          <cell r="F131" t="str">
            <v>Đinh Thị Nghĩa</v>
          </cell>
          <cell r="G131">
            <v>2</v>
          </cell>
          <cell r="H131" t="str">
            <v>037190012646</v>
          </cell>
          <cell r="I131" t="str">
            <v>3</v>
          </cell>
          <cell r="K131" t="str">
            <v>000394/LS-CCHN</v>
          </cell>
          <cell r="L131" t="str">
            <v>20160601</v>
          </cell>
          <cell r="M131" t="str">
            <v>Sở Y tế tỉnh Lạng Sơn</v>
          </cell>
          <cell r="N131" t="str">
            <v>301</v>
          </cell>
        </row>
        <row r="132">
          <cell r="A132" t="str">
            <v>BV0157</v>
          </cell>
          <cell r="D132" t="str">
            <v>K0735;02.07;02.10</v>
          </cell>
          <cell r="E132" t="str">
            <v>Khoa Nội Thận - Tiết niệu - Lọc máu;Nội thận - Tiết niệu; Huyết học</v>
          </cell>
          <cell r="F132" t="str">
            <v>Hoàng Thị Lý</v>
          </cell>
          <cell r="G132">
            <v>2</v>
          </cell>
          <cell r="H132" t="str">
            <v>020185005333</v>
          </cell>
          <cell r="I132" t="str">
            <v>3</v>
          </cell>
          <cell r="K132" t="str">
            <v>000842/LS-CCHN</v>
          </cell>
          <cell r="L132" t="str">
            <v>20230111</v>
          </cell>
          <cell r="M132" t="str">
            <v>Sở Y tế tỉnh Lạng Sơn</v>
          </cell>
          <cell r="N132" t="str">
            <v>302</v>
          </cell>
        </row>
        <row r="133">
          <cell r="A133" t="str">
            <v>BV0152</v>
          </cell>
          <cell r="D133" t="str">
            <v>K0735;02.07;02.10</v>
          </cell>
          <cell r="E133" t="str">
            <v>Khoa Nội Thận - Tiết niệu - Lọc máu;Nội thận - Tiết niệu; Huyết học</v>
          </cell>
          <cell r="F133" t="str">
            <v>Hoàng Thị Thắm</v>
          </cell>
          <cell r="G133">
            <v>2</v>
          </cell>
          <cell r="H133" t="str">
            <v>020186007434</v>
          </cell>
          <cell r="I133" t="str">
            <v>3</v>
          </cell>
          <cell r="K133" t="str">
            <v>000843/LS-CCHN</v>
          </cell>
          <cell r="L133" t="str">
            <v>20230111</v>
          </cell>
          <cell r="M133" t="str">
            <v>Sở Y tế tỉnh Lạng Sơn</v>
          </cell>
          <cell r="N133" t="str">
            <v>302</v>
          </cell>
        </row>
        <row r="134">
          <cell r="A134" t="str">
            <v>BV0158</v>
          </cell>
          <cell r="D134" t="str">
            <v>K0735;02.07;02.10</v>
          </cell>
          <cell r="E134" t="str">
            <v>Khoa Nội Thận - Tiết niệu - Lọc máu;Nội thận - Tiết niệu; Huyết học</v>
          </cell>
          <cell r="F134" t="str">
            <v>Ma Thị Nhung</v>
          </cell>
          <cell r="G134">
            <v>2</v>
          </cell>
          <cell r="H134" t="str">
            <v>020186007494</v>
          </cell>
          <cell r="I134" t="str">
            <v>3</v>
          </cell>
          <cell r="K134" t="str">
            <v>000849/LS-CCHN</v>
          </cell>
          <cell r="L134" t="str">
            <v>20130624</v>
          </cell>
          <cell r="M134" t="str">
            <v>Sở Y tế tỉnh Lạng Sơn</v>
          </cell>
          <cell r="N134" t="str">
            <v>302</v>
          </cell>
        </row>
        <row r="135">
          <cell r="A135" t="str">
            <v>BV0156</v>
          </cell>
          <cell r="D135" t="str">
            <v>K0735;02.07;02.10</v>
          </cell>
          <cell r="E135" t="str">
            <v>Khoa Nội Thận - Tiết niệu - Lọc máu;Nội thận - Tiết niệu; Huyết học</v>
          </cell>
          <cell r="F135" t="str">
            <v>Nông Công Trọng</v>
          </cell>
          <cell r="G135">
            <v>1</v>
          </cell>
          <cell r="H135" t="str">
            <v>020084001194</v>
          </cell>
          <cell r="I135" t="str">
            <v>3</v>
          </cell>
          <cell r="K135" t="str">
            <v>000847/LS-CCHN</v>
          </cell>
          <cell r="L135" t="str">
            <v>20230111</v>
          </cell>
          <cell r="M135" t="str">
            <v>Sở Y tế tỉnh Lạng Sơn</v>
          </cell>
          <cell r="N135" t="str">
            <v>302</v>
          </cell>
        </row>
        <row r="136">
          <cell r="A136" t="str">
            <v>BV0151</v>
          </cell>
          <cell r="D136" t="str">
            <v>K0735;02.07;02.10</v>
          </cell>
          <cell r="E136" t="str">
            <v>Khoa Nội Thận - Tiết niệu - Lọc máu;Nội thận - Tiết niệu; Huyết học</v>
          </cell>
          <cell r="F136" t="str">
            <v>Thi Văn Hiển</v>
          </cell>
          <cell r="G136">
            <v>1</v>
          </cell>
          <cell r="H136" t="str">
            <v>020079001584</v>
          </cell>
          <cell r="I136" t="str">
            <v>3</v>
          </cell>
          <cell r="K136" t="str">
            <v>000397/LS-CCHN</v>
          </cell>
          <cell r="L136" t="str">
            <v>20230111</v>
          </cell>
          <cell r="M136" t="str">
            <v>Sở Y tế tỉnh Lạng Sơn</v>
          </cell>
          <cell r="N136" t="str">
            <v>301</v>
          </cell>
        </row>
        <row r="137">
          <cell r="A137" t="str">
            <v>BV1142</v>
          </cell>
          <cell r="D137" t="str">
            <v>K0735;02.07;02.10</v>
          </cell>
          <cell r="E137" t="str">
            <v>Khoa Nội Thận - Tiết niệu - Lọc máu;Nội thận - Tiết niệu; Huyết học</v>
          </cell>
          <cell r="F137" t="str">
            <v>Nông Hải Yến</v>
          </cell>
          <cell r="G137">
            <v>2</v>
          </cell>
          <cell r="H137" t="str">
            <v>020192002657</v>
          </cell>
          <cell r="I137" t="str">
            <v>3</v>
          </cell>
          <cell r="K137" t="str">
            <v>000342/LS-CCHN</v>
          </cell>
          <cell r="L137" t="str">
            <v>20230111</v>
          </cell>
          <cell r="M137" t="str">
            <v>Sở Y tế tỉnh Lạng Sơn</v>
          </cell>
          <cell r="N137" t="str">
            <v>302</v>
          </cell>
        </row>
        <row r="138">
          <cell r="A138" t="str">
            <v>BV0981</v>
          </cell>
          <cell r="D138" t="str">
            <v>K0735;02.07;02.10</v>
          </cell>
          <cell r="E138" t="str">
            <v>Khoa Nội Thận - Tiết niệu - Lọc máu;Nội thận - Tiết niệu; Huyết học</v>
          </cell>
          <cell r="F138" t="str">
            <v>Vi Thị Duyên</v>
          </cell>
          <cell r="G138">
            <v>2</v>
          </cell>
          <cell r="H138" t="str">
            <v>020197008661</v>
          </cell>
          <cell r="I138" t="str">
            <v>3</v>
          </cell>
          <cell r="K138" t="str">
            <v>004330/LS-CCHN</v>
          </cell>
          <cell r="L138" t="str">
            <v>20210720</v>
          </cell>
          <cell r="M138" t="str">
            <v>Sở Y tế tỉnh Lạng Sơn</v>
          </cell>
          <cell r="N138" t="str">
            <v>302</v>
          </cell>
        </row>
        <row r="139">
          <cell r="A139" t="str">
            <v>BV1083</v>
          </cell>
          <cell r="D139" t="str">
            <v>K0735;02.07;02.10</v>
          </cell>
          <cell r="E139" t="str">
            <v>Khoa Nội Thận - Tiết niệu - Lọc máu;Nội thận - Tiết niệu; Huyết học</v>
          </cell>
          <cell r="F139" t="str">
            <v>Lục Thị Mì</v>
          </cell>
          <cell r="G139">
            <v>2</v>
          </cell>
          <cell r="H139" t="str">
            <v>020193005692</v>
          </cell>
          <cell r="I139" t="str">
            <v>03</v>
          </cell>
          <cell r="K139" t="str">
            <v>004487/LS-CCHN</v>
          </cell>
          <cell r="L139" t="str">
            <v>20220314</v>
          </cell>
          <cell r="M139" t="str">
            <v>Sở Y tế tỉnh Lạng Sơn</v>
          </cell>
          <cell r="N139" t="str">
            <v>302</v>
          </cell>
        </row>
        <row r="140">
          <cell r="A140" t="str">
            <v>BV0906</v>
          </cell>
          <cell r="D140" t="str">
            <v>K0735;02.07;02.10</v>
          </cell>
          <cell r="E140" t="str">
            <v>Khoa Nội Thận - Tiết niệu - Lọc máu;Nội thận - Tiết niệu; Huyết học</v>
          </cell>
          <cell r="F140" t="str">
            <v>Đinh Việt Nghĩa</v>
          </cell>
          <cell r="G140">
            <v>1</v>
          </cell>
          <cell r="H140" t="str">
            <v>020093009760</v>
          </cell>
          <cell r="I140" t="str">
            <v>3</v>
          </cell>
          <cell r="K140" t="str">
            <v>005574/LS-CCHN</v>
          </cell>
          <cell r="L140" t="str">
            <v>20230427</v>
          </cell>
          <cell r="M140" t="str">
            <v>Sở Y tế tỉnh Lạng Sơn</v>
          </cell>
          <cell r="N140" t="str">
            <v>302</v>
          </cell>
        </row>
        <row r="141">
          <cell r="A141" t="str">
            <v>BV0784</v>
          </cell>
          <cell r="D141" t="str">
            <v>K0735;02.07;02.10</v>
          </cell>
          <cell r="E141" t="str">
            <v>Khoa Nội Thận - Tiết niệu - Lọc máu;Nội thận - Tiết niệu; Huyết học</v>
          </cell>
          <cell r="F141" t="str">
            <v>Phạm Thu Thùy</v>
          </cell>
          <cell r="G141">
            <v>2</v>
          </cell>
          <cell r="H141" t="str">
            <v>020193002544</v>
          </cell>
          <cell r="I141" t="str">
            <v>3</v>
          </cell>
          <cell r="K141" t="str">
            <v>003335/LS-CCHN</v>
          </cell>
          <cell r="L141" t="str">
            <v>20180817</v>
          </cell>
          <cell r="M141" t="str">
            <v>Sở Y tế tỉnh Lạng Sơn</v>
          </cell>
          <cell r="N141" t="str">
            <v>302</v>
          </cell>
        </row>
        <row r="142">
          <cell r="A142" t="str">
            <v>BV0111</v>
          </cell>
          <cell r="D142" t="str">
            <v>K0735;02.07;02.10</v>
          </cell>
          <cell r="E142" t="str">
            <v>Khoa Nội Thận - Tiết niệu - Lọc máu;Nội thận - Tiết niệu; Huyết học</v>
          </cell>
          <cell r="F142" t="str">
            <v>Vương Quỳnh Chi</v>
          </cell>
          <cell r="G142">
            <v>2</v>
          </cell>
          <cell r="H142" t="str">
            <v>020185002828</v>
          </cell>
          <cell r="I142" t="str">
            <v>3</v>
          </cell>
          <cell r="K142" t="str">
            <v>000807/LS-CCHN</v>
          </cell>
          <cell r="L142" t="str">
            <v>20230111</v>
          </cell>
          <cell r="M142" t="str">
            <v>Sở Y tế tỉnh Lạng Sơn</v>
          </cell>
          <cell r="N142" t="str">
            <v>302</v>
          </cell>
        </row>
        <row r="143">
          <cell r="A143" t="str">
            <v>BV0192</v>
          </cell>
          <cell r="D143" t="str">
            <v>K0735;02.07;02.10</v>
          </cell>
          <cell r="E143" t="str">
            <v>Khoa Nội Thận - Tiết niệu - Lọc máu;Nội thận - Tiết niệu; Huyết học</v>
          </cell>
          <cell r="F143" t="str">
            <v>Phạm Thị Bình</v>
          </cell>
          <cell r="G143">
            <v>2</v>
          </cell>
          <cell r="H143" t="str">
            <v>020183009298</v>
          </cell>
          <cell r="I143" t="str">
            <v>3</v>
          </cell>
          <cell r="K143" t="str">
            <v>000925/LS-CCHN</v>
          </cell>
          <cell r="L143" t="str">
            <v>20230111</v>
          </cell>
          <cell r="M143" t="str">
            <v>Sở Y tế tỉnh Lạng Sơn</v>
          </cell>
          <cell r="N143" t="str">
            <v>302</v>
          </cell>
        </row>
        <row r="144">
          <cell r="A144" t="str">
            <v>BV0907</v>
          </cell>
          <cell r="D144" t="str">
            <v>K4849;K0735;02.07;02.10</v>
          </cell>
          <cell r="E144" t="str">
            <v>Khoa Hồi sức tích cực - Chống độc;Khoa Nội Thận - Tiết niệu - Lọc máu;Nội thận - Tiết niệu; Huyết học</v>
          </cell>
          <cell r="F144" t="str">
            <v>Hoàng Tuấn Hưởng</v>
          </cell>
          <cell r="G144">
            <v>1</v>
          </cell>
          <cell r="H144" t="str">
            <v>020094011125</v>
          </cell>
          <cell r="I144" t="str">
            <v>3</v>
          </cell>
          <cell r="K144" t="str">
            <v>003726/LS-CCHN</v>
          </cell>
          <cell r="L144" t="str">
            <v>20200522</v>
          </cell>
          <cell r="M144" t="str">
            <v>Sở Y tế tỉnh Lạng Sơn</v>
          </cell>
          <cell r="N144" t="str">
            <v>302</v>
          </cell>
        </row>
        <row r="145">
          <cell r="A145" t="str">
            <v>BV1054</v>
          </cell>
          <cell r="D145" t="str">
            <v>K4849;K0735;02.07;02.10</v>
          </cell>
          <cell r="E145" t="str">
            <v>Khoa Hồi sức tích cực - Chống độc;Khoa Nội Thận - Tiết niệu - Lọc máu;Nội thận - Tiết niệu; Huyết học</v>
          </cell>
          <cell r="F145" t="str">
            <v>Lâm Thị Hằng</v>
          </cell>
          <cell r="G145">
            <v>2</v>
          </cell>
          <cell r="H145" t="str">
            <v>020196007845</v>
          </cell>
          <cell r="I145" t="str">
            <v>3</v>
          </cell>
          <cell r="K145" t="str">
            <v>005497/LS-CCHN</v>
          </cell>
          <cell r="L145" t="str">
            <v>20221116</v>
          </cell>
          <cell r="M145" t="str">
            <v>Sở Y tế tỉnh Lạng Sơn</v>
          </cell>
          <cell r="N145" t="str">
            <v>302</v>
          </cell>
        </row>
        <row r="146">
          <cell r="A146" t="str">
            <v>BV0146</v>
          </cell>
          <cell r="D146" t="str">
            <v>K0735;02.07;02.10</v>
          </cell>
          <cell r="E146" t="str">
            <v>Khoa Nội Thận - Tiết niệu - Lọc máu;Nội thận - Tiết niệu; Huyết học</v>
          </cell>
          <cell r="F146" t="str">
            <v>Hà Long Sơn</v>
          </cell>
          <cell r="G146">
            <v>1</v>
          </cell>
          <cell r="H146" t="str">
            <v>020083002550</v>
          </cell>
          <cell r="I146" t="str">
            <v>1</v>
          </cell>
          <cell r="K146" t="str">
            <v>000732/LS-CCHN</v>
          </cell>
          <cell r="L146" t="str">
            <v>20130624</v>
          </cell>
          <cell r="M146" t="str">
            <v>Sở Y tế tỉnh Lạng Sơn</v>
          </cell>
          <cell r="N146" t="str">
            <v>102</v>
          </cell>
          <cell r="P146" t="str">
            <v>01C.1;01.0191;02.0226;01.0172;01.0349;03.0035</v>
          </cell>
        </row>
        <row r="147">
          <cell r="A147" t="str">
            <v>BV0145</v>
          </cell>
          <cell r="D147" t="str">
            <v>K0735;02.07;02.10</v>
          </cell>
          <cell r="E147" t="str">
            <v>Khoa Nội Thận - Tiết niệu - Lọc máu;Nội thận - Tiết niệu; Huyết học</v>
          </cell>
          <cell r="F147" t="str">
            <v>Tạ Văn Hùng</v>
          </cell>
          <cell r="G147">
            <v>1</v>
          </cell>
          <cell r="H147" t="str">
            <v>027082004220</v>
          </cell>
          <cell r="I147" t="str">
            <v>1</v>
          </cell>
          <cell r="J147" t="str">
            <v>2</v>
          </cell>
          <cell r="K147" t="str">
            <v>000840/LS-CCHN</v>
          </cell>
          <cell r="L147" t="str">
            <v>20130624</v>
          </cell>
          <cell r="M147" t="str">
            <v>Sở Y tế tỉnh Lạng Sơn</v>
          </cell>
          <cell r="N147" t="str">
            <v>102</v>
          </cell>
          <cell r="P147" t="str">
            <v>01C.1;01.0191;02.0226;01.0172;01.0349;01.0002</v>
          </cell>
        </row>
        <row r="148">
          <cell r="A148" t="str">
            <v>BV0938</v>
          </cell>
          <cell r="D148" t="str">
            <v>K0735;02.07;02.10</v>
          </cell>
          <cell r="E148" t="str">
            <v>Khoa Nội Thận - Tiết niệu - Lọc máu;Nội thận - Tiết niệu; Huyết học</v>
          </cell>
          <cell r="F148" t="str">
            <v>Hoàng Thị Phương Linh</v>
          </cell>
          <cell r="G148">
            <v>2</v>
          </cell>
          <cell r="H148" t="str">
            <v>020194000253</v>
          </cell>
          <cell r="I148" t="str">
            <v>1</v>
          </cell>
          <cell r="K148" t="str">
            <v>004178/LS-CCHN</v>
          </cell>
          <cell r="L148" t="str">
            <v>20210423</v>
          </cell>
          <cell r="M148" t="str">
            <v>Sở Y tế tỉnh Lạng Sơn</v>
          </cell>
          <cell r="N148" t="str">
            <v>102</v>
          </cell>
          <cell r="P148" t="str">
            <v>01C.1;01.0191;02.0226;01.0172;01.0349;03.0035</v>
          </cell>
        </row>
        <row r="149">
          <cell r="A149" t="str">
            <v>BV0681</v>
          </cell>
          <cell r="D149" t="str">
            <v>K0735;02.07;02.10</v>
          </cell>
          <cell r="E149" t="str">
            <v>Khoa Nội Thận - Tiết niệu - Lọc máu;Nội thận - Tiết niệu; Huyết học</v>
          </cell>
          <cell r="F149" t="str">
            <v>Hoàng Thị Thoa</v>
          </cell>
          <cell r="G149">
            <v>2</v>
          </cell>
          <cell r="H149" t="str">
            <v>020189003593</v>
          </cell>
          <cell r="I149" t="str">
            <v>1</v>
          </cell>
          <cell r="K149" t="str">
            <v>002149/LS-CCHN</v>
          </cell>
          <cell r="L149" t="str">
            <v>20171201</v>
          </cell>
          <cell r="M149" t="str">
            <v>Sở Y tế tỉnh Lạng Sơn</v>
          </cell>
          <cell r="N149" t="str">
            <v>102</v>
          </cell>
          <cell r="P149" t="str">
            <v>01C.1;01.0191;02.0226;01.0172;01.0349;03.0035</v>
          </cell>
        </row>
        <row r="150">
          <cell r="A150" t="str">
            <v>BV0845</v>
          </cell>
          <cell r="D150" t="str">
            <v>K0735;02.07;02.10</v>
          </cell>
          <cell r="E150" t="str">
            <v>Khoa Nội Thận - Tiết niệu - Lọc máu;Nội thận - Tiết niệu; Huyết học</v>
          </cell>
          <cell r="F150" t="str">
            <v>Dương Thị Huyền Trang</v>
          </cell>
          <cell r="G150">
            <v>2</v>
          </cell>
          <cell r="H150" t="str">
            <v>020191011819</v>
          </cell>
          <cell r="I150" t="str">
            <v>1</v>
          </cell>
          <cell r="K150" t="str">
            <v>003678/LS-CCHN</v>
          </cell>
          <cell r="L150" t="str">
            <v>20200122</v>
          </cell>
          <cell r="M150" t="str">
            <v>Sở Y tế tỉnh Lạng Sơn</v>
          </cell>
          <cell r="N150" t="str">
            <v>102</v>
          </cell>
          <cell r="P150" t="str">
            <v>01C.1;01.0191;02.0226;01.0172;01.0349;03.0035</v>
          </cell>
        </row>
        <row r="151">
          <cell r="A151" t="str">
            <v>BV1258</v>
          </cell>
          <cell r="D151" t="str">
            <v>K0735;02.07;02.10</v>
          </cell>
          <cell r="E151" t="str">
            <v>Khoa Nội Thận - Tiết niệu - Lọc máu;Nội thận - Tiết niệu; Huyết học</v>
          </cell>
          <cell r="F151" t="str">
            <v>Đường Ngọc Trang</v>
          </cell>
          <cell r="G151">
            <v>2</v>
          </cell>
          <cell r="H151" t="str">
            <v>020196005171</v>
          </cell>
          <cell r="I151" t="str">
            <v>1</v>
          </cell>
          <cell r="K151" t="str">
            <v>005596/LS-CCHN</v>
          </cell>
          <cell r="L151" t="str">
            <v>20230523</v>
          </cell>
          <cell r="M151" t="str">
            <v>Sở Y tế tỉnh Lạng Sơn</v>
          </cell>
          <cell r="N151" t="str">
            <v>102</v>
          </cell>
        </row>
        <row r="152">
          <cell r="A152" t="str">
            <v>BV0223</v>
          </cell>
          <cell r="D152" t="str">
            <v>K0735;02.07;02.10</v>
          </cell>
          <cell r="E152" t="str">
            <v>Khoa Nội Thận - Tiết niệu - Lọc máu;Nội thận - Tiết niệu; Huyết học</v>
          </cell>
          <cell r="F152" t="str">
            <v>Nguyễn Thị Phương</v>
          </cell>
          <cell r="G152">
            <v>2</v>
          </cell>
          <cell r="H152" t="str">
            <v>020186009733</v>
          </cell>
          <cell r="I152" t="str">
            <v>3</v>
          </cell>
          <cell r="K152" t="str">
            <v>000937/LS-CCHN</v>
          </cell>
          <cell r="L152" t="str">
            <v>20230111</v>
          </cell>
          <cell r="M152" t="str">
            <v>Sở Y tế tỉnh Lạng Sơn</v>
          </cell>
          <cell r="N152" t="str">
            <v>301</v>
          </cell>
        </row>
        <row r="153">
          <cell r="A153" t="str">
            <v>BV0085</v>
          </cell>
          <cell r="D153" t="str">
            <v>K0735;02.07;02.10</v>
          </cell>
          <cell r="E153" t="str">
            <v>Khoa Nội Thận - Tiết niệu - Lọc máu;Nội thận - Tiết niệu; Huyết học</v>
          </cell>
          <cell r="F153" t="str">
            <v>Lương Thị Thu Hương</v>
          </cell>
          <cell r="G153">
            <v>2</v>
          </cell>
          <cell r="H153" t="str">
            <v>020185009234</v>
          </cell>
          <cell r="I153" t="str">
            <v>3</v>
          </cell>
          <cell r="K153" t="str">
            <v>000271/LS-GPHN</v>
          </cell>
          <cell r="L153">
            <v>20250519</v>
          </cell>
          <cell r="M153" t="str">
            <v>Sở Y tế tỉnh Lạng Sơn</v>
          </cell>
          <cell r="N153" t="str">
            <v>302</v>
          </cell>
        </row>
        <row r="154">
          <cell r="A154" t="str">
            <v>BV0055</v>
          </cell>
          <cell r="D154" t="str">
            <v>K0735;02.07;02.10</v>
          </cell>
          <cell r="E154" t="str">
            <v>Khoa Nội Thận - Tiết niệu - Lọc máu;Nội thận - Tiết niệu; Huyết học</v>
          </cell>
          <cell r="F154" t="str">
            <v>Hoàng Mạnh Châu</v>
          </cell>
          <cell r="G154">
            <v>1</v>
          </cell>
          <cell r="H154" t="str">
            <v>020085006668</v>
          </cell>
          <cell r="I154" t="str">
            <v>3</v>
          </cell>
          <cell r="K154" t="str">
            <v>000778/LS-CCHN</v>
          </cell>
          <cell r="L154" t="str">
            <v>20230111</v>
          </cell>
          <cell r="M154" t="str">
            <v>Sở Y tế tỉnh Lạng Sơn</v>
          </cell>
          <cell r="N154" t="str">
            <v>301</v>
          </cell>
        </row>
        <row r="155">
          <cell r="A155" t="str">
            <v>BV0783</v>
          </cell>
          <cell r="D155" t="str">
            <v>K22;10.22</v>
          </cell>
          <cell r="E155" t="str">
            <v>Khoa Ngoại tiêu hoá;Ngoại Tiêu hóa</v>
          </cell>
          <cell r="F155" t="str">
            <v>Lý Thị Hoài</v>
          </cell>
          <cell r="G155">
            <v>2</v>
          </cell>
          <cell r="H155" t="str">
            <v>020192008430</v>
          </cell>
          <cell r="I155" t="str">
            <v>3</v>
          </cell>
          <cell r="K155" t="str">
            <v>003376/LS-CCHN</v>
          </cell>
          <cell r="L155" t="str">
            <v>20181017</v>
          </cell>
          <cell r="M155" t="str">
            <v>Sở Y tế tỉnh Lạng Sơn</v>
          </cell>
          <cell r="N155" t="str">
            <v>302</v>
          </cell>
        </row>
        <row r="156">
          <cell r="A156" t="str">
            <v>BV0910</v>
          </cell>
          <cell r="D156" t="str">
            <v>K22;10.22</v>
          </cell>
          <cell r="E156" t="str">
            <v>Khoa Ngoại tiêu hoá;Ngoại Tiêu hóa</v>
          </cell>
          <cell r="F156" t="str">
            <v>Vi Văn Kim</v>
          </cell>
          <cell r="G156">
            <v>1</v>
          </cell>
          <cell r="H156" t="str">
            <v>020095010099</v>
          </cell>
          <cell r="I156" t="str">
            <v>3</v>
          </cell>
          <cell r="K156" t="str">
            <v>003738/LS-CCHN</v>
          </cell>
          <cell r="L156" t="str">
            <v>20200626</v>
          </cell>
          <cell r="M156" t="str">
            <v>Sở Y tế tỉnh Lạng Sơn</v>
          </cell>
          <cell r="N156" t="str">
            <v>301</v>
          </cell>
        </row>
        <row r="157">
          <cell r="A157" t="str">
            <v>BV1092</v>
          </cell>
          <cell r="D157" t="str">
            <v>K22;10.22</v>
          </cell>
          <cell r="E157" t="str">
            <v>Khoa Ngoại tiêu hoá;Ngoại Tiêu hóa</v>
          </cell>
          <cell r="F157" t="str">
            <v>Nông Thị Diệu Linh</v>
          </cell>
          <cell r="G157">
            <v>2</v>
          </cell>
          <cell r="H157" t="str">
            <v>020198001117</v>
          </cell>
          <cell r="I157" t="str">
            <v>3</v>
          </cell>
          <cell r="K157" t="str">
            <v>004526/LS-CCHN</v>
          </cell>
          <cell r="L157" t="str">
            <v>20220512</v>
          </cell>
          <cell r="M157" t="str">
            <v>Sở Y tế tỉnh Lạng Sơn</v>
          </cell>
          <cell r="N157" t="str">
            <v>302</v>
          </cell>
        </row>
        <row r="158">
          <cell r="A158" t="str">
            <v>BV0199</v>
          </cell>
          <cell r="D158" t="str">
            <v>K22;10.22</v>
          </cell>
          <cell r="E158" t="str">
            <v>Khoa Ngoại tiêu hoá;Ngoại Tiêu hóa</v>
          </cell>
          <cell r="F158" t="str">
            <v>Dương Thị Toan</v>
          </cell>
          <cell r="G158">
            <v>2</v>
          </cell>
          <cell r="H158" t="str">
            <v>020184002850</v>
          </cell>
          <cell r="I158" t="str">
            <v>3</v>
          </cell>
          <cell r="K158" t="str">
            <v>000923/LS-CCHN</v>
          </cell>
          <cell r="L158" t="str">
            <v>20130624</v>
          </cell>
          <cell r="M158" t="str">
            <v>Sở Y tế tỉnh Lạng Sơn</v>
          </cell>
          <cell r="N158" t="str">
            <v>302</v>
          </cell>
        </row>
        <row r="159">
          <cell r="A159" t="str">
            <v>BV0189</v>
          </cell>
          <cell r="D159" t="str">
            <v>K22;10.22</v>
          </cell>
          <cell r="E159" t="str">
            <v>Khoa Ngoại tiêu hoá;Ngoại Tiêu hóa</v>
          </cell>
          <cell r="F159" t="str">
            <v>Vy Hoàng Vương</v>
          </cell>
          <cell r="G159">
            <v>1</v>
          </cell>
          <cell r="H159" t="str">
            <v>020083000744</v>
          </cell>
          <cell r="I159" t="str">
            <v>3</v>
          </cell>
          <cell r="K159" t="str">
            <v>000913/LS-CCHN</v>
          </cell>
          <cell r="L159" t="str">
            <v>20130624</v>
          </cell>
          <cell r="M159" t="str">
            <v>Sở Y tế tỉnh Lạng Sơn</v>
          </cell>
          <cell r="N159" t="str">
            <v>301</v>
          </cell>
        </row>
        <row r="160">
          <cell r="A160" t="str">
            <v>BV0174</v>
          </cell>
          <cell r="D160" t="str">
            <v>K22;10.22</v>
          </cell>
          <cell r="E160" t="str">
            <v>Khoa Ngoại tiêu hoá;Ngoại Tiêu hóa</v>
          </cell>
          <cell r="F160" t="str">
            <v>Trần Mậu Việt</v>
          </cell>
          <cell r="G160">
            <v>1</v>
          </cell>
          <cell r="H160" t="str">
            <v>020075001796</v>
          </cell>
          <cell r="I160" t="str">
            <v>1</v>
          </cell>
          <cell r="J160" t="str">
            <v>4</v>
          </cell>
          <cell r="K160" t="str">
            <v>000903/LS-CCHN</v>
          </cell>
          <cell r="L160" t="str">
            <v>20130624</v>
          </cell>
          <cell r="M160" t="str">
            <v>Sở Y tế tỉnh Lạng Sơn</v>
          </cell>
          <cell r="N160" t="str">
            <v>110</v>
          </cell>
        </row>
        <row r="161">
          <cell r="A161" t="str">
            <v>BV0176</v>
          </cell>
          <cell r="D161" t="str">
            <v>K22;10.22</v>
          </cell>
          <cell r="E161" t="str">
            <v>Khoa Ngoại tiêu hoá;Ngoại Tiêu hóa</v>
          </cell>
          <cell r="F161" t="str">
            <v>Dương Văn Ái</v>
          </cell>
          <cell r="G161">
            <v>1</v>
          </cell>
          <cell r="H161" t="str">
            <v>024077017144</v>
          </cell>
          <cell r="I161" t="str">
            <v>1</v>
          </cell>
          <cell r="K161" t="str">
            <v>000497/LS-CCHN</v>
          </cell>
          <cell r="L161" t="str">
            <v>20120810</v>
          </cell>
          <cell r="M161" t="str">
            <v>Sở Y tế tỉnh Lạng Sơn</v>
          </cell>
          <cell r="N161" t="str">
            <v>110</v>
          </cell>
        </row>
        <row r="162">
          <cell r="A162" t="str">
            <v>BV0835</v>
          </cell>
          <cell r="D162" t="str">
            <v>K22;10.22</v>
          </cell>
          <cell r="E162" t="str">
            <v>Khoa Ngoại tiêu hoá;Ngoại Tiêu hóa</v>
          </cell>
          <cell r="F162" t="str">
            <v>Nguyễn Đình Trọng Nghĩa</v>
          </cell>
          <cell r="G162">
            <v>1</v>
          </cell>
          <cell r="H162" t="str">
            <v>020093000007</v>
          </cell>
          <cell r="I162" t="str">
            <v>1</v>
          </cell>
          <cell r="K162" t="str">
            <v>003632/LS-CCHN</v>
          </cell>
          <cell r="L162" t="str">
            <v>20191122</v>
          </cell>
          <cell r="M162" t="str">
            <v>Sở Y tế tỉnh Lạng Sơn</v>
          </cell>
          <cell r="N162" t="str">
            <v>110</v>
          </cell>
        </row>
        <row r="163">
          <cell r="A163" t="str">
            <v>BV1035</v>
          </cell>
          <cell r="D163" t="str">
            <v>K22;10.22</v>
          </cell>
          <cell r="E163" t="str">
            <v>Khoa Ngoại tiêu hoá;Ngoại Tiêu hóa</v>
          </cell>
          <cell r="F163" t="str">
            <v>Hoàng Phan Hùng</v>
          </cell>
          <cell r="G163">
            <v>1</v>
          </cell>
          <cell r="H163" t="str">
            <v>020094008069</v>
          </cell>
          <cell r="I163" t="str">
            <v>1</v>
          </cell>
          <cell r="K163" t="str">
            <v>004497/LS-CCHN</v>
          </cell>
          <cell r="L163" t="str">
            <v>20220406</v>
          </cell>
          <cell r="M163" t="str">
            <v>Sở Y tế tỉnh Lạng Sơn</v>
          </cell>
          <cell r="N163" t="str">
            <v>110</v>
          </cell>
        </row>
        <row r="164">
          <cell r="A164" t="str">
            <v>BV1047</v>
          </cell>
          <cell r="D164" t="str">
            <v>K22;10.22</v>
          </cell>
          <cell r="E164" t="str">
            <v>Khoa Ngoại tiêu hoá;Ngoại Tiêu hóa</v>
          </cell>
          <cell r="F164" t="str">
            <v>Hà Thị Thu Phương</v>
          </cell>
          <cell r="G164">
            <v>2</v>
          </cell>
          <cell r="H164" t="str">
            <v>020198000573</v>
          </cell>
          <cell r="I164" t="str">
            <v>3</v>
          </cell>
          <cell r="K164" t="str">
            <v>004528/LS-CCHN</v>
          </cell>
          <cell r="L164" t="str">
            <v>20220512</v>
          </cell>
          <cell r="M164" t="str">
            <v>Sở Y tế tỉnh Lạng Sơn</v>
          </cell>
          <cell r="N164" t="str">
            <v>302</v>
          </cell>
        </row>
        <row r="165">
          <cell r="A165" t="str">
            <v>BV0063</v>
          </cell>
          <cell r="D165" t="str">
            <v>K22;10.22</v>
          </cell>
          <cell r="E165" t="str">
            <v>Khoa Ngoại tiêu hoá;Ngoại Tiêu hóa</v>
          </cell>
          <cell r="F165" t="str">
            <v>Đường Thị Lan Anh</v>
          </cell>
          <cell r="G165">
            <v>2</v>
          </cell>
          <cell r="H165" t="str">
            <v>020187007430</v>
          </cell>
          <cell r="I165" t="str">
            <v>3</v>
          </cell>
          <cell r="K165" t="str">
            <v>000782/LS-CCHN</v>
          </cell>
          <cell r="L165" t="str">
            <v>20130624</v>
          </cell>
          <cell r="M165" t="str">
            <v>Sở Y tế tỉnh Lạng Sơn</v>
          </cell>
          <cell r="N165" t="str">
            <v>301</v>
          </cell>
        </row>
        <row r="166">
          <cell r="A166" t="str">
            <v>BV0002</v>
          </cell>
          <cell r="D166" t="str">
            <v>K22;10.22</v>
          </cell>
          <cell r="E166" t="str">
            <v>Khoa Ngoại tiêu hoá;Ngoại Tiêu hóa</v>
          </cell>
          <cell r="F166" t="str">
            <v>Chu Đức Quang</v>
          </cell>
          <cell r="G166">
            <v>1</v>
          </cell>
          <cell r="H166" t="str">
            <v>020081007693</v>
          </cell>
          <cell r="I166" t="str">
            <v>1</v>
          </cell>
          <cell r="K166" t="str">
            <v>000904/LS-CCHN</v>
          </cell>
          <cell r="L166" t="str">
            <v>20130624</v>
          </cell>
          <cell r="M166" t="str">
            <v>Sở Y tế tỉnh Lạng Sơn</v>
          </cell>
          <cell r="N166" t="str">
            <v>110</v>
          </cell>
        </row>
        <row r="167">
          <cell r="A167" t="str">
            <v>BV0737</v>
          </cell>
          <cell r="D167" t="str">
            <v>K22;10.22</v>
          </cell>
          <cell r="E167" t="str">
            <v>Khoa Ngoại tiêu hoá;Ngoại Tiêu hóa</v>
          </cell>
          <cell r="F167" t="str">
            <v>Nguyễn Trọng Đức</v>
          </cell>
          <cell r="G167">
            <v>1</v>
          </cell>
          <cell r="H167" t="str">
            <v>020079002285</v>
          </cell>
          <cell r="I167" t="str">
            <v>1</v>
          </cell>
          <cell r="K167" t="str">
            <v>001787/LS-CCHN</v>
          </cell>
          <cell r="L167" t="str">
            <v>20131226</v>
          </cell>
          <cell r="M167" t="str">
            <v>Sở Y tế tỉnh Lạng Sơn</v>
          </cell>
          <cell r="N167" t="str">
            <v>102;110</v>
          </cell>
        </row>
        <row r="168">
          <cell r="A168" t="str">
            <v>BV1068</v>
          </cell>
          <cell r="D168" t="str">
            <v>K22;10.22</v>
          </cell>
          <cell r="E168" t="str">
            <v>Khoa Ngoại tiêu hoá;Ngoại Tiêu hóa</v>
          </cell>
          <cell r="F168" t="str">
            <v>Nguyễn Độ Vỹ</v>
          </cell>
          <cell r="G168">
            <v>1</v>
          </cell>
          <cell r="H168" t="str">
            <v>020095001785</v>
          </cell>
          <cell r="I168" t="str">
            <v>1</v>
          </cell>
          <cell r="K168" t="str">
            <v>004570/LS-CCHN</v>
          </cell>
          <cell r="L168" t="str">
            <v>20220826</v>
          </cell>
          <cell r="M168" t="str">
            <v>Sở Y tế tỉnh Lạng Sơn</v>
          </cell>
          <cell r="N168" t="str">
            <v>110</v>
          </cell>
        </row>
        <row r="169">
          <cell r="A169" t="str">
            <v>BV1093</v>
          </cell>
          <cell r="D169" t="str">
            <v>K22;10.22</v>
          </cell>
          <cell r="E169" t="str">
            <v>Khoa Ngoại tiêu hoá;Ngoại Tiêu hóa</v>
          </cell>
          <cell r="F169" t="str">
            <v>Triệu Thị Liễu</v>
          </cell>
          <cell r="G169">
            <v>2</v>
          </cell>
          <cell r="H169" t="str">
            <v>020198001129</v>
          </cell>
          <cell r="I169" t="str">
            <v>3</v>
          </cell>
          <cell r="K169" t="str">
            <v>005578/LS-CCHN</v>
          </cell>
          <cell r="L169" t="str">
            <v>20230427</v>
          </cell>
          <cell r="M169" t="str">
            <v>Sở Y tế tỉnh Lạng Sơn</v>
          </cell>
          <cell r="N169" t="str">
            <v>302</v>
          </cell>
        </row>
        <row r="170">
          <cell r="A170" t="str">
            <v>BV1210</v>
          </cell>
          <cell r="D170" t="str">
            <v>K22;10.22</v>
          </cell>
          <cell r="E170" t="str">
            <v>Khoa Ngoại tiêu hoá;Ngoại Tiêu hóa</v>
          </cell>
          <cell r="F170" t="str">
            <v>Đinh Tuấn Bình</v>
          </cell>
          <cell r="G170">
            <v>1</v>
          </cell>
          <cell r="H170" t="str">
            <v>020098005953</v>
          </cell>
          <cell r="I170" t="str">
            <v>1</v>
          </cell>
          <cell r="K170" t="str">
            <v>000131/LS-GPHN</v>
          </cell>
          <cell r="L170">
            <v>20240911</v>
          </cell>
          <cell r="M170" t="str">
            <v>Sở Y tế tỉnh Lạng Sơn</v>
          </cell>
          <cell r="N170" t="str">
            <v>110</v>
          </cell>
        </row>
        <row r="171">
          <cell r="A171" t="str">
            <v>BV1147</v>
          </cell>
          <cell r="D171" t="str">
            <v>K22;10.22</v>
          </cell>
          <cell r="E171" t="str">
            <v>Khoa Ngoại tiêu hoá;Ngoại Tiêu hóa</v>
          </cell>
          <cell r="F171" t="str">
            <v>Hà Quang Tỉnh</v>
          </cell>
          <cell r="G171">
            <v>1</v>
          </cell>
          <cell r="H171" t="str">
            <v>020096000732</v>
          </cell>
          <cell r="I171" t="str">
            <v>3</v>
          </cell>
          <cell r="K171" t="str">
            <v>005510/LS-CCHN</v>
          </cell>
          <cell r="L171" t="str">
            <v>20221206</v>
          </cell>
          <cell r="M171" t="str">
            <v>Sở Y tế tỉnh Lạng Sơn</v>
          </cell>
          <cell r="N171" t="str">
            <v>302</v>
          </cell>
        </row>
        <row r="172">
          <cell r="A172" t="str">
            <v>BV0990</v>
          </cell>
          <cell r="D172" t="str">
            <v>K22;10.22</v>
          </cell>
          <cell r="E172" t="str">
            <v>Khoa Ngoại tiêu hoá;Ngoại Tiêu hóa</v>
          </cell>
          <cell r="F172" t="str">
            <v>Lục Tuấn Anh</v>
          </cell>
          <cell r="G172">
            <v>1</v>
          </cell>
          <cell r="H172" t="str">
            <v>020096009358</v>
          </cell>
          <cell r="I172" t="str">
            <v>3</v>
          </cell>
          <cell r="K172" t="str">
            <v>005536/LS-CCHN</v>
          </cell>
          <cell r="L172" t="str">
            <v>20230111</v>
          </cell>
          <cell r="M172" t="str">
            <v>Sở Y tế tỉnh Lạng Sơn</v>
          </cell>
          <cell r="N172" t="str">
            <v>302</v>
          </cell>
        </row>
        <row r="173">
          <cell r="A173" t="str">
            <v>BV1046</v>
          </cell>
          <cell r="D173" t="str">
            <v>K22;10.22</v>
          </cell>
          <cell r="E173" t="str">
            <v>Khoa Ngoại tiêu hoá;Ngoại Tiêu hóa</v>
          </cell>
          <cell r="F173" t="str">
            <v>Hoàng Văn Mơ</v>
          </cell>
          <cell r="G173">
            <v>1</v>
          </cell>
          <cell r="H173" t="str">
            <v>020093011448</v>
          </cell>
          <cell r="I173" t="str">
            <v>3</v>
          </cell>
          <cell r="K173" t="str">
            <v>005537/LS-CCHN</v>
          </cell>
          <cell r="L173" t="str">
            <v>20230111</v>
          </cell>
          <cell r="M173" t="str">
            <v>Sở Y tế tỉnh Lạng Sơn</v>
          </cell>
          <cell r="N173" t="str">
            <v>302</v>
          </cell>
        </row>
        <row r="174">
          <cell r="A174" t="str">
            <v>BV0905</v>
          </cell>
          <cell r="D174" t="str">
            <v>K22;10.22</v>
          </cell>
          <cell r="E174" t="str">
            <v>Khoa Ngoại tiêu hoá;Ngoại Tiêu hóa</v>
          </cell>
          <cell r="F174" t="str">
            <v>Ngô Thế Vinh</v>
          </cell>
          <cell r="G174">
            <v>1</v>
          </cell>
          <cell r="H174" t="str">
            <v>020090002779</v>
          </cell>
          <cell r="I174" t="str">
            <v>3</v>
          </cell>
          <cell r="K174" t="str">
            <v>008681/LS-CCHN</v>
          </cell>
          <cell r="L174">
            <v>20230821</v>
          </cell>
          <cell r="M174" t="str">
            <v>Sở Y tế tỉnh Lạng Sơn</v>
          </cell>
          <cell r="N174" t="str">
            <v>302</v>
          </cell>
        </row>
        <row r="175">
          <cell r="A175" t="str">
            <v>BV1300</v>
          </cell>
          <cell r="D175" t="str">
            <v>K4849;K22;10.22</v>
          </cell>
          <cell r="E175" t="str">
            <v>Khoa Hồi sức tích cực - Chống độc;Khoa Ngoại tiêu hoá;Ngoại Tiêu hóa</v>
          </cell>
          <cell r="F175" t="str">
            <v>Phan Thị Xuân</v>
          </cell>
          <cell r="G175">
            <v>2</v>
          </cell>
          <cell r="H175" t="str">
            <v>020199005155</v>
          </cell>
          <cell r="I175" t="str">
            <v>3</v>
          </cell>
          <cell r="K175" t="str">
            <v>000023/LS-GPHN</v>
          </cell>
          <cell r="L175">
            <v>20240607</v>
          </cell>
          <cell r="M175" t="str">
            <v>Sở Y tế tỉnh Lạng Sơn</v>
          </cell>
          <cell r="N175" t="str">
            <v>301</v>
          </cell>
        </row>
        <row r="176">
          <cell r="A176" t="str">
            <v>BV1294</v>
          </cell>
          <cell r="D176" t="str">
            <v>K4849;K22;10.22</v>
          </cell>
          <cell r="E176" t="str">
            <v>Khoa Hồi sức tích cực - Chống độc;Khoa Ngoại tiêu hoá;Ngoại Tiêu hóa</v>
          </cell>
          <cell r="F176" t="str">
            <v>Nông Hoa Cúc</v>
          </cell>
          <cell r="G176">
            <v>2</v>
          </cell>
          <cell r="H176" t="str">
            <v>020303002040</v>
          </cell>
          <cell r="I176" t="str">
            <v>3</v>
          </cell>
          <cell r="K176" t="str">
            <v>000260/LS-GPHN</v>
          </cell>
          <cell r="L176">
            <v>20250519</v>
          </cell>
          <cell r="M176" t="str">
            <v>Sở Y tế tỉnh Lạng Sơn</v>
          </cell>
          <cell r="N176" t="str">
            <v>302</v>
          </cell>
        </row>
        <row r="177">
          <cell r="A177" t="str">
            <v>BV0237</v>
          </cell>
          <cell r="D177" t="str">
            <v>K2021;10.20;10.21</v>
          </cell>
          <cell r="E177" t="str">
            <v>Khoa Ngoại Thần kinh - Lồng ngực;Ngoại Thần kinh; Ngoại lồng ngực</v>
          </cell>
          <cell r="F177" t="str">
            <v>Lâm Bích Hợp</v>
          </cell>
          <cell r="G177">
            <v>2</v>
          </cell>
          <cell r="H177" t="str">
            <v>020185002014</v>
          </cell>
          <cell r="I177" t="str">
            <v>3</v>
          </cell>
          <cell r="K177" t="str">
            <v>001108/LS-CCHN</v>
          </cell>
          <cell r="L177" t="str">
            <v>20230111</v>
          </cell>
          <cell r="M177" t="str">
            <v>Sở Y tế tỉnh Lạng Sơn</v>
          </cell>
          <cell r="N177" t="str">
            <v>302</v>
          </cell>
        </row>
        <row r="178">
          <cell r="A178" t="str">
            <v>BV0733</v>
          </cell>
          <cell r="D178" t="str">
            <v>K2021;10.20;10.21</v>
          </cell>
          <cell r="E178" t="str">
            <v>Khoa Ngoại Thần kinh - Lồng ngực;Ngoại Thần kinh; Ngoại lồng ngực</v>
          </cell>
          <cell r="F178" t="str">
            <v>Nguyễn Văn Thiệu</v>
          </cell>
          <cell r="G178">
            <v>1</v>
          </cell>
          <cell r="H178" t="str">
            <v>020093010735</v>
          </cell>
          <cell r="I178" t="str">
            <v>3</v>
          </cell>
          <cell r="K178" t="str">
            <v>003211/LS-CCHN</v>
          </cell>
          <cell r="L178" t="str">
            <v>20180410</v>
          </cell>
          <cell r="M178" t="str">
            <v>Sở Y tế tỉnh Lạng Sơn</v>
          </cell>
          <cell r="N178" t="str">
            <v>302</v>
          </cell>
        </row>
        <row r="179">
          <cell r="A179" t="str">
            <v>BV0972</v>
          </cell>
          <cell r="D179" t="str">
            <v>K2021;10.20;10.21</v>
          </cell>
          <cell r="E179" t="str">
            <v>Khoa Ngoại Thần kinh - Lồng ngực;Ngoại Thần kinh; Ngoại lồng ngực</v>
          </cell>
          <cell r="F179" t="str">
            <v>Long Thị Thọ</v>
          </cell>
          <cell r="G179">
            <v>2</v>
          </cell>
          <cell r="H179" t="str">
            <v>020196001323</v>
          </cell>
          <cell r="I179" t="str">
            <v>3</v>
          </cell>
          <cell r="K179" t="str">
            <v>004095/LS-CCHN</v>
          </cell>
          <cell r="L179" t="str">
            <v>20210119</v>
          </cell>
          <cell r="M179" t="str">
            <v>Sở Y tế tỉnh Lạng Sơn</v>
          </cell>
          <cell r="N179" t="str">
            <v>302</v>
          </cell>
        </row>
        <row r="180">
          <cell r="A180" t="str">
            <v>BV0017</v>
          </cell>
          <cell r="D180" t="str">
            <v>K2021;10.20;10.21</v>
          </cell>
          <cell r="E180" t="str">
            <v>Khoa Ngoại Thần kinh - Lồng ngực;Ngoại Thần kinh; Ngoại lồng ngực</v>
          </cell>
          <cell r="F180" t="str">
            <v>Hoàng Thị Thanh</v>
          </cell>
          <cell r="G180">
            <v>2</v>
          </cell>
          <cell r="H180" t="str">
            <v>020182007592</v>
          </cell>
          <cell r="I180" t="str">
            <v>3</v>
          </cell>
          <cell r="K180" t="str">
            <v>000744/LS-CCHN</v>
          </cell>
          <cell r="L180" t="str">
            <v>20230111</v>
          </cell>
          <cell r="M180" t="str">
            <v>Sở Y tế tỉnh Lạng Sơn</v>
          </cell>
          <cell r="N180" t="str">
            <v>302</v>
          </cell>
        </row>
        <row r="181">
          <cell r="A181" t="str">
            <v>BV0034</v>
          </cell>
          <cell r="D181" t="str">
            <v>K2021;10.20;10.21</v>
          </cell>
          <cell r="E181" t="str">
            <v>Khoa Ngoại Thần kinh - Lồng ngực;Ngoại Thần kinh; Ngoại lồng ngực</v>
          </cell>
          <cell r="F181" t="str">
            <v>Hoàng Thanh Tiếp</v>
          </cell>
          <cell r="G181">
            <v>1</v>
          </cell>
          <cell r="H181" t="str">
            <v>020082010261</v>
          </cell>
          <cell r="I181" t="str">
            <v>3</v>
          </cell>
          <cell r="K181" t="str">
            <v>000932/LS-CCHN</v>
          </cell>
          <cell r="L181" t="str">
            <v>20230111</v>
          </cell>
          <cell r="M181" t="str">
            <v>Sở Y tế tỉnh Lạng Sơn</v>
          </cell>
          <cell r="N181" t="str">
            <v>301</v>
          </cell>
        </row>
        <row r="182">
          <cell r="A182" t="str">
            <v>BV0215</v>
          </cell>
          <cell r="D182" t="str">
            <v>K2021;10.20;10.21</v>
          </cell>
          <cell r="E182" t="str">
            <v>Khoa Ngoại Thần kinh - Lồng ngực;Ngoại Thần kinh; Ngoại lồng ngực</v>
          </cell>
          <cell r="F182" t="str">
            <v>Tô Thị Lan</v>
          </cell>
          <cell r="G182">
            <v>2</v>
          </cell>
          <cell r="H182" t="str">
            <v>020189001277</v>
          </cell>
          <cell r="I182" t="str">
            <v>3</v>
          </cell>
          <cell r="K182" t="str">
            <v>000455/LS-CCHN</v>
          </cell>
          <cell r="L182" t="str">
            <v>20160824</v>
          </cell>
          <cell r="M182" t="str">
            <v>Sở Y tế tỉnh Lạng Sơn</v>
          </cell>
          <cell r="N182" t="str">
            <v>302</v>
          </cell>
        </row>
        <row r="183">
          <cell r="A183" t="str">
            <v>BV0216</v>
          </cell>
          <cell r="D183" t="str">
            <v>K2021;10.20;10.21</v>
          </cell>
          <cell r="E183" t="str">
            <v>Khoa Ngoại Thần kinh - Lồng ngực;Ngoại Thần kinh; Ngoại lồng ngực</v>
          </cell>
          <cell r="F183" t="str">
            <v>Vi Văn Trình</v>
          </cell>
          <cell r="G183">
            <v>1</v>
          </cell>
          <cell r="H183" t="str">
            <v>020090012632</v>
          </cell>
          <cell r="I183" t="str">
            <v>3</v>
          </cell>
          <cell r="K183" t="str">
            <v>000471/LS-CCHN</v>
          </cell>
          <cell r="L183" t="str">
            <v>20160824</v>
          </cell>
          <cell r="M183" t="str">
            <v>Sở Y tế tỉnh Lạng Sơn</v>
          </cell>
          <cell r="N183" t="str">
            <v>302</v>
          </cell>
        </row>
        <row r="184">
          <cell r="A184" t="str">
            <v>BV0551</v>
          </cell>
          <cell r="D184" t="str">
            <v>K4849;K2021;10.20;10.21</v>
          </cell>
          <cell r="E184" t="str">
            <v>Khoa Hồi sức tích cực - Chống độc;Khoa Ngoại Thần kinh - Lồng ngực;Ngoại Thần kinh; Ngoại lồng ngực</v>
          </cell>
          <cell r="F184" t="str">
            <v>Vũ Tiến Dũng</v>
          </cell>
          <cell r="G184">
            <v>1</v>
          </cell>
          <cell r="H184" t="str">
            <v>034080016602</v>
          </cell>
          <cell r="I184" t="str">
            <v>3</v>
          </cell>
          <cell r="K184" t="str">
            <v>001097/LS-CCHN</v>
          </cell>
          <cell r="L184" t="str">
            <v>20130624</v>
          </cell>
          <cell r="M184" t="str">
            <v>Sở Y tế tỉnh Lạng Sơn</v>
          </cell>
          <cell r="N184" t="str">
            <v>302</v>
          </cell>
        </row>
        <row r="185">
          <cell r="A185" t="str">
            <v>BV0834</v>
          </cell>
          <cell r="D185" t="str">
            <v>K4849;K2021;10.20;10.21</v>
          </cell>
          <cell r="E185" t="str">
            <v>Khoa Hồi sức tích cực - Chống độc;Khoa Ngoại Thần kinh - Lồng ngực;Ngoại Thần kinh; Ngoại lồng ngực</v>
          </cell>
          <cell r="F185" t="str">
            <v>Nông Quốc Phòng</v>
          </cell>
          <cell r="G185">
            <v>1</v>
          </cell>
          <cell r="H185" t="str">
            <v>020093001832</v>
          </cell>
          <cell r="I185" t="str">
            <v>3</v>
          </cell>
          <cell r="K185" t="str">
            <v>003551/LS-CCHN</v>
          </cell>
          <cell r="L185" t="str">
            <v>20190717</v>
          </cell>
          <cell r="M185" t="str">
            <v>Sở Y tế tỉnh Lạng Sơn</v>
          </cell>
          <cell r="N185" t="str">
            <v>302</v>
          </cell>
        </row>
        <row r="186">
          <cell r="A186" t="str">
            <v>BV0213</v>
          </cell>
          <cell r="D186" t="str">
            <v>K2021;10.20;10.21</v>
          </cell>
          <cell r="E186" t="str">
            <v>Khoa Ngoại Thần kinh - Lồng ngực;Ngoại Thần kinh; Ngoại lồng ngực</v>
          </cell>
          <cell r="F186" t="str">
            <v>Dương Thị Huyền</v>
          </cell>
          <cell r="G186">
            <v>2</v>
          </cell>
          <cell r="H186" t="str">
            <v>024191003544</v>
          </cell>
          <cell r="I186" t="str">
            <v>3</v>
          </cell>
          <cell r="K186" t="str">
            <v>000459/LS-CCHN</v>
          </cell>
          <cell r="L186" t="str">
            <v>20160824</v>
          </cell>
          <cell r="M186" t="str">
            <v>Sở Y tế tỉnh Lạng Sơn</v>
          </cell>
          <cell r="N186" t="str">
            <v>302</v>
          </cell>
        </row>
        <row r="187">
          <cell r="A187" t="str">
            <v>BV0555</v>
          </cell>
          <cell r="D187" t="str">
            <v>K2021;10.20;10.21</v>
          </cell>
          <cell r="E187" t="str">
            <v>Khoa Ngoại Thần kinh - Lồng ngực;Ngoại Thần kinh; Ngoại lồng ngực</v>
          </cell>
          <cell r="F187" t="str">
            <v>Phạm Hùng Tuấn</v>
          </cell>
          <cell r="G187">
            <v>1</v>
          </cell>
          <cell r="H187" t="str">
            <v>020065001568</v>
          </cell>
          <cell r="I187" t="str">
            <v>3</v>
          </cell>
          <cell r="K187" t="str">
            <v>000906/LS-CCHN</v>
          </cell>
          <cell r="L187" t="str">
            <v>20130624</v>
          </cell>
          <cell r="M187" t="str">
            <v>Sở Y tế tỉnh Lạng Sơn</v>
          </cell>
          <cell r="N187" t="str">
            <v>301</v>
          </cell>
        </row>
        <row r="188">
          <cell r="A188" t="str">
            <v>BV0209</v>
          </cell>
          <cell r="D188" t="str">
            <v>K2021;10.20;10.21</v>
          </cell>
          <cell r="E188" t="str">
            <v>Khoa Ngoại Thần kinh - Lồng ngực;Ngoại Thần kinh; Ngoại lồng ngực</v>
          </cell>
          <cell r="F188" t="str">
            <v>Nguyễn Xuân Trường</v>
          </cell>
          <cell r="G188">
            <v>1</v>
          </cell>
          <cell r="H188" t="str">
            <v>020086010419</v>
          </cell>
          <cell r="I188" t="str">
            <v>1</v>
          </cell>
          <cell r="K188" t="str">
            <v>000888/LS-CCHN</v>
          </cell>
          <cell r="L188" t="str">
            <v>20130624</v>
          </cell>
          <cell r="M188" t="str">
            <v>Sở Y tế tỉnh Lạng Sơn</v>
          </cell>
          <cell r="N188" t="str">
            <v>110</v>
          </cell>
        </row>
        <row r="189">
          <cell r="A189" t="str">
            <v>BV0658</v>
          </cell>
          <cell r="D189" t="str">
            <v>K2021;10.20;10.21</v>
          </cell>
          <cell r="E189" t="str">
            <v>Khoa Ngoại Thần kinh - Lồng ngực;Ngoại Thần kinh; Ngoại lồng ngực</v>
          </cell>
          <cell r="F189" t="str">
            <v>Vi Hồng Đức</v>
          </cell>
          <cell r="G189">
            <v>1</v>
          </cell>
          <cell r="H189" t="str">
            <v>020071007997</v>
          </cell>
          <cell r="I189" t="str">
            <v>1</v>
          </cell>
          <cell r="J189" t="str">
            <v>2</v>
          </cell>
          <cell r="K189" t="str">
            <v>004200/LS-CCHN</v>
          </cell>
          <cell r="L189">
            <v>20210423</v>
          </cell>
          <cell r="M189" t="str">
            <v>Sở Y tế tỉnh Lạng Sơn</v>
          </cell>
          <cell r="N189" t="str">
            <v>110</v>
          </cell>
        </row>
        <row r="190">
          <cell r="A190" t="str">
            <v>BV1061</v>
          </cell>
          <cell r="D190" t="str">
            <v>K2021;10.20;10.21</v>
          </cell>
          <cell r="E190" t="str">
            <v>Khoa Ngoại Thần kinh - Lồng ngực;Ngoại Thần kinh; Ngoại lồng ngực</v>
          </cell>
          <cell r="F190" t="str">
            <v>Chu Hà Thành</v>
          </cell>
          <cell r="G190">
            <v>1</v>
          </cell>
          <cell r="H190" t="str">
            <v>020094000666</v>
          </cell>
          <cell r="I190" t="str">
            <v>1</v>
          </cell>
          <cell r="K190" t="str">
            <v>004508/LS-CCHN</v>
          </cell>
          <cell r="L190" t="str">
            <v>20220406</v>
          </cell>
          <cell r="M190" t="str">
            <v>Sở Y tế tỉnh Lạng Sơn</v>
          </cell>
          <cell r="N190" t="str">
            <v>110</v>
          </cell>
        </row>
        <row r="191">
          <cell r="A191" t="str">
            <v>BV1212</v>
          </cell>
          <cell r="D191" t="str">
            <v>K2021;10.20;10.21</v>
          </cell>
          <cell r="E191" t="str">
            <v>Khoa Ngoại Thần kinh - Lồng ngực;Ngoại Thần kinh; Ngoại lồng ngực</v>
          </cell>
          <cell r="F191" t="str">
            <v>Nguyễn Mạnh Cường</v>
          </cell>
          <cell r="G191">
            <v>1</v>
          </cell>
          <cell r="H191" t="str">
            <v>017096004224</v>
          </cell>
          <cell r="I191" t="str">
            <v>1</v>
          </cell>
          <cell r="K191" t="str">
            <v>000090/LS-GPHN</v>
          </cell>
          <cell r="L191">
            <v>20240710</v>
          </cell>
          <cell r="M191" t="str">
            <v>Sở Y tế tỉnh Lạng Sơn</v>
          </cell>
          <cell r="N191" t="str">
            <v>110</v>
          </cell>
        </row>
        <row r="192">
          <cell r="A192" t="str">
            <v>BV0876</v>
          </cell>
          <cell r="D192" t="str">
            <v>K2021;10.20;10.21</v>
          </cell>
          <cell r="E192" t="str">
            <v>Khoa Ngoại Thần kinh - Lồng ngực;Ngoại Thần kinh; Ngoại lồng ngực</v>
          </cell>
          <cell r="F192" t="str">
            <v>Lục Thị Kim Oanh</v>
          </cell>
          <cell r="G192">
            <v>2</v>
          </cell>
          <cell r="H192" t="str">
            <v>020191002540</v>
          </cell>
          <cell r="I192" t="str">
            <v>3</v>
          </cell>
          <cell r="K192" t="str">
            <v>003800/LS-CCHN</v>
          </cell>
          <cell r="L192" t="str">
            <v>20200721</v>
          </cell>
          <cell r="M192" t="str">
            <v>Sở Y tế tỉnh Lạng Sơn</v>
          </cell>
          <cell r="N192" t="str">
            <v>302</v>
          </cell>
        </row>
        <row r="193">
          <cell r="A193" t="str">
            <v>BV1271</v>
          </cell>
          <cell r="D193" t="str">
            <v>K2021;10.20;10.21</v>
          </cell>
          <cell r="E193" t="str">
            <v>Khoa Ngoại Thần kinh - Lồng ngực;Ngoại Thần kinh; Ngoại lồng ngực</v>
          </cell>
          <cell r="F193" t="str">
            <v>Hoàng Thu Hà</v>
          </cell>
          <cell r="G193">
            <v>2</v>
          </cell>
          <cell r="H193" t="str">
            <v>020301000225</v>
          </cell>
          <cell r="I193" t="str">
            <v>3</v>
          </cell>
          <cell r="K193" t="str">
            <v>000298/LS-GPHN</v>
          </cell>
          <cell r="L193">
            <v>20250828</v>
          </cell>
          <cell r="M193" t="str">
            <v>Sở Y tế tỉnh Lạng Sơn</v>
          </cell>
          <cell r="N193" t="str">
            <v>301</v>
          </cell>
        </row>
        <row r="194">
          <cell r="A194" t="str">
            <v>BV1259</v>
          </cell>
          <cell r="D194" t="str">
            <v>K2021;10.20;10.21</v>
          </cell>
          <cell r="E194" t="str">
            <v>Khoa Ngoại Thần kinh - Lồng ngực;Ngoại Thần kinh; Ngoại lồng ngực</v>
          </cell>
          <cell r="F194" t="str">
            <v>Hoàng Doãn Anh</v>
          </cell>
          <cell r="G194">
            <v>1</v>
          </cell>
          <cell r="H194" t="str">
            <v>020098007253</v>
          </cell>
          <cell r="I194" t="str">
            <v>1</v>
          </cell>
          <cell r="K194" t="str">
            <v>000303/LS-GPHN</v>
          </cell>
          <cell r="L194">
            <v>20250711</v>
          </cell>
          <cell r="M194" t="str">
            <v>Sở Y tế tỉnh Lạng Sơn</v>
          </cell>
          <cell r="N194" t="str">
            <v>110</v>
          </cell>
        </row>
        <row r="195">
          <cell r="A195" t="str">
            <v>BV1338</v>
          </cell>
          <cell r="D195" t="str">
            <v>K2021;10.20;10.21</v>
          </cell>
          <cell r="E195" t="str">
            <v>Khoa Ngoại Thần kinh - Lồng ngực;Ngoại Thần kinh; Ngoại lồng ngực</v>
          </cell>
          <cell r="F195" t="str">
            <v>Lương Duy Minh</v>
          </cell>
          <cell r="G195">
            <v>1</v>
          </cell>
          <cell r="H195" t="str">
            <v>020097005885</v>
          </cell>
          <cell r="I195" t="str">
            <v>1</v>
          </cell>
          <cell r="K195" t="str">
            <v>000358/LS-GPHN</v>
          </cell>
          <cell r="L195">
            <v>20250917</v>
          </cell>
          <cell r="M195" t="str">
            <v>Sở Y tế tỉnh Lạng Sơn</v>
          </cell>
          <cell r="N195" t="str">
            <v>132</v>
          </cell>
        </row>
        <row r="196">
          <cell r="A196" t="str">
            <v>BV1302</v>
          </cell>
          <cell r="D196" t="str">
            <v>K2021;10.20;10.21</v>
          </cell>
          <cell r="E196" t="str">
            <v>Khoa Ngoại Thần kinh - Lồng ngực;Ngoại Thần kinh;Ngoại lồng ngực</v>
          </cell>
          <cell r="F196" t="str">
            <v>Nguyễn Thị Thảo</v>
          </cell>
          <cell r="G196">
            <v>2</v>
          </cell>
          <cell r="H196" t="str">
            <v>020197003727</v>
          </cell>
          <cell r="I196">
            <v>3</v>
          </cell>
          <cell r="K196" t="str">
            <v>000459/LS-GPHN</v>
          </cell>
          <cell r="L196">
            <v>20260122</v>
          </cell>
          <cell r="M196" t="str">
            <v>Sở Y tế tỉnh Lạng Sơn</v>
          </cell>
          <cell r="N196">
            <v>302</v>
          </cell>
        </row>
        <row r="197">
          <cell r="A197" t="str">
            <v>BV0178</v>
          </cell>
          <cell r="D197" t="str">
            <v>K02;01.02</v>
          </cell>
          <cell r="E197" t="str">
            <v>Khoa Cấp cứu;Hồi sức cấp cứu và chống độc</v>
          </cell>
          <cell r="F197" t="str">
            <v>Triệu Đức Anh</v>
          </cell>
          <cell r="G197">
            <v>1</v>
          </cell>
          <cell r="H197" t="str">
            <v>020086011262</v>
          </cell>
          <cell r="I197" t="str">
            <v>1</v>
          </cell>
          <cell r="K197" t="str">
            <v>000496/LS-CCHN</v>
          </cell>
          <cell r="L197" t="str">
            <v>20160824</v>
          </cell>
          <cell r="M197" t="str">
            <v>Sở Y tế tỉnh Lạng Sơn</v>
          </cell>
          <cell r="N197" t="str">
            <v>110</v>
          </cell>
        </row>
        <row r="198">
          <cell r="A198" t="str">
            <v>BV0175</v>
          </cell>
          <cell r="D198" t="str">
            <v>K23;10.23</v>
          </cell>
          <cell r="E198" t="str">
            <v>Khoa Ngoại Thận - Tiết niệu;Ngoại Thận - Tiết niệu</v>
          </cell>
          <cell r="F198" t="str">
            <v>Phan Chí Dũng</v>
          </cell>
          <cell r="G198">
            <v>1</v>
          </cell>
          <cell r="H198" t="str">
            <v>020068004332</v>
          </cell>
          <cell r="I198" t="str">
            <v>1</v>
          </cell>
          <cell r="J198" t="str">
            <v>2</v>
          </cell>
          <cell r="K198" t="str">
            <v>000429/LS-CCHN</v>
          </cell>
          <cell r="L198">
            <v>20160718</v>
          </cell>
          <cell r="M198" t="str">
            <v>Sở Y tế tỉnh Lạng Sơn</v>
          </cell>
          <cell r="N198" t="str">
            <v>110</v>
          </cell>
        </row>
        <row r="199">
          <cell r="A199" t="str">
            <v>BV0177</v>
          </cell>
          <cell r="D199" t="str">
            <v>K23;10.23</v>
          </cell>
          <cell r="E199" t="str">
            <v>Khoa Ngoại Thận - Tiết niệu;Ngoại Thận - Tiết niệu</v>
          </cell>
          <cell r="F199" t="str">
            <v>Hà Thanh Bình</v>
          </cell>
          <cell r="G199">
            <v>2</v>
          </cell>
          <cell r="H199" t="str">
            <v>020083008176</v>
          </cell>
          <cell r="I199" t="str">
            <v>1</v>
          </cell>
          <cell r="K199" t="str">
            <v>000905/LS-CCHN</v>
          </cell>
          <cell r="L199" t="str">
            <v>20130624</v>
          </cell>
          <cell r="M199" t="str">
            <v>Sở Y tế tỉnh Lạng Sơn</v>
          </cell>
          <cell r="N199" t="str">
            <v>110</v>
          </cell>
        </row>
        <row r="200">
          <cell r="A200" t="str">
            <v>BV0179</v>
          </cell>
          <cell r="D200" t="str">
            <v>K23;10.23</v>
          </cell>
          <cell r="E200" t="str">
            <v>Khoa Ngoại Thận - Tiết niệu;Ngoại Thận - Tiết niệu</v>
          </cell>
          <cell r="F200" t="str">
            <v>Vũ Tuấn Minh</v>
          </cell>
          <cell r="G200">
            <v>1</v>
          </cell>
          <cell r="H200" t="str">
            <v>020087000029</v>
          </cell>
          <cell r="I200" t="str">
            <v>1</v>
          </cell>
          <cell r="K200" t="str">
            <v>000498/LS-CCHN</v>
          </cell>
          <cell r="L200" t="str">
            <v>20160824</v>
          </cell>
          <cell r="M200" t="str">
            <v>Sở Y tế tỉnh Lạng Sơn</v>
          </cell>
          <cell r="N200" t="str">
            <v>110</v>
          </cell>
        </row>
        <row r="201">
          <cell r="A201" t="str">
            <v>BV0944</v>
          </cell>
          <cell r="D201" t="str">
            <v>K23;10.23</v>
          </cell>
          <cell r="E201" t="str">
            <v>Khoa Ngoại Thận - Tiết niệu;Ngoại Thận - Tiết niệu</v>
          </cell>
          <cell r="F201" t="str">
            <v>Hoàng Minh Trang</v>
          </cell>
          <cell r="G201">
            <v>2</v>
          </cell>
          <cell r="H201" t="str">
            <v>020195010519</v>
          </cell>
          <cell r="I201" t="str">
            <v>1</v>
          </cell>
          <cell r="K201" t="str">
            <v>004292/LS-CCHN</v>
          </cell>
          <cell r="L201" t="str">
            <v>20210702</v>
          </cell>
          <cell r="M201" t="str">
            <v>Sở Y tế tỉnh Lạng Sơn</v>
          </cell>
          <cell r="N201" t="str">
            <v>110</v>
          </cell>
        </row>
        <row r="202">
          <cell r="A202" t="str">
            <v>BV1168</v>
          </cell>
          <cell r="D202" t="str">
            <v>K23;10.23</v>
          </cell>
          <cell r="E202" t="str">
            <v>Khoa Ngoại Thận - Tiết niệu;Ngoại Thận - Tiết niệu</v>
          </cell>
          <cell r="F202" t="str">
            <v>Hoàng Tuấn Hưng</v>
          </cell>
          <cell r="G202">
            <v>1</v>
          </cell>
          <cell r="H202" t="str">
            <v>020097006783</v>
          </cell>
          <cell r="I202" t="str">
            <v>1</v>
          </cell>
          <cell r="K202" t="str">
            <v>005639/LS-CCHN</v>
          </cell>
          <cell r="L202" t="str">
            <v>20230714</v>
          </cell>
          <cell r="M202" t="str">
            <v>Sở Y tế tỉnh Lạng Sơn</v>
          </cell>
          <cell r="N202" t="str">
            <v>110</v>
          </cell>
        </row>
        <row r="203">
          <cell r="A203" t="str">
            <v>BV0918</v>
          </cell>
          <cell r="D203" t="str">
            <v>K23;10.23</v>
          </cell>
          <cell r="E203" t="str">
            <v>Khoa Ngoại Thận - Tiết niệu;Ngoại Thận - Tiết niệu</v>
          </cell>
          <cell r="F203" t="str">
            <v>Hoàng Mai Anh</v>
          </cell>
          <cell r="G203">
            <v>2</v>
          </cell>
          <cell r="H203" t="str">
            <v>020195001881</v>
          </cell>
          <cell r="I203" t="str">
            <v>3</v>
          </cell>
          <cell r="K203" t="str">
            <v>003799/LS-CCHN</v>
          </cell>
          <cell r="L203" t="str">
            <v>20200721</v>
          </cell>
          <cell r="M203" t="str">
            <v>Sở Y tế tỉnh Lạng Sơn</v>
          </cell>
          <cell r="N203" t="str">
            <v>302</v>
          </cell>
        </row>
        <row r="204">
          <cell r="A204" t="str">
            <v>BV0336</v>
          </cell>
          <cell r="D204" t="str">
            <v>K23;10.23</v>
          </cell>
          <cell r="E204" t="str">
            <v>Khoa Ngoại Thận - Tiết niệu;Ngoại Thận - Tiết niệu</v>
          </cell>
          <cell r="F204" t="str">
            <v>Hứa Văn Quỳnh</v>
          </cell>
          <cell r="G204">
            <v>1</v>
          </cell>
          <cell r="H204" t="str">
            <v>020082002601</v>
          </cell>
          <cell r="I204" t="str">
            <v>3</v>
          </cell>
          <cell r="K204" t="str">
            <v>000878/LS-CCHN</v>
          </cell>
          <cell r="L204" t="str">
            <v>20230111</v>
          </cell>
          <cell r="M204" t="str">
            <v>Sở Y tế tỉnh Lạng Sơn</v>
          </cell>
          <cell r="N204" t="str">
            <v>302</v>
          </cell>
        </row>
        <row r="205">
          <cell r="A205" t="str">
            <v>BV0148</v>
          </cell>
          <cell r="D205" t="str">
            <v>K23;10.23</v>
          </cell>
          <cell r="E205" t="str">
            <v>Khoa Ngoại Thận - Tiết niệu;Ngoại Thận - Tiết niệu</v>
          </cell>
          <cell r="F205" t="str">
            <v>Nguyễn Thị Oanh</v>
          </cell>
          <cell r="G205">
            <v>2</v>
          </cell>
          <cell r="H205" t="str">
            <v>015188000845</v>
          </cell>
          <cell r="I205" t="str">
            <v>3</v>
          </cell>
          <cell r="K205" t="str">
            <v>000815/LS-CCHN</v>
          </cell>
          <cell r="L205" t="str">
            <v>20230111</v>
          </cell>
          <cell r="M205" t="str">
            <v>Sở Y tế tỉnh Lạng Sơn</v>
          </cell>
          <cell r="N205" t="str">
            <v>301</v>
          </cell>
        </row>
        <row r="206">
          <cell r="A206" t="str">
            <v>BV0187</v>
          </cell>
          <cell r="D206" t="str">
            <v>K23;10.23</v>
          </cell>
          <cell r="E206" t="str">
            <v>Khoa Ngoại Thận - Tiết niệu;Ngoại Thận - Tiết niệu</v>
          </cell>
          <cell r="F206" t="str">
            <v>Hoàng Trung Sơn</v>
          </cell>
          <cell r="G206">
            <v>1</v>
          </cell>
          <cell r="H206" t="str">
            <v>020083005724</v>
          </cell>
          <cell r="I206" t="str">
            <v>3</v>
          </cell>
          <cell r="K206" t="str">
            <v>003332/LS-CCHN</v>
          </cell>
          <cell r="L206" t="str">
            <v>20230111</v>
          </cell>
          <cell r="M206" t="str">
            <v>Sở Y tế tỉnh Lạng Sơn</v>
          </cell>
          <cell r="N206" t="str">
            <v>302</v>
          </cell>
        </row>
        <row r="207">
          <cell r="A207" t="str">
            <v>BV1088</v>
          </cell>
          <cell r="D207" t="str">
            <v>K23;10.23</v>
          </cell>
          <cell r="E207" t="str">
            <v>Khoa Ngoại Thận - Tiết niệu;Ngoại Thận - Tiết niệu</v>
          </cell>
          <cell r="F207" t="str">
            <v>Hoàng Thị Hảo</v>
          </cell>
          <cell r="G207">
            <v>2</v>
          </cell>
          <cell r="H207" t="str">
            <v>020199000942</v>
          </cell>
          <cell r="I207" t="str">
            <v>3</v>
          </cell>
          <cell r="K207" t="str">
            <v>004568/LS-CCHN</v>
          </cell>
          <cell r="L207" t="str">
            <v>20220829</v>
          </cell>
          <cell r="M207" t="str">
            <v>Sở Y tế tỉnh Lạng Sơn</v>
          </cell>
          <cell r="N207" t="str">
            <v>302</v>
          </cell>
        </row>
        <row r="208">
          <cell r="A208" t="str">
            <v>BV0404</v>
          </cell>
          <cell r="D208" t="str">
            <v>K23;10.23</v>
          </cell>
          <cell r="E208" t="str">
            <v>Khoa Ngoại Thận - Tiết niệu;Ngoại Thận - Tiết niệu</v>
          </cell>
          <cell r="F208" t="str">
            <v>Dương Thị Hoa</v>
          </cell>
          <cell r="G208">
            <v>2</v>
          </cell>
          <cell r="H208" t="str">
            <v>020174004821</v>
          </cell>
          <cell r="I208" t="str">
            <v>3</v>
          </cell>
          <cell r="K208" t="str">
            <v>001008/LS-CCHN</v>
          </cell>
          <cell r="L208" t="str">
            <v>20230111</v>
          </cell>
          <cell r="M208" t="str">
            <v>Sở Y tế tỉnh Lạng Sơn</v>
          </cell>
          <cell r="N208" t="str">
            <v>302</v>
          </cell>
        </row>
        <row r="209">
          <cell r="A209" t="str">
            <v>BV1193</v>
          </cell>
          <cell r="D209" t="str">
            <v>K23;10.23</v>
          </cell>
          <cell r="E209" t="str">
            <v>Khoa Ngoại Thận - Tiết niệu;Ngoại Thận - Tiết niệu</v>
          </cell>
          <cell r="F209" t="str">
            <v>Hoàng Thị Ngọc Bích</v>
          </cell>
          <cell r="G209">
            <v>2</v>
          </cell>
          <cell r="H209" t="str">
            <v>020190009660</v>
          </cell>
          <cell r="I209" t="str">
            <v>3</v>
          </cell>
          <cell r="K209" t="str">
            <v>004350/LS-CCHN</v>
          </cell>
          <cell r="L209" t="str">
            <v>20210910</v>
          </cell>
          <cell r="M209" t="str">
            <v>Sở Y tế tỉnh Lạng Sơn</v>
          </cell>
          <cell r="N209" t="str">
            <v>302</v>
          </cell>
        </row>
        <row r="210">
          <cell r="A210" t="str">
            <v>BV0725</v>
          </cell>
          <cell r="D210" t="str">
            <v>K23;10.23</v>
          </cell>
          <cell r="E210" t="str">
            <v>Khoa Ngoại Thận - Tiết niệu;Ngoại Thận - Tiết niệu</v>
          </cell>
          <cell r="F210" t="str">
            <v>Tô Thị Mơ</v>
          </cell>
          <cell r="G210">
            <v>2</v>
          </cell>
          <cell r="H210" t="str">
            <v>020191002433</v>
          </cell>
          <cell r="I210" t="str">
            <v>3</v>
          </cell>
          <cell r="K210" t="str">
            <v>003233/LS-CCHN</v>
          </cell>
          <cell r="L210" t="str">
            <v>20180509</v>
          </cell>
          <cell r="M210" t="str">
            <v>Sở Y tế tỉnh Lạng Sơn</v>
          </cell>
          <cell r="N210" t="str">
            <v>302</v>
          </cell>
        </row>
        <row r="211">
          <cell r="A211" t="str">
            <v>BV1196</v>
          </cell>
          <cell r="D211" t="str">
            <v>K23;10.23</v>
          </cell>
          <cell r="E211" t="str">
            <v>Khoa Ngoại Thận - Tiết niệu;Ngoại Thận - Tiết niệu</v>
          </cell>
          <cell r="F211" t="str">
            <v>Lý Thị Hoa</v>
          </cell>
          <cell r="G211">
            <v>2</v>
          </cell>
          <cell r="H211" t="str">
            <v>020301006409</v>
          </cell>
          <cell r="I211" t="str">
            <v>3</v>
          </cell>
          <cell r="K211" t="str">
            <v>000163/LS-GPHN</v>
          </cell>
          <cell r="L211">
            <v>20241016</v>
          </cell>
          <cell r="M211" t="str">
            <v>Sở Y tế tỉnh Lạng Sơn</v>
          </cell>
          <cell r="N211" t="str">
            <v>302</v>
          </cell>
        </row>
        <row r="212">
          <cell r="A212" t="str">
            <v>BV1288</v>
          </cell>
          <cell r="D212" t="str">
            <v>K23;10.23</v>
          </cell>
          <cell r="E212" t="str">
            <v>Khoa Ngoại Thận - Tiết niệu;Ngoại Thận - Tiết niệu</v>
          </cell>
          <cell r="F212" t="str">
            <v>Hoàng Thùy Ngân</v>
          </cell>
          <cell r="G212">
            <v>2</v>
          </cell>
          <cell r="H212" t="str">
            <v>020300005186</v>
          </cell>
          <cell r="I212" t="str">
            <v>3</v>
          </cell>
          <cell r="K212" t="str">
            <v>000039/LS-GPHN</v>
          </cell>
          <cell r="L212">
            <v>20240614</v>
          </cell>
          <cell r="M212" t="str">
            <v>Sở Y tế tỉnh Lạng Sơn</v>
          </cell>
          <cell r="N212" t="str">
            <v>301</v>
          </cell>
        </row>
        <row r="213">
          <cell r="A213" t="str">
            <v>BV1263</v>
          </cell>
          <cell r="D213" t="str">
            <v>K4849;K23;10.23</v>
          </cell>
          <cell r="E213" t="str">
            <v>Khoa Hồi sức tích cực - Chống độc;Khoa Ngoại Thận - Tiết niệu;Ngoại Thận - Tiết niệu</v>
          </cell>
          <cell r="F213" t="str">
            <v>Nông Thị Hồng</v>
          </cell>
          <cell r="G213">
            <v>2</v>
          </cell>
          <cell r="H213" t="str">
            <v>020302004841</v>
          </cell>
          <cell r="I213" t="str">
            <v>3</v>
          </cell>
          <cell r="K213" t="str">
            <v>000239/LS-GPHN</v>
          </cell>
          <cell r="L213">
            <v>20250331</v>
          </cell>
          <cell r="M213" t="str">
            <v>Sở Y tế tỉnh Lạng Sơn</v>
          </cell>
          <cell r="N213" t="str">
            <v>302</v>
          </cell>
        </row>
        <row r="214">
          <cell r="A214" t="str">
            <v>BV0028</v>
          </cell>
          <cell r="D214" t="str">
            <v>K4849;K23;10.23</v>
          </cell>
          <cell r="E214" t="str">
            <v>Khoa Hồi sức tích cực - Chống độc;Khoa Ngoại Thận - Tiết niệu;Ngoại Thận - Tiết niệu</v>
          </cell>
          <cell r="F214" t="str">
            <v>Hoàng Văn Thiện</v>
          </cell>
          <cell r="G214">
            <v>1</v>
          </cell>
          <cell r="H214" t="str">
            <v>020083002540</v>
          </cell>
          <cell r="I214" t="str">
            <v>3</v>
          </cell>
          <cell r="K214" t="str">
            <v>000758/LS-CCHN</v>
          </cell>
          <cell r="L214" t="str">
            <v>20221211</v>
          </cell>
          <cell r="M214" t="str">
            <v>Sở Y tế tỉnh Lạng Sơn</v>
          </cell>
          <cell r="N214" t="str">
            <v>302</v>
          </cell>
        </row>
        <row r="215">
          <cell r="A215" t="str">
            <v>BV0298</v>
          </cell>
          <cell r="D215" t="str">
            <v>K18;03.18</v>
          </cell>
          <cell r="E215" t="str">
            <v>Khoa Nhi;Nhi</v>
          </cell>
          <cell r="F215" t="str">
            <v>Trần Thị Diệp</v>
          </cell>
          <cell r="G215">
            <v>2</v>
          </cell>
          <cell r="H215" t="str">
            <v>020180002195</v>
          </cell>
          <cell r="I215" t="str">
            <v>1</v>
          </cell>
          <cell r="K215" t="str">
            <v>000401/LS-CCHN</v>
          </cell>
          <cell r="L215" t="str">
            <v>20160601</v>
          </cell>
          <cell r="M215" t="str">
            <v>Sở Y tế tỉnh Lạng Sơn</v>
          </cell>
          <cell r="N215" t="str">
            <v>103</v>
          </cell>
        </row>
        <row r="216">
          <cell r="A216" t="str">
            <v>BV0300</v>
          </cell>
          <cell r="D216" t="str">
            <v>K18;03.18</v>
          </cell>
          <cell r="E216" t="str">
            <v>Khoa Nhi;Nhi</v>
          </cell>
          <cell r="F216" t="str">
            <v>Nguyễn Thành Long</v>
          </cell>
          <cell r="G216">
            <v>1</v>
          </cell>
          <cell r="H216" t="str">
            <v>020089007110</v>
          </cell>
          <cell r="I216" t="str">
            <v>1</v>
          </cell>
          <cell r="K216" t="str">
            <v>000622/LS-CCHN</v>
          </cell>
          <cell r="L216" t="str">
            <v>20170124</v>
          </cell>
          <cell r="M216" t="str">
            <v>Sở Y tế tỉnh Lạng Sơn</v>
          </cell>
          <cell r="N216" t="str">
            <v>103</v>
          </cell>
        </row>
        <row r="217">
          <cell r="A217" t="str">
            <v>BV0682</v>
          </cell>
          <cell r="D217" t="str">
            <v>K18;03.18</v>
          </cell>
          <cell r="E217" t="str">
            <v>Khoa Nhi;Nhi</v>
          </cell>
          <cell r="F217" t="str">
            <v>Lăng Thùy Ngân</v>
          </cell>
          <cell r="G217">
            <v>2</v>
          </cell>
          <cell r="H217" t="str">
            <v>020190012859</v>
          </cell>
          <cell r="I217" t="str">
            <v>1</v>
          </cell>
          <cell r="K217" t="str">
            <v>002126/LS-CCHN</v>
          </cell>
          <cell r="L217" t="str">
            <v>20171030</v>
          </cell>
          <cell r="M217" t="str">
            <v>Sở Y tế tỉnh Lạng Sơn</v>
          </cell>
          <cell r="N217" t="str">
            <v>103</v>
          </cell>
        </row>
        <row r="218">
          <cell r="A218" t="str">
            <v>BV0946</v>
          </cell>
          <cell r="D218" t="str">
            <v>K18;03.18</v>
          </cell>
          <cell r="E218" t="str">
            <v>Khoa Nhi;Nhi</v>
          </cell>
          <cell r="F218" t="str">
            <v>Vy Thị Như Quỳnh</v>
          </cell>
          <cell r="G218">
            <v>2</v>
          </cell>
          <cell r="H218" t="str">
            <v>020194008613</v>
          </cell>
          <cell r="I218" t="str">
            <v>1</v>
          </cell>
          <cell r="K218" t="str">
            <v>004314/LS-CCHN</v>
          </cell>
          <cell r="L218" t="str">
            <v>20210720</v>
          </cell>
          <cell r="M218" t="str">
            <v>Sở Y tế tỉnh Lạng Sơn</v>
          </cell>
          <cell r="N218" t="str">
            <v>103</v>
          </cell>
        </row>
        <row r="219">
          <cell r="A219" t="str">
            <v>BV0886</v>
          </cell>
          <cell r="D219" t="str">
            <v>K18;03.18</v>
          </cell>
          <cell r="E219" t="str">
            <v>Khoa Nhi;Nhi</v>
          </cell>
          <cell r="F219" t="str">
            <v>Hoàng Thu Hiền</v>
          </cell>
          <cell r="G219">
            <v>2</v>
          </cell>
          <cell r="H219" t="str">
            <v>020194011668</v>
          </cell>
          <cell r="I219" t="str">
            <v>1</v>
          </cell>
          <cell r="K219" t="str">
            <v>004327/LS-CCHN</v>
          </cell>
          <cell r="L219" t="str">
            <v>20210720</v>
          </cell>
          <cell r="M219" t="str">
            <v>Sở Y tế tỉnh Lạng Sơn</v>
          </cell>
          <cell r="N219" t="str">
            <v>103</v>
          </cell>
        </row>
        <row r="220">
          <cell r="A220" t="str">
            <v>BV1247</v>
          </cell>
          <cell r="D220" t="str">
            <v>K18;03.18</v>
          </cell>
          <cell r="E220" t="str">
            <v>Khoa Nhi;Nhi</v>
          </cell>
          <cell r="F220" t="str">
            <v>Nguyễn Thùy Dương</v>
          </cell>
          <cell r="G220">
            <v>2</v>
          </cell>
          <cell r="H220" t="str">
            <v>020197000164</v>
          </cell>
          <cell r="I220" t="str">
            <v>1</v>
          </cell>
          <cell r="K220" t="str">
            <v>005645/LS-CCHN</v>
          </cell>
          <cell r="L220">
            <v>20230727</v>
          </cell>
          <cell r="M220" t="str">
            <v>Sở Y tế tỉnh Lạng Sơn</v>
          </cell>
          <cell r="N220" t="str">
            <v>103</v>
          </cell>
        </row>
        <row r="221">
          <cell r="A221" t="str">
            <v>BV0296</v>
          </cell>
          <cell r="D221" t="str">
            <v>K18;03.18</v>
          </cell>
          <cell r="E221" t="str">
            <v>Khoa Nhi;Nhi</v>
          </cell>
          <cell r="F221" t="str">
            <v>Lê Quang Phương</v>
          </cell>
          <cell r="G221">
            <v>1</v>
          </cell>
          <cell r="H221" t="str">
            <v>020071007657</v>
          </cell>
          <cell r="I221" t="str">
            <v>1</v>
          </cell>
          <cell r="J221" t="str">
            <v>5</v>
          </cell>
          <cell r="K221" t="str">
            <v>000116/LS-CCHN</v>
          </cell>
          <cell r="L221" t="str">
            <v>20120628</v>
          </cell>
          <cell r="M221" t="str">
            <v>Sở Y tế tỉnh Lạng Sơn</v>
          </cell>
          <cell r="N221" t="str">
            <v>103</v>
          </cell>
        </row>
        <row r="222">
          <cell r="A222" t="str">
            <v>BV0311</v>
          </cell>
          <cell r="D222" t="str">
            <v>K18;03.18</v>
          </cell>
          <cell r="E222" t="str">
            <v>Khoa Nhi;Nhi</v>
          </cell>
          <cell r="F222" t="str">
            <v>Lương Thu Thảo</v>
          </cell>
          <cell r="G222">
            <v>2</v>
          </cell>
          <cell r="H222" t="str">
            <v>020185007064</v>
          </cell>
          <cell r="I222" t="str">
            <v>3</v>
          </cell>
          <cell r="K222" t="str">
            <v>000860/LS-CCHN</v>
          </cell>
          <cell r="L222" t="str">
            <v>20230111</v>
          </cell>
          <cell r="M222" t="str">
            <v>Sở Y tế tỉnh Lạng Sơn</v>
          </cell>
          <cell r="N222" t="str">
            <v>301</v>
          </cell>
        </row>
        <row r="223">
          <cell r="A223" t="str">
            <v>BV0309</v>
          </cell>
          <cell r="D223" t="str">
            <v>K18;03.18</v>
          </cell>
          <cell r="E223" t="str">
            <v>Khoa Nhi;Nhi</v>
          </cell>
          <cell r="F223" t="str">
            <v>Vi Thị Thùy</v>
          </cell>
          <cell r="G223">
            <v>2</v>
          </cell>
          <cell r="H223" t="str">
            <v>020188008446</v>
          </cell>
          <cell r="I223" t="str">
            <v>3</v>
          </cell>
          <cell r="K223" t="str">
            <v>000858/LS-CCHN</v>
          </cell>
          <cell r="L223" t="str">
            <v>20230111</v>
          </cell>
          <cell r="M223" t="str">
            <v>Sở Y tế tỉnh Lạng Sơn</v>
          </cell>
          <cell r="N223" t="str">
            <v>301</v>
          </cell>
        </row>
        <row r="224">
          <cell r="A224" t="str">
            <v>BV0417</v>
          </cell>
          <cell r="D224" t="str">
            <v>K18;03.18</v>
          </cell>
          <cell r="E224" t="str">
            <v>Khoa Nhi;Nhi</v>
          </cell>
          <cell r="F224" t="str">
            <v>Nguyễn Diệu Thúy</v>
          </cell>
          <cell r="G224">
            <v>2</v>
          </cell>
          <cell r="H224" t="str">
            <v>020187012424</v>
          </cell>
          <cell r="I224" t="str">
            <v>3</v>
          </cell>
          <cell r="K224" t="str">
            <v>000392/LS-CCHN</v>
          </cell>
          <cell r="L224" t="str">
            <v>20230111</v>
          </cell>
          <cell r="M224" t="str">
            <v>Sở Y tế tỉnh Lạng Sơn</v>
          </cell>
          <cell r="N224" t="str">
            <v>302</v>
          </cell>
        </row>
        <row r="225">
          <cell r="A225" t="str">
            <v>BV0793</v>
          </cell>
          <cell r="D225" t="str">
            <v>K18;03.18</v>
          </cell>
          <cell r="E225" t="str">
            <v>Khoa Nhi;Nhi</v>
          </cell>
          <cell r="F225" t="str">
            <v>Lăng Thị Duyên</v>
          </cell>
          <cell r="G225">
            <v>2</v>
          </cell>
          <cell r="H225" t="str">
            <v>020191007412</v>
          </cell>
          <cell r="I225" t="str">
            <v>3</v>
          </cell>
          <cell r="K225" t="str">
            <v>003334/LS-CCHN</v>
          </cell>
          <cell r="L225" t="str">
            <v>20180817</v>
          </cell>
          <cell r="M225" t="str">
            <v>Sở Y tế tỉnh Lạng Sơn</v>
          </cell>
          <cell r="N225" t="str">
            <v>302</v>
          </cell>
        </row>
        <row r="226">
          <cell r="A226" t="str">
            <v>BV0303</v>
          </cell>
          <cell r="D226" t="str">
            <v>K18;03.18</v>
          </cell>
          <cell r="E226" t="str">
            <v>Khoa Nhi;Nhi</v>
          </cell>
          <cell r="F226" t="str">
            <v>Lữ Thị Đại</v>
          </cell>
          <cell r="G226">
            <v>2</v>
          </cell>
          <cell r="H226" t="str">
            <v>020190004145</v>
          </cell>
          <cell r="I226" t="str">
            <v>3</v>
          </cell>
          <cell r="K226" t="str">
            <v>000400/LS-CCHN</v>
          </cell>
          <cell r="L226" t="str">
            <v>20230111</v>
          </cell>
          <cell r="M226" t="str">
            <v>Sở Y tế tỉnh Lạng Sơn</v>
          </cell>
          <cell r="N226" t="str">
            <v>301</v>
          </cell>
        </row>
        <row r="227">
          <cell r="A227" t="str">
            <v>BV0728</v>
          </cell>
          <cell r="D227" t="str">
            <v>K18;03.18</v>
          </cell>
          <cell r="E227" t="str">
            <v>Khoa Nhi;Nhi</v>
          </cell>
          <cell r="F227" t="str">
            <v>Nguyễn Thị Nhang</v>
          </cell>
          <cell r="G227">
            <v>2</v>
          </cell>
          <cell r="H227" t="str">
            <v>020190003115</v>
          </cell>
          <cell r="I227" t="str">
            <v>3</v>
          </cell>
          <cell r="K227" t="str">
            <v>002172/LS-CCHN</v>
          </cell>
          <cell r="L227" t="str">
            <v>20171229</v>
          </cell>
          <cell r="M227" t="str">
            <v>Sở Y tế tỉnh Lạng Sơn</v>
          </cell>
          <cell r="N227" t="str">
            <v>302</v>
          </cell>
        </row>
        <row r="228">
          <cell r="A228" t="str">
            <v>BV0127</v>
          </cell>
          <cell r="D228" t="str">
            <v>K18;03.18</v>
          </cell>
          <cell r="E228" t="str">
            <v>Khoa Nhi;Nhi</v>
          </cell>
          <cell r="F228" t="str">
            <v>Luân Thị Hiếu</v>
          </cell>
          <cell r="G228">
            <v>2</v>
          </cell>
          <cell r="H228" t="str">
            <v>020187004043</v>
          </cell>
          <cell r="I228" t="str">
            <v>3</v>
          </cell>
          <cell r="K228" t="str">
            <v>000430/LS-CCHN</v>
          </cell>
          <cell r="L228" t="str">
            <v>20230111</v>
          </cell>
          <cell r="M228" t="str">
            <v>Sở Y tế tỉnh Lạng Sơn</v>
          </cell>
          <cell r="N228" t="str">
            <v>302</v>
          </cell>
        </row>
        <row r="229">
          <cell r="A229" t="str">
            <v>BV0312</v>
          </cell>
          <cell r="D229" t="str">
            <v>K18;03.18</v>
          </cell>
          <cell r="E229" t="str">
            <v>Khoa Nhi;Nhi</v>
          </cell>
          <cell r="F229" t="str">
            <v>Lăng Thị Yến</v>
          </cell>
          <cell r="G229">
            <v>2</v>
          </cell>
          <cell r="H229" t="str">
            <v>020187003171</v>
          </cell>
          <cell r="I229" t="str">
            <v>3</v>
          </cell>
          <cell r="K229" t="str">
            <v>000862/LS-CCHN</v>
          </cell>
          <cell r="L229" t="str">
            <v>20230111</v>
          </cell>
          <cell r="M229" t="str">
            <v>Sở Y tế tỉnh Lạng Sơn</v>
          </cell>
          <cell r="N229" t="str">
            <v>302</v>
          </cell>
        </row>
        <row r="230">
          <cell r="A230" t="str">
            <v>BV0321</v>
          </cell>
          <cell r="D230" t="str">
            <v>K18;03.18</v>
          </cell>
          <cell r="E230" t="str">
            <v>Khoa Nhi;Nhi</v>
          </cell>
          <cell r="F230" t="str">
            <v>Mạc Minh Thùy</v>
          </cell>
          <cell r="G230">
            <v>2</v>
          </cell>
          <cell r="H230" t="str">
            <v>020187001460</v>
          </cell>
          <cell r="I230" t="str">
            <v>3</v>
          </cell>
          <cell r="K230" t="str">
            <v>000871/LS-CCHN</v>
          </cell>
          <cell r="L230" t="str">
            <v>20230111</v>
          </cell>
          <cell r="M230" t="str">
            <v>Sở Y tế tỉnh Lạng Sơn</v>
          </cell>
          <cell r="N230" t="str">
            <v>302</v>
          </cell>
        </row>
        <row r="231">
          <cell r="A231" t="str">
            <v>BV0308</v>
          </cell>
          <cell r="D231" t="str">
            <v>K18;03.18</v>
          </cell>
          <cell r="E231" t="str">
            <v>Khoa Nhi;Nhi</v>
          </cell>
          <cell r="F231" t="str">
            <v>Nguyễn Thị Minh Hiệp</v>
          </cell>
          <cell r="G231">
            <v>2</v>
          </cell>
          <cell r="H231" t="str">
            <v>020181000732</v>
          </cell>
          <cell r="I231" t="str">
            <v>3</v>
          </cell>
          <cell r="K231" t="str">
            <v>000859/LS-CCHN</v>
          </cell>
          <cell r="L231" t="str">
            <v>20230111</v>
          </cell>
          <cell r="M231" t="str">
            <v>Sở Y tế tỉnh Lạng Sơn</v>
          </cell>
          <cell r="N231" t="str">
            <v>301</v>
          </cell>
        </row>
        <row r="232">
          <cell r="A232" t="str">
            <v>BV0320</v>
          </cell>
          <cell r="D232" t="str">
            <v>K18;03.18</v>
          </cell>
          <cell r="E232" t="str">
            <v>Khoa Nhi;Nhi</v>
          </cell>
          <cell r="F232" t="str">
            <v>Nông Thị Hợp</v>
          </cell>
          <cell r="G232">
            <v>2</v>
          </cell>
          <cell r="H232" t="str">
            <v>020186002493</v>
          </cell>
          <cell r="I232" t="str">
            <v>3</v>
          </cell>
          <cell r="K232" t="str">
            <v>000755/LS-CCHN</v>
          </cell>
          <cell r="L232" t="str">
            <v>20230111</v>
          </cell>
          <cell r="M232" t="str">
            <v>Sở Y tế tỉnh Lạng Sơn</v>
          </cell>
          <cell r="N232" t="str">
            <v>302</v>
          </cell>
        </row>
        <row r="233">
          <cell r="A233" t="str">
            <v>BV0200</v>
          </cell>
          <cell r="D233" t="str">
            <v>K18;03.18</v>
          </cell>
          <cell r="E233" t="str">
            <v>Khoa Nhi;Nhi</v>
          </cell>
          <cell r="F233" t="str">
            <v>Phan Văn Hiếu</v>
          </cell>
          <cell r="G233">
            <v>1</v>
          </cell>
          <cell r="H233" t="str">
            <v>020088007058</v>
          </cell>
          <cell r="I233" t="str">
            <v>3</v>
          </cell>
          <cell r="K233" t="str">
            <v>001236/LS-CCHN</v>
          </cell>
          <cell r="L233" t="str">
            <v>20230111</v>
          </cell>
          <cell r="M233" t="str">
            <v>Sở Y tế tỉnh Lạng Sơn</v>
          </cell>
          <cell r="N233" t="str">
            <v>302</v>
          </cell>
        </row>
        <row r="234">
          <cell r="A234" t="str">
            <v>BV0322</v>
          </cell>
          <cell r="D234" t="str">
            <v>K18;03.18</v>
          </cell>
          <cell r="E234" t="str">
            <v>Khoa Nhi;Nhi</v>
          </cell>
          <cell r="F234" t="str">
            <v>Hoàng Thị Gấm</v>
          </cell>
          <cell r="G234">
            <v>2</v>
          </cell>
          <cell r="H234" t="str">
            <v>020185006687</v>
          </cell>
          <cell r="I234" t="str">
            <v>3</v>
          </cell>
          <cell r="K234" t="str">
            <v>000837/LS-CCHN</v>
          </cell>
          <cell r="L234" t="str">
            <v>20230111</v>
          </cell>
          <cell r="M234" t="str">
            <v>Sở Y tế tỉnh Lạng Sơn</v>
          </cell>
          <cell r="N234" t="str">
            <v>302</v>
          </cell>
        </row>
        <row r="235">
          <cell r="A235" t="str">
            <v>BV0314</v>
          </cell>
          <cell r="D235" t="str">
            <v>K18;03.18</v>
          </cell>
          <cell r="E235" t="str">
            <v>Khoa Nhi;Nhi</v>
          </cell>
          <cell r="F235" t="str">
            <v>Hoàng Thị Oanh</v>
          </cell>
          <cell r="G235">
            <v>2</v>
          </cell>
          <cell r="H235" t="str">
            <v>020186007388</v>
          </cell>
          <cell r="I235" t="str">
            <v>3</v>
          </cell>
          <cell r="K235" t="str">
            <v>000863/LS-CCHN</v>
          </cell>
          <cell r="L235" t="str">
            <v>20230111</v>
          </cell>
          <cell r="M235" t="str">
            <v>Sở Y tế tỉnh Lạng Sơn</v>
          </cell>
          <cell r="N235" t="str">
            <v>301</v>
          </cell>
        </row>
        <row r="236">
          <cell r="A236" t="str">
            <v>BV0310</v>
          </cell>
          <cell r="D236" t="str">
            <v>K18;03.18</v>
          </cell>
          <cell r="E236" t="str">
            <v>Khoa Nhi;Nhi</v>
          </cell>
          <cell r="F236" t="str">
            <v>Nông Văn Bộ</v>
          </cell>
          <cell r="G236">
            <v>1</v>
          </cell>
          <cell r="H236" t="str">
            <v>020084006815</v>
          </cell>
          <cell r="I236" t="str">
            <v>3</v>
          </cell>
          <cell r="K236" t="str">
            <v>000855/LS-CCHN</v>
          </cell>
          <cell r="L236" t="str">
            <v>20230111</v>
          </cell>
          <cell r="M236" t="str">
            <v>Sở Y tế tỉnh Lạng Sơn</v>
          </cell>
          <cell r="N236" t="str">
            <v>302</v>
          </cell>
        </row>
        <row r="237">
          <cell r="A237" t="str">
            <v>BV0735</v>
          </cell>
          <cell r="D237" t="str">
            <v>K18;03.18</v>
          </cell>
          <cell r="E237" t="str">
            <v>Khoa Nhi;Nhi</v>
          </cell>
          <cell r="F237" t="str">
            <v>Triệu Thị Bích Nhung</v>
          </cell>
          <cell r="G237">
            <v>2</v>
          </cell>
          <cell r="H237" t="str">
            <v>020191002245</v>
          </cell>
          <cell r="I237" t="str">
            <v>3</v>
          </cell>
          <cell r="K237" t="str">
            <v>000760/LS-CCHN</v>
          </cell>
          <cell r="L237" t="str">
            <v>20230111</v>
          </cell>
          <cell r="M237" t="str">
            <v>Sở Y tế tỉnh Lạng Sơn</v>
          </cell>
          <cell r="N237" t="str">
            <v>301</v>
          </cell>
        </row>
        <row r="238">
          <cell r="A238" t="str">
            <v>BV0316</v>
          </cell>
          <cell r="D238" t="str">
            <v>K18;03.18</v>
          </cell>
          <cell r="E238" t="str">
            <v>Khoa Nhi;Nhi</v>
          </cell>
          <cell r="F238" t="str">
            <v>Vy Thị Nhuận</v>
          </cell>
          <cell r="G238">
            <v>2</v>
          </cell>
          <cell r="H238" t="str">
            <v>020184004767</v>
          </cell>
          <cell r="I238" t="str">
            <v>3</v>
          </cell>
          <cell r="K238" t="str">
            <v>000866/LS-CCHN</v>
          </cell>
          <cell r="L238" t="str">
            <v>20230111</v>
          </cell>
          <cell r="M238" t="str">
            <v>Sở Y tế tỉnh Lạng Sơn</v>
          </cell>
          <cell r="N238" t="str">
            <v>302</v>
          </cell>
        </row>
        <row r="239">
          <cell r="A239" t="str">
            <v>BV0727</v>
          </cell>
          <cell r="D239" t="str">
            <v>K18;03.18</v>
          </cell>
          <cell r="E239" t="str">
            <v>Khoa Nhi;Nhi</v>
          </cell>
          <cell r="F239" t="str">
            <v>Lương Thu Hòa</v>
          </cell>
          <cell r="G239">
            <v>2</v>
          </cell>
          <cell r="H239" t="str">
            <v>020192001501</v>
          </cell>
          <cell r="I239" t="str">
            <v>3</v>
          </cell>
          <cell r="K239" t="str">
            <v>002163/LS-CCHN</v>
          </cell>
          <cell r="L239" t="str">
            <v>20171229</v>
          </cell>
          <cell r="M239" t="str">
            <v>Sở Y tế tỉnh Lạng Sơn</v>
          </cell>
          <cell r="N239" t="str">
            <v>302</v>
          </cell>
        </row>
        <row r="240">
          <cell r="A240" t="str">
            <v>BV0877</v>
          </cell>
          <cell r="D240" t="str">
            <v>K18;03.18</v>
          </cell>
          <cell r="E240" t="str">
            <v>Khoa Nhi;Nhi</v>
          </cell>
          <cell r="F240" t="str">
            <v>Hoàng Thị Hiếu</v>
          </cell>
          <cell r="G240">
            <v>2</v>
          </cell>
          <cell r="H240" t="str">
            <v>020191002552</v>
          </cell>
          <cell r="I240" t="str">
            <v>3</v>
          </cell>
          <cell r="K240" t="str">
            <v>003807/LS-CCHN</v>
          </cell>
          <cell r="L240" t="str">
            <v>20200721</v>
          </cell>
          <cell r="M240" t="str">
            <v>Sở Y tế tỉnh Lạng Sơn</v>
          </cell>
          <cell r="N240" t="str">
            <v>302</v>
          </cell>
        </row>
        <row r="241">
          <cell r="A241" t="str">
            <v>BV1148</v>
          </cell>
          <cell r="D241" t="str">
            <v>K18;03.18</v>
          </cell>
          <cell r="E241" t="str">
            <v>Khoa Nhi;Nhi</v>
          </cell>
          <cell r="F241" t="str">
            <v>Lường Thị Tới</v>
          </cell>
          <cell r="G241">
            <v>2</v>
          </cell>
          <cell r="H241" t="str">
            <v>020192010705</v>
          </cell>
          <cell r="I241" t="str">
            <v>3</v>
          </cell>
          <cell r="K241" t="str">
            <v>004318/LS-CCHN</v>
          </cell>
          <cell r="L241" t="str">
            <v>20210720</v>
          </cell>
          <cell r="M241" t="str">
            <v>Sở Y tế tỉnh Lạng Sơn</v>
          </cell>
          <cell r="N241" t="str">
            <v>302</v>
          </cell>
        </row>
        <row r="242">
          <cell r="A242" t="str">
            <v>BV1095</v>
          </cell>
          <cell r="D242" t="str">
            <v>K18;03.18</v>
          </cell>
          <cell r="E242" t="str">
            <v>Khoa Nhi;Nhi</v>
          </cell>
          <cell r="F242" t="str">
            <v>Nông Thị Thanh Xuân</v>
          </cell>
          <cell r="G242">
            <v>2</v>
          </cell>
          <cell r="H242" t="str">
            <v>020199000315</v>
          </cell>
          <cell r="I242" t="str">
            <v>3</v>
          </cell>
          <cell r="K242" t="str">
            <v>004372/LS-CCHN</v>
          </cell>
          <cell r="L242" t="str">
            <v>20211105</v>
          </cell>
          <cell r="M242" t="str">
            <v>Sở Y tế tỉnh Lạng Sơn</v>
          </cell>
          <cell r="N242" t="str">
            <v>302</v>
          </cell>
        </row>
        <row r="243">
          <cell r="A243" t="str">
            <v>BV0914</v>
          </cell>
          <cell r="D243" t="str">
            <v>K18;03.18</v>
          </cell>
          <cell r="E243" t="str">
            <v>Khoa Nhi;Nhi</v>
          </cell>
          <cell r="F243" t="str">
            <v>Hoàng Đức Dương</v>
          </cell>
          <cell r="G243">
            <v>1</v>
          </cell>
          <cell r="H243" t="str">
            <v>020097004510</v>
          </cell>
          <cell r="I243" t="str">
            <v>3</v>
          </cell>
          <cell r="K243" t="str">
            <v>004494/LS-CCHN</v>
          </cell>
          <cell r="L243" t="str">
            <v>20220406</v>
          </cell>
          <cell r="M243" t="str">
            <v>Sở Y tế tỉnh Lạng Sơn</v>
          </cell>
          <cell r="N243" t="str">
            <v>302</v>
          </cell>
        </row>
        <row r="244">
          <cell r="A244" t="str">
            <v>BV0301</v>
          </cell>
          <cell r="D244" t="str">
            <v>K18;03.18</v>
          </cell>
          <cell r="E244" t="str">
            <v>Khoa Nhi;Nhi</v>
          </cell>
          <cell r="F244" t="str">
            <v>Nguyễn Thị Chanh</v>
          </cell>
          <cell r="G244">
            <v>2</v>
          </cell>
          <cell r="H244" t="str">
            <v>020183000661</v>
          </cell>
          <cell r="I244" t="str">
            <v>3</v>
          </cell>
          <cell r="K244" t="str">
            <v>000857/LS-CCHN</v>
          </cell>
          <cell r="L244" t="str">
            <v>20130624</v>
          </cell>
          <cell r="M244" t="str">
            <v>Sở Y tế tỉnh Lạng Sơn</v>
          </cell>
          <cell r="N244" t="str">
            <v>301</v>
          </cell>
        </row>
        <row r="245">
          <cell r="A245" t="str">
            <v>BV0315</v>
          </cell>
          <cell r="D245" t="str">
            <v>K18;03.18</v>
          </cell>
          <cell r="E245" t="str">
            <v>Khoa Nhi;Nhi</v>
          </cell>
          <cell r="F245" t="str">
            <v>Hoàng Thị Vượng</v>
          </cell>
          <cell r="G245">
            <v>2</v>
          </cell>
          <cell r="H245" t="str">
            <v>020187010650</v>
          </cell>
          <cell r="I245" t="str">
            <v>3</v>
          </cell>
          <cell r="K245" t="str">
            <v>000865/LS-CCHN</v>
          </cell>
          <cell r="L245" t="str">
            <v>20230111</v>
          </cell>
          <cell r="M245" t="str">
            <v>Sở Y tế tỉnh Lạng Sơn</v>
          </cell>
          <cell r="N245" t="str">
            <v>302</v>
          </cell>
        </row>
        <row r="246">
          <cell r="A246" t="str">
            <v>BV0913</v>
          </cell>
          <cell r="D246" t="str">
            <v>K18;03.18</v>
          </cell>
          <cell r="E246" t="str">
            <v>Khoa Nhi;Nhi</v>
          </cell>
          <cell r="F246" t="str">
            <v>Nông Thị Lụa</v>
          </cell>
          <cell r="G246">
            <v>2</v>
          </cell>
          <cell r="H246" t="str">
            <v>020189002912</v>
          </cell>
          <cell r="I246" t="str">
            <v>3</v>
          </cell>
          <cell r="K246" t="str">
            <v>003232/LS-CCHN</v>
          </cell>
          <cell r="L246" t="str">
            <v>20180720</v>
          </cell>
          <cell r="M246" t="str">
            <v>Sở Y tế tỉnh Lạng Sơn</v>
          </cell>
          <cell r="N246" t="str">
            <v>301</v>
          </cell>
        </row>
        <row r="247">
          <cell r="A247" t="str">
            <v>BV0313</v>
          </cell>
          <cell r="D247" t="str">
            <v>K18;03.18</v>
          </cell>
          <cell r="E247" t="str">
            <v>Khoa Nhi;Nhi</v>
          </cell>
          <cell r="F247" t="str">
            <v>Đàm Thị Liên</v>
          </cell>
          <cell r="G247">
            <v>2</v>
          </cell>
          <cell r="H247" t="str">
            <v>020186002925</v>
          </cell>
          <cell r="I247" t="str">
            <v>3</v>
          </cell>
          <cell r="K247" t="str">
            <v>000853/LS-CCHN</v>
          </cell>
          <cell r="L247" t="str">
            <v>20230111</v>
          </cell>
          <cell r="M247" t="str">
            <v>Sở Y tế tỉnh Lạng Sơn</v>
          </cell>
          <cell r="N247" t="str">
            <v>302</v>
          </cell>
        </row>
        <row r="248">
          <cell r="A248" t="str">
            <v>BV0992</v>
          </cell>
          <cell r="D248" t="str">
            <v>K18;03.18</v>
          </cell>
          <cell r="E248" t="str">
            <v>Khoa Nhi;Nhi</v>
          </cell>
          <cell r="F248" t="str">
            <v>Ma Văn Lý</v>
          </cell>
          <cell r="G248">
            <v>1</v>
          </cell>
          <cell r="H248" t="str">
            <v>020098003549</v>
          </cell>
          <cell r="I248" t="str">
            <v>3</v>
          </cell>
          <cell r="K248" t="str">
            <v>005538/LS-CCHN</v>
          </cell>
          <cell r="L248" t="str">
            <v>20230111</v>
          </cell>
          <cell r="M248" t="str">
            <v>Sở Y tế tỉnh Lạng Sơn</v>
          </cell>
          <cell r="N248" t="str">
            <v>302</v>
          </cell>
        </row>
        <row r="249">
          <cell r="A249" t="str">
            <v>BV1049</v>
          </cell>
          <cell r="D249" t="str">
            <v>K4849;K18;03.18</v>
          </cell>
          <cell r="E249" t="str">
            <v>Khoa Hồi sức tích cực - Chống độc;Khoa Nhi;Nhi</v>
          </cell>
          <cell r="F249" t="str">
            <v>Lý Hồng Trang</v>
          </cell>
          <cell r="G249">
            <v>2</v>
          </cell>
          <cell r="H249" t="str">
            <v>020191004984</v>
          </cell>
          <cell r="I249" t="str">
            <v>3</v>
          </cell>
          <cell r="K249" t="str">
            <v>005553/LS-CCHN</v>
          </cell>
          <cell r="L249" t="str">
            <v>20230216</v>
          </cell>
          <cell r="M249" t="str">
            <v>Sở Y tế tỉnh Lạng Sơn</v>
          </cell>
          <cell r="N249" t="str">
            <v>302</v>
          </cell>
        </row>
        <row r="250">
          <cell r="A250" t="str">
            <v>BV1206</v>
          </cell>
          <cell r="D250" t="str">
            <v>K4849;K18;03.18</v>
          </cell>
          <cell r="E250" t="str">
            <v>Khoa Hồi sức tích cực - Chống độc;Khoa Nhi;Nhi</v>
          </cell>
          <cell r="F250" t="str">
            <v>Lý Thị Yến Nhi</v>
          </cell>
          <cell r="G250">
            <v>2</v>
          </cell>
          <cell r="H250" t="str">
            <v>020301000795</v>
          </cell>
          <cell r="I250" t="str">
            <v>3</v>
          </cell>
          <cell r="K250" t="str">
            <v>005728/LS-CCHN</v>
          </cell>
          <cell r="L250" t="str">
            <v>20240110</v>
          </cell>
          <cell r="M250" t="str">
            <v>Sở Y tế tỉnh Lạng Sơn</v>
          </cell>
          <cell r="N250" t="str">
            <v>302</v>
          </cell>
        </row>
        <row r="251">
          <cell r="A251" t="str">
            <v>BV1260</v>
          </cell>
          <cell r="D251" t="str">
            <v>K18;03.18</v>
          </cell>
          <cell r="E251" t="str">
            <v>Khoa Nhi;Nhi</v>
          </cell>
          <cell r="F251" t="str">
            <v>Hoàng Thị Thảo Nương</v>
          </cell>
          <cell r="G251">
            <v>2</v>
          </cell>
          <cell r="H251" t="str">
            <v>020197005434</v>
          </cell>
          <cell r="I251" t="str">
            <v>1</v>
          </cell>
          <cell r="K251" t="str">
            <v>000107/LS-GPHN</v>
          </cell>
          <cell r="L251">
            <v>20240723</v>
          </cell>
          <cell r="M251" t="str">
            <v>Sở Y tế tỉnh Lạng Sơn</v>
          </cell>
          <cell r="N251" t="str">
            <v>103</v>
          </cell>
        </row>
        <row r="252">
          <cell r="A252" t="str">
            <v>BV1261</v>
          </cell>
          <cell r="D252" t="str">
            <v>K18;03.18</v>
          </cell>
          <cell r="E252" t="str">
            <v>Khoa Nhi;Nhi</v>
          </cell>
          <cell r="F252" t="str">
            <v>Đinh Tố Uyên</v>
          </cell>
          <cell r="G252">
            <v>2</v>
          </cell>
          <cell r="H252" t="str">
            <v>020198007296</v>
          </cell>
          <cell r="I252" t="str">
            <v>1</v>
          </cell>
          <cell r="K252" t="str">
            <v>000315/LS-GPHN</v>
          </cell>
          <cell r="L252">
            <v>20250807</v>
          </cell>
          <cell r="M252" t="str">
            <v>Sở Y tế tỉnh Lạng Sơn</v>
          </cell>
          <cell r="N252" t="str">
            <v>103</v>
          </cell>
        </row>
        <row r="253">
          <cell r="A253" t="str">
            <v>BV1339</v>
          </cell>
          <cell r="D253" t="str">
            <v>K18;03.18</v>
          </cell>
          <cell r="E253" t="str">
            <v>Khoa Nhi;Nhi</v>
          </cell>
          <cell r="F253" t="str">
            <v>Nguyễn Xuân Nam</v>
          </cell>
          <cell r="G253">
            <v>1</v>
          </cell>
          <cell r="H253" t="str">
            <v>024098008421</v>
          </cell>
          <cell r="I253" t="str">
            <v>1</v>
          </cell>
          <cell r="K253" t="str">
            <v>000526/BN-GPHN</v>
          </cell>
          <cell r="L253">
            <v>20250709</v>
          </cell>
          <cell r="M253" t="str">
            <v>Sở Y tế tỉnh Bắc Ninh</v>
          </cell>
          <cell r="N253" t="str">
            <v>103</v>
          </cell>
        </row>
        <row r="254">
          <cell r="A254" t="str">
            <v>BV1283</v>
          </cell>
          <cell r="D254" t="str">
            <v>K18;03.18</v>
          </cell>
          <cell r="E254" t="str">
            <v>Khoa Nhi;Nhi</v>
          </cell>
          <cell r="F254" t="str">
            <v>Nguyễn Thu Thủy</v>
          </cell>
          <cell r="G254">
            <v>2</v>
          </cell>
          <cell r="H254" t="str">
            <v>020197008599</v>
          </cell>
          <cell r="I254" t="str">
            <v>1</v>
          </cell>
          <cell r="K254" t="str">
            <v>000002/LS-GPHN</v>
          </cell>
          <cell r="L254">
            <v>20240531</v>
          </cell>
          <cell r="M254" t="str">
            <v>Sở Y tế tỉnh Lạng Sơn</v>
          </cell>
          <cell r="N254" t="str">
            <v>103</v>
          </cell>
        </row>
        <row r="255">
          <cell r="A255" t="str">
            <v>BV1063</v>
          </cell>
          <cell r="D255" t="str">
            <v>K27;13.27</v>
          </cell>
          <cell r="E255" t="str">
            <v>Khoa Phụ sản;Phụ sản</v>
          </cell>
          <cell r="F255" t="str">
            <v>Phạm Thị Trang</v>
          </cell>
          <cell r="G255">
            <v>2</v>
          </cell>
          <cell r="H255" t="str">
            <v>020195008464</v>
          </cell>
          <cell r="I255" t="str">
            <v>1</v>
          </cell>
          <cell r="K255" t="str">
            <v>005494/LS-CCHN</v>
          </cell>
          <cell r="L255" t="str">
            <v>20221104</v>
          </cell>
          <cell r="M255" t="str">
            <v>Sở Y tế tỉnh Lạng Sơn</v>
          </cell>
          <cell r="N255" t="str">
            <v>102</v>
          </cell>
        </row>
        <row r="256">
          <cell r="A256" t="str">
            <v>BV0243</v>
          </cell>
          <cell r="D256" t="str">
            <v>K27;13.27</v>
          </cell>
          <cell r="E256" t="str">
            <v>Khoa Phụ sản;Phụ sản</v>
          </cell>
          <cell r="F256" t="str">
            <v>Đoàn Anh Đức</v>
          </cell>
          <cell r="G256">
            <v>1</v>
          </cell>
          <cell r="H256" t="str">
            <v>020082001917</v>
          </cell>
          <cell r="I256" t="str">
            <v>1</v>
          </cell>
          <cell r="J256" t="str">
            <v>5</v>
          </cell>
          <cell r="K256" t="str">
            <v>000953/LS-CCHN</v>
          </cell>
          <cell r="L256" t="str">
            <v>20130624</v>
          </cell>
          <cell r="M256" t="str">
            <v>Sở Y tế tỉnh Lạng Sơn</v>
          </cell>
          <cell r="N256" t="str">
            <v>113</v>
          </cell>
        </row>
        <row r="257">
          <cell r="A257" t="str">
            <v>BV1171</v>
          </cell>
          <cell r="D257" t="str">
            <v>K27;13.27</v>
          </cell>
          <cell r="E257" t="str">
            <v>Khoa Phụ sản;Phụ sản</v>
          </cell>
          <cell r="F257" t="str">
            <v>Lương Phan Anh</v>
          </cell>
          <cell r="G257">
            <v>1</v>
          </cell>
          <cell r="H257" t="str">
            <v>020093006527</v>
          </cell>
          <cell r="I257" t="str">
            <v>1</v>
          </cell>
          <cell r="K257" t="str">
            <v>004562/LS-CCHN</v>
          </cell>
          <cell r="L257" t="str">
            <v>20220802</v>
          </cell>
          <cell r="M257" t="str">
            <v>Sở Y tế tỉnh Lạng Sơn</v>
          </cell>
          <cell r="N257" t="str">
            <v>113</v>
          </cell>
        </row>
        <row r="258">
          <cell r="A258" t="str">
            <v>BV0841</v>
          </cell>
          <cell r="D258" t="str">
            <v>K27;13.27</v>
          </cell>
          <cell r="E258" t="str">
            <v>Khoa Phụ sản;Phụ sản</v>
          </cell>
          <cell r="F258" t="str">
            <v>Vi Việt Chinh</v>
          </cell>
          <cell r="G258">
            <v>1</v>
          </cell>
          <cell r="H258" t="str">
            <v>020092002124</v>
          </cell>
          <cell r="I258" t="str">
            <v>1</v>
          </cell>
          <cell r="K258" t="str">
            <v>003659/LS-CCHN</v>
          </cell>
          <cell r="L258" t="str">
            <v>20191227</v>
          </cell>
          <cell r="M258" t="str">
            <v>Sở Y tế tỉnh Lạng Sơn</v>
          </cell>
          <cell r="N258" t="str">
            <v>113</v>
          </cell>
          <cell r="P258" t="str">
            <v>18.0018;18.0020;18.0030;18.0031;18.0034;18.0035;18.0036;18.0054</v>
          </cell>
        </row>
        <row r="259">
          <cell r="A259" t="str">
            <v>BV0003</v>
          </cell>
          <cell r="D259" t="str">
            <v>K27;13.27</v>
          </cell>
          <cell r="E259" t="str">
            <v>Khoa Phụ sản;Phụ sản</v>
          </cell>
          <cell r="F259" t="str">
            <v>Nguyễn Thúy Vân</v>
          </cell>
          <cell r="G259">
            <v>2</v>
          </cell>
          <cell r="H259" t="str">
            <v>020171000754</v>
          </cell>
          <cell r="I259" t="str">
            <v>1</v>
          </cell>
          <cell r="K259" t="str">
            <v>000020/LS-CCHN</v>
          </cell>
          <cell r="L259" t="str">
            <v>20120509</v>
          </cell>
          <cell r="M259" t="str">
            <v>Sở Y tế tỉnh Lạng Sơn</v>
          </cell>
          <cell r="N259" t="str">
            <v>113</v>
          </cell>
          <cell r="P259" t="str">
            <v>18.0018;18.0020;18.0030;18.0031;18.0034;18.0035;18.0036;18.0054</v>
          </cell>
        </row>
        <row r="260">
          <cell r="A260" t="str">
            <v>BV0242</v>
          </cell>
          <cell r="D260" t="str">
            <v>K27;13.27</v>
          </cell>
          <cell r="E260" t="str">
            <v>Khoa Phụ sản;Phụ sản</v>
          </cell>
          <cell r="F260" t="str">
            <v>Vi Thị Việt Hà</v>
          </cell>
          <cell r="G260">
            <v>2</v>
          </cell>
          <cell r="H260" t="str">
            <v>019170001512</v>
          </cell>
          <cell r="I260" t="str">
            <v>1</v>
          </cell>
          <cell r="K260" t="str">
            <v>000203/LS-CCHN</v>
          </cell>
          <cell r="L260" t="str">
            <v>20121025</v>
          </cell>
          <cell r="M260" t="str">
            <v>Sở Y tế tỉnh Lạng Sơn</v>
          </cell>
          <cell r="N260" t="str">
            <v>113</v>
          </cell>
          <cell r="P260" t="str">
            <v>18.0018;18.0020;18.0030;18.0031;18.0034;18.0035;18.0036;18.0054</v>
          </cell>
        </row>
        <row r="261">
          <cell r="A261" t="str">
            <v>BV0248</v>
          </cell>
          <cell r="D261" t="str">
            <v>K27;13.27</v>
          </cell>
          <cell r="E261" t="str">
            <v>Khoa Phụ sản;Phụ sản</v>
          </cell>
          <cell r="F261" t="str">
            <v>Đặng Thúy Loan</v>
          </cell>
          <cell r="G261">
            <v>2</v>
          </cell>
          <cell r="H261" t="str">
            <v>002188005485</v>
          </cell>
          <cell r="I261" t="str">
            <v>1</v>
          </cell>
          <cell r="K261" t="str">
            <v>003357/LS-CCHN</v>
          </cell>
          <cell r="L261" t="str">
            <v>20180917</v>
          </cell>
          <cell r="M261" t="str">
            <v>Sở Y tế tỉnh Lạng Sơn</v>
          </cell>
          <cell r="N261" t="str">
            <v>113</v>
          </cell>
          <cell r="P261" t="str">
            <v>18.0018;18.0020;18.0030;18.0031;18.0034;18.0035;18.0036;18.0054</v>
          </cell>
        </row>
        <row r="262">
          <cell r="A262" t="str">
            <v>BV0246</v>
          </cell>
          <cell r="D262" t="str">
            <v>K27;13.27</v>
          </cell>
          <cell r="E262" t="str">
            <v>Khoa Phụ sản;Phụ sản</v>
          </cell>
          <cell r="F262" t="str">
            <v>Hoàng Thị Hồng Chiêm</v>
          </cell>
          <cell r="G262">
            <v>2</v>
          </cell>
          <cell r="H262" t="str">
            <v>020186011848</v>
          </cell>
          <cell r="I262" t="str">
            <v>1</v>
          </cell>
          <cell r="K262" t="str">
            <v>000955/LS-CCHN</v>
          </cell>
          <cell r="L262" t="str">
            <v>20130624</v>
          </cell>
          <cell r="M262" t="str">
            <v>Sở Y tế tỉnh Lạng Sơn</v>
          </cell>
          <cell r="N262" t="str">
            <v>113</v>
          </cell>
          <cell r="P262" t="str">
            <v>18.0018;18.0020;18.0030;18.0031;18.0034;18.0035;18.0036;18.0054</v>
          </cell>
        </row>
        <row r="263">
          <cell r="A263" t="str">
            <v>BV0245</v>
          </cell>
          <cell r="D263" t="str">
            <v>K27;13.27</v>
          </cell>
          <cell r="E263" t="str">
            <v>Khoa Phụ sản;Phụ sản</v>
          </cell>
          <cell r="F263" t="str">
            <v>Như Thùy Vân</v>
          </cell>
          <cell r="G263">
            <v>2</v>
          </cell>
          <cell r="H263" t="str">
            <v>020184006989</v>
          </cell>
          <cell r="I263" t="str">
            <v>1</v>
          </cell>
          <cell r="K263" t="str">
            <v>000954/LS-CCHN</v>
          </cell>
          <cell r="L263" t="str">
            <v>20130624</v>
          </cell>
          <cell r="M263" t="str">
            <v>Sở Y tế tỉnh Lạng Sơn</v>
          </cell>
          <cell r="N263" t="str">
            <v>113</v>
          </cell>
          <cell r="P263" t="str">
            <v>18.0018;18.0020;18.0030;18.0031;18.0034;18.0035;18.0036;18.0054</v>
          </cell>
        </row>
        <row r="264">
          <cell r="A264" t="str">
            <v>BV0790</v>
          </cell>
          <cell r="D264" t="str">
            <v>K27;13.27</v>
          </cell>
          <cell r="E264" t="str">
            <v>Khoa Phụ sản;Phụ sản</v>
          </cell>
          <cell r="F264" t="str">
            <v>Dương Tuyết Nhung</v>
          </cell>
          <cell r="G264">
            <v>2</v>
          </cell>
          <cell r="H264" t="str">
            <v>020192007463</v>
          </cell>
          <cell r="I264" t="str">
            <v>1</v>
          </cell>
          <cell r="K264" t="str">
            <v>003458/LS-CCHN</v>
          </cell>
          <cell r="L264" t="str">
            <v>20190517</v>
          </cell>
          <cell r="M264" t="str">
            <v>Sở Y tế tỉnh Lạng Sơn</v>
          </cell>
          <cell r="N264" t="str">
            <v>113</v>
          </cell>
          <cell r="P264" t="str">
            <v>18.0018;18.0020;18.0030;18.0031;18.0034;18.0035;18.0036;18.0054</v>
          </cell>
        </row>
        <row r="265">
          <cell r="A265" t="str">
            <v>BV0247</v>
          </cell>
          <cell r="D265" t="str">
            <v>K27;13.27</v>
          </cell>
          <cell r="E265" t="str">
            <v>Khoa Phụ sản;Phụ sản</v>
          </cell>
          <cell r="F265" t="str">
            <v>Đặng Thị Thơm</v>
          </cell>
          <cell r="G265">
            <v>2</v>
          </cell>
          <cell r="H265" t="str">
            <v>020185002827</v>
          </cell>
          <cell r="I265" t="str">
            <v>1</v>
          </cell>
          <cell r="J265" t="str">
            <v>4</v>
          </cell>
          <cell r="K265" t="str">
            <v>000374/LS-CCHN</v>
          </cell>
          <cell r="L265" t="str">
            <v>20160601</v>
          </cell>
          <cell r="M265" t="str">
            <v>Sở Y tế tỉnh Lạng Sơn</v>
          </cell>
          <cell r="N265" t="str">
            <v>113</v>
          </cell>
        </row>
        <row r="266">
          <cell r="A266" t="str">
            <v>BV0791</v>
          </cell>
          <cell r="D266" t="str">
            <v>K27;13.27</v>
          </cell>
          <cell r="E266" t="str">
            <v>Khoa Phụ sản;Phụ sản</v>
          </cell>
          <cell r="F266" t="str">
            <v>Hoàng Ngọc Lê</v>
          </cell>
          <cell r="G266">
            <v>2</v>
          </cell>
          <cell r="H266" t="str">
            <v>020189002999</v>
          </cell>
          <cell r="I266" t="str">
            <v>3</v>
          </cell>
          <cell r="K266" t="str">
            <v>003395/LS-CCHN</v>
          </cell>
          <cell r="L266" t="str">
            <v>20181121</v>
          </cell>
          <cell r="M266" t="str">
            <v>Sở Y tế tỉnh Lạng Sơn</v>
          </cell>
          <cell r="N266" t="str">
            <v>301</v>
          </cell>
        </row>
        <row r="267">
          <cell r="A267" t="str">
            <v>BV0253</v>
          </cell>
          <cell r="D267" t="str">
            <v>K27;13.27</v>
          </cell>
          <cell r="E267" t="str">
            <v>Khoa Phụ sản;Phụ sản</v>
          </cell>
          <cell r="F267" t="str">
            <v>Bùi Thị Oanh</v>
          </cell>
          <cell r="G267">
            <v>2</v>
          </cell>
          <cell r="H267" t="str">
            <v>001187037308</v>
          </cell>
          <cell r="I267" t="str">
            <v>3</v>
          </cell>
          <cell r="K267" t="str">
            <v>000375/LS-CCHN</v>
          </cell>
          <cell r="L267" t="str">
            <v>20160601</v>
          </cell>
          <cell r="M267" t="str">
            <v>Sở Y tế tỉnh Lạng Sơn</v>
          </cell>
          <cell r="N267" t="str">
            <v>301;313</v>
          </cell>
        </row>
        <row r="268">
          <cell r="A268" t="str">
            <v>BV0258</v>
          </cell>
          <cell r="D268" t="str">
            <v>K27;13.27</v>
          </cell>
          <cell r="E268" t="str">
            <v>Khoa Phụ sản;Phụ sản</v>
          </cell>
          <cell r="F268" t="str">
            <v>Chu Thị Hồng Trang</v>
          </cell>
          <cell r="G268">
            <v>2</v>
          </cell>
          <cell r="H268" t="str">
            <v>020180000519</v>
          </cell>
          <cell r="I268" t="str">
            <v>4</v>
          </cell>
          <cell r="K268" t="str">
            <v>000971/LS-CCHN</v>
          </cell>
          <cell r="L268" t="str">
            <v>20130624</v>
          </cell>
          <cell r="M268" t="str">
            <v>Sở Y tế tỉnh Lạng Sơn</v>
          </cell>
          <cell r="N268" t="str">
            <v>402</v>
          </cell>
        </row>
        <row r="269">
          <cell r="A269" t="str">
            <v>BV0282</v>
          </cell>
          <cell r="D269" t="str">
            <v>K27;13.27</v>
          </cell>
          <cell r="E269" t="str">
            <v>Khoa Phụ sản;Phụ sản</v>
          </cell>
          <cell r="F269" t="str">
            <v>Hoàng Thị Hiển</v>
          </cell>
          <cell r="G269">
            <v>2</v>
          </cell>
          <cell r="H269" t="str">
            <v>020188003362</v>
          </cell>
          <cell r="I269" t="str">
            <v>4</v>
          </cell>
          <cell r="K269" t="str">
            <v>000991/LS-CCHN</v>
          </cell>
          <cell r="L269" t="str">
            <v>20130624</v>
          </cell>
          <cell r="M269" t="str">
            <v>Sở Y tế tỉnh Lạng Sơn</v>
          </cell>
          <cell r="N269" t="str">
            <v>402</v>
          </cell>
        </row>
        <row r="270">
          <cell r="A270" t="str">
            <v>BV0271</v>
          </cell>
          <cell r="D270" t="str">
            <v>K27;13.27</v>
          </cell>
          <cell r="E270" t="str">
            <v>Khoa Phụ sản;Phụ sản</v>
          </cell>
          <cell r="F270" t="str">
            <v>Chu Thị Mười</v>
          </cell>
          <cell r="G270">
            <v>2</v>
          </cell>
          <cell r="H270" t="str">
            <v>020183003149</v>
          </cell>
          <cell r="I270" t="str">
            <v>4</v>
          </cell>
          <cell r="K270" t="str">
            <v>000973/LS-CCHN</v>
          </cell>
          <cell r="L270" t="str">
            <v>20130624</v>
          </cell>
          <cell r="M270" t="str">
            <v>Sở Y tế tỉnh Lạng Sơn</v>
          </cell>
          <cell r="N270" t="str">
            <v>402</v>
          </cell>
        </row>
        <row r="271">
          <cell r="A271" t="str">
            <v>BV0267</v>
          </cell>
          <cell r="D271" t="str">
            <v>K27;13.27</v>
          </cell>
          <cell r="E271" t="str">
            <v>Khoa Phụ sản;Phụ sản</v>
          </cell>
          <cell r="F271" t="str">
            <v>Hoàng Thị Mai Quỳnh</v>
          </cell>
          <cell r="G271">
            <v>2</v>
          </cell>
          <cell r="H271" t="str">
            <v>020187002868</v>
          </cell>
          <cell r="I271" t="str">
            <v>4</v>
          </cell>
          <cell r="K271" t="str">
            <v>000970/LS-CCHN</v>
          </cell>
          <cell r="L271" t="str">
            <v>20130624</v>
          </cell>
          <cell r="M271" t="str">
            <v>Sở Y tế tỉnh Lạng Sơn</v>
          </cell>
          <cell r="N271" t="str">
            <v>402</v>
          </cell>
        </row>
        <row r="272">
          <cell r="A272" t="str">
            <v>BV0275</v>
          </cell>
          <cell r="D272" t="str">
            <v>K27;13.27</v>
          </cell>
          <cell r="E272" t="str">
            <v>Khoa Phụ sản;Phụ sản</v>
          </cell>
          <cell r="F272" t="str">
            <v>Dương Thị Huế</v>
          </cell>
          <cell r="G272">
            <v>2</v>
          </cell>
          <cell r="H272" t="str">
            <v>020185011311</v>
          </cell>
          <cell r="I272" t="str">
            <v>4</v>
          </cell>
          <cell r="K272" t="str">
            <v>001235/LS-CCHN</v>
          </cell>
          <cell r="L272" t="str">
            <v>20130719</v>
          </cell>
          <cell r="M272" t="str">
            <v>Sở Y tế tỉnh Lạng Sơn</v>
          </cell>
          <cell r="N272" t="str">
            <v>402</v>
          </cell>
        </row>
        <row r="273">
          <cell r="A273" t="str">
            <v>BV0255</v>
          </cell>
          <cell r="D273" t="str">
            <v>K27;13.27</v>
          </cell>
          <cell r="E273" t="str">
            <v>Khoa Phụ sản;Phụ sản</v>
          </cell>
          <cell r="F273" t="str">
            <v>Hoàng Quế Anh</v>
          </cell>
          <cell r="G273">
            <v>2</v>
          </cell>
          <cell r="H273" t="str">
            <v>022174005122</v>
          </cell>
          <cell r="I273" t="str">
            <v>4</v>
          </cell>
          <cell r="K273" t="str">
            <v>000981/LS-CCHN</v>
          </cell>
          <cell r="L273" t="str">
            <v>20130624</v>
          </cell>
          <cell r="M273" t="str">
            <v>Sở Y tế tỉnh Lạng Sơn</v>
          </cell>
          <cell r="N273" t="str">
            <v>402</v>
          </cell>
        </row>
        <row r="274">
          <cell r="A274" t="str">
            <v>BV0291</v>
          </cell>
          <cell r="D274" t="str">
            <v>K27;13.27</v>
          </cell>
          <cell r="E274" t="str">
            <v>Khoa Phụ sản;Phụ sản</v>
          </cell>
          <cell r="F274" t="str">
            <v>Nguyễn Thị Tuyết</v>
          </cell>
          <cell r="G274">
            <v>2</v>
          </cell>
          <cell r="H274" t="str">
            <v>020183001842</v>
          </cell>
          <cell r="I274" t="str">
            <v>4</v>
          </cell>
          <cell r="K274" t="str">
            <v>000968/LS-CCHN</v>
          </cell>
          <cell r="L274" t="str">
            <v>20130624</v>
          </cell>
          <cell r="M274" t="str">
            <v>Sở Y tế tỉnh Lạng Sơn</v>
          </cell>
          <cell r="N274" t="str">
            <v>402</v>
          </cell>
        </row>
        <row r="275">
          <cell r="A275" t="str">
            <v>BV0278</v>
          </cell>
          <cell r="D275" t="str">
            <v>K27;13.27</v>
          </cell>
          <cell r="E275" t="str">
            <v>Khoa Phụ sản;Phụ sản</v>
          </cell>
          <cell r="F275" t="str">
            <v>Vi Thị Thuần</v>
          </cell>
          <cell r="G275">
            <v>2</v>
          </cell>
          <cell r="H275" t="str">
            <v>020183004378</v>
          </cell>
          <cell r="I275" t="str">
            <v>4</v>
          </cell>
          <cell r="K275" t="str">
            <v>000984/LS-CCHN</v>
          </cell>
          <cell r="L275" t="str">
            <v>20130624</v>
          </cell>
          <cell r="M275" t="str">
            <v>Sở Y tế tỉnh Lạng Sơn</v>
          </cell>
          <cell r="N275" t="str">
            <v>402</v>
          </cell>
        </row>
        <row r="276">
          <cell r="A276" t="str">
            <v>BV0285</v>
          </cell>
          <cell r="D276" t="str">
            <v>K27;13.27</v>
          </cell>
          <cell r="E276" t="str">
            <v>Khoa Phụ sản;Phụ sản</v>
          </cell>
          <cell r="F276" t="str">
            <v>Trần Thị Hoàng Mai</v>
          </cell>
          <cell r="G276">
            <v>2</v>
          </cell>
          <cell r="H276" t="str">
            <v>020189012593</v>
          </cell>
          <cell r="I276" t="str">
            <v>4</v>
          </cell>
          <cell r="K276" t="str">
            <v>000668/LS-CCHN</v>
          </cell>
          <cell r="L276" t="str">
            <v>20170418</v>
          </cell>
          <cell r="M276" t="str">
            <v>Sở Y tế tỉnh Lạng Sơn</v>
          </cell>
          <cell r="N276" t="str">
            <v>402</v>
          </cell>
        </row>
        <row r="277">
          <cell r="A277" t="str">
            <v>BV0040</v>
          </cell>
          <cell r="D277" t="str">
            <v>K27;13.27</v>
          </cell>
          <cell r="E277" t="str">
            <v>Khoa Phụ sản;Phụ sản</v>
          </cell>
          <cell r="F277" t="str">
            <v>Hoàng Hồ Điệp</v>
          </cell>
          <cell r="G277">
            <v>2</v>
          </cell>
          <cell r="H277" t="str">
            <v>020183001348</v>
          </cell>
          <cell r="I277" t="str">
            <v>4</v>
          </cell>
          <cell r="K277" t="str">
            <v>000965/LS-CCHN</v>
          </cell>
          <cell r="L277" t="str">
            <v>20130624</v>
          </cell>
          <cell r="M277" t="str">
            <v>Sở Y tế tỉnh Lạng Sơn</v>
          </cell>
          <cell r="N277" t="str">
            <v>402</v>
          </cell>
        </row>
        <row r="278">
          <cell r="A278" t="str">
            <v>BV0041</v>
          </cell>
          <cell r="D278" t="str">
            <v>K27;13.27</v>
          </cell>
          <cell r="E278" t="str">
            <v>Khoa Phụ sản;Phụ sản</v>
          </cell>
          <cell r="F278" t="str">
            <v>Vi Thị Hương Giang</v>
          </cell>
          <cell r="G278">
            <v>2</v>
          </cell>
          <cell r="H278" t="str">
            <v>020187008087</v>
          </cell>
          <cell r="I278" t="str">
            <v>4</v>
          </cell>
          <cell r="K278" t="str">
            <v>000974/LS-CCHN</v>
          </cell>
          <cell r="L278" t="str">
            <v>20130624</v>
          </cell>
          <cell r="M278" t="str">
            <v>Sở Y tế tỉnh Lạng Sơn</v>
          </cell>
          <cell r="N278" t="str">
            <v>402</v>
          </cell>
        </row>
        <row r="279">
          <cell r="A279" t="str">
            <v>BV0269</v>
          </cell>
          <cell r="D279" t="str">
            <v>K27;13.27</v>
          </cell>
          <cell r="E279" t="str">
            <v>Khoa Phụ sản;Phụ sản</v>
          </cell>
          <cell r="F279" t="str">
            <v>Hoàng Thị Hương</v>
          </cell>
          <cell r="G279">
            <v>2</v>
          </cell>
          <cell r="H279" t="str">
            <v>020171001372</v>
          </cell>
          <cell r="I279" t="str">
            <v>4</v>
          </cell>
          <cell r="K279" t="str">
            <v>000988/LS-CCHN</v>
          </cell>
          <cell r="L279" t="str">
            <v>20130624</v>
          </cell>
          <cell r="M279" t="str">
            <v>Sở Y tế tỉnh Lạng Sơn</v>
          </cell>
          <cell r="N279" t="str">
            <v>402</v>
          </cell>
        </row>
        <row r="280">
          <cell r="A280" t="str">
            <v>BV0276</v>
          </cell>
          <cell r="D280" t="str">
            <v>K27;13.27</v>
          </cell>
          <cell r="E280" t="str">
            <v>Khoa Phụ sản;Phụ sản</v>
          </cell>
          <cell r="F280" t="str">
            <v>Hoàng Thị Nhung</v>
          </cell>
          <cell r="G280">
            <v>2</v>
          </cell>
          <cell r="H280" t="str">
            <v>020185005897</v>
          </cell>
          <cell r="I280" t="str">
            <v>4</v>
          </cell>
          <cell r="K280" t="str">
            <v>000986/LS-CCHN</v>
          </cell>
          <cell r="L280" t="str">
            <v>20130624</v>
          </cell>
          <cell r="M280" t="str">
            <v>Sở Y tế tỉnh Lạng Sơn</v>
          </cell>
          <cell r="N280" t="str">
            <v>402</v>
          </cell>
        </row>
        <row r="281">
          <cell r="A281" t="str">
            <v>BV0281</v>
          </cell>
          <cell r="D281" t="str">
            <v>K27;13.27</v>
          </cell>
          <cell r="E281" t="str">
            <v>Khoa Phụ sản;Phụ sản</v>
          </cell>
          <cell r="F281" t="str">
            <v>Phạm Thúy Hường</v>
          </cell>
          <cell r="G281">
            <v>2</v>
          </cell>
          <cell r="H281" t="str">
            <v>020184000822</v>
          </cell>
          <cell r="I281" t="str">
            <v>4</v>
          </cell>
          <cell r="K281" t="str">
            <v>000989/LS-CCHN</v>
          </cell>
          <cell r="L281" t="str">
            <v>20130624</v>
          </cell>
          <cell r="M281" t="str">
            <v>Sở Y tế tỉnh Lạng Sơn</v>
          </cell>
          <cell r="N281" t="str">
            <v>402</v>
          </cell>
        </row>
        <row r="282">
          <cell r="A282" t="str">
            <v>BV0257</v>
          </cell>
          <cell r="D282" t="str">
            <v>K27;13.27</v>
          </cell>
          <cell r="E282" t="str">
            <v>Khoa Phụ sản;Phụ sản</v>
          </cell>
          <cell r="F282" t="str">
            <v>Lý Thị Hường</v>
          </cell>
          <cell r="G282">
            <v>2</v>
          </cell>
          <cell r="H282" t="str">
            <v>020182010979</v>
          </cell>
          <cell r="I282" t="str">
            <v>4</v>
          </cell>
          <cell r="K282" t="str">
            <v>000985/LS-CCHN</v>
          </cell>
          <cell r="L282" t="str">
            <v>20130624</v>
          </cell>
          <cell r="M282" t="str">
            <v>Sở Y tế tỉnh Lạng Sơn</v>
          </cell>
          <cell r="N282" t="str">
            <v>402</v>
          </cell>
        </row>
        <row r="283">
          <cell r="A283" t="str">
            <v>BV0284</v>
          </cell>
          <cell r="D283" t="str">
            <v>K27;13.27</v>
          </cell>
          <cell r="E283" t="str">
            <v>Khoa Phụ sản;Phụ sản</v>
          </cell>
          <cell r="F283" t="str">
            <v>Lăng Thị Điệp</v>
          </cell>
          <cell r="G283">
            <v>2</v>
          </cell>
          <cell r="H283" t="str">
            <v>006189000681</v>
          </cell>
          <cell r="I283" t="str">
            <v>4</v>
          </cell>
          <cell r="K283" t="str">
            <v>000432/LS-CCHN</v>
          </cell>
          <cell r="L283" t="str">
            <v>20160718</v>
          </cell>
          <cell r="M283" t="str">
            <v>Sở Y tế tỉnh Lạng Sơn</v>
          </cell>
          <cell r="N283" t="str">
            <v>402</v>
          </cell>
        </row>
        <row r="284">
          <cell r="A284" t="str">
            <v>BV0008</v>
          </cell>
          <cell r="D284" t="str">
            <v>K27;13.27</v>
          </cell>
          <cell r="E284" t="str">
            <v>Khoa Phụ sản;Phụ sản</v>
          </cell>
          <cell r="F284" t="str">
            <v>Nguyễn Thị Thắm</v>
          </cell>
          <cell r="G284">
            <v>2</v>
          </cell>
          <cell r="H284" t="str">
            <v>020174001367</v>
          </cell>
          <cell r="I284" t="str">
            <v>4</v>
          </cell>
          <cell r="K284" t="str">
            <v>000735/LS-CCHN</v>
          </cell>
          <cell r="L284" t="str">
            <v>20130624</v>
          </cell>
          <cell r="M284" t="str">
            <v>Sở Y tế tỉnh Lạng Sơn</v>
          </cell>
          <cell r="N284" t="str">
            <v>402</v>
          </cell>
        </row>
        <row r="285">
          <cell r="A285" t="str">
            <v>BV0286</v>
          </cell>
          <cell r="D285" t="str">
            <v>K27;13.27</v>
          </cell>
          <cell r="E285" t="str">
            <v>Khoa Phụ sản;Phụ sản</v>
          </cell>
          <cell r="F285" t="str">
            <v>Nông Thị Thời</v>
          </cell>
          <cell r="G285">
            <v>2</v>
          </cell>
          <cell r="H285" t="str">
            <v>020186012449</v>
          </cell>
          <cell r="I285" t="str">
            <v>4</v>
          </cell>
          <cell r="K285" t="str">
            <v>000990/LS-CCHN</v>
          </cell>
          <cell r="L285" t="str">
            <v>20130624</v>
          </cell>
          <cell r="M285" t="str">
            <v>Sở Y tế tỉnh Lạng Sơn</v>
          </cell>
          <cell r="N285" t="str">
            <v>402</v>
          </cell>
        </row>
        <row r="286">
          <cell r="A286" t="str">
            <v>BV0273</v>
          </cell>
          <cell r="D286" t="str">
            <v>K27;13.27</v>
          </cell>
          <cell r="E286" t="str">
            <v>Khoa Phụ sản;Phụ sản</v>
          </cell>
          <cell r="F286" t="str">
            <v>Phan Thị Thi</v>
          </cell>
          <cell r="G286">
            <v>2</v>
          </cell>
          <cell r="H286" t="str">
            <v>020185002564</v>
          </cell>
          <cell r="I286" t="str">
            <v>4</v>
          </cell>
          <cell r="K286" t="str">
            <v>000982/LS-CCHN</v>
          </cell>
          <cell r="L286" t="str">
            <v>20130624</v>
          </cell>
          <cell r="M286" t="str">
            <v>Sở Y tế tỉnh Lạng Sơn</v>
          </cell>
          <cell r="N286" t="str">
            <v>402</v>
          </cell>
        </row>
        <row r="287">
          <cell r="A287" t="str">
            <v>BV0283</v>
          </cell>
          <cell r="D287" t="str">
            <v>K27;13.27</v>
          </cell>
          <cell r="E287" t="str">
            <v>Khoa Phụ sản;Phụ sản</v>
          </cell>
          <cell r="F287" t="str">
            <v>Nguyễn Thị Huế</v>
          </cell>
          <cell r="G287">
            <v>2</v>
          </cell>
          <cell r="H287" t="str">
            <v>038191019929</v>
          </cell>
          <cell r="I287" t="str">
            <v>4</v>
          </cell>
          <cell r="K287" t="str">
            <v>003413/LS-CCHN</v>
          </cell>
          <cell r="L287" t="str">
            <v>20181221</v>
          </cell>
          <cell r="M287" t="str">
            <v>Sở Y tế tỉnh Lạng Sơn</v>
          </cell>
          <cell r="N287" t="str">
            <v>402</v>
          </cell>
        </row>
        <row r="288">
          <cell r="A288" t="str">
            <v>BV0809</v>
          </cell>
          <cell r="D288" t="str">
            <v>K27;13.27</v>
          </cell>
          <cell r="E288" t="str">
            <v>Khoa Phụ sản;Phụ sản</v>
          </cell>
          <cell r="F288" t="str">
            <v>Bạch Khánh Vân</v>
          </cell>
          <cell r="G288">
            <v>2</v>
          </cell>
          <cell r="H288" t="str">
            <v>020190012013</v>
          </cell>
          <cell r="I288" t="str">
            <v>1</v>
          </cell>
          <cell r="K288" t="str">
            <v>000722/LS-CCHN</v>
          </cell>
          <cell r="L288" t="str">
            <v>20170725</v>
          </cell>
          <cell r="M288" t="str">
            <v>Sở Y tế tỉnh Lạng Sơn</v>
          </cell>
          <cell r="N288" t="str">
            <v>129;113</v>
          </cell>
          <cell r="O288" t="str">
            <v>20241004_1094/QĐ-SYT</v>
          </cell>
          <cell r="P288" t="str">
            <v>18.0018;18.0020;18.0030;18.0031;18.0034;18.0035;18.0036;18.0054;18.0025;18.0026;18.0032;18.0033;18.0037;18.0055</v>
          </cell>
        </row>
        <row r="289">
          <cell r="A289" t="str">
            <v>BV0264</v>
          </cell>
          <cell r="D289" t="str">
            <v>K27;13.27</v>
          </cell>
          <cell r="E289" t="str">
            <v>Khoa Phụ sản;Phụ sản</v>
          </cell>
          <cell r="F289" t="str">
            <v>Trần Thị Hương</v>
          </cell>
          <cell r="G289">
            <v>2</v>
          </cell>
          <cell r="H289" t="str">
            <v>034180011929</v>
          </cell>
          <cell r="I289" t="str">
            <v>4</v>
          </cell>
          <cell r="K289" t="str">
            <v>000963/LS-CCHN</v>
          </cell>
          <cell r="L289" t="str">
            <v>20130624</v>
          </cell>
          <cell r="M289" t="str">
            <v>Sở Y tế tỉnh Lạng Sơn</v>
          </cell>
          <cell r="N289" t="str">
            <v>401</v>
          </cell>
        </row>
        <row r="290">
          <cell r="A290" t="str">
            <v>BV0252</v>
          </cell>
          <cell r="D290" t="str">
            <v>K27;13.27</v>
          </cell>
          <cell r="E290" t="str">
            <v>Khoa Phụ sản;Phụ sản</v>
          </cell>
          <cell r="F290" t="str">
            <v>Triệu Hoàng Anh</v>
          </cell>
          <cell r="G290">
            <v>2</v>
          </cell>
          <cell r="H290" t="str">
            <v>004178000120</v>
          </cell>
          <cell r="I290" t="str">
            <v>4</v>
          </cell>
          <cell r="K290" t="str">
            <v>000961/LS-CCHN</v>
          </cell>
          <cell r="L290" t="str">
            <v>20130624</v>
          </cell>
          <cell r="M290" t="str">
            <v>Sở Y tế tỉnh Lạng Sơn</v>
          </cell>
          <cell r="N290" t="str">
            <v>401</v>
          </cell>
        </row>
        <row r="291">
          <cell r="A291" t="str">
            <v>BV0288</v>
          </cell>
          <cell r="D291" t="str">
            <v>K27;13.27</v>
          </cell>
          <cell r="E291" t="str">
            <v>Khoa Phụ sản;Phụ sản</v>
          </cell>
          <cell r="F291" t="str">
            <v>Hứa Thu Hồng</v>
          </cell>
          <cell r="G291">
            <v>2</v>
          </cell>
          <cell r="H291" t="str">
            <v>020181005361</v>
          </cell>
          <cell r="I291" t="str">
            <v>4</v>
          </cell>
          <cell r="K291" t="str">
            <v>001640/LS-CCHN</v>
          </cell>
          <cell r="L291" t="str">
            <v>20180916</v>
          </cell>
          <cell r="M291" t="str">
            <v>Sở Y tế tỉnh Lạng Sơn</v>
          </cell>
          <cell r="N291" t="str">
            <v>401</v>
          </cell>
        </row>
        <row r="292">
          <cell r="A292" t="str">
            <v>BV0266</v>
          </cell>
          <cell r="D292" t="str">
            <v>K27;13.27</v>
          </cell>
          <cell r="E292" t="str">
            <v>Khoa Phụ sản;Phụ sản</v>
          </cell>
          <cell r="F292" t="str">
            <v>Âu Thị Thủy</v>
          </cell>
          <cell r="G292">
            <v>2</v>
          </cell>
          <cell r="H292" t="str">
            <v>020179002513</v>
          </cell>
          <cell r="I292" t="str">
            <v>4</v>
          </cell>
          <cell r="K292" t="str">
            <v>000967/LS-CCHN</v>
          </cell>
          <cell r="L292" t="str">
            <v>20130624</v>
          </cell>
          <cell r="M292" t="str">
            <v>Sở Y tế tỉnh Lạng Sơn</v>
          </cell>
          <cell r="N292" t="str">
            <v>401</v>
          </cell>
        </row>
        <row r="293">
          <cell r="A293" t="str">
            <v>BV0268</v>
          </cell>
          <cell r="D293" t="str">
            <v>K27;13.27</v>
          </cell>
          <cell r="E293" t="str">
            <v>Khoa Phụ sản;Phụ sản</v>
          </cell>
          <cell r="F293" t="str">
            <v>Hoàng Thị Hưởng</v>
          </cell>
          <cell r="G293">
            <v>2</v>
          </cell>
          <cell r="H293" t="str">
            <v>020185002855</v>
          </cell>
          <cell r="I293" t="str">
            <v>4</v>
          </cell>
          <cell r="K293" t="str">
            <v>000966/LS-CCHN</v>
          </cell>
          <cell r="L293" t="str">
            <v>20130624</v>
          </cell>
          <cell r="M293" t="str">
            <v>Sở Y tế tỉnh Lạng Sơn</v>
          </cell>
          <cell r="N293" t="str">
            <v>401</v>
          </cell>
        </row>
        <row r="294">
          <cell r="A294" t="str">
            <v>BV0251</v>
          </cell>
          <cell r="D294" t="str">
            <v>K27;13.27</v>
          </cell>
          <cell r="E294" t="str">
            <v>Khoa Phụ sản;Phụ sản</v>
          </cell>
          <cell r="F294" t="str">
            <v>Hoàng Thị Nụ</v>
          </cell>
          <cell r="G294">
            <v>2</v>
          </cell>
          <cell r="H294" t="str">
            <v>020173001765</v>
          </cell>
          <cell r="I294" t="str">
            <v>4</v>
          </cell>
          <cell r="K294" t="str">
            <v>000978/LS-CCHN</v>
          </cell>
          <cell r="L294" t="str">
            <v>20130624</v>
          </cell>
          <cell r="M294" t="str">
            <v>Sở Y tế tỉnh Lạng Sơn</v>
          </cell>
          <cell r="N294" t="str">
            <v>401</v>
          </cell>
        </row>
        <row r="295">
          <cell r="A295" t="str">
            <v>BV0272</v>
          </cell>
          <cell r="D295" t="str">
            <v>K27;13.27</v>
          </cell>
          <cell r="E295" t="str">
            <v>Khoa Phụ sản;Phụ sản</v>
          </cell>
          <cell r="F295" t="str">
            <v>Hứa Thanh Ngà</v>
          </cell>
          <cell r="G295">
            <v>2</v>
          </cell>
          <cell r="H295" t="str">
            <v>020176001521</v>
          </cell>
          <cell r="I295" t="str">
            <v>4</v>
          </cell>
          <cell r="K295" t="str">
            <v>000972/LS-CCHN</v>
          </cell>
          <cell r="L295" t="str">
            <v>20130624</v>
          </cell>
          <cell r="M295" t="str">
            <v>Sở Y tế tỉnh Lạng Sơn</v>
          </cell>
          <cell r="N295" t="str">
            <v>401</v>
          </cell>
        </row>
        <row r="296">
          <cell r="A296" t="str">
            <v>BV0250</v>
          </cell>
          <cell r="D296" t="str">
            <v>K27;13.27</v>
          </cell>
          <cell r="E296" t="str">
            <v>Khoa Phụ sản;Phụ sản</v>
          </cell>
          <cell r="F296" t="str">
            <v>Lương Thị Thoa</v>
          </cell>
          <cell r="G296">
            <v>2</v>
          </cell>
          <cell r="H296" t="str">
            <v>020179000572</v>
          </cell>
          <cell r="I296" t="str">
            <v>4</v>
          </cell>
          <cell r="K296" t="str">
            <v>000979/LS-CCHN</v>
          </cell>
          <cell r="L296" t="str">
            <v>20130624</v>
          </cell>
          <cell r="M296" t="str">
            <v>Sở Y tế tỉnh Lạng Sơn</v>
          </cell>
          <cell r="N296" t="str">
            <v>401</v>
          </cell>
        </row>
        <row r="297">
          <cell r="A297" t="str">
            <v>BV0274</v>
          </cell>
          <cell r="D297" t="str">
            <v>K27;13.27</v>
          </cell>
          <cell r="E297" t="str">
            <v>Khoa Phụ sản;Phụ sản</v>
          </cell>
          <cell r="F297" t="str">
            <v>Lưu Thị Thu Hằng</v>
          </cell>
          <cell r="G297">
            <v>2</v>
          </cell>
          <cell r="H297" t="str">
            <v>020186011745</v>
          </cell>
          <cell r="I297" t="str">
            <v>4</v>
          </cell>
          <cell r="K297" t="str">
            <v>000976/LS-CCHN</v>
          </cell>
          <cell r="L297" t="str">
            <v>20130624</v>
          </cell>
          <cell r="M297" t="str">
            <v>Sở Y tế tỉnh Lạng Sơn</v>
          </cell>
          <cell r="N297" t="str">
            <v>401</v>
          </cell>
        </row>
        <row r="298">
          <cell r="A298" t="str">
            <v>BV0280</v>
          </cell>
          <cell r="D298" t="str">
            <v>K27;13.27</v>
          </cell>
          <cell r="E298" t="str">
            <v>Khoa Phụ sản;Phụ sản</v>
          </cell>
          <cell r="F298" t="str">
            <v>Nguyễn Thị Định</v>
          </cell>
          <cell r="G298">
            <v>2</v>
          </cell>
          <cell r="H298" t="str">
            <v>020186011754</v>
          </cell>
          <cell r="I298" t="str">
            <v>4</v>
          </cell>
          <cell r="K298" t="str">
            <v>000764/LS-CCHN</v>
          </cell>
          <cell r="L298" t="str">
            <v>20130624</v>
          </cell>
          <cell r="M298" t="str">
            <v>Sở Y tế tỉnh Lạng Sơn</v>
          </cell>
          <cell r="N298" t="str">
            <v>401</v>
          </cell>
        </row>
        <row r="299">
          <cell r="A299" t="str">
            <v>BV0254</v>
          </cell>
          <cell r="D299" t="str">
            <v>K27;13.27</v>
          </cell>
          <cell r="E299" t="str">
            <v>Khoa Phụ sản;Phụ sản</v>
          </cell>
          <cell r="F299" t="str">
            <v>Nông Thị Thu Trang</v>
          </cell>
          <cell r="G299">
            <v>2</v>
          </cell>
          <cell r="H299" t="str">
            <v>020176001522</v>
          </cell>
          <cell r="I299" t="str">
            <v>4</v>
          </cell>
          <cell r="K299" t="str">
            <v>000980/LS-CCHN</v>
          </cell>
          <cell r="L299" t="str">
            <v>20130624</v>
          </cell>
          <cell r="M299" t="str">
            <v>Sở Y tế tỉnh Lạng Sơn</v>
          </cell>
          <cell r="N299" t="str">
            <v>401</v>
          </cell>
        </row>
        <row r="300">
          <cell r="A300" t="str">
            <v>BV0279</v>
          </cell>
          <cell r="D300" t="str">
            <v>K27;13.27</v>
          </cell>
          <cell r="E300" t="str">
            <v>Khoa Phụ sản;Phụ sản</v>
          </cell>
          <cell r="F300" t="str">
            <v>Phạm Thu Hương</v>
          </cell>
          <cell r="G300">
            <v>2</v>
          </cell>
          <cell r="H300" t="str">
            <v>020185006315</v>
          </cell>
          <cell r="I300" t="str">
            <v>4</v>
          </cell>
          <cell r="K300" t="str">
            <v>000922/LS-CCHN</v>
          </cell>
          <cell r="L300" t="str">
            <v>20130624</v>
          </cell>
          <cell r="M300" t="str">
            <v>Sở Y tế tỉnh Lạng Sơn</v>
          </cell>
          <cell r="N300" t="str">
            <v>401</v>
          </cell>
        </row>
        <row r="301">
          <cell r="A301" t="str">
            <v>BV0265</v>
          </cell>
          <cell r="D301" t="str">
            <v>K27;13.27</v>
          </cell>
          <cell r="E301" t="str">
            <v>Khoa Phụ sản;Phụ sản</v>
          </cell>
          <cell r="F301" t="str">
            <v>Quách Thị Hà</v>
          </cell>
          <cell r="G301">
            <v>2</v>
          </cell>
          <cell r="H301" t="e">
            <v>#N/A</v>
          </cell>
          <cell r="I301" t="str">
            <v>4</v>
          </cell>
          <cell r="K301" t="str">
            <v>000964/LS-CCHN</v>
          </cell>
          <cell r="L301" t="str">
            <v>20130624</v>
          </cell>
          <cell r="M301" t="str">
            <v>Sở Y tế tỉnh Lạng Sơn</v>
          </cell>
          <cell r="N301" t="str">
            <v>401</v>
          </cell>
        </row>
        <row r="302">
          <cell r="A302" t="str">
            <v>BV0846</v>
          </cell>
          <cell r="D302" t="str">
            <v>K4849;K27;13.27</v>
          </cell>
          <cell r="E302" t="str">
            <v>Khoa Hồi sức tích cực - Chống độc;Khoa Phụ sản;Phụ sản</v>
          </cell>
          <cell r="F302" t="str">
            <v>Hoàng Thị Khuynh</v>
          </cell>
          <cell r="G302">
            <v>2</v>
          </cell>
          <cell r="H302" t="str">
            <v>020175005140</v>
          </cell>
          <cell r="I302" t="str">
            <v>4</v>
          </cell>
          <cell r="K302" t="str">
            <v>001871/LS-CCHN</v>
          </cell>
          <cell r="L302" t="str">
            <v>20140225</v>
          </cell>
          <cell r="M302" t="str">
            <v>Sở Y tế tỉnh Lạng Sơn</v>
          </cell>
          <cell r="N302" t="str">
            <v>401</v>
          </cell>
        </row>
        <row r="303">
          <cell r="A303" t="str">
            <v>BV0996</v>
          </cell>
          <cell r="D303" t="str">
            <v>K4849;K27;13.27</v>
          </cell>
          <cell r="E303" t="str">
            <v>Khoa Hồi sức tích cực - Chống độc;Khoa Phụ sản;Phụ sản</v>
          </cell>
          <cell r="F303" t="str">
            <v>Hoàng Thị Thuần</v>
          </cell>
          <cell r="G303">
            <v>2</v>
          </cell>
          <cell r="H303" t="str">
            <v>004175000163</v>
          </cell>
          <cell r="I303" t="str">
            <v>4</v>
          </cell>
          <cell r="K303" t="str">
            <v>001861/LS-CCHN</v>
          </cell>
          <cell r="L303" t="str">
            <v>20140225</v>
          </cell>
          <cell r="M303" t="str">
            <v>Sở Y tế tỉnh Lạng Sơn</v>
          </cell>
          <cell r="N303" t="str">
            <v>401</v>
          </cell>
        </row>
        <row r="304">
          <cell r="A304" t="str">
            <v>BV1003</v>
          </cell>
          <cell r="D304" t="str">
            <v>K4849;K27;13.27</v>
          </cell>
          <cell r="E304" t="str">
            <v>Khoa Hồi sức tích cực - Chống độc;Khoa Phụ sản;Phụ sản</v>
          </cell>
          <cell r="F304" t="str">
            <v>Tô Thị Hành</v>
          </cell>
          <cell r="G304">
            <v>2</v>
          </cell>
          <cell r="H304" t="str">
            <v>020186006775</v>
          </cell>
          <cell r="I304" t="str">
            <v>4</v>
          </cell>
          <cell r="K304" t="str">
            <v>000644/LS-CCHN</v>
          </cell>
          <cell r="L304" t="str">
            <v>20170310</v>
          </cell>
          <cell r="M304" t="str">
            <v>Sở Y tế tỉnh Lạng Sơn</v>
          </cell>
          <cell r="N304" t="str">
            <v>401</v>
          </cell>
        </row>
        <row r="305">
          <cell r="A305" t="str">
            <v>BV0287</v>
          </cell>
          <cell r="D305" t="str">
            <v>K4849;K27;13.27</v>
          </cell>
          <cell r="E305" t="str">
            <v>Khoa Hồi sức tích cực - Chống độc;Khoa Phụ sản;Phụ sản</v>
          </cell>
          <cell r="F305" t="str">
            <v>Hoàng Thị Thiệp</v>
          </cell>
          <cell r="G305">
            <v>2</v>
          </cell>
          <cell r="H305" t="str">
            <v>020180007282</v>
          </cell>
          <cell r="I305" t="str">
            <v>4</v>
          </cell>
          <cell r="K305" t="str">
            <v>001547/LS-CCHN</v>
          </cell>
          <cell r="L305">
            <v>20190617</v>
          </cell>
          <cell r="M305" t="str">
            <v>Sở Y tế tỉnh Lạng Sơn</v>
          </cell>
          <cell r="N305" t="str">
            <v>401</v>
          </cell>
        </row>
        <row r="306">
          <cell r="A306" t="str">
            <v>BV0843</v>
          </cell>
          <cell r="D306" t="str">
            <v>K4849;K27;13.27</v>
          </cell>
          <cell r="E306" t="str">
            <v>Khoa Hồi sức tích cực - Chống độc;Khoa Phụ sản;Phụ sản</v>
          </cell>
          <cell r="F306" t="str">
            <v>Lý Thị Diệu Linh</v>
          </cell>
          <cell r="G306">
            <v>2</v>
          </cell>
          <cell r="H306" t="str">
            <v>020194004227</v>
          </cell>
          <cell r="I306" t="str">
            <v>4</v>
          </cell>
          <cell r="K306" t="str">
            <v>005683/LS-CCHN</v>
          </cell>
          <cell r="L306">
            <v>20230918</v>
          </cell>
          <cell r="M306" t="str">
            <v>Sở Y tế tỉnh Lạng Sơn</v>
          </cell>
          <cell r="N306" t="str">
            <v>401</v>
          </cell>
        </row>
        <row r="307">
          <cell r="A307" t="str">
            <v>BV0919</v>
          </cell>
          <cell r="D307" t="str">
            <v>K29;16.29</v>
          </cell>
          <cell r="E307" t="str">
            <v>Khoa Răng Hàm Mặt;Răng - Hàm - Mặt</v>
          </cell>
          <cell r="F307" t="str">
            <v>Hoàng Doãn Toán</v>
          </cell>
          <cell r="G307">
            <v>1</v>
          </cell>
          <cell r="H307" t="str">
            <v>020087002779</v>
          </cell>
          <cell r="I307" t="str">
            <v>1</v>
          </cell>
          <cell r="K307" t="str">
            <v>002927/LS-CCHN</v>
          </cell>
          <cell r="L307" t="str">
            <v>20150213</v>
          </cell>
          <cell r="M307" t="str">
            <v>Sở Y tế tỉnh Lạng Sơn</v>
          </cell>
          <cell r="N307" t="str">
            <v>116</v>
          </cell>
        </row>
        <row r="308">
          <cell r="A308" t="str">
            <v>BV0796</v>
          </cell>
          <cell r="D308" t="str">
            <v>K29;16.29</v>
          </cell>
          <cell r="E308" t="str">
            <v>Khoa Răng Hàm Mặt;Răng - Hàm - Mặt</v>
          </cell>
          <cell r="F308" t="str">
            <v>Hoàng Hồng Nguyên</v>
          </cell>
          <cell r="G308">
            <v>1</v>
          </cell>
          <cell r="H308" t="str">
            <v>020093002129</v>
          </cell>
          <cell r="I308" t="str">
            <v>1</v>
          </cell>
          <cell r="K308" t="str">
            <v>003605/LS-CCHN</v>
          </cell>
          <cell r="L308" t="str">
            <v>20191021</v>
          </cell>
          <cell r="M308" t="str">
            <v>Sở Y tế tỉnh Lạng Sơn</v>
          </cell>
          <cell r="N308" t="str">
            <v>116</v>
          </cell>
        </row>
        <row r="309">
          <cell r="A309" t="str">
            <v>BV1031</v>
          </cell>
          <cell r="D309" t="str">
            <v>K29;16.29</v>
          </cell>
          <cell r="E309" t="str">
            <v>Khoa Răng Hàm Mặt;Răng - Hàm - Mặt</v>
          </cell>
          <cell r="F309" t="str">
            <v>Nông Thị Bích Phương</v>
          </cell>
          <cell r="G309">
            <v>2</v>
          </cell>
          <cell r="H309" t="str">
            <v>020189008056</v>
          </cell>
          <cell r="I309" t="str">
            <v>1</v>
          </cell>
          <cell r="K309" t="str">
            <v>003181/LS-CCHN</v>
          </cell>
          <cell r="L309" t="str">
            <v>20200204</v>
          </cell>
          <cell r="M309" t="str">
            <v>Sở Y tế tỉnh Lạng Sơn</v>
          </cell>
          <cell r="N309" t="str">
            <v>116</v>
          </cell>
        </row>
        <row r="310">
          <cell r="A310" t="str">
            <v>BV0963</v>
          </cell>
          <cell r="D310" t="str">
            <v>K29;16.29</v>
          </cell>
          <cell r="E310" t="str">
            <v>Khoa Răng Hàm Mặt;Răng - Hàm - Mặt</v>
          </cell>
          <cell r="F310" t="str">
            <v>Trương Thanh Trì</v>
          </cell>
          <cell r="G310">
            <v>1</v>
          </cell>
          <cell r="H310" t="str">
            <v>020095001786</v>
          </cell>
          <cell r="I310" t="str">
            <v>1</v>
          </cell>
          <cell r="K310" t="str">
            <v>004337/LS-CCHN</v>
          </cell>
          <cell r="L310" t="str">
            <v>20210817</v>
          </cell>
          <cell r="M310" t="str">
            <v>Sở Y tế tỉnh Lạng Sơn</v>
          </cell>
          <cell r="N310" t="str">
            <v>116</v>
          </cell>
        </row>
        <row r="311">
          <cell r="A311" t="str">
            <v>BV1227</v>
          </cell>
          <cell r="D311" t="str">
            <v>K29;16.29</v>
          </cell>
          <cell r="E311" t="str">
            <v>Khoa Răng Hàm Mặt;Răng - Hàm - Mặt</v>
          </cell>
          <cell r="F311" t="str">
            <v>Ngô Công Anh</v>
          </cell>
          <cell r="G311">
            <v>1</v>
          </cell>
          <cell r="H311" t="str">
            <v>020093001413</v>
          </cell>
          <cell r="I311" t="str">
            <v>1</v>
          </cell>
          <cell r="K311" t="str">
            <v>005706/LS-CCHN</v>
          </cell>
          <cell r="L311" t="str">
            <v>20231031</v>
          </cell>
          <cell r="M311" t="str">
            <v>Sở Y tế tỉnh Lạng Sơn</v>
          </cell>
          <cell r="N311" t="str">
            <v>116</v>
          </cell>
        </row>
        <row r="312">
          <cell r="A312" t="str">
            <v>BV0406</v>
          </cell>
          <cell r="D312" t="str">
            <v>K29;16.29</v>
          </cell>
          <cell r="E312" t="str">
            <v>Khoa Răng Hàm Mặt;Răng - Hàm - Mặt</v>
          </cell>
          <cell r="F312" t="str">
            <v>Nguyễn Khắc Trường</v>
          </cell>
          <cell r="G312">
            <v>1</v>
          </cell>
          <cell r="H312" t="str">
            <v>020066001548</v>
          </cell>
          <cell r="I312" t="str">
            <v>1</v>
          </cell>
          <cell r="J312" t="str">
            <v>5</v>
          </cell>
          <cell r="K312" t="str">
            <v>000009/LS-CCHN</v>
          </cell>
          <cell r="L312" t="str">
            <v>20120509</v>
          </cell>
          <cell r="M312" t="str">
            <v>Sở Y tế tỉnh Lạng Sơn</v>
          </cell>
          <cell r="N312" t="str">
            <v>116</v>
          </cell>
        </row>
        <row r="313">
          <cell r="A313" t="str">
            <v>BV0415</v>
          </cell>
          <cell r="D313" t="str">
            <v>K29;16.29</v>
          </cell>
          <cell r="E313" t="str">
            <v>Khoa Răng Hàm Mặt;Răng - Hàm - Mặt</v>
          </cell>
          <cell r="F313" t="str">
            <v>Hoàng Thị Hoa</v>
          </cell>
          <cell r="G313">
            <v>2</v>
          </cell>
          <cell r="H313" t="str">
            <v>020187006390</v>
          </cell>
          <cell r="I313" t="str">
            <v>3</v>
          </cell>
          <cell r="K313" t="str">
            <v>001017/LS-CCHN</v>
          </cell>
          <cell r="L313" t="str">
            <v>20230111</v>
          </cell>
          <cell r="M313" t="str">
            <v>Sở Y tế tỉnh Lạng Sơn</v>
          </cell>
          <cell r="N313" t="str">
            <v>302</v>
          </cell>
        </row>
        <row r="314">
          <cell r="A314" t="str">
            <v>BV0232</v>
          </cell>
          <cell r="D314" t="str">
            <v>K29;16.29</v>
          </cell>
          <cell r="E314" t="str">
            <v>Khoa Răng Hàm Mặt;Răng - Hàm - Mặt</v>
          </cell>
          <cell r="F314" t="str">
            <v>Hoàng Thị Thùy Dung</v>
          </cell>
          <cell r="G314">
            <v>2</v>
          </cell>
          <cell r="H314" t="str">
            <v>020189012646</v>
          </cell>
          <cell r="I314" t="str">
            <v>3</v>
          </cell>
          <cell r="K314" t="str">
            <v>000946/LS-CCHN</v>
          </cell>
          <cell r="L314" t="str">
            <v>20230111</v>
          </cell>
          <cell r="M314" t="str">
            <v>Sở Y tế tỉnh Lạng Sơn</v>
          </cell>
          <cell r="N314" t="str">
            <v>302</v>
          </cell>
        </row>
        <row r="315">
          <cell r="A315" t="str">
            <v>BV0217</v>
          </cell>
          <cell r="D315" t="str">
            <v>K29;16.29</v>
          </cell>
          <cell r="E315" t="str">
            <v>Khoa Răng Hàm Mặt;Răng - Hàm - Mặt</v>
          </cell>
          <cell r="F315" t="str">
            <v>Vi Thị Nhị</v>
          </cell>
          <cell r="G315">
            <v>2</v>
          </cell>
          <cell r="H315" t="str">
            <v>020186002924</v>
          </cell>
          <cell r="I315" t="str">
            <v>3</v>
          </cell>
          <cell r="K315" t="str">
            <v>001046/LS-CCHN</v>
          </cell>
          <cell r="L315" t="str">
            <v>20230111</v>
          </cell>
          <cell r="M315" t="str">
            <v>Sở Y tế tỉnh Lạng Sơn</v>
          </cell>
          <cell r="N315" t="str">
            <v>301</v>
          </cell>
        </row>
        <row r="316">
          <cell r="A316" t="str">
            <v>BV0413</v>
          </cell>
          <cell r="D316" t="str">
            <v>K29;16.29</v>
          </cell>
          <cell r="E316" t="str">
            <v>Khoa Răng Hàm Mặt;Răng - Hàm - Mặt</v>
          </cell>
          <cell r="F316" t="str">
            <v>Lâm Diệu Hằng</v>
          </cell>
          <cell r="G316">
            <v>2</v>
          </cell>
          <cell r="H316" t="str">
            <v>020176002268</v>
          </cell>
          <cell r="I316" t="str">
            <v>3</v>
          </cell>
          <cell r="K316" t="str">
            <v>001014/LS-CCHN</v>
          </cell>
          <cell r="L316" t="str">
            <v>20130624</v>
          </cell>
          <cell r="M316" t="str">
            <v>Sở Y tế tỉnh Lạng Sơn</v>
          </cell>
          <cell r="N316" t="str">
            <v>302</v>
          </cell>
        </row>
        <row r="317">
          <cell r="A317" t="str">
            <v>BV0419</v>
          </cell>
          <cell r="D317" t="str">
            <v>K29;16.29</v>
          </cell>
          <cell r="E317" t="str">
            <v>Khoa Răng Hàm Mặt;Răng - Hàm - Mặt</v>
          </cell>
          <cell r="F317" t="str">
            <v>Đoàn Thị Thúy Liễu</v>
          </cell>
          <cell r="G317">
            <v>2</v>
          </cell>
          <cell r="H317" t="str">
            <v>020184005176</v>
          </cell>
          <cell r="I317" t="str">
            <v>3</v>
          </cell>
          <cell r="K317" t="str">
            <v>001018/LS-CCHN</v>
          </cell>
          <cell r="L317" t="str">
            <v>20130624</v>
          </cell>
          <cell r="M317" t="str">
            <v>Sở Y tế tỉnh Lạng Sơn</v>
          </cell>
          <cell r="N317" t="str">
            <v>302</v>
          </cell>
        </row>
        <row r="318">
          <cell r="A318" t="str">
            <v>BV0150</v>
          </cell>
          <cell r="D318" t="str">
            <v>K29;16.29</v>
          </cell>
          <cell r="E318" t="str">
            <v>Khoa Răng Hàm Mặt;Răng - Hàm - Mặt</v>
          </cell>
          <cell r="F318" t="str">
            <v>Nông Thị Ngọc</v>
          </cell>
          <cell r="G318">
            <v>2</v>
          </cell>
          <cell r="H318" t="str">
            <v>020182002807</v>
          </cell>
          <cell r="I318" t="str">
            <v>3</v>
          </cell>
          <cell r="K318" t="str">
            <v>000844/LS-CCHN</v>
          </cell>
          <cell r="L318" t="str">
            <v>20230111</v>
          </cell>
          <cell r="M318" t="str">
            <v>Sở Y tế tỉnh Lạng Sơn</v>
          </cell>
          <cell r="N318" t="str">
            <v>301</v>
          </cell>
        </row>
        <row r="319">
          <cell r="A319" t="str">
            <v>BV0249</v>
          </cell>
          <cell r="D319" t="str">
            <v>K28;15.28</v>
          </cell>
          <cell r="E319" t="str">
            <v>Khoa Tai Mũi Họng;Tai - Mũi - Họng</v>
          </cell>
          <cell r="F319" t="str">
            <v>Trần Hồng Nhung</v>
          </cell>
          <cell r="G319">
            <v>2</v>
          </cell>
          <cell r="H319" t="str">
            <v>020188002922</v>
          </cell>
          <cell r="I319" t="str">
            <v>1</v>
          </cell>
          <cell r="K319" t="str">
            <v>003409/LS-CCHN</v>
          </cell>
          <cell r="L319" t="str">
            <v>20181221</v>
          </cell>
          <cell r="M319" t="str">
            <v>Sở Y tế tỉnh Lạng Sơn</v>
          </cell>
          <cell r="N319" t="str">
            <v>115</v>
          </cell>
        </row>
        <row r="320">
          <cell r="A320" t="str">
            <v>BV0949</v>
          </cell>
          <cell r="D320" t="str">
            <v>K28;15.28</v>
          </cell>
          <cell r="E320" t="str">
            <v>Khoa Tai Mũi Họng;Tai - Mũi - Họng</v>
          </cell>
          <cell r="F320" t="str">
            <v>Đinh Quang Hưng</v>
          </cell>
          <cell r="G320">
            <v>1</v>
          </cell>
          <cell r="H320" t="str">
            <v>020093002101</v>
          </cell>
          <cell r="I320" t="str">
            <v>1</v>
          </cell>
          <cell r="K320" t="str">
            <v>004364/LS-CCHN</v>
          </cell>
          <cell r="L320" t="str">
            <v>20211007</v>
          </cell>
          <cell r="M320" t="str">
            <v>Sở Y tế tỉnh Lạng Sơn</v>
          </cell>
          <cell r="N320" t="str">
            <v>115</v>
          </cell>
        </row>
        <row r="321">
          <cell r="A321" t="str">
            <v>BV0006</v>
          </cell>
          <cell r="D321" t="str">
            <v>K28;15.28</v>
          </cell>
          <cell r="E321" t="str">
            <v>Khoa Tai Mũi Họng;Tai - Mũi - Họng</v>
          </cell>
          <cell r="F321" t="str">
            <v>Nguyễn Mạnh Cường</v>
          </cell>
          <cell r="G321">
            <v>1</v>
          </cell>
          <cell r="H321" t="str">
            <v>020087009992</v>
          </cell>
          <cell r="I321" t="str">
            <v>1</v>
          </cell>
          <cell r="K321" t="str">
            <v>000350/LS-CCHN</v>
          </cell>
          <cell r="L321" t="str">
            <v>20160414</v>
          </cell>
          <cell r="M321" t="str">
            <v>Sở Y tế tỉnh Lạng Sơn</v>
          </cell>
          <cell r="N321" t="str">
            <v>115</v>
          </cell>
        </row>
        <row r="322">
          <cell r="A322" t="str">
            <v>BV0375</v>
          </cell>
          <cell r="D322" t="str">
            <v>K28;15.28</v>
          </cell>
          <cell r="E322" t="str">
            <v>Khoa Tai Mũi Họng;Tai - Mũi - Họng</v>
          </cell>
          <cell r="F322" t="str">
            <v>Lý Thị Anh</v>
          </cell>
          <cell r="G322">
            <v>2</v>
          </cell>
          <cell r="H322" t="str">
            <v>020177001574</v>
          </cell>
          <cell r="I322" t="str">
            <v>1</v>
          </cell>
          <cell r="J322" t="str">
            <v>5</v>
          </cell>
          <cell r="K322" t="str">
            <v>000238/LS-CCHN</v>
          </cell>
          <cell r="L322" t="str">
            <v>20121220</v>
          </cell>
          <cell r="M322" t="str">
            <v>Sở Y tế tỉnh Lạng Sơn</v>
          </cell>
          <cell r="N322" t="str">
            <v>115</v>
          </cell>
        </row>
        <row r="323">
          <cell r="A323" t="str">
            <v>BV0386</v>
          </cell>
          <cell r="D323" t="str">
            <v>K28;15.28</v>
          </cell>
          <cell r="E323" t="str">
            <v>Khoa Tai Mũi Họng;Tai - Mũi - Họng</v>
          </cell>
          <cell r="F323" t="str">
            <v>Ngô Thị Huyền</v>
          </cell>
          <cell r="G323">
            <v>2</v>
          </cell>
          <cell r="H323" t="str">
            <v>020187002835</v>
          </cell>
          <cell r="I323" t="str">
            <v>3</v>
          </cell>
          <cell r="K323" t="str">
            <v>001001/LS-CCHN</v>
          </cell>
          <cell r="L323" t="str">
            <v>20230111</v>
          </cell>
          <cell r="M323" t="str">
            <v>Sở Y tế tỉnh Lạng Sơn</v>
          </cell>
          <cell r="N323" t="str">
            <v>302</v>
          </cell>
        </row>
        <row r="324">
          <cell r="A324" t="str">
            <v>BV0194</v>
          </cell>
          <cell r="D324" t="str">
            <v>K28;15.28</v>
          </cell>
          <cell r="E324" t="str">
            <v>Khoa Tai Mũi Họng;Tai - Mũi - Họng</v>
          </cell>
          <cell r="F324" t="str">
            <v>Hoàng Thị Nhài</v>
          </cell>
          <cell r="G324">
            <v>2</v>
          </cell>
          <cell r="H324" t="str">
            <v>020186000814</v>
          </cell>
          <cell r="I324" t="str">
            <v>3</v>
          </cell>
          <cell r="K324" t="str">
            <v>000919/LS-CCHN</v>
          </cell>
          <cell r="L324" t="str">
            <v>20230111</v>
          </cell>
          <cell r="M324" t="str">
            <v>Sở Y tế tỉnh Lạng Sơn</v>
          </cell>
          <cell r="N324" t="str">
            <v>301</v>
          </cell>
        </row>
        <row r="325">
          <cell r="A325" t="str">
            <v>BV0381</v>
          </cell>
          <cell r="D325" t="str">
            <v>K28;15.28</v>
          </cell>
          <cell r="E325" t="str">
            <v>Khoa Tai Mũi Họng;Tai - Mũi - Họng</v>
          </cell>
          <cell r="F325" t="str">
            <v>Nông Minh Hiếu</v>
          </cell>
          <cell r="G325">
            <v>2</v>
          </cell>
          <cell r="H325" t="str">
            <v>020182002688</v>
          </cell>
          <cell r="I325" t="str">
            <v>3</v>
          </cell>
          <cell r="K325" t="str">
            <v>000998/LS-CCHN</v>
          </cell>
          <cell r="L325" t="str">
            <v>20221211</v>
          </cell>
          <cell r="M325" t="str">
            <v>Sở Y tế tỉnh Lạng Sơn</v>
          </cell>
          <cell r="N325" t="str">
            <v>302</v>
          </cell>
        </row>
        <row r="326">
          <cell r="A326" t="str">
            <v>BV0383</v>
          </cell>
          <cell r="D326" t="str">
            <v>K28;15.28</v>
          </cell>
          <cell r="E326" t="str">
            <v>Khoa Tai Mũi Họng;Tai - Mũi - Họng</v>
          </cell>
          <cell r="F326" t="str">
            <v>Vũ Thúy Ngân</v>
          </cell>
          <cell r="G326">
            <v>2</v>
          </cell>
          <cell r="H326" t="str">
            <v>020169001840</v>
          </cell>
          <cell r="I326" t="str">
            <v>3</v>
          </cell>
          <cell r="K326" t="str">
            <v>000999/LS-CCHN</v>
          </cell>
          <cell r="L326" t="str">
            <v>20230111</v>
          </cell>
          <cell r="M326" t="str">
            <v>Sở Y tế tỉnh Lạng Sơn</v>
          </cell>
          <cell r="N326" t="str">
            <v>302</v>
          </cell>
        </row>
        <row r="327">
          <cell r="A327" t="str">
            <v>BV0376</v>
          </cell>
          <cell r="D327" t="str">
            <v>K28;15.28</v>
          </cell>
          <cell r="E327" t="str">
            <v>Khoa Tai Mũi Họng;Tai - Mũi - Họng</v>
          </cell>
          <cell r="F327" t="str">
            <v>Hoàng Thu Hường</v>
          </cell>
          <cell r="G327">
            <v>2</v>
          </cell>
          <cell r="H327" t="str">
            <v>020169001674</v>
          </cell>
          <cell r="I327" t="str">
            <v>3</v>
          </cell>
          <cell r="K327" t="str">
            <v>000993/LS-CCHN</v>
          </cell>
          <cell r="L327" t="str">
            <v>20130624</v>
          </cell>
          <cell r="M327" t="str">
            <v>Sở Y tế tỉnh Lạng Sơn</v>
          </cell>
          <cell r="N327" t="str">
            <v>301</v>
          </cell>
        </row>
        <row r="328">
          <cell r="A328" t="str">
            <v>BV0380</v>
          </cell>
          <cell r="D328" t="str">
            <v>K28;15.28</v>
          </cell>
          <cell r="E328" t="str">
            <v>Khoa Tai Mũi Họng;Tai - Mũi - Họng</v>
          </cell>
          <cell r="F328" t="str">
            <v>Nông Thị Tươi</v>
          </cell>
          <cell r="G328">
            <v>2</v>
          </cell>
          <cell r="H328" t="str">
            <v>020181000736</v>
          </cell>
          <cell r="I328" t="str">
            <v>3</v>
          </cell>
          <cell r="K328" t="str">
            <v>000997/LS-CCHN</v>
          </cell>
          <cell r="L328" t="str">
            <v>20221211</v>
          </cell>
          <cell r="M328" t="str">
            <v>Sở Y tế tỉnh Lạng Sơn</v>
          </cell>
          <cell r="N328" t="str">
            <v>301</v>
          </cell>
        </row>
        <row r="329">
          <cell r="A329" t="str">
            <v>BV0021</v>
          </cell>
          <cell r="D329" t="str">
            <v>K4849;K28;15.28</v>
          </cell>
          <cell r="E329" t="str">
            <v>Khoa Hồi sức tích cực - Chống độc;Khoa Tai Mũi Họng;Tai - Mũi - Họng</v>
          </cell>
          <cell r="F329" t="str">
            <v>Lý Thị Lệ</v>
          </cell>
          <cell r="G329">
            <v>2</v>
          </cell>
          <cell r="H329" t="str">
            <v>020185002475</v>
          </cell>
          <cell r="I329" t="str">
            <v>3</v>
          </cell>
          <cell r="K329" t="str">
            <v>000748/LS-CCHN</v>
          </cell>
          <cell r="L329" t="str">
            <v>20230111</v>
          </cell>
          <cell r="M329" t="str">
            <v>Sở Y tế tỉnh Lạng Sơn</v>
          </cell>
          <cell r="N329" t="str">
            <v>302</v>
          </cell>
        </row>
        <row r="330">
          <cell r="A330" t="str">
            <v>BV1230</v>
          </cell>
          <cell r="D330" t="str">
            <v>K28;15.28</v>
          </cell>
          <cell r="E330" t="str">
            <v>Khoa Tai Mũi Họng;Tai - Mũi - Họng</v>
          </cell>
          <cell r="F330" t="str">
            <v>Nông Thị Ngân Giang</v>
          </cell>
          <cell r="G330">
            <v>2</v>
          </cell>
          <cell r="H330" t="str">
            <v>020198005668</v>
          </cell>
          <cell r="I330" t="str">
            <v>1</v>
          </cell>
          <cell r="K330" t="str">
            <v>000210/LS-GPHN</v>
          </cell>
          <cell r="L330">
            <v>20250220</v>
          </cell>
          <cell r="M330" t="str">
            <v>Sở Y tế tỉnh Lạng Sơn</v>
          </cell>
          <cell r="N330" t="str">
            <v>110</v>
          </cell>
        </row>
        <row r="331">
          <cell r="A331" t="str">
            <v>BV1280</v>
          </cell>
          <cell r="D331" t="str">
            <v>K28;15.28</v>
          </cell>
          <cell r="E331" t="str">
            <v>Khoa Tai Mũi Họng;Tai - Mũi - Họng</v>
          </cell>
          <cell r="F331" t="str">
            <v>Linh Thị Diệu Hiền</v>
          </cell>
          <cell r="G331">
            <v>2</v>
          </cell>
          <cell r="H331" t="str">
            <v>020195001612</v>
          </cell>
          <cell r="I331" t="str">
            <v>1</v>
          </cell>
          <cell r="K331" t="str">
            <v>000196/LS-GPHN</v>
          </cell>
          <cell r="L331">
            <v>20250123</v>
          </cell>
          <cell r="M331" t="str">
            <v>Sở Y tế tỉnh Lạng Sơn</v>
          </cell>
          <cell r="N331" t="str">
            <v>102</v>
          </cell>
        </row>
        <row r="332">
          <cell r="A332" t="str">
            <v>BV0109</v>
          </cell>
          <cell r="D332" t="str">
            <v>K1514;02.15;02.14</v>
          </cell>
          <cell r="E332" t="str">
            <v>Khoa Tâm thần - Thần kinh;Tâm thần;Thần kinh</v>
          </cell>
          <cell r="F332" t="str">
            <v>Đặng Thị Kiều</v>
          </cell>
          <cell r="G332">
            <v>2</v>
          </cell>
          <cell r="H332" t="str">
            <v>033174005246</v>
          </cell>
          <cell r="I332" t="str">
            <v>3</v>
          </cell>
          <cell r="K332" t="str">
            <v>000805/LS-CCHN</v>
          </cell>
          <cell r="L332" t="str">
            <v>20230111</v>
          </cell>
          <cell r="M332" t="str">
            <v>Sở Y tế tỉnh Lạng Sơn</v>
          </cell>
          <cell r="N332" t="str">
            <v>302</v>
          </cell>
        </row>
        <row r="333">
          <cell r="A333" t="str">
            <v>BV0103</v>
          </cell>
          <cell r="D333" t="str">
            <v>K1514;02.15;02.14</v>
          </cell>
          <cell r="E333" t="str">
            <v>Khoa Tâm thần - Thần kinh;Tâm thần;Thần kinh</v>
          </cell>
          <cell r="F333" t="str">
            <v>Nông Văn Đào</v>
          </cell>
          <cell r="G333">
            <v>1</v>
          </cell>
          <cell r="H333" t="str">
            <v>020091005235</v>
          </cell>
          <cell r="I333" t="str">
            <v>3</v>
          </cell>
          <cell r="K333" t="str">
            <v>003320/LS-CCHN</v>
          </cell>
          <cell r="L333" t="str">
            <v>20180720</v>
          </cell>
          <cell r="M333" t="str">
            <v>Sở Y tế tỉnh Lạng Sơn</v>
          </cell>
          <cell r="N333" t="str">
            <v>302</v>
          </cell>
        </row>
        <row r="334">
          <cell r="A334" t="str">
            <v>BV0956</v>
          </cell>
          <cell r="D334" t="str">
            <v>K1514;02.15;02.14</v>
          </cell>
          <cell r="E334" t="str">
            <v>Khoa Tâm thần - Thần kinh;Tâm thần;Thần kinh</v>
          </cell>
          <cell r="F334" t="str">
            <v>Trịnh Thị Việt Hà</v>
          </cell>
          <cell r="G334">
            <v>2</v>
          </cell>
          <cell r="H334" t="str">
            <v>020175004619</v>
          </cell>
          <cell r="I334" t="str">
            <v>1</v>
          </cell>
          <cell r="K334" t="str">
            <v>002936/LS-CCHN</v>
          </cell>
          <cell r="L334" t="str">
            <v>20150213</v>
          </cell>
          <cell r="M334" t="str">
            <v>Sở Y tế tỉnh Lạng Sơn</v>
          </cell>
          <cell r="N334" t="str">
            <v>106</v>
          </cell>
          <cell r="P334" t="str">
            <v>02.0145;03.0138;02.0160</v>
          </cell>
        </row>
        <row r="335">
          <cell r="A335" t="str">
            <v>BV0132</v>
          </cell>
          <cell r="D335" t="str">
            <v>K1514;02.15;02.14</v>
          </cell>
          <cell r="E335" t="str">
            <v>Khoa Tâm thần - Thần kinh;Tâm thần;Thần kinh</v>
          </cell>
          <cell r="F335" t="str">
            <v>Hoàng Thị Khảo</v>
          </cell>
          <cell r="G335">
            <v>2</v>
          </cell>
          <cell r="H335" t="str">
            <v>020183001920</v>
          </cell>
          <cell r="I335" t="str">
            <v>1</v>
          </cell>
          <cell r="K335" t="str">
            <v>000827/LS-CCHN</v>
          </cell>
          <cell r="L335" t="str">
            <v>20130624</v>
          </cell>
          <cell r="M335" t="str">
            <v>Sở Y tế tỉnh Lạng Sơn</v>
          </cell>
          <cell r="N335" t="str">
            <v>102;102.14</v>
          </cell>
          <cell r="O335" t="str">
            <v>20240917_1048/QĐ-SYT</v>
          </cell>
        </row>
        <row r="336">
          <cell r="A336" t="str">
            <v>BV0102</v>
          </cell>
          <cell r="D336" t="str">
            <v>K1514;02.15;02.14</v>
          </cell>
          <cell r="E336" t="str">
            <v>Khoa Tâm thần - Thần kinh;Tâm thần;Thần kinh</v>
          </cell>
          <cell r="F336" t="str">
            <v>Vi Thị Hiếu</v>
          </cell>
          <cell r="G336">
            <v>2</v>
          </cell>
          <cell r="H336" t="str">
            <v>020189002910</v>
          </cell>
          <cell r="I336" t="str">
            <v>3</v>
          </cell>
          <cell r="K336" t="str">
            <v>000405/LS-CCHN</v>
          </cell>
          <cell r="L336" t="str">
            <v>20230111</v>
          </cell>
          <cell r="M336" t="str">
            <v>Sở Y tế tỉnh Lạng Sơn</v>
          </cell>
          <cell r="N336" t="str">
            <v>301</v>
          </cell>
        </row>
        <row r="337">
          <cell r="A337" t="str">
            <v>BV0112</v>
          </cell>
          <cell r="D337" t="str">
            <v>K1514;02.15;02.14</v>
          </cell>
          <cell r="E337" t="str">
            <v>Khoa Tâm thần - Thần kinh;Tâm thần;Thần kinh</v>
          </cell>
          <cell r="F337" t="str">
            <v>Hoàng Thị Mai Vân</v>
          </cell>
          <cell r="G337">
            <v>2</v>
          </cell>
          <cell r="H337" t="str">
            <v>020183010171</v>
          </cell>
          <cell r="I337" t="str">
            <v>3</v>
          </cell>
          <cell r="K337" t="str">
            <v>000804/LS-CCHN</v>
          </cell>
          <cell r="L337" t="str">
            <v>20230111</v>
          </cell>
          <cell r="M337" t="str">
            <v>Sở Y tế tỉnh Lạng Sơn</v>
          </cell>
          <cell r="N337" t="str">
            <v>302</v>
          </cell>
        </row>
        <row r="338">
          <cell r="A338" t="str">
            <v>BV0114</v>
          </cell>
          <cell r="D338" t="str">
            <v>K4849;K1514;02.15;02.14</v>
          </cell>
          <cell r="E338" t="str">
            <v>Khoa Hồi sức tích cực - Chống độc;Khoa Tâm thần - Thần kinh;Tâm thần;Thần kinh</v>
          </cell>
          <cell r="F338" t="str">
            <v>Lăng Thị Huệ</v>
          </cell>
          <cell r="G338">
            <v>2</v>
          </cell>
          <cell r="H338" t="str">
            <v>020189011934</v>
          </cell>
          <cell r="I338" t="str">
            <v>3</v>
          </cell>
          <cell r="K338" t="str">
            <v>000813/LS-CCHN</v>
          </cell>
          <cell r="L338" t="str">
            <v>20230111</v>
          </cell>
          <cell r="M338" t="str">
            <v>Sở Y tế tỉnh Lạng Sơn</v>
          </cell>
          <cell r="N338" t="str">
            <v>302</v>
          </cell>
        </row>
        <row r="339">
          <cell r="A339" t="str">
            <v>BV0868</v>
          </cell>
          <cell r="D339" t="str">
            <v>K1514;02.15;02.14</v>
          </cell>
          <cell r="E339" t="str">
            <v>Khoa Tâm thần - Thần kinh;Tâm thần;Thần kinh</v>
          </cell>
          <cell r="F339" t="str">
            <v>Nguyễn Thị Trang</v>
          </cell>
          <cell r="G339">
            <v>2</v>
          </cell>
          <cell r="H339" t="str">
            <v>020197001187</v>
          </cell>
          <cell r="I339" t="str">
            <v>3</v>
          </cell>
          <cell r="K339" t="str">
            <v>003675/LS-CCHN</v>
          </cell>
          <cell r="L339" t="str">
            <v>20200122</v>
          </cell>
          <cell r="M339" t="str">
            <v>Sở Y tế tỉnh Lạng Sơn</v>
          </cell>
          <cell r="N339" t="str">
            <v>302</v>
          </cell>
        </row>
        <row r="340">
          <cell r="A340" t="str">
            <v>BV0901</v>
          </cell>
          <cell r="D340" t="str">
            <v>K1514;02.15;02.14</v>
          </cell>
          <cell r="E340" t="str">
            <v>Khoa Tâm thần - Thần kinh;Tâm thần;Thần kinh</v>
          </cell>
          <cell r="F340" t="str">
            <v>Hoàng Thị Khuyên</v>
          </cell>
          <cell r="G340">
            <v>2</v>
          </cell>
          <cell r="H340" t="str">
            <v>020196003543</v>
          </cell>
          <cell r="I340" t="str">
            <v>3</v>
          </cell>
          <cell r="K340" t="str">
            <v>004118/LS-CCHN</v>
          </cell>
          <cell r="L340" t="str">
            <v>20200208</v>
          </cell>
          <cell r="M340" t="str">
            <v>Sở Y tế tỉnh Lạng Sơn</v>
          </cell>
          <cell r="N340" t="str">
            <v>302</v>
          </cell>
        </row>
        <row r="341">
          <cell r="A341" t="str">
            <v>BV1051</v>
          </cell>
          <cell r="D341" t="str">
            <v>K1514;02.15;02.14</v>
          </cell>
          <cell r="E341" t="str">
            <v>Khoa Tâm thần - Thần kinh;Tâm thần;Thần kinh</v>
          </cell>
          <cell r="F341" t="str">
            <v>Sầm Thị Minh Thơ</v>
          </cell>
          <cell r="G341">
            <v>2</v>
          </cell>
          <cell r="H341" t="str">
            <v>020187003172</v>
          </cell>
          <cell r="I341" t="str">
            <v>3</v>
          </cell>
          <cell r="K341" t="str">
            <v>004307/LS-CCHN</v>
          </cell>
          <cell r="L341" t="str">
            <v>20210720</v>
          </cell>
          <cell r="M341" t="str">
            <v>Sở Y tế tỉnh Lạng Sơn</v>
          </cell>
          <cell r="N341" t="str">
            <v>301</v>
          </cell>
        </row>
        <row r="342">
          <cell r="A342" t="str">
            <v>BV0975</v>
          </cell>
          <cell r="D342" t="str">
            <v>K1514;02.15;02.14</v>
          </cell>
          <cell r="E342" t="str">
            <v>Khoa Tâm thần - Thần kinh;Tâm thần;Thần kinh</v>
          </cell>
          <cell r="F342" t="str">
            <v>Vi Thị Hoa</v>
          </cell>
          <cell r="G342">
            <v>2</v>
          </cell>
          <cell r="H342" t="str">
            <v>020197005891</v>
          </cell>
          <cell r="I342" t="str">
            <v>3</v>
          </cell>
          <cell r="K342" t="str">
            <v>004156/LS-CCHN</v>
          </cell>
          <cell r="L342" t="str">
            <v>20210406</v>
          </cell>
          <cell r="M342" t="str">
            <v>Sở Y tế tỉnh Lạng Sơn</v>
          </cell>
          <cell r="N342" t="str">
            <v>302</v>
          </cell>
        </row>
        <row r="343">
          <cell r="A343" t="str">
            <v>BV1149</v>
          </cell>
          <cell r="D343" t="str">
            <v>K1514;02.15;02.14</v>
          </cell>
          <cell r="E343" t="str">
            <v>Khoa Tâm thần - Thần kinh;Tâm thần;Thần kinh</v>
          </cell>
          <cell r="F343" t="str">
            <v>Toàn Thu Linh</v>
          </cell>
          <cell r="G343">
            <v>2</v>
          </cell>
          <cell r="H343" t="str">
            <v>020188009130</v>
          </cell>
          <cell r="I343" t="str">
            <v>3</v>
          </cell>
          <cell r="K343" t="str">
            <v>000818/LS-CCHN</v>
          </cell>
          <cell r="L343" t="str">
            <v>20230111</v>
          </cell>
          <cell r="M343" t="str">
            <v>Sở Y tế tỉnh Lạng Sơn</v>
          </cell>
          <cell r="N343" t="str">
            <v>302</v>
          </cell>
        </row>
        <row r="344">
          <cell r="A344" t="str">
            <v>BV1084</v>
          </cell>
          <cell r="D344" t="str">
            <v>K1514;02.15;02.14</v>
          </cell>
          <cell r="E344" t="str">
            <v>Khoa Tâm thần - Thần kinh;Tâm thần;Thần kinh</v>
          </cell>
          <cell r="F344" t="str">
            <v>Lộc Thị Chang</v>
          </cell>
          <cell r="G344">
            <v>2</v>
          </cell>
          <cell r="H344" t="str">
            <v>020189007384</v>
          </cell>
          <cell r="I344" t="str">
            <v>3</v>
          </cell>
          <cell r="K344" t="str">
            <v>004543/LS-CCHN</v>
          </cell>
          <cell r="L344" t="str">
            <v>20220526</v>
          </cell>
          <cell r="M344" t="str">
            <v>Sở Y tế tỉnh Lạng Sơn</v>
          </cell>
          <cell r="N344" t="str">
            <v>302</v>
          </cell>
        </row>
        <row r="345">
          <cell r="A345" t="str">
            <v>BV0190</v>
          </cell>
          <cell r="D345" t="str">
            <v>K1514;02.15;02.14</v>
          </cell>
          <cell r="E345" t="str">
            <v>Khoa Tâm thần - Thần kinh;Tâm thần;Thần kinh</v>
          </cell>
          <cell r="F345" t="str">
            <v>Trịnh Xuân Trường</v>
          </cell>
          <cell r="G345">
            <v>1</v>
          </cell>
          <cell r="H345" t="str">
            <v>020082002995</v>
          </cell>
          <cell r="I345" t="str">
            <v>1</v>
          </cell>
          <cell r="K345" t="str">
            <v>000911/LS-CCHN</v>
          </cell>
          <cell r="L345" t="str">
            <v>20191121</v>
          </cell>
          <cell r="M345" t="str">
            <v>Sở Y tế tỉnh Lạng Sơn</v>
          </cell>
          <cell r="N345" t="str">
            <v>102</v>
          </cell>
        </row>
        <row r="346">
          <cell r="A346" t="str">
            <v>BV1111</v>
          </cell>
          <cell r="D346" t="str">
            <v>K1514;02.15;02.14</v>
          </cell>
          <cell r="E346" t="str">
            <v>Khoa Tâm thần - Thần kinh;Tâm thần;Thần kinh</v>
          </cell>
          <cell r="F346" t="str">
            <v>Triệu Đoàn Thùy Linh</v>
          </cell>
          <cell r="G346">
            <v>2</v>
          </cell>
          <cell r="H346" t="str">
            <v>020196005109</v>
          </cell>
          <cell r="I346" t="str">
            <v>1</v>
          </cell>
          <cell r="K346" t="str">
            <v>005495/LS-CCHN</v>
          </cell>
          <cell r="L346" t="str">
            <v>20221116</v>
          </cell>
          <cell r="M346" t="str">
            <v>Sở Y tế tỉnh Lạng Sơn</v>
          </cell>
          <cell r="N346" t="str">
            <v>102</v>
          </cell>
        </row>
        <row r="347">
          <cell r="A347" t="str">
            <v>BV1159</v>
          </cell>
          <cell r="D347" t="str">
            <v>K1514;02.15;02.14</v>
          </cell>
          <cell r="E347" t="str">
            <v>Khoa Tâm thần - Thần kinh;Tâm thần;Thần kinh</v>
          </cell>
          <cell r="F347" t="str">
            <v>Bùi Thị Thu Hà</v>
          </cell>
          <cell r="G347">
            <v>2</v>
          </cell>
          <cell r="H347" t="str">
            <v>020194011727</v>
          </cell>
          <cell r="I347" t="str">
            <v>1</v>
          </cell>
          <cell r="K347" t="str">
            <v>005588/LS-CCHN</v>
          </cell>
          <cell r="L347" t="str">
            <v>20230515</v>
          </cell>
          <cell r="M347" t="str">
            <v>Sở Y tế tỉnh Lạng Sơn</v>
          </cell>
          <cell r="N347" t="str">
            <v>102</v>
          </cell>
        </row>
        <row r="348">
          <cell r="A348" t="str">
            <v>BV0090</v>
          </cell>
          <cell r="D348" t="str">
            <v>K1514;02.15;02.14</v>
          </cell>
          <cell r="E348" t="str">
            <v>Khoa Tâm thần - Thần kinh;Tâm thần;Thần kinh</v>
          </cell>
          <cell r="F348" t="str">
            <v>Đặng Huy Du</v>
          </cell>
          <cell r="G348">
            <v>1</v>
          </cell>
          <cell r="H348" t="str">
            <v>020072008320</v>
          </cell>
          <cell r="I348" t="str">
            <v>1</v>
          </cell>
          <cell r="J348" t="str">
            <v>2</v>
          </cell>
          <cell r="K348" t="str">
            <v>000106/LS-CCHN</v>
          </cell>
          <cell r="L348" t="str">
            <v>20120628</v>
          </cell>
          <cell r="M348" t="str">
            <v>Sở Y tế tỉnh Lạng Sơn</v>
          </cell>
          <cell r="N348" t="str">
            <v>102;106</v>
          </cell>
          <cell r="O348" t="str">
            <v>20230705_1298/QĐ-SYT</v>
          </cell>
          <cell r="P348" t="str">
            <v>21C.2; 18A.1; 18A.2; 01.0021; 03.0708; 03.4253; 18.0047;18.0501;18.0553;18.0554;18.0555;18.0558;18.0565;18.0566;18.0567;18.0562;18.0556;18.0564</v>
          </cell>
        </row>
        <row r="349">
          <cell r="A349" t="str">
            <v>BV1232</v>
          </cell>
          <cell r="D349" t="str">
            <v>K1514;02.15;02.14</v>
          </cell>
          <cell r="E349" t="str">
            <v>Khoa Tâm thần - Thần kinh;Tâm thần;Thần kinh</v>
          </cell>
          <cell r="F349" t="str">
            <v>Hoàng Thu Hoài</v>
          </cell>
          <cell r="G349">
            <v>2</v>
          </cell>
          <cell r="H349" t="str">
            <v>020196004694</v>
          </cell>
          <cell r="I349" t="str">
            <v>1</v>
          </cell>
          <cell r="K349" t="str">
            <v>000195/LS-GPHN</v>
          </cell>
          <cell r="L349">
            <v>20241231</v>
          </cell>
          <cell r="M349" t="str">
            <v>Sở Y tế tỉnh Lạng Sơn</v>
          </cell>
          <cell r="N349" t="str">
            <v>102</v>
          </cell>
        </row>
        <row r="350">
          <cell r="A350" t="str">
            <v>BV1325</v>
          </cell>
          <cell r="D350" t="str">
            <v>K1514;02.15;02.14</v>
          </cell>
          <cell r="E350" t="str">
            <v>Khoa Tâm thần - Thần kinh;Tâm thần;Thần kinh</v>
          </cell>
          <cell r="F350" t="str">
            <v>Đặng Tuấn Phong</v>
          </cell>
          <cell r="G350">
            <v>1</v>
          </cell>
          <cell r="H350" t="str">
            <v>020097008691</v>
          </cell>
          <cell r="I350">
            <v>3</v>
          </cell>
          <cell r="K350" t="str">
            <v>000306/LS-GPHN</v>
          </cell>
          <cell r="L350">
            <v>20250711</v>
          </cell>
          <cell r="M350" t="str">
            <v>Sở Y tế tỉnh Lạng Sơn</v>
          </cell>
          <cell r="N350" t="str">
            <v>302</v>
          </cell>
        </row>
        <row r="351">
          <cell r="A351" t="str">
            <v>BV0821</v>
          </cell>
          <cell r="D351" t="str">
            <v>K30;14.30</v>
          </cell>
          <cell r="E351" t="str">
            <v>Khoa Mắt;Mắt</v>
          </cell>
          <cell r="F351" t="str">
            <v>Trần Đức Vinh</v>
          </cell>
          <cell r="G351">
            <v>1</v>
          </cell>
          <cell r="H351" t="str">
            <v>020071007745</v>
          </cell>
          <cell r="I351" t="str">
            <v>1</v>
          </cell>
          <cell r="J351" t="str">
            <v>4</v>
          </cell>
          <cell r="K351" t="str">
            <v>001242/LS-CCHN</v>
          </cell>
          <cell r="L351" t="str">
            <v>20130719</v>
          </cell>
          <cell r="M351" t="str">
            <v>Sở Y tế tỉnh Lạng Sơn</v>
          </cell>
          <cell r="N351" t="str">
            <v>114</v>
          </cell>
        </row>
        <row r="352">
          <cell r="A352" t="str">
            <v>BV0126</v>
          </cell>
          <cell r="D352" t="str">
            <v>K11;02.11;04.12</v>
          </cell>
          <cell r="E352" t="str">
            <v>Khoa Truyền nhiễm;Truyền nhiễm; Lao (Ngoại lao)</v>
          </cell>
          <cell r="F352" t="str">
            <v>Lưu Hải Châu</v>
          </cell>
          <cell r="G352">
            <v>2</v>
          </cell>
          <cell r="H352" t="str">
            <v>031180009182</v>
          </cell>
          <cell r="I352" t="str">
            <v>3</v>
          </cell>
          <cell r="K352" t="str">
            <v>001042/LS-CCHN</v>
          </cell>
          <cell r="L352" t="str">
            <v>20230111</v>
          </cell>
          <cell r="M352" t="str">
            <v>Sở Y tế tỉnh Lạng Sơn</v>
          </cell>
          <cell r="N352" t="str">
            <v>301</v>
          </cell>
        </row>
        <row r="353">
          <cell r="A353" t="str">
            <v>BV0335</v>
          </cell>
          <cell r="D353" t="str">
            <v>K11;02.11;04.12</v>
          </cell>
          <cell r="E353" t="str">
            <v>Khoa Truyền nhiễm;Truyền nhiễm; Lao (Ngoại lao)</v>
          </cell>
          <cell r="F353" t="str">
            <v>Lăng Thị Thúy</v>
          </cell>
          <cell r="G353">
            <v>2</v>
          </cell>
          <cell r="H353" t="str">
            <v xml:space="preserve"> 020186002906 </v>
          </cell>
          <cell r="I353" t="str">
            <v>3</v>
          </cell>
          <cell r="K353" t="str">
            <v>000877/LS-CCHN</v>
          </cell>
          <cell r="L353" t="str">
            <v>20230111</v>
          </cell>
          <cell r="M353" t="str">
            <v>Sở Y tế tỉnh Lạng Sơn</v>
          </cell>
          <cell r="N353" t="str">
            <v>301</v>
          </cell>
        </row>
        <row r="354">
          <cell r="A354" t="str">
            <v>BV0337</v>
          </cell>
          <cell r="D354" t="str">
            <v>K4849;K11;02.11;04.12</v>
          </cell>
          <cell r="E354" t="str">
            <v>Khoa Hồi sức tích cực - Chống độc;Khoa Truyền nhiễm;Truyền nhiễm; Lao (Ngoại lao)</v>
          </cell>
          <cell r="F354" t="str">
            <v>Lương Thị Minh</v>
          </cell>
          <cell r="G354">
            <v>2</v>
          </cell>
          <cell r="H354" t="str">
            <v>020190001398</v>
          </cell>
          <cell r="I354" t="str">
            <v>3</v>
          </cell>
          <cell r="K354" t="str">
            <v>000384/LS-CCHN</v>
          </cell>
          <cell r="L354" t="str">
            <v>20230111</v>
          </cell>
          <cell r="M354" t="str">
            <v>Sở Y tế tỉnh Lạng Sơn</v>
          </cell>
          <cell r="N354" t="str">
            <v>302</v>
          </cell>
        </row>
        <row r="355">
          <cell r="A355" t="str">
            <v>BV0338</v>
          </cell>
          <cell r="D355" t="str">
            <v>K11;02.11;04.12</v>
          </cell>
          <cell r="E355" t="str">
            <v>Khoa Truyền nhiễm;Truyền nhiễm; Lao (Ngoại lao)</v>
          </cell>
          <cell r="F355" t="str">
            <v>Lương Thúy Nga</v>
          </cell>
          <cell r="G355">
            <v>2</v>
          </cell>
          <cell r="H355" t="str">
            <v>020189011553</v>
          </cell>
          <cell r="I355" t="str">
            <v>3</v>
          </cell>
          <cell r="K355" t="str">
            <v>000383/LS-CCHN</v>
          </cell>
          <cell r="L355" t="str">
            <v>20230111</v>
          </cell>
          <cell r="M355" t="str">
            <v>Sở Y tế tỉnh Lạng Sơn</v>
          </cell>
          <cell r="N355" t="str">
            <v>302</v>
          </cell>
        </row>
        <row r="356">
          <cell r="A356" t="str">
            <v>BV0332</v>
          </cell>
          <cell r="D356" t="str">
            <v>K11;02.11;04.12</v>
          </cell>
          <cell r="E356" t="str">
            <v>Khoa Truyền nhiễm;Truyền nhiễm; Lao (Ngoại lao)</v>
          </cell>
          <cell r="F356" t="str">
            <v>Nông Thị Mai</v>
          </cell>
          <cell r="G356">
            <v>2</v>
          </cell>
          <cell r="H356" t="str">
            <v>020186010922</v>
          </cell>
          <cell r="I356" t="str">
            <v>3</v>
          </cell>
          <cell r="K356" t="str">
            <v>000386/LS-CCHN</v>
          </cell>
          <cell r="L356" t="str">
            <v>20230111</v>
          </cell>
          <cell r="M356" t="str">
            <v>Sở Y tế tỉnh Lạng Sơn</v>
          </cell>
          <cell r="N356" t="str">
            <v>302</v>
          </cell>
        </row>
        <row r="357">
          <cell r="A357" t="str">
            <v>BV0197</v>
          </cell>
          <cell r="D357" t="str">
            <v>K11;02.11;04.12</v>
          </cell>
          <cell r="E357" t="str">
            <v>Khoa Truyền nhiễm;Truyền nhiễm; Lao (Ngoại lao)</v>
          </cell>
          <cell r="F357" t="str">
            <v>Nguyễn Thị Hợi</v>
          </cell>
          <cell r="G357">
            <v>2</v>
          </cell>
          <cell r="H357" t="str">
            <v>038184050846</v>
          </cell>
          <cell r="I357" t="str">
            <v>3</v>
          </cell>
          <cell r="K357" t="str">
            <v>000915/LS-CCHN</v>
          </cell>
          <cell r="L357" t="str">
            <v>20230111</v>
          </cell>
          <cell r="M357" t="str">
            <v>Sở Y tế tỉnh Lạng Sơn</v>
          </cell>
          <cell r="N357" t="str">
            <v>302</v>
          </cell>
        </row>
        <row r="358">
          <cell r="A358" t="str">
            <v>BV0014</v>
          </cell>
          <cell r="D358" t="str">
            <v>K11;02.11;04.12</v>
          </cell>
          <cell r="E358" t="str">
            <v>Khoa Truyền nhiễm;Truyền nhiễm; Lao (Ngoại lao)</v>
          </cell>
          <cell r="F358" t="str">
            <v>Mông Thị Luận</v>
          </cell>
          <cell r="G358">
            <v>2</v>
          </cell>
          <cell r="H358" t="str">
            <v>020178009041</v>
          </cell>
          <cell r="I358" t="str">
            <v>3</v>
          </cell>
          <cell r="K358" t="str">
            <v>000743/LS-CCHN</v>
          </cell>
          <cell r="L358" t="str">
            <v>20230111</v>
          </cell>
          <cell r="M358" t="str">
            <v>Sở Y tế tỉnh Lạng Sơn</v>
          </cell>
          <cell r="N358" t="str">
            <v>301</v>
          </cell>
        </row>
        <row r="359">
          <cell r="A359" t="str">
            <v>BV0334</v>
          </cell>
          <cell r="D359" t="str">
            <v>K11;02.11;04.12</v>
          </cell>
          <cell r="E359" t="str">
            <v>Khoa Truyền nhiễm;Truyền nhiễm; Lao (Ngoại lao)</v>
          </cell>
          <cell r="F359" t="str">
            <v>Nguyễn Khắc Đảng</v>
          </cell>
          <cell r="G359">
            <v>1</v>
          </cell>
          <cell r="H359" t="str">
            <v xml:space="preserve"> 020072001945</v>
          </cell>
          <cell r="I359" t="str">
            <v>3</v>
          </cell>
          <cell r="K359" t="str">
            <v>000796/LS-CCHN</v>
          </cell>
          <cell r="L359" t="str">
            <v>20130624</v>
          </cell>
          <cell r="M359" t="str">
            <v>Sở Y tế tỉnh Lạng Sơn</v>
          </cell>
          <cell r="N359" t="str">
            <v>302</v>
          </cell>
        </row>
        <row r="360">
          <cell r="A360" t="str">
            <v>BV0743</v>
          </cell>
          <cell r="D360" t="str">
            <v>K11;02.11;04.12</v>
          </cell>
          <cell r="E360" t="str">
            <v>Khoa Truyền nhiễm;Truyền nhiễm; Lao (Ngoại lao)</v>
          </cell>
          <cell r="F360" t="str">
            <v>Hứa Văn Quốc</v>
          </cell>
          <cell r="G360">
            <v>1</v>
          </cell>
          <cell r="H360" t="str">
            <v xml:space="preserve"> 020092002119</v>
          </cell>
          <cell r="I360" t="str">
            <v>3</v>
          </cell>
          <cell r="K360" t="str">
            <v>003315/LS-CCHN</v>
          </cell>
          <cell r="L360" t="str">
            <v>20190628</v>
          </cell>
          <cell r="M360" t="str">
            <v>Sở Y tế tỉnh Lạng Sơn</v>
          </cell>
          <cell r="N360" t="str">
            <v>302</v>
          </cell>
        </row>
        <row r="361">
          <cell r="A361" t="str">
            <v>BV0327</v>
          </cell>
          <cell r="D361" t="str">
            <v>K11;02.11;04.12</v>
          </cell>
          <cell r="E361" t="str">
            <v>Khoa Truyền nhiễm;Truyền nhiễm; Lao (Ngoại lao)</v>
          </cell>
          <cell r="F361" t="str">
            <v>Nguyễn Quang Lương</v>
          </cell>
          <cell r="G361">
            <v>1</v>
          </cell>
          <cell r="H361" t="str">
            <v>020067000304</v>
          </cell>
          <cell r="I361" t="str">
            <v>1</v>
          </cell>
          <cell r="J361" t="str">
            <v>2</v>
          </cell>
          <cell r="K361" t="str">
            <v>000874/LS-CCHN</v>
          </cell>
          <cell r="L361" t="str">
            <v>20130624</v>
          </cell>
          <cell r="M361" t="str">
            <v>Sở Y tế tỉnh Lạng Sơn</v>
          </cell>
          <cell r="N361" t="str">
            <v>102</v>
          </cell>
        </row>
        <row r="362">
          <cell r="A362" t="str">
            <v>BV0052</v>
          </cell>
          <cell r="D362" t="str">
            <v>K11;02.11;04.12</v>
          </cell>
          <cell r="E362" t="str">
            <v>Khoa Truyền nhiễm;Truyền nhiễm; Lao (Ngoại lao)</v>
          </cell>
          <cell r="F362" t="str">
            <v>La Thị Thu Hiền</v>
          </cell>
          <cell r="G362">
            <v>2</v>
          </cell>
          <cell r="H362" t="str">
            <v>020190009365</v>
          </cell>
          <cell r="I362" t="str">
            <v>1</v>
          </cell>
          <cell r="K362" t="str">
            <v>002939/LS-CCHN</v>
          </cell>
          <cell r="L362" t="str">
            <v>20180130</v>
          </cell>
          <cell r="M362" t="str">
            <v>Sở Y tế tỉnh Lạng Sơn</v>
          </cell>
          <cell r="N362" t="str">
            <v>102</v>
          </cell>
        </row>
        <row r="363">
          <cell r="A363" t="str">
            <v>BV0018</v>
          </cell>
          <cell r="D363" t="str">
            <v>K11;02.11;04.12</v>
          </cell>
          <cell r="E363" t="str">
            <v>Khoa Truyền nhiễm;Truyền nhiễm; Lao (Ngoại lao)</v>
          </cell>
          <cell r="F363" t="str">
            <v>Lê Thị Ngọc Hoàng</v>
          </cell>
          <cell r="G363">
            <v>2</v>
          </cell>
          <cell r="H363" t="str">
            <v>020184000486</v>
          </cell>
          <cell r="I363" t="str">
            <v>1</v>
          </cell>
          <cell r="K363" t="str">
            <v>000741/LS-CCHN</v>
          </cell>
          <cell r="L363" t="str">
            <v>20130624</v>
          </cell>
          <cell r="M363" t="str">
            <v>Sở Y tế tỉnh Lạng Sơn</v>
          </cell>
          <cell r="N363" t="str">
            <v>102;102.11</v>
          </cell>
          <cell r="O363" t="str">
            <v>20260214_300/QĐ-SYT</v>
          </cell>
        </row>
        <row r="364">
          <cell r="A364" t="str">
            <v>BV0133</v>
          </cell>
          <cell r="D364" t="str">
            <v>K11;02.11;04.12</v>
          </cell>
          <cell r="E364" t="str">
            <v>Khoa Truyền nhiễm;Truyền nhiễm; Lao (Ngoại lao)</v>
          </cell>
          <cell r="F364" t="str">
            <v>Hoàng Văn Học</v>
          </cell>
          <cell r="G364">
            <v>1</v>
          </cell>
          <cell r="H364" t="str">
            <v>020086001802</v>
          </cell>
          <cell r="I364" t="str">
            <v>3</v>
          </cell>
          <cell r="K364" t="str">
            <v>000830/LS-CCHN</v>
          </cell>
          <cell r="L364" t="str">
            <v>20230111</v>
          </cell>
          <cell r="M364" t="str">
            <v>Sở Y tế tỉnh Lạng Sơn</v>
          </cell>
          <cell r="N364" t="str">
            <v>302</v>
          </cell>
        </row>
        <row r="365">
          <cell r="A365" t="str">
            <v>BV1152</v>
          </cell>
          <cell r="D365" t="str">
            <v>K11;02.11;04.12</v>
          </cell>
          <cell r="E365" t="str">
            <v>Khoa Truyền nhiễm;Truyền nhiễm; Lao (Ngoại lao)</v>
          </cell>
          <cell r="F365" t="str">
            <v>Nguyễn Quỳnh Anh</v>
          </cell>
          <cell r="G365">
            <v>2</v>
          </cell>
          <cell r="H365" t="str">
            <v xml:space="preserve"> 020196005434</v>
          </cell>
          <cell r="I365" t="str">
            <v>1</v>
          </cell>
          <cell r="K365" t="str">
            <v>005731/LS-CCHN</v>
          </cell>
          <cell r="L365">
            <v>20240110</v>
          </cell>
          <cell r="M365" t="str">
            <v>Sở Y tế tỉnh Lạng Sơn</v>
          </cell>
          <cell r="N365" t="str">
            <v>102</v>
          </cell>
        </row>
        <row r="366">
          <cell r="A366" t="str">
            <v>BV1200</v>
          </cell>
          <cell r="D366" t="str">
            <v>K11;02.11;04.12</v>
          </cell>
          <cell r="E366" t="str">
            <v>Khoa Truyền nhiễm;Truyền nhiễm; Lao (Ngoại lao)</v>
          </cell>
          <cell r="F366" t="str">
            <v>Mông Thị Hưởng</v>
          </cell>
          <cell r="G366">
            <v>2</v>
          </cell>
          <cell r="H366" t="str">
            <v>020198007889</v>
          </cell>
          <cell r="I366" t="str">
            <v>3</v>
          </cell>
          <cell r="K366" t="str">
            <v>000134/LS-GPHN</v>
          </cell>
          <cell r="L366">
            <v>20240911</v>
          </cell>
          <cell r="M366" t="str">
            <v>Sở Y tế tỉnh Lạng Sơn</v>
          </cell>
          <cell r="N366" t="str">
            <v>301</v>
          </cell>
        </row>
        <row r="367">
          <cell r="A367" t="str">
            <v>BV1155</v>
          </cell>
          <cell r="D367" t="str">
            <v>K11;02.11;04.12</v>
          </cell>
          <cell r="E367" t="str">
            <v>Khoa Truyền nhiễm;Truyền nhiễm; Lao (Ngoại lao)</v>
          </cell>
          <cell r="F367" t="str">
            <v>Nguyễn Thị Quỳnh Hương</v>
          </cell>
          <cell r="G367">
            <v>2</v>
          </cell>
          <cell r="H367" t="str">
            <v>020196007438</v>
          </cell>
          <cell r="I367" t="str">
            <v>1</v>
          </cell>
          <cell r="K367" t="str">
            <v>005649/LS-CCHN</v>
          </cell>
          <cell r="L367">
            <v>20230727</v>
          </cell>
          <cell r="M367" t="str">
            <v>Sở Y tế tỉnh Lạng Sơn</v>
          </cell>
          <cell r="N367" t="str">
            <v>102</v>
          </cell>
        </row>
        <row r="368">
          <cell r="A368" t="str">
            <v>BV1310</v>
          </cell>
          <cell r="D368" t="str">
            <v>K11;02.11;04.12</v>
          </cell>
          <cell r="E368" t="str">
            <v>Khoa Truyền nhiễm;Truyền nhiễm; Lao (Ngoại lao)</v>
          </cell>
          <cell r="F368" t="str">
            <v>Đường Ngọc Châm</v>
          </cell>
          <cell r="G368">
            <v>2</v>
          </cell>
          <cell r="H368" t="str">
            <v>020195010566</v>
          </cell>
          <cell r="I368" t="str">
            <v>1</v>
          </cell>
          <cell r="K368" t="str">
            <v>005597/LS-CCHN</v>
          </cell>
          <cell r="L368">
            <v>20230523</v>
          </cell>
          <cell r="M368" t="str">
            <v>Sở Y tế tỉnh Lạng Sơn</v>
          </cell>
          <cell r="N368" t="str">
            <v>132</v>
          </cell>
        </row>
        <row r="369">
          <cell r="A369" t="str">
            <v>BV1316</v>
          </cell>
          <cell r="D369" t="str">
            <v>K11;02.11;04.12</v>
          </cell>
          <cell r="E369" t="str">
            <v>Khoa Truyền nhiễm;Truyền nhiễm; Lao (Ngoại lao)</v>
          </cell>
          <cell r="F369" t="str">
            <v>Lâm Thị Kim Liên</v>
          </cell>
          <cell r="G369">
            <v>2</v>
          </cell>
          <cell r="H369" t="str">
            <v>020302006447</v>
          </cell>
          <cell r="I369" t="str">
            <v>3</v>
          </cell>
          <cell r="K369" t="str">
            <v>000167/LS-GPHN</v>
          </cell>
          <cell r="L369">
            <v>20241113</v>
          </cell>
          <cell r="M369" t="str">
            <v>Sở Y tế tỉnh Lạng Sơn</v>
          </cell>
          <cell r="N369" t="str">
            <v>302</v>
          </cell>
        </row>
        <row r="370">
          <cell r="A370" t="str">
            <v>BV0826</v>
          </cell>
          <cell r="D370" t="str">
            <v>K3332;12.33</v>
          </cell>
          <cell r="E370" t="str">
            <v>Khoa Ung bướu - Y học hạt nhân;Ung bướu</v>
          </cell>
          <cell r="F370" t="str">
            <v>Triệu Văn Tú</v>
          </cell>
          <cell r="G370">
            <v>1</v>
          </cell>
          <cell r="H370" t="str">
            <v>020089004618</v>
          </cell>
          <cell r="I370" t="str">
            <v>1</v>
          </cell>
          <cell r="K370" t="str">
            <v>003656/LS-CCHN</v>
          </cell>
          <cell r="L370" t="str">
            <v>20191227</v>
          </cell>
          <cell r="M370" t="str">
            <v>Sở Y tế tỉnh Lạng Sơn</v>
          </cell>
          <cell r="N370" t="str">
            <v>102</v>
          </cell>
        </row>
        <row r="371">
          <cell r="A371" t="str">
            <v>BV0163</v>
          </cell>
          <cell r="D371" t="str">
            <v>K3332;12.33</v>
          </cell>
          <cell r="E371" t="str">
            <v>Khoa Ung bướu - Y học hạt nhân;Ung bướu</v>
          </cell>
          <cell r="F371" t="str">
            <v>Lăng Văn Lâm</v>
          </cell>
          <cell r="G371">
            <v>1</v>
          </cell>
          <cell r="H371" t="str">
            <v>020067005025</v>
          </cell>
          <cell r="I371" t="str">
            <v>1</v>
          </cell>
          <cell r="J371" t="str">
            <v>2</v>
          </cell>
          <cell r="K371" t="str">
            <v>001047/LS-CCHN</v>
          </cell>
          <cell r="L371" t="str">
            <v>20130624</v>
          </cell>
          <cell r="M371" t="str">
            <v>Sở Y tế tỉnh Lạng Sơn</v>
          </cell>
          <cell r="N371" t="str">
            <v>102;112</v>
          </cell>
          <cell r="O371" t="str">
            <v>20210518_1444/QĐ-SYT</v>
          </cell>
        </row>
        <row r="372">
          <cell r="A372" t="str">
            <v>BV0683</v>
          </cell>
          <cell r="D372" t="str">
            <v>K3332;12.33</v>
          </cell>
          <cell r="E372" t="str">
            <v>Khoa Ung bướu - Y học hạt nhân;Ung bướu</v>
          </cell>
          <cell r="F372" t="str">
            <v>Lý Thị Hoàng Hạnh</v>
          </cell>
          <cell r="G372">
            <v>2</v>
          </cell>
          <cell r="H372" t="str">
            <v>020190003135</v>
          </cell>
          <cell r="I372" t="str">
            <v>1</v>
          </cell>
          <cell r="K372" t="str">
            <v>002174/LS-CCHN</v>
          </cell>
          <cell r="L372" t="str">
            <v>20171229</v>
          </cell>
          <cell r="M372" t="str">
            <v>Sở Y tế tỉnh Lạng Sơn</v>
          </cell>
          <cell r="N372" t="str">
            <v>102;112</v>
          </cell>
          <cell r="O372" t="str">
            <v>20210413_1150/QĐ-SYT</v>
          </cell>
        </row>
        <row r="373">
          <cell r="A373" t="str">
            <v>BV0025</v>
          </cell>
          <cell r="D373" t="str">
            <v>K3332;12.33</v>
          </cell>
          <cell r="E373" t="str">
            <v>Khoa Ung bướu - Y học hạt nhân;Ung bướu</v>
          </cell>
          <cell r="F373" t="str">
            <v>Hoàng Thị Thược</v>
          </cell>
          <cell r="G373">
            <v>2</v>
          </cell>
          <cell r="H373" t="str">
            <v>020188006550</v>
          </cell>
          <cell r="I373" t="str">
            <v>3</v>
          </cell>
          <cell r="K373" t="str">
            <v>000752/LS-CCHN</v>
          </cell>
          <cell r="L373" t="str">
            <v>20230111</v>
          </cell>
          <cell r="M373" t="str">
            <v>Sở Y tế tỉnh Lạng Sơn</v>
          </cell>
          <cell r="N373" t="str">
            <v>302</v>
          </cell>
        </row>
        <row r="374">
          <cell r="A374" t="str">
            <v>BV0193</v>
          </cell>
          <cell r="D374" t="str">
            <v>K3332;12.33</v>
          </cell>
          <cell r="E374" t="str">
            <v>Khoa Ung bướu - Y học hạt nhân;Ung bướu</v>
          </cell>
          <cell r="F374" t="str">
            <v>Hoàng Thị Xuân</v>
          </cell>
          <cell r="G374">
            <v>2</v>
          </cell>
          <cell r="H374" t="str">
            <v>020184037318</v>
          </cell>
          <cell r="I374" t="str">
            <v>3</v>
          </cell>
          <cell r="K374" t="str">
            <v>000917/LS-CCHN</v>
          </cell>
          <cell r="L374" t="str">
            <v>20230111</v>
          </cell>
          <cell r="M374" t="str">
            <v>Sở Y tế tỉnh Lạng Sơn</v>
          </cell>
          <cell r="N374" t="str">
            <v>302</v>
          </cell>
        </row>
        <row r="375">
          <cell r="A375" t="str">
            <v>BV0875</v>
          </cell>
          <cell r="D375" t="str">
            <v>K3332;12.33</v>
          </cell>
          <cell r="E375" t="str">
            <v>Khoa Ung bướu - Y học hạt nhân;Ung bướu</v>
          </cell>
          <cell r="F375" t="str">
            <v>Nguyễn Thu Trang</v>
          </cell>
          <cell r="G375">
            <v>2</v>
          </cell>
          <cell r="H375" t="str">
            <v>020196000362</v>
          </cell>
          <cell r="I375" t="str">
            <v>3</v>
          </cell>
          <cell r="K375" t="str">
            <v>004326/LS-CCHN</v>
          </cell>
          <cell r="L375" t="str">
            <v>20200721</v>
          </cell>
          <cell r="M375" t="str">
            <v>Sở Y tế tỉnh Lạng Sơn</v>
          </cell>
          <cell r="N375" t="str">
            <v>302</v>
          </cell>
        </row>
        <row r="376">
          <cell r="A376" t="str">
            <v>BV0065</v>
          </cell>
          <cell r="D376" t="str">
            <v>K3332;12.33</v>
          </cell>
          <cell r="E376" t="str">
            <v>Khoa Ung bướu - Y học hạt nhân;Ung bướu</v>
          </cell>
          <cell r="F376" t="str">
            <v>Lý Văn Mạnh</v>
          </cell>
          <cell r="G376">
            <v>1</v>
          </cell>
          <cell r="H376" t="str">
            <v>020085011286</v>
          </cell>
          <cell r="I376" t="str">
            <v>3</v>
          </cell>
          <cell r="K376" t="str">
            <v>000785/LS-CCHN</v>
          </cell>
          <cell r="L376" t="str">
            <v>20230111</v>
          </cell>
          <cell r="M376" t="str">
            <v>Sở Y tế tỉnh Lạng Sơn</v>
          </cell>
          <cell r="N376" t="str">
            <v>301</v>
          </cell>
        </row>
        <row r="377">
          <cell r="A377" t="str">
            <v>BV0168</v>
          </cell>
          <cell r="D377" t="str">
            <v>K3332;12.33</v>
          </cell>
          <cell r="E377" t="str">
            <v>Khoa Ung bướu - Y học hạt nhân;Ung bướu</v>
          </cell>
          <cell r="F377" t="str">
            <v>Vi Thị Hường</v>
          </cell>
          <cell r="G377">
            <v>2</v>
          </cell>
          <cell r="H377" t="str">
            <v>020184037241</v>
          </cell>
          <cell r="I377" t="str">
            <v>3</v>
          </cell>
          <cell r="K377" t="str">
            <v>001051/LS-CCHN</v>
          </cell>
          <cell r="L377" t="str">
            <v>20230111</v>
          </cell>
          <cell r="M377" t="str">
            <v>Sở Y tế tỉnh Lạng Sơn</v>
          </cell>
          <cell r="N377" t="str">
            <v>301</v>
          </cell>
        </row>
        <row r="378">
          <cell r="A378" t="str">
            <v>BV0166</v>
          </cell>
          <cell r="D378" t="str">
            <v>K3332;12.33</v>
          </cell>
          <cell r="E378" t="str">
            <v>Khoa Ung bướu - Y học hạt nhân;Ung bướu</v>
          </cell>
          <cell r="F378" t="str">
            <v>Triệu Văn Khiêm</v>
          </cell>
          <cell r="G378">
            <v>1</v>
          </cell>
          <cell r="H378" t="str">
            <v>020084005353</v>
          </cell>
          <cell r="I378" t="str">
            <v>3</v>
          </cell>
          <cell r="K378" t="str">
            <v>001049/LS-CCHN</v>
          </cell>
          <cell r="L378" t="str">
            <v>20230111</v>
          </cell>
          <cell r="M378" t="str">
            <v>Sở Y tế tỉnh Lạng Sơn</v>
          </cell>
          <cell r="N378" t="str">
            <v>302</v>
          </cell>
        </row>
        <row r="379">
          <cell r="A379" t="str">
            <v>BV0230</v>
          </cell>
          <cell r="D379" t="str">
            <v>K4849;K3332;12.33</v>
          </cell>
          <cell r="E379" t="str">
            <v>Khoa Hồi sức tích cực - Chống độc;Khoa Ung bướu - Y học hạt nhân;Ung bướu</v>
          </cell>
          <cell r="F379" t="str">
            <v>Lê Mạnh Toàn</v>
          </cell>
          <cell r="G379">
            <v>1</v>
          </cell>
          <cell r="H379" t="str">
            <v>086078000755</v>
          </cell>
          <cell r="I379" t="str">
            <v>3</v>
          </cell>
          <cell r="K379" t="str">
            <v>000944/LS-CCHN</v>
          </cell>
          <cell r="L379" t="str">
            <v>20130624</v>
          </cell>
          <cell r="M379" t="str">
            <v>Sở Y tế tỉnh Lạng Sơn</v>
          </cell>
          <cell r="N379" t="str">
            <v>302</v>
          </cell>
        </row>
        <row r="380">
          <cell r="A380" t="str">
            <v>BV0123</v>
          </cell>
          <cell r="D380" t="str">
            <v>K3332;12.33</v>
          </cell>
          <cell r="E380" t="str">
            <v>Khoa Ung bướu - Y học hạt nhân;Ung bướu</v>
          </cell>
          <cell r="F380" t="str">
            <v>Lộc Thị Nhớ</v>
          </cell>
          <cell r="G380">
            <v>2</v>
          </cell>
          <cell r="H380" t="str">
            <v>020175001865</v>
          </cell>
          <cell r="I380" t="str">
            <v>3</v>
          </cell>
          <cell r="K380" t="str">
            <v>000770/LS-CCHN</v>
          </cell>
          <cell r="L380" t="str">
            <v>20230111</v>
          </cell>
          <cell r="M380" t="str">
            <v>Sở Y tế tỉnh Lạng Sơn</v>
          </cell>
          <cell r="N380" t="str">
            <v>301</v>
          </cell>
        </row>
        <row r="381">
          <cell r="A381" t="str">
            <v>BV0107</v>
          </cell>
          <cell r="D381" t="str">
            <v>K3332;12.33</v>
          </cell>
          <cell r="E381" t="str">
            <v>Khoa Ung bướu - Y học hạt nhân;Ung bướu</v>
          </cell>
          <cell r="F381" t="str">
            <v>Đoàn Thị Hường</v>
          </cell>
          <cell r="G381">
            <v>2</v>
          </cell>
          <cell r="H381" t="str">
            <v>020173005603</v>
          </cell>
          <cell r="I381" t="str">
            <v>3</v>
          </cell>
          <cell r="K381" t="str">
            <v>000810/LS-CCHN</v>
          </cell>
          <cell r="L381" t="str">
            <v>20230111</v>
          </cell>
          <cell r="M381" t="str">
            <v>Sở Y tế tỉnh Lạng Sơn</v>
          </cell>
          <cell r="N381" t="str">
            <v>302</v>
          </cell>
        </row>
        <row r="382">
          <cell r="A382" t="str">
            <v>BV1246</v>
          </cell>
          <cell r="D382" t="str">
            <v>K3332;12.33</v>
          </cell>
          <cell r="E382" t="str">
            <v>Khoa Ung bướu - Y học hạt nhân;Ung bướu</v>
          </cell>
          <cell r="F382" t="str">
            <v>Nông Thị Phượng</v>
          </cell>
          <cell r="G382">
            <v>2</v>
          </cell>
          <cell r="H382" t="str">
            <v>020197003799</v>
          </cell>
          <cell r="I382" t="str">
            <v>1</v>
          </cell>
          <cell r="K382" t="str">
            <v>000180/LS-GPHN</v>
          </cell>
          <cell r="L382">
            <v>20241207</v>
          </cell>
          <cell r="M382" t="str">
            <v>Sở Y tế tỉnh Lạng Sơn</v>
          </cell>
          <cell r="N382" t="str">
            <v>102</v>
          </cell>
        </row>
        <row r="383">
          <cell r="A383" t="str">
            <v>BV0546</v>
          </cell>
          <cell r="D383" t="str">
            <v>K3332;12.33</v>
          </cell>
          <cell r="E383" t="str">
            <v>Khoa Ung bướu - Y học hạt nhân;Ung bướu</v>
          </cell>
          <cell r="F383" t="str">
            <v>Nguyễn An Hải</v>
          </cell>
          <cell r="G383">
            <v>2</v>
          </cell>
          <cell r="H383" t="str">
            <v>004185009967</v>
          </cell>
          <cell r="I383" t="str">
            <v>1</v>
          </cell>
          <cell r="K383" t="str">
            <v>001090/LS-CCHN</v>
          </cell>
          <cell r="L383" t="str">
            <v>20130624</v>
          </cell>
          <cell r="M383" t="str">
            <v>Sở Y tế tỉnh Lạng Sơn</v>
          </cell>
          <cell r="N383" t="str">
            <v>102;112</v>
          </cell>
          <cell r="O383" t="str">
            <v>20260318_385/QĐ-SYT</v>
          </cell>
        </row>
        <row r="384">
          <cell r="A384" t="str">
            <v>BV1032</v>
          </cell>
          <cell r="D384" t="str">
            <v>K3332;12.33</v>
          </cell>
          <cell r="E384" t="str">
            <v>Khoa Ung bướu - Y học hạt nhân;Ung bướu</v>
          </cell>
          <cell r="F384" t="str">
            <v>Triệu Thị Khách</v>
          </cell>
          <cell r="G384">
            <v>2</v>
          </cell>
          <cell r="H384" t="str">
            <v>020189009265</v>
          </cell>
          <cell r="I384" t="str">
            <v>1</v>
          </cell>
          <cell r="K384" t="str">
            <v>002073/LS-CCHN</v>
          </cell>
          <cell r="L384" t="str">
            <v>20170829</v>
          </cell>
          <cell r="M384" t="str">
            <v>Sở Y tế tỉnh Lạng Sơn</v>
          </cell>
          <cell r="N384" t="str">
            <v>129;112</v>
          </cell>
          <cell r="O384" t="str">
            <v>20241223_1140/QĐ-SYT</v>
          </cell>
        </row>
        <row r="385">
          <cell r="A385" t="str">
            <v>BV1317</v>
          </cell>
          <cell r="D385" t="str">
            <v>K3332;12.33</v>
          </cell>
          <cell r="E385" t="str">
            <v>Khoa Ung bướu - Y học hạt nhân;Ung bướu</v>
          </cell>
          <cell r="F385" t="str">
            <v>Lục Thị Thanh Mai</v>
          </cell>
          <cell r="G385">
            <v>2</v>
          </cell>
          <cell r="H385" t="str">
            <v>020195004599</v>
          </cell>
          <cell r="I385" t="str">
            <v>3</v>
          </cell>
          <cell r="K385" t="str">
            <v>003338/LS-CCHN</v>
          </cell>
          <cell r="L385">
            <v>20180817</v>
          </cell>
          <cell r="M385" t="str">
            <v>Sở Y tế tỉnh Lạng Sơn</v>
          </cell>
          <cell r="N385" t="str">
            <v>301</v>
          </cell>
        </row>
        <row r="386">
          <cell r="A386" t="str">
            <v>BV0367</v>
          </cell>
          <cell r="D386" t="str">
            <v>K31;17.31</v>
          </cell>
          <cell r="E386" t="str">
            <v>Khoa Vật lý trị liệu - Phục hồi chức năng;Phục hồi chức năng</v>
          </cell>
          <cell r="F386" t="str">
            <v>Nguyễn Hữu Tài</v>
          </cell>
          <cell r="G386">
            <v>1</v>
          </cell>
          <cell r="H386" t="str">
            <v>020088000499</v>
          </cell>
          <cell r="I386" t="str">
            <v>5</v>
          </cell>
          <cell r="K386" t="str">
            <v>000902/LS-CCHN</v>
          </cell>
          <cell r="L386" t="str">
            <v>20130624</v>
          </cell>
          <cell r="M386" t="str">
            <v>Sở Y tế tỉnh Lạng Sơn</v>
          </cell>
          <cell r="N386" t="str">
            <v>515</v>
          </cell>
        </row>
        <row r="387">
          <cell r="A387" t="str">
            <v>BV0369</v>
          </cell>
          <cell r="D387" t="str">
            <v>K31;17.31</v>
          </cell>
          <cell r="E387" t="str">
            <v>Khoa Vật lý trị liệu - Phục hồi chức năng;Phục hồi chức năng</v>
          </cell>
          <cell r="F387" t="str">
            <v>Vi Văn Tân</v>
          </cell>
          <cell r="G387">
            <v>2</v>
          </cell>
          <cell r="H387" t="str">
            <v>020089009096</v>
          </cell>
          <cell r="I387" t="str">
            <v>5</v>
          </cell>
          <cell r="K387" t="str">
            <v>004544/LS-CCHN</v>
          </cell>
          <cell r="L387" t="str">
            <v>20220512</v>
          </cell>
          <cell r="M387" t="str">
            <v>Sở Y tế tỉnh Lạng Sơn</v>
          </cell>
          <cell r="N387" t="str">
            <v>515</v>
          </cell>
        </row>
        <row r="388">
          <cell r="A388" t="str">
            <v>BV0363</v>
          </cell>
          <cell r="D388" t="str">
            <v>K31;17.31</v>
          </cell>
          <cell r="E388" t="str">
            <v>Khoa Vật lý trị liệu - Phục hồi chức năng;Phục hồi chức năng</v>
          </cell>
          <cell r="F388" t="str">
            <v>Chu Thị Trang Nhung</v>
          </cell>
          <cell r="G388">
            <v>2</v>
          </cell>
          <cell r="H388" t="str">
            <v>020183006354</v>
          </cell>
          <cell r="I388" t="str">
            <v>5</v>
          </cell>
          <cell r="K388" t="str">
            <v>000899/LS-CCHN</v>
          </cell>
          <cell r="L388" t="str">
            <v>20130624</v>
          </cell>
          <cell r="M388" t="str">
            <v>Sở Y tế tỉnh Lạng Sơn</v>
          </cell>
          <cell r="N388" t="str">
            <v>515</v>
          </cell>
        </row>
        <row r="389">
          <cell r="A389" t="str">
            <v>BV0362</v>
          </cell>
          <cell r="D389" t="str">
            <v>K31;17.31</v>
          </cell>
          <cell r="E389" t="str">
            <v>Khoa Vật lý trị liệu - Phục hồi chức năng;Phục hồi chức năng</v>
          </cell>
          <cell r="F389" t="str">
            <v>Nguyễn Thị Hà</v>
          </cell>
          <cell r="G389">
            <v>2</v>
          </cell>
          <cell r="H389" t="str">
            <v>020169009801</v>
          </cell>
          <cell r="I389" t="str">
            <v>5</v>
          </cell>
          <cell r="K389" t="str">
            <v>000896/LS-CCHN</v>
          </cell>
          <cell r="L389" t="str">
            <v>20130624</v>
          </cell>
          <cell r="M389" t="str">
            <v>Sở Y tế tỉnh Lạng Sơn</v>
          </cell>
          <cell r="N389" t="str">
            <v>515</v>
          </cell>
        </row>
        <row r="390">
          <cell r="A390" t="str">
            <v>BV0679</v>
          </cell>
          <cell r="D390" t="str">
            <v>K31;17.31</v>
          </cell>
          <cell r="E390" t="str">
            <v>Khoa Vật lý trị liệu - Phục hồi chức năng;Phục hồi chức năng</v>
          </cell>
          <cell r="F390" t="str">
            <v>Nguyễn Tuấn An</v>
          </cell>
          <cell r="G390">
            <v>1</v>
          </cell>
          <cell r="H390" t="str">
            <v>020090000558</v>
          </cell>
          <cell r="I390" t="str">
            <v>1</v>
          </cell>
          <cell r="J390" t="str">
            <v>2</v>
          </cell>
          <cell r="K390" t="str">
            <v>003327/LS-CCHN</v>
          </cell>
          <cell r="L390" t="str">
            <v>20180720</v>
          </cell>
          <cell r="M390" t="str">
            <v>Sở Y tế tỉnh Lạng Sơn</v>
          </cell>
          <cell r="N390" t="str">
            <v>117</v>
          </cell>
        </row>
        <row r="391">
          <cell r="A391" t="str">
            <v>BV0370</v>
          </cell>
          <cell r="D391" t="str">
            <v>K31;17.31</v>
          </cell>
          <cell r="E391" t="str">
            <v>Khoa Vật lý trị liệu - Phục hồi chức năng;Phục hồi chức năng</v>
          </cell>
          <cell r="F391" t="str">
            <v>Hoàng Mạnh Linh</v>
          </cell>
          <cell r="G391">
            <v>1</v>
          </cell>
          <cell r="H391" t="str">
            <v>020085009133</v>
          </cell>
          <cell r="I391" t="str">
            <v>5</v>
          </cell>
          <cell r="K391" t="str">
            <v>000398/LS-CCHN</v>
          </cell>
          <cell r="L391" t="str">
            <v>20160601</v>
          </cell>
          <cell r="M391" t="str">
            <v>Sở Y tế tỉnh Lạng Sơn</v>
          </cell>
          <cell r="N391" t="str">
            <v>515</v>
          </cell>
        </row>
        <row r="392">
          <cell r="A392" t="str">
            <v>BV0838</v>
          </cell>
          <cell r="D392" t="str">
            <v>K31;17.31</v>
          </cell>
          <cell r="E392" t="str">
            <v>Khoa Vật lý trị liệu - Phục hồi chức năng;Phục hồi chức năng</v>
          </cell>
          <cell r="F392" t="str">
            <v>Hứa Mạnh Tuấn</v>
          </cell>
          <cell r="G392">
            <v>1</v>
          </cell>
          <cell r="H392" t="str">
            <v>020087006624</v>
          </cell>
          <cell r="I392" t="str">
            <v>1</v>
          </cell>
          <cell r="K392" t="str">
            <v>003620/LS-CCHN</v>
          </cell>
          <cell r="L392" t="str">
            <v>20191021</v>
          </cell>
          <cell r="M392" t="str">
            <v>Sở Y tế tỉnh Lạng Sơn</v>
          </cell>
          <cell r="N392" t="str">
            <v>102;117</v>
          </cell>
          <cell r="O392" t="str">
            <v>20210413_1152/QĐ-SYT</v>
          </cell>
        </row>
        <row r="393">
          <cell r="A393" t="str">
            <v>BV0686</v>
          </cell>
          <cell r="D393" t="str">
            <v>K31;17.31</v>
          </cell>
          <cell r="E393" t="str">
            <v>Khoa Vật lý trị liệu - Phục hồi chức năng;Phục hồi chức năng</v>
          </cell>
          <cell r="F393" t="str">
            <v>Nông Thị Thanh</v>
          </cell>
          <cell r="G393">
            <v>2</v>
          </cell>
          <cell r="H393" t="str">
            <v>020190003095</v>
          </cell>
          <cell r="I393" t="str">
            <v>1</v>
          </cell>
          <cell r="K393" t="str">
            <v>003455/LS-CCHN</v>
          </cell>
          <cell r="L393" t="str">
            <v>20190517</v>
          </cell>
          <cell r="M393" t="str">
            <v>Sở Y tế tỉnh Lạng Sơn</v>
          </cell>
          <cell r="N393" t="str">
            <v>102;117</v>
          </cell>
          <cell r="O393" t="str">
            <v>20210413_1146/QĐ-SYT</v>
          </cell>
        </row>
        <row r="394">
          <cell r="A394" t="str">
            <v>BV0221</v>
          </cell>
          <cell r="D394" t="str">
            <v>K4849;K31;17.31</v>
          </cell>
          <cell r="E394" t="str">
            <v>Khoa Hồi sức tích cực - Chống độc;Khoa Vật lý trị liệu - Phục hồi chức năng;Phục hồi chức năng</v>
          </cell>
          <cell r="F394" t="str">
            <v>Nông Quốc Công</v>
          </cell>
          <cell r="G394">
            <v>1</v>
          </cell>
          <cell r="H394" t="str">
            <v>025086019580</v>
          </cell>
          <cell r="I394" t="str">
            <v>3</v>
          </cell>
          <cell r="K394" t="str">
            <v>000935/LS-CCHN</v>
          </cell>
          <cell r="L394" t="str">
            <v>20230111</v>
          </cell>
          <cell r="M394" t="str">
            <v>Sở Y tế tỉnh Lạng Sơn</v>
          </cell>
          <cell r="N394" t="str">
            <v>302</v>
          </cell>
          <cell r="P394" t="str">
            <v>17.0037;17.0052;17.0053;17.0073;17.0085</v>
          </cell>
        </row>
        <row r="395">
          <cell r="A395" t="str">
            <v>BV0171</v>
          </cell>
          <cell r="D395" t="str">
            <v>K4849;K31;17.31</v>
          </cell>
          <cell r="E395" t="str">
            <v>Khoa Hồi sức tích cực - Chống độc;Khoa Vật lý trị liệu - Phục hồi chức năng;Phục hồi chức năng</v>
          </cell>
          <cell r="F395" t="str">
            <v>Chu Thị Vinh</v>
          </cell>
          <cell r="G395">
            <v>2</v>
          </cell>
          <cell r="H395" t="str">
            <v>020183000877</v>
          </cell>
          <cell r="I395" t="str">
            <v>3</v>
          </cell>
          <cell r="K395" t="str">
            <v>001050/LS-CCHN</v>
          </cell>
          <cell r="L395" t="str">
            <v>20230111</v>
          </cell>
          <cell r="M395" t="str">
            <v>Sở Y tế tỉnh Lạng Sơn</v>
          </cell>
          <cell r="N395" t="str">
            <v>302</v>
          </cell>
          <cell r="P395" t="str">
            <v>17.0037;17.0052;17.0053;17.0073;17.0085</v>
          </cell>
        </row>
        <row r="396">
          <cell r="A396" t="str">
            <v>BV0056</v>
          </cell>
          <cell r="D396" t="str">
            <v>K31;17.31</v>
          </cell>
          <cell r="E396" t="str">
            <v>Khoa Vật lý trị liệu - Phục hồi chức năng;Phục hồi chức năng</v>
          </cell>
          <cell r="F396" t="str">
            <v>Hoàng Diệu Linh</v>
          </cell>
          <cell r="G396">
            <v>2</v>
          </cell>
          <cell r="H396" t="str">
            <v>020178009074</v>
          </cell>
          <cell r="I396" t="str">
            <v>3</v>
          </cell>
          <cell r="K396" t="str">
            <v>000772/LS-CCHN</v>
          </cell>
          <cell r="L396" t="str">
            <v>20230111</v>
          </cell>
          <cell r="M396" t="str">
            <v>Sở Y tế tỉnh Lạng Sơn</v>
          </cell>
          <cell r="N396" t="str">
            <v>301</v>
          </cell>
          <cell r="P396" t="str">
            <v>17.0037;17.0052;17.0053;17.0073;17.0085</v>
          </cell>
        </row>
        <row r="397">
          <cell r="A397" t="str">
            <v>BV0371</v>
          </cell>
          <cell r="D397" t="str">
            <v>K31;17.31</v>
          </cell>
          <cell r="E397" t="str">
            <v>Khoa Vật lý trị liệu - Phục hồi chức năng;Phục hồi chức năng</v>
          </cell>
          <cell r="F397" t="str">
            <v>Tô Thị Nghị</v>
          </cell>
          <cell r="G397">
            <v>2</v>
          </cell>
          <cell r="H397" t="str">
            <v>020181002307</v>
          </cell>
          <cell r="I397" t="str">
            <v>3</v>
          </cell>
          <cell r="K397" t="str">
            <v>001110/LS-CCHN</v>
          </cell>
          <cell r="L397" t="str">
            <v>20230111</v>
          </cell>
          <cell r="M397" t="str">
            <v>Sở Y tế tỉnh Lạng Sơn</v>
          </cell>
          <cell r="N397" t="str">
            <v>302</v>
          </cell>
          <cell r="P397" t="str">
            <v>17.0037;17.0052;17.0053;17.0073;17.0085</v>
          </cell>
        </row>
        <row r="398">
          <cell r="A398" t="str">
            <v>BV0761</v>
          </cell>
          <cell r="D398" t="str">
            <v>K31;17.31</v>
          </cell>
          <cell r="E398" t="str">
            <v>Khoa Vật lý trị liệu - Phục hồi chức năng;Phục hồi chức năng</v>
          </cell>
          <cell r="F398" t="str">
            <v>Lục Thị Lan</v>
          </cell>
          <cell r="G398">
            <v>2</v>
          </cell>
          <cell r="H398" t="str">
            <v>020192007786</v>
          </cell>
          <cell r="I398" t="str">
            <v>1</v>
          </cell>
          <cell r="K398" t="str">
            <v>003405/LS-CCHN</v>
          </cell>
          <cell r="L398" t="str">
            <v>20190821</v>
          </cell>
          <cell r="M398" t="str">
            <v>Sở Y tế tỉnh Lạng Sơn</v>
          </cell>
          <cell r="N398" t="str">
            <v>102;117</v>
          </cell>
          <cell r="O398" t="str">
            <v>20260408_457/QĐ-SYT</v>
          </cell>
        </row>
        <row r="399">
          <cell r="A399" t="str">
            <v>BV0169</v>
          </cell>
          <cell r="D399" t="str">
            <v>K16;08.16</v>
          </cell>
          <cell r="E399" t="str">
            <v>Khoa Y học cổ truyền;Y học cổ truyền</v>
          </cell>
          <cell r="F399" t="str">
            <v>Hoàng Thị Bích Hà</v>
          </cell>
          <cell r="G399">
            <v>2</v>
          </cell>
          <cell r="H399" t="str">
            <v>020180006217</v>
          </cell>
          <cell r="I399" t="str">
            <v>3</v>
          </cell>
          <cell r="K399" t="str">
            <v>001053/LS-CCHN</v>
          </cell>
          <cell r="L399" t="str">
            <v>20130624</v>
          </cell>
          <cell r="M399" t="str">
            <v>Sở Y tế tỉnh Lạng Sơn</v>
          </cell>
          <cell r="N399" t="str">
            <v>301</v>
          </cell>
          <cell r="P399" t="str">
            <v>08B;08C;08D;08Đ;08E;08G;08H;08I;08.0001;08.0002;08.0003;08.0004;08.0008;08.0010;08.0011;08.0012;08.0013;08.0014;08.0015;08.0016;08.0017;08.0018;08.0019;08.0020;08.0021;08.0022;08.0023;08.0024;08.0025;08.0026;08.0027;08.0028;08.0479;08.0480;08.0481;08.0482;08.0485;08.0486</v>
          </cell>
        </row>
        <row r="400">
          <cell r="A400" t="str">
            <v>BV0358</v>
          </cell>
          <cell r="D400" t="str">
            <v>K16;08.16</v>
          </cell>
          <cell r="E400" t="str">
            <v>Khoa Y học cổ truyền;Y học cổ truyền</v>
          </cell>
          <cell r="F400" t="str">
            <v>Nông Thị Thu Hường</v>
          </cell>
          <cell r="G400">
            <v>2</v>
          </cell>
          <cell r="H400" t="str">
            <v>020187012098</v>
          </cell>
          <cell r="I400" t="str">
            <v>3</v>
          </cell>
          <cell r="K400" t="str">
            <v>000894/LS-CCHN</v>
          </cell>
          <cell r="L400" t="str">
            <v>20230111</v>
          </cell>
          <cell r="M400" t="str">
            <v>Sở Y tế tỉnh Lạng Sơn</v>
          </cell>
          <cell r="N400" t="str">
            <v>302</v>
          </cell>
        </row>
        <row r="401">
          <cell r="A401" t="str">
            <v>BV0357</v>
          </cell>
          <cell r="D401" t="str">
            <v>K16;08.16</v>
          </cell>
          <cell r="E401" t="str">
            <v>Khoa Y học cổ truyền;Y học cổ truyền</v>
          </cell>
          <cell r="F401" t="str">
            <v>Vi Văn Tiến</v>
          </cell>
          <cell r="G401">
            <v>1</v>
          </cell>
          <cell r="H401" t="str">
            <v>020076002080</v>
          </cell>
          <cell r="I401" t="str">
            <v>3</v>
          </cell>
          <cell r="K401" t="str">
            <v>000893/LS-CCHN</v>
          </cell>
          <cell r="L401" t="str">
            <v>20230111</v>
          </cell>
          <cell r="M401" t="str">
            <v>Sở Y tế tỉnh Lạng Sơn</v>
          </cell>
          <cell r="N401" t="str">
            <v>302</v>
          </cell>
        </row>
        <row r="402">
          <cell r="A402" t="str">
            <v>BV0227</v>
          </cell>
          <cell r="D402" t="str">
            <v>K16;08.16</v>
          </cell>
          <cell r="E402" t="str">
            <v>Khoa Y học cổ truyền;Y học cổ truyền</v>
          </cell>
          <cell r="F402" t="str">
            <v>Mông Thị Thu</v>
          </cell>
          <cell r="G402">
            <v>2</v>
          </cell>
          <cell r="H402" t="str">
            <v>020184007760</v>
          </cell>
          <cell r="I402" t="str">
            <v>3</v>
          </cell>
          <cell r="K402" t="str">
            <v>000933/LS-CCHN</v>
          </cell>
          <cell r="L402" t="str">
            <v>20230111</v>
          </cell>
          <cell r="M402" t="str">
            <v>Sở Y tế tỉnh Lạng Sơn</v>
          </cell>
          <cell r="N402" t="str">
            <v>302</v>
          </cell>
        </row>
        <row r="403">
          <cell r="A403" t="str">
            <v>BV0029</v>
          </cell>
          <cell r="D403" t="str">
            <v>K16;08.16</v>
          </cell>
          <cell r="E403" t="str">
            <v>Khoa Y học cổ truyền;Y học cổ truyền</v>
          </cell>
          <cell r="F403" t="str">
            <v>Triệu Thị Mai Hương</v>
          </cell>
          <cell r="G403">
            <v>2</v>
          </cell>
          <cell r="H403" t="str">
            <v>020187001163</v>
          </cell>
          <cell r="I403" t="str">
            <v>3</v>
          </cell>
          <cell r="K403" t="str">
            <v>000757/LS-CCHN</v>
          </cell>
          <cell r="L403" t="str">
            <v>20230111</v>
          </cell>
          <cell r="M403" t="str">
            <v>Sở Y tế tỉnh Lạng Sơn</v>
          </cell>
          <cell r="N403" t="str">
            <v>301</v>
          </cell>
          <cell r="P403" t="str">
            <v>08.0026;08.0009;08.0010;08.0027;08.0025;08.0481;08.0482;08.0479;08.0480;08.0486;08.0013;08.0014;08.0028;08.0485;08.0024;08.0015;08.0022;08.0006;08.0483;08.0020;08.0021;08.0019</v>
          </cell>
        </row>
        <row r="404">
          <cell r="A404" t="str">
            <v>BV0351</v>
          </cell>
          <cell r="D404" t="str">
            <v>K16;08.16</v>
          </cell>
          <cell r="E404" t="str">
            <v>Khoa Y học cổ truyền;Y học cổ truyền</v>
          </cell>
          <cell r="F404" t="str">
            <v>Ngô Thu Lê</v>
          </cell>
          <cell r="G404">
            <v>2</v>
          </cell>
          <cell r="H404" t="str">
            <v>020190009602</v>
          </cell>
          <cell r="I404" t="str">
            <v>1</v>
          </cell>
          <cell r="K404" t="str">
            <v>000341/LS-CCHN</v>
          </cell>
          <cell r="L404" t="str">
            <v>20160414</v>
          </cell>
          <cell r="M404" t="str">
            <v>Sở Y tế tỉnh Lạng Sơn</v>
          </cell>
          <cell r="N404" t="str">
            <v>108</v>
          </cell>
        </row>
        <row r="405">
          <cell r="A405" t="str">
            <v>BV1167</v>
          </cell>
          <cell r="D405" t="str">
            <v>K16;08.16</v>
          </cell>
          <cell r="E405" t="str">
            <v>Khoa Y học cổ truyền;Y học cổ truyền</v>
          </cell>
          <cell r="F405" t="str">
            <v>Nguyễn Thị Duyên</v>
          </cell>
          <cell r="G405">
            <v>2</v>
          </cell>
          <cell r="H405" t="str">
            <v>020193007853</v>
          </cell>
          <cell r="I405" t="str">
            <v>1</v>
          </cell>
          <cell r="K405" t="str">
            <v>003631/LS-CCHN</v>
          </cell>
          <cell r="L405" t="str">
            <v>20191121</v>
          </cell>
          <cell r="M405" t="str">
            <v>Sở Y tế tỉnh Lạng Sơn</v>
          </cell>
          <cell r="N405" t="str">
            <v>108</v>
          </cell>
        </row>
        <row r="406">
          <cell r="A406" t="str">
            <v>BV1122</v>
          </cell>
          <cell r="D406" t="str">
            <v>K16;08.16</v>
          </cell>
          <cell r="E406" t="str">
            <v>Khoa Y học cổ truyền;Y học cổ truyền</v>
          </cell>
          <cell r="F406" t="str">
            <v>Nguyễn Ngọc Thiện</v>
          </cell>
          <cell r="G406">
            <v>1</v>
          </cell>
          <cell r="H406" t="str">
            <v>024081003063</v>
          </cell>
          <cell r="I406" t="str">
            <v>1</v>
          </cell>
          <cell r="K406" t="str">
            <v>005496/LS-CCHN</v>
          </cell>
          <cell r="L406" t="str">
            <v>20221116</v>
          </cell>
          <cell r="M406" t="str">
            <v>Sở Y tế tỉnh Lạng Sơn</v>
          </cell>
          <cell r="N406" t="str">
            <v>108</v>
          </cell>
        </row>
        <row r="407">
          <cell r="A407" t="str">
            <v>BV0356</v>
          </cell>
          <cell r="D407" t="str">
            <v>K16;08.16</v>
          </cell>
          <cell r="E407" t="str">
            <v>Khoa Y học cổ truyền;Y học cổ truyền</v>
          </cell>
          <cell r="F407" t="str">
            <v>Lê Thị Phượng</v>
          </cell>
          <cell r="G407">
            <v>2</v>
          </cell>
          <cell r="H407" t="str">
            <v>020188001066</v>
          </cell>
          <cell r="I407" t="str">
            <v>2</v>
          </cell>
          <cell r="K407" t="str">
            <v>000390/LS-CCHN</v>
          </cell>
          <cell r="L407" t="str">
            <v>20160106</v>
          </cell>
          <cell r="M407" t="str">
            <v>Sở Y tế tỉnh Lạng Sơn</v>
          </cell>
          <cell r="N407" t="str">
            <v>202</v>
          </cell>
        </row>
        <row r="408">
          <cell r="A408" t="str">
            <v>BV0354</v>
          </cell>
          <cell r="D408" t="str">
            <v>K16;08.16</v>
          </cell>
          <cell r="E408" t="str">
            <v>Khoa Y học cổ truyền;Y học cổ truyền</v>
          </cell>
          <cell r="F408" t="str">
            <v>Chu Hương Thảo</v>
          </cell>
          <cell r="G408">
            <v>2</v>
          </cell>
          <cell r="H408" t="str">
            <v>020174000793</v>
          </cell>
          <cell r="I408" t="str">
            <v>2</v>
          </cell>
          <cell r="K408" t="str">
            <v>000892/LS-CCHN</v>
          </cell>
          <cell r="L408" t="str">
            <v>20130624</v>
          </cell>
          <cell r="M408" t="str">
            <v>Sở Y tế tỉnh Lạng Sơn</v>
          </cell>
          <cell r="N408" t="str">
            <v>202</v>
          </cell>
        </row>
        <row r="409">
          <cell r="A409" t="str">
            <v>BV0361</v>
          </cell>
          <cell r="D409" t="str">
            <v>K16;08.16</v>
          </cell>
          <cell r="E409" t="str">
            <v>Khoa Y học cổ truyền;Y học cổ truyền</v>
          </cell>
          <cell r="F409" t="str">
            <v>Lê Chí Hướng</v>
          </cell>
          <cell r="G409">
            <v>1</v>
          </cell>
          <cell r="H409" t="str">
            <v>020083000665</v>
          </cell>
          <cell r="I409" t="str">
            <v>1</v>
          </cell>
          <cell r="J409" t="str">
            <v>5</v>
          </cell>
          <cell r="K409" t="str">
            <v>000929/LS-CCHN</v>
          </cell>
          <cell r="L409" t="str">
            <v>20130624</v>
          </cell>
          <cell r="M409" t="str">
            <v>Sở Y tế tỉnh Lạng Sơn</v>
          </cell>
          <cell r="N409" t="str">
            <v>108</v>
          </cell>
          <cell r="P409" t="str">
            <v>17B;17.0001;17.0002;17.0003;17.0004;17.0005;17.0006;17.0007;17.0008;17.0009;17.0010;17.0012;17.0013;17.0014;17.0015;17.0018;17.0019;17.0022;17.0023;17.0024;17.0025;17.0026;17.0027;17.0028;17.0030;17.0102;17.0104;17.0104;17.0108;17.0109;17.0111;17.0124;17.0125;17.0126;17.0129;17.0130;17.0131;17.0132;17.0133;17.0134;17.0135;17.0141;17.0142;17.0143;17.0144;17.0145;17.0146;17.0147;17.0148;17.0149;17.0150;17.0151;17.0152;17.0153;17.0158;17.0159;17.0160;17.0161;17.0162;17.0163;17.0195;17.0215;17.0216;17.0232;17.0233;17.0250</v>
          </cell>
        </row>
        <row r="410">
          <cell r="A410" t="str">
            <v>BV0355</v>
          </cell>
          <cell r="D410" t="str">
            <v>K16;08.16</v>
          </cell>
          <cell r="E410" t="str">
            <v>Khoa Y học cổ truyền;Y học cổ truyền</v>
          </cell>
          <cell r="F410" t="str">
            <v>Trần Thị Huyền</v>
          </cell>
          <cell r="G410">
            <v>2</v>
          </cell>
          <cell r="H410" t="str">
            <v>004177000164</v>
          </cell>
          <cell r="I410" t="str">
            <v>3</v>
          </cell>
          <cell r="K410" t="str">
            <v>000420/LS-GPHN</v>
          </cell>
          <cell r="L410" t="str">
            <v>20251203</v>
          </cell>
          <cell r="M410" t="str">
            <v>Sở Y tế tỉnh Lạng Sơn</v>
          </cell>
          <cell r="N410" t="str">
            <v>302</v>
          </cell>
        </row>
        <row r="411">
          <cell r="A411" t="str">
            <v>BV1281</v>
          </cell>
          <cell r="D411" t="str">
            <v>K30;14.30</v>
          </cell>
          <cell r="E411" t="str">
            <v>Khoa Mắt;Mắt</v>
          </cell>
          <cell r="F411" t="str">
            <v>Hoàng Việt Hưng</v>
          </cell>
          <cell r="G411">
            <v>1</v>
          </cell>
          <cell r="H411" t="str">
            <v>020099003830</v>
          </cell>
          <cell r="I411" t="str">
            <v>1</v>
          </cell>
          <cell r="K411" t="str">
            <v>000361/LS-GPHN</v>
          </cell>
          <cell r="L411" t="str">
            <v>20250917</v>
          </cell>
          <cell r="M411" t="str">
            <v>Sở Y tế tỉnh Lạng Sơn</v>
          </cell>
          <cell r="N411" t="str">
            <v>132</v>
          </cell>
        </row>
        <row r="412">
          <cell r="A412" t="str">
            <v>BV1354</v>
          </cell>
          <cell r="D412" t="str">
            <v>K18;03.18</v>
          </cell>
          <cell r="E412" t="str">
            <v>Khoa Nhi;Nhi</v>
          </cell>
          <cell r="F412" t="str">
            <v>Nguyễn Sơn Tùng</v>
          </cell>
          <cell r="G412">
            <v>1</v>
          </cell>
          <cell r="H412" t="str">
            <v>020200006452</v>
          </cell>
          <cell r="I412" t="str">
            <v>1</v>
          </cell>
          <cell r="K412" t="str">
            <v>000423/LS-GPHN</v>
          </cell>
          <cell r="L412" t="str">
            <v>20251203</v>
          </cell>
          <cell r="M412" t="str">
            <v>Sở Y tế tỉnh Lạng Sơn</v>
          </cell>
          <cell r="N412" t="str">
            <v>132</v>
          </cell>
        </row>
        <row r="413">
          <cell r="A413" t="str">
            <v>BV0869</v>
          </cell>
          <cell r="D413" t="str">
            <v>K4849</v>
          </cell>
          <cell r="E413" t="str">
            <v>Khoa Hồi sức tích cực - Chống độc</v>
          </cell>
          <cell r="F413" t="str">
            <v>Lương Thùy Trang</v>
          </cell>
          <cell r="G413">
            <v>2</v>
          </cell>
          <cell r="H413" t="str">
            <v>020195004143</v>
          </cell>
          <cell r="I413" t="str">
            <v>3</v>
          </cell>
          <cell r="K413" t="str">
            <v>003345/LS-CCHN</v>
          </cell>
          <cell r="L413">
            <v>20180817</v>
          </cell>
          <cell r="M413" t="str">
            <v>Sở Y tế tỉnh Lạng Sơn</v>
          </cell>
          <cell r="N413">
            <v>302</v>
          </cell>
        </row>
        <row r="414">
          <cell r="A414" t="str">
            <v>BV1268</v>
          </cell>
          <cell r="D414" t="str">
            <v>K2425;10.24;10.25</v>
          </cell>
          <cell r="E414" t="str">
            <v>Khoa Chấn thương - Bỏng;Chấn thương chỉnh hình;Bỏng</v>
          </cell>
          <cell r="F414" t="str">
            <v>Nông Thị Kim Xuyến</v>
          </cell>
          <cell r="H414" t="str">
            <v>020301003517</v>
          </cell>
          <cell r="I414">
            <v>3</v>
          </cell>
          <cell r="K414" t="str">
            <v>000537/LS-GPHN</v>
          </cell>
          <cell r="L414">
            <v>20260423</v>
          </cell>
          <cell r="M414" t="str">
            <v>Điều dưỡng</v>
          </cell>
          <cell r="N414">
            <v>301</v>
          </cell>
        </row>
        <row r="415">
          <cell r="A415" t="str">
            <v>BV1214</v>
          </cell>
          <cell r="D415" t="str">
            <v>K39</v>
          </cell>
          <cell r="E415" t="str">
            <v>Khoa Chẩn đoán hình ảnh</v>
          </cell>
          <cell r="F415" t="str">
            <v>Phạm Quốc Khánh</v>
          </cell>
          <cell r="H415" t="str">
            <v>020096003142</v>
          </cell>
          <cell r="I415">
            <v>1</v>
          </cell>
          <cell r="K415" t="str">
            <v>000536/LS-GPHN</v>
          </cell>
          <cell r="L415">
            <v>20260423</v>
          </cell>
          <cell r="M415" t="str">
            <v>Y khoa</v>
          </cell>
          <cell r="N415">
            <v>132</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BDD9E-9101-4A9F-83BE-7771B192473F}">
  <dimension ref="A1:VW871"/>
  <sheetViews>
    <sheetView tabSelected="1" topLeftCell="D70" workbookViewId="0">
      <selection activeCell="G9" sqref="G9"/>
    </sheetView>
  </sheetViews>
  <sheetFormatPr defaultColWidth="12.5546875" defaultRowHeight="15" customHeight="1" x14ac:dyDescent="0.3"/>
  <cols>
    <col min="1" max="1" width="9.77734375" style="179" bestFit="1" customWidth="1"/>
    <col min="2" max="2" width="25.109375" bestFit="1" customWidth="1"/>
    <col min="3" max="3" width="9.77734375" bestFit="1" customWidth="1"/>
    <col min="4" max="4" width="6.88671875" bestFit="1" customWidth="1"/>
    <col min="5" max="5" width="25.44140625" customWidth="1"/>
    <col min="6" max="6" width="10.77734375" bestFit="1" customWidth="1"/>
    <col min="7" max="7" width="28.109375" bestFit="1" customWidth="1"/>
    <col min="8" max="8" width="30.21875" bestFit="1" customWidth="1"/>
    <col min="9" max="9" width="47.21875" bestFit="1" customWidth="1"/>
    <col min="10" max="10" width="7.5546875" bestFit="1" customWidth="1"/>
    <col min="11" max="11" width="20.88671875" bestFit="1" customWidth="1"/>
    <col min="12" max="12" width="35.6640625" bestFit="1" customWidth="1"/>
    <col min="13" max="13" width="16.109375" bestFit="1" customWidth="1"/>
    <col min="14" max="14" width="25.44140625" bestFit="1" customWidth="1"/>
    <col min="15" max="17" width="11.88671875" bestFit="1" customWidth="1"/>
    <col min="18" max="18" width="14.21875" bestFit="1" customWidth="1"/>
    <col min="19" max="19" width="19.33203125" style="180" bestFit="1" customWidth="1"/>
    <col min="20" max="20" width="97.5546875" bestFit="1" customWidth="1"/>
    <col min="21" max="21" width="17.6640625" bestFit="1" customWidth="1"/>
    <col min="22" max="22" width="20.6640625" bestFit="1" customWidth="1"/>
    <col min="23" max="23" width="18.44140625" bestFit="1" customWidth="1"/>
    <col min="24" max="24" width="15.109375" bestFit="1" customWidth="1"/>
    <col min="25" max="25" width="193.6640625" bestFit="1" customWidth="1"/>
    <col min="26" max="26" width="5.88671875" hidden="1" customWidth="1"/>
    <col min="27" max="27" width="255.77734375" bestFit="1" customWidth="1"/>
    <col min="28" max="28" width="25.5546875" bestFit="1" customWidth="1"/>
    <col min="29" max="29" width="86.77734375" bestFit="1" customWidth="1"/>
  </cols>
  <sheetData>
    <row r="1" spans="1:29" ht="49.5" customHeight="1" x14ac:dyDescent="0.3">
      <c r="A1" s="2" t="s">
        <v>0</v>
      </c>
      <c r="B1" s="1" t="s">
        <v>1</v>
      </c>
      <c r="C1" s="3" t="s">
        <v>0</v>
      </c>
      <c r="D1" s="1" t="s">
        <v>2</v>
      </c>
      <c r="E1" s="1" t="s">
        <v>3</v>
      </c>
      <c r="F1" s="1" t="s">
        <v>4</v>
      </c>
      <c r="G1" s="4" t="s">
        <v>5</v>
      </c>
      <c r="H1" s="5" t="s">
        <v>6</v>
      </c>
      <c r="I1" s="6" t="s">
        <v>7</v>
      </c>
      <c r="J1" s="6" t="s">
        <v>8</v>
      </c>
      <c r="K1" s="1" t="s">
        <v>9</v>
      </c>
      <c r="L1" s="1" t="s">
        <v>10</v>
      </c>
      <c r="M1" s="1" t="s">
        <v>11</v>
      </c>
      <c r="N1" s="1" t="s">
        <v>12</v>
      </c>
      <c r="O1" s="1" t="s">
        <v>13</v>
      </c>
      <c r="P1" s="1" t="s">
        <v>2</v>
      </c>
      <c r="Q1" s="1" t="s">
        <v>14</v>
      </c>
      <c r="R1" s="7" t="s">
        <v>15</v>
      </c>
      <c r="S1" s="8" t="s">
        <v>16</v>
      </c>
      <c r="T1" s="7" t="s">
        <v>17</v>
      </c>
      <c r="U1" s="1" t="s">
        <v>18</v>
      </c>
      <c r="V1" s="1" t="s">
        <v>19</v>
      </c>
      <c r="W1" s="6" t="s">
        <v>20</v>
      </c>
      <c r="X1" s="9" t="s">
        <v>21</v>
      </c>
      <c r="Y1" s="9" t="s">
        <v>22</v>
      </c>
      <c r="Z1" s="10"/>
      <c r="AA1" s="1" t="s">
        <v>23</v>
      </c>
      <c r="AB1" s="11" t="s">
        <v>24</v>
      </c>
      <c r="AC1" s="12" t="s">
        <v>25</v>
      </c>
    </row>
    <row r="2" spans="1:29" ht="14.25" customHeight="1" x14ac:dyDescent="0.3">
      <c r="A2" s="14">
        <v>2</v>
      </c>
      <c r="B2" s="13">
        <v>3</v>
      </c>
      <c r="C2" s="13">
        <v>4</v>
      </c>
      <c r="D2" s="13">
        <v>5</v>
      </c>
      <c r="E2" s="13">
        <v>6</v>
      </c>
      <c r="F2" s="13">
        <v>7</v>
      </c>
      <c r="G2" s="13">
        <v>8</v>
      </c>
      <c r="H2" s="13"/>
      <c r="I2" s="13">
        <v>9</v>
      </c>
      <c r="J2" s="13"/>
      <c r="K2" s="13">
        <v>12</v>
      </c>
      <c r="L2" s="13">
        <v>13</v>
      </c>
      <c r="M2" s="13">
        <v>14</v>
      </c>
      <c r="N2" s="13">
        <v>15</v>
      </c>
      <c r="O2" s="13">
        <v>16</v>
      </c>
      <c r="P2" s="13">
        <v>17</v>
      </c>
      <c r="Q2" s="13">
        <v>18</v>
      </c>
      <c r="R2" s="13">
        <v>19</v>
      </c>
      <c r="S2" s="15">
        <v>20</v>
      </c>
      <c r="T2" s="13">
        <v>21</v>
      </c>
      <c r="U2" s="13">
        <v>22</v>
      </c>
      <c r="V2" s="13">
        <v>23</v>
      </c>
      <c r="W2" s="13">
        <v>24</v>
      </c>
      <c r="X2" s="13">
        <v>25</v>
      </c>
      <c r="Y2" s="13">
        <v>26</v>
      </c>
      <c r="Z2" s="13"/>
      <c r="AA2" s="13">
        <v>28</v>
      </c>
      <c r="AB2" s="13">
        <v>29</v>
      </c>
      <c r="AC2" s="13">
        <v>30</v>
      </c>
    </row>
    <row r="3" spans="1:29" ht="15.75" customHeight="1" x14ac:dyDescent="0.3">
      <c r="A3" s="17" t="s">
        <v>26</v>
      </c>
      <c r="B3" s="18" t="s">
        <v>27</v>
      </c>
      <c r="C3" s="17" t="s">
        <v>26</v>
      </c>
      <c r="D3" s="19"/>
      <c r="E3" s="19" t="s">
        <v>28</v>
      </c>
      <c r="F3" s="16" t="str">
        <f>VLOOKUP(E3,'[1]BẢNG MÃ'!$A$2:$B$69,2,0)</f>
        <v>TĐ001</v>
      </c>
      <c r="G3" s="20" t="s">
        <v>29</v>
      </c>
      <c r="H3" s="20" t="s">
        <v>29</v>
      </c>
      <c r="I3" s="16" t="s">
        <v>30</v>
      </c>
      <c r="J3" s="16" t="str">
        <f>VLOOKUP(I3,'[1]BẢNG MÃ'!$C$2:$D$69,2,0)</f>
        <v>KP001</v>
      </c>
      <c r="K3" s="16" t="s">
        <v>31</v>
      </c>
      <c r="L3" s="16" t="s">
        <v>32</v>
      </c>
      <c r="M3" s="16" t="s">
        <v>33</v>
      </c>
      <c r="N3" s="21">
        <f ca="1">VLOOKUP(A3,'[1]Bieu 1a'!$A$8:$AW$855,10,0)</f>
        <v>48</v>
      </c>
      <c r="O3" s="22">
        <f>VLOOKUP(A3,'[1]Bieu 1a'!$A$8:$AW$855,8,0)</f>
        <v>28585</v>
      </c>
      <c r="P3" s="22">
        <f>VLOOKUP(A3,'[1]Bieu 1a'!$A$8:$AW$855,9,0)</f>
        <v>0</v>
      </c>
      <c r="Q3" s="23" t="s">
        <v>34</v>
      </c>
      <c r="R3" s="24" t="str">
        <f>VLOOKUP(A3,'[1]Bieu 1a'!$A$8:$AW$855,23,0)</f>
        <v>15/2/2005</v>
      </c>
      <c r="S3" s="25" t="s">
        <v>35</v>
      </c>
      <c r="T3" s="26" t="s">
        <v>36</v>
      </c>
      <c r="U3" s="16" t="s">
        <v>37</v>
      </c>
      <c r="V3" s="16" t="str">
        <f>IFERROR(VLOOKUP(A3,'[2]19.6.2026'!$A$9:$L$1111,5,0),"")</f>
        <v>000730/LS-CCHN</v>
      </c>
      <c r="W3" s="16" t="str">
        <f>IFERROR(VLOOKUP(A3,'[2]19.6.2026'!$A$9:$L$1111,6,0),"")</f>
        <v>26/04/2013</v>
      </c>
      <c r="X3" s="16"/>
      <c r="Y3" s="21" t="str">
        <f>IFERROR(VLOOKUP(A3,'[2]19.6.2026'!$A$9:$L$1111,7,0),"")</f>
        <v>Khám bệnh chữa bệnh Nội khoa</v>
      </c>
      <c r="Z3" s="16"/>
      <c r="AA3" s="27" t="str">
        <f>IFERROR(VLOOKUP(A3,'[3]DS UPLOAD 2026 (2)'!$A$2:$P$1111,16,0),"")</f>
        <v>01.0239;01.0303;01.0092;18.0015;18.0016</v>
      </c>
      <c r="AB3" s="27">
        <v>913367858</v>
      </c>
      <c r="AC3" s="28"/>
    </row>
    <row r="4" spans="1:29" ht="18" customHeight="1" x14ac:dyDescent="0.3">
      <c r="A4" s="17" t="s">
        <v>39</v>
      </c>
      <c r="B4" s="29" t="s">
        <v>40</v>
      </c>
      <c r="C4" s="17" t="s">
        <v>39</v>
      </c>
      <c r="D4" s="19" t="s">
        <v>38</v>
      </c>
      <c r="E4" s="30" t="s">
        <v>41</v>
      </c>
      <c r="F4" s="16" t="str">
        <f>VLOOKUP(E4,'[1]BẢNG MÃ'!$A$2:$B$69,2,0)</f>
        <v>TĐ011</v>
      </c>
      <c r="G4" s="31" t="s">
        <v>42</v>
      </c>
      <c r="H4" s="31" t="s">
        <v>42</v>
      </c>
      <c r="I4" s="16" t="s">
        <v>30</v>
      </c>
      <c r="J4" s="16" t="str">
        <f>VLOOKUP(I4,'[1]BẢNG MÃ'!$C$2:$D$69,2,0)</f>
        <v>KP001</v>
      </c>
      <c r="K4" s="16" t="s">
        <v>43</v>
      </c>
      <c r="L4" s="16">
        <v>0</v>
      </c>
      <c r="M4" s="16" t="s">
        <v>33</v>
      </c>
      <c r="N4" s="21">
        <f ca="1">VLOOKUP(A4,'[1]Bieu 1a'!$A$8:$AW$855,10,0)</f>
        <v>56</v>
      </c>
      <c r="O4" s="22">
        <f>VLOOKUP(A4,'[1]Bieu 1a'!$A$8:$AW$855,8,0)</f>
        <v>0</v>
      </c>
      <c r="P4" s="22">
        <f>VLOOKUP(A4,'[1]Bieu 1a'!$A$8:$AW$855,9,0)</f>
        <v>25601</v>
      </c>
      <c r="Q4" s="23" t="s">
        <v>44</v>
      </c>
      <c r="R4" s="24" t="str">
        <f>VLOOKUP(A4,'[1]Bieu 1a'!$A$8:$AW$855,23,0)</f>
        <v>7/11/2006</v>
      </c>
      <c r="S4" s="25" t="s">
        <v>45</v>
      </c>
      <c r="T4" s="26" t="s">
        <v>46</v>
      </c>
      <c r="U4" s="16"/>
      <c r="V4" s="16" t="str">
        <f>IFERROR(VLOOKUP(A4,'[2]19.6.2026'!$A$9:$L$1111,5,0),"")</f>
        <v>001052/LS-CCHN</v>
      </c>
      <c r="W4" s="16" t="str">
        <f>IFERROR(VLOOKUP(A4,'[2]19.6.2026'!$A$9:$L$1111,6,0),"")</f>
        <v>11/12/2022</v>
      </c>
      <c r="X4" s="16"/>
      <c r="Y4" s="21" t="str">
        <f>IFERROR(VLOOKUP(A4,'[2]19.6.2026'!$A$9:$L$1111,7,0),"")</f>
        <v>Thực hiện phạm vi hoạt động chuyên môn theo quy định tại Thông tư số 26/2015/TTLT-BYT-BNV ngày 07/10/2015 quy định mã số, tiêu chuẩn chức danh nghề nghiệp điều dưỡng, hộ sinh, kỹ thuật y</v>
      </c>
      <c r="Z4" s="16"/>
      <c r="AA4" s="27" t="str">
        <f>IFERROR(VLOOKUP(A4,'[3]DS UPLOAD 2026 (2)'!$A$2:$P$1111,16,0),"")</f>
        <v/>
      </c>
      <c r="AB4" s="27" t="s">
        <v>47</v>
      </c>
      <c r="AC4" s="28"/>
    </row>
    <row r="5" spans="1:29" ht="18" customHeight="1" x14ac:dyDescent="0.3">
      <c r="A5" s="17" t="s">
        <v>48</v>
      </c>
      <c r="B5" s="18" t="s">
        <v>49</v>
      </c>
      <c r="C5" s="17" t="s">
        <v>48</v>
      </c>
      <c r="D5" s="19" t="s">
        <v>38</v>
      </c>
      <c r="E5" s="30" t="s">
        <v>41</v>
      </c>
      <c r="F5" s="16" t="str">
        <f>VLOOKUP(E5,'[1]BẢNG MÃ'!$A$2:$B$69,2,0)</f>
        <v>TĐ011</v>
      </c>
      <c r="G5" s="31" t="s">
        <v>42</v>
      </c>
      <c r="H5" s="31" t="s">
        <v>42</v>
      </c>
      <c r="I5" s="16" t="s">
        <v>30</v>
      </c>
      <c r="J5" s="16" t="str">
        <f>VLOOKUP(I5,'[1]BẢNG MÃ'!$C$2:$D$69,2,0)</f>
        <v>KP001</v>
      </c>
      <c r="K5" s="16" t="s">
        <v>43</v>
      </c>
      <c r="L5" s="16">
        <v>0</v>
      </c>
      <c r="M5" s="16" t="s">
        <v>33</v>
      </c>
      <c r="N5" s="21">
        <f ca="1">VLOOKUP(A5,'[1]Bieu 1a'!$A$8:$AW$855,10,0)</f>
        <v>32</v>
      </c>
      <c r="O5" s="22">
        <f>VLOOKUP(A5,'[1]Bieu 1a'!$A$8:$AW$855,8,0)</f>
        <v>0</v>
      </c>
      <c r="P5" s="22">
        <f>VLOOKUP(A5,'[1]Bieu 1a'!$A$8:$AW$855,9,0)</f>
        <v>34191</v>
      </c>
      <c r="Q5" s="23" t="s">
        <v>50</v>
      </c>
      <c r="R5" s="24" t="str">
        <f>VLOOKUP(A5,'[1]Bieu 1a'!$A$8:$AW$855,23,0)</f>
        <v>01/11/2014</v>
      </c>
      <c r="S5" s="25" t="s">
        <v>51</v>
      </c>
      <c r="T5" s="26" t="s">
        <v>52</v>
      </c>
      <c r="U5" s="22"/>
      <c r="V5" s="16" t="str">
        <f>IFERROR(VLOOKUP(A5,'[2]19.6.2026'!$A$9:$L$1111,5,0),"")</f>
        <v>000534/LS-CCHN</v>
      </c>
      <c r="W5" s="16" t="str">
        <f>IFERROR(VLOOKUP(A5,'[2]19.6.2026'!$A$9:$L$1111,6,0),"")</f>
        <v>11/12/2022</v>
      </c>
      <c r="X5" s="16"/>
      <c r="Y5" s="21" t="str">
        <f>IFERROR(VLOOKUP(A5,'[2]19.6.2026'!$A$9:$L$1111,7,0),"")</f>
        <v>Thực hiện phạm vi hoạt động chuyên môn theo quy định tại Thông tư số 26/2015/TTLT-BYT-BNV ngày 07/10/2015 quy định mã số, tiêu chuẩn chức danh nghề nghiệp điều dưỡng, hộ sinh, kỹ thuật y</v>
      </c>
      <c r="Z5" s="16"/>
      <c r="AA5" s="27" t="str">
        <f>IFERROR(VLOOKUP(A5,'[3]DS UPLOAD 2026 (2)'!$A$2:$P$1111,16,0),"")</f>
        <v/>
      </c>
      <c r="AB5" s="27">
        <v>962693262</v>
      </c>
      <c r="AC5" s="28"/>
    </row>
    <row r="6" spans="1:29" ht="18" customHeight="1" x14ac:dyDescent="0.3">
      <c r="A6" s="17" t="s">
        <v>53</v>
      </c>
      <c r="B6" s="18" t="s">
        <v>54</v>
      </c>
      <c r="C6" s="17" t="s">
        <v>53</v>
      </c>
      <c r="D6" s="19" t="s">
        <v>38</v>
      </c>
      <c r="E6" s="32" t="s">
        <v>41</v>
      </c>
      <c r="F6" s="16" t="str">
        <f>VLOOKUP(E6,'[1]BẢNG MÃ'!$A$2:$B$69,2,0)</f>
        <v>TĐ011</v>
      </c>
      <c r="G6" s="33" t="s">
        <v>55</v>
      </c>
      <c r="H6" s="33" t="s">
        <v>55</v>
      </c>
      <c r="I6" s="34" t="s">
        <v>30</v>
      </c>
      <c r="J6" s="16" t="str">
        <f>VLOOKUP(I6,'[1]BẢNG MÃ'!$C$2:$D$69,2,0)</f>
        <v>KP001</v>
      </c>
      <c r="K6" s="16" t="s">
        <v>43</v>
      </c>
      <c r="L6" s="16">
        <v>0</v>
      </c>
      <c r="M6" s="16" t="s">
        <v>33</v>
      </c>
      <c r="N6" s="21">
        <f ca="1">VLOOKUP(A6,'[1]Bieu 1a'!$A$8:$AW$855,10,0)</f>
        <v>39</v>
      </c>
      <c r="O6" s="22">
        <f>VLOOKUP(A6,'[1]Bieu 1a'!$A$8:$AW$855,8,0)</f>
        <v>0</v>
      </c>
      <c r="P6" s="22">
        <f>VLOOKUP(A6,'[1]Bieu 1a'!$A$8:$AW$855,9,0)</f>
        <v>31947</v>
      </c>
      <c r="Q6" s="23" t="s">
        <v>44</v>
      </c>
      <c r="R6" s="24">
        <f>VLOOKUP(A6,'[1]Bieu 1a'!$A$8:$AW$855,23,0)</f>
        <v>40193</v>
      </c>
      <c r="S6" s="25" t="s">
        <v>56</v>
      </c>
      <c r="T6" s="26" t="s">
        <v>57</v>
      </c>
      <c r="U6" s="22"/>
      <c r="V6" s="16" t="str">
        <f>IFERROR(VLOOKUP(A6,'[2]19.6.2026'!$A$9:$L$1111,5,0),"")</f>
        <v>001361/LS-CCHN</v>
      </c>
      <c r="W6" s="16" t="str">
        <f>IFERROR(VLOOKUP(A6,'[2]19.6.2026'!$A$9:$L$1111,6,0),"")</f>
        <v/>
      </c>
      <c r="X6" s="16"/>
      <c r="Y6" s="21" t="str">
        <f>IFERROR(VLOOKUP(A6,'[2]19.6.2026'!$A$9:$L$1111,7,0),"")</f>
        <v>Theo Quy định tại Thông tư số 12/2011/TT-BYT ngày 15/3/2011 của Bộ Y tế quy định tiêu chuẩn các ngạch viên chức hộ sinh</v>
      </c>
      <c r="Z6" s="16"/>
      <c r="AA6" s="27" t="str">
        <f>IFERROR(VLOOKUP(A6,'[3]DS UPLOAD 2026 (2)'!$A$2:$P$1111,16,0),"")</f>
        <v/>
      </c>
      <c r="AB6" s="27">
        <v>869880966</v>
      </c>
      <c r="AC6" s="28" t="s">
        <v>58</v>
      </c>
    </row>
    <row r="7" spans="1:29" ht="18" customHeight="1" x14ac:dyDescent="0.3">
      <c r="A7" s="17" t="s">
        <v>59</v>
      </c>
      <c r="B7" s="18" t="s">
        <v>60</v>
      </c>
      <c r="C7" s="17" t="s">
        <v>59</v>
      </c>
      <c r="D7" s="19" t="s">
        <v>38</v>
      </c>
      <c r="E7" s="19" t="s">
        <v>61</v>
      </c>
      <c r="F7" s="16" t="str">
        <f>VLOOKUP(E7,'[1]BẢNG MÃ'!$A$2:$B$69,2,0)</f>
        <v>TĐ012</v>
      </c>
      <c r="G7" s="20" t="s">
        <v>62</v>
      </c>
      <c r="H7" s="20" t="s">
        <v>62</v>
      </c>
      <c r="I7" s="16" t="s">
        <v>30</v>
      </c>
      <c r="J7" s="16" t="str">
        <f>VLOOKUP(I7,'[1]BẢNG MÃ'!$C$2:$D$69,2,0)</f>
        <v>KP001</v>
      </c>
      <c r="K7" s="16" t="s">
        <v>43</v>
      </c>
      <c r="L7" s="16">
        <v>0</v>
      </c>
      <c r="M7" s="16" t="s">
        <v>33</v>
      </c>
      <c r="N7" s="21">
        <f ca="1">VLOOKUP(A7,'[1]Bieu 1a'!$A$8:$AW$855,10,0)</f>
        <v>36</v>
      </c>
      <c r="O7" s="22">
        <f>VLOOKUP(A7,'[1]Bieu 1a'!$A$8:$AW$855,8,0)</f>
        <v>0</v>
      </c>
      <c r="P7" s="22">
        <f>VLOOKUP(A7,'[1]Bieu 1a'!$A$8:$AW$855,9,0)</f>
        <v>32936</v>
      </c>
      <c r="Q7" s="23" t="s">
        <v>44</v>
      </c>
      <c r="R7" s="24" t="str">
        <f>VLOOKUP(A7,'[1]Bieu 1a'!$A$8:$AW$855,23,0)</f>
        <v>5/6/2013</v>
      </c>
      <c r="S7" s="25" t="s">
        <v>63</v>
      </c>
      <c r="T7" s="26" t="s">
        <v>64</v>
      </c>
      <c r="U7" s="16"/>
      <c r="V7" s="16" t="str">
        <f>IFERROR(VLOOKUP(A7,'[2]19.6.2026'!$A$9:$L$1111,5,0),"")</f>
        <v>000380/LS-CCHN</v>
      </c>
      <c r="W7" s="16" t="str">
        <f>IFERROR(VLOOKUP(A7,'[2]19.6.2026'!$A$9:$L$1111,6,0),"")</f>
        <v>11/12/2022</v>
      </c>
      <c r="X7" s="16"/>
      <c r="Y7" s="21" t="str">
        <f>IFERROR(VLOOKUP(A7,'[2]19.6.2026'!$A$9:$L$1111,7,0),"")</f>
        <v>Thực hiện phạm vi hoạt động chuyên môn theo quy định tại Thông tư số 26/2015/TTLT-BYT-BNV ngày 07/10/2015 quy định mã số, tiêu chuẩn chức danh nghề nghiệp điều dưỡng, hộ sinh, kỹ thuật y</v>
      </c>
      <c r="Z7" s="16"/>
      <c r="AA7" s="27" t="str">
        <f>IFERROR(VLOOKUP(A7,'[3]DS UPLOAD 2026 (2)'!$A$2:$P$1111,16,0),"")</f>
        <v/>
      </c>
      <c r="AB7" s="27" t="s">
        <v>65</v>
      </c>
      <c r="AC7" s="28"/>
    </row>
    <row r="8" spans="1:29" ht="18" customHeight="1" x14ac:dyDescent="0.3">
      <c r="A8" s="17" t="s">
        <v>66</v>
      </c>
      <c r="B8" s="18" t="s">
        <v>67</v>
      </c>
      <c r="C8" s="17" t="s">
        <v>66</v>
      </c>
      <c r="D8" s="19" t="s">
        <v>38</v>
      </c>
      <c r="E8" s="19" t="s">
        <v>61</v>
      </c>
      <c r="F8" s="16" t="str">
        <f>VLOOKUP(E8,'[1]BẢNG MÃ'!$A$2:$B$69,2,0)</f>
        <v>TĐ012</v>
      </c>
      <c r="G8" s="20" t="s">
        <v>62</v>
      </c>
      <c r="H8" s="20" t="s">
        <v>62</v>
      </c>
      <c r="I8" s="16" t="s">
        <v>30</v>
      </c>
      <c r="J8" s="16" t="str">
        <f>VLOOKUP(I8,'[1]BẢNG MÃ'!$C$2:$D$69,2,0)</f>
        <v>KP001</v>
      </c>
      <c r="K8" s="16" t="s">
        <v>43</v>
      </c>
      <c r="L8" s="16">
        <v>0</v>
      </c>
      <c r="M8" s="16" t="s">
        <v>33</v>
      </c>
      <c r="N8" s="21">
        <f ca="1">VLOOKUP(A8,'[1]Bieu 1a'!$A$8:$AW$855,10,0)</f>
        <v>36</v>
      </c>
      <c r="O8" s="22">
        <f>VLOOKUP(A8,'[1]Bieu 1a'!$A$8:$AW$855,8,0)</f>
        <v>0</v>
      </c>
      <c r="P8" s="22">
        <f>VLOOKUP(A8,'[1]Bieu 1a'!$A$8:$AW$855,9,0)</f>
        <v>32921</v>
      </c>
      <c r="Q8" s="23" t="s">
        <v>50</v>
      </c>
      <c r="R8" s="24" t="str">
        <f>VLOOKUP(A8,'[1]Bieu 1a'!$A$8:$AW$855,23,0)</f>
        <v>5/6/2013</v>
      </c>
      <c r="S8" s="25" t="s">
        <v>68</v>
      </c>
      <c r="T8" s="26" t="s">
        <v>69</v>
      </c>
      <c r="U8" s="16"/>
      <c r="V8" s="16" t="str">
        <f>IFERROR(VLOOKUP(A8,'[2]19.6.2026'!$A$9:$L$1111,5,0),"")</f>
        <v>000379/LS-CCHN</v>
      </c>
      <c r="W8" s="16" t="str">
        <f>IFERROR(VLOOKUP(A8,'[2]19.6.2026'!$A$9:$L$1111,6,0),"")</f>
        <v>11/12/2022</v>
      </c>
      <c r="X8" s="16"/>
      <c r="Y8" s="21" t="str">
        <f>IFERROR(VLOOKUP(A8,'[2]19.6.2026'!$A$9:$L$1111,7,0),"")</f>
        <v>Thực hiện phạm vi hoạt động chuyên môn theo quy định tại Thông tư số 26/2015/TTLT-BYT-BNV ngày 07/10/2015 quy định mã số, tiêu chuẩn chức danh nghề nghiệp điều dưỡng, hộ sinh, kỹ thuật y</v>
      </c>
      <c r="Z8" s="16"/>
      <c r="AA8" s="27" t="str">
        <f>IFERROR(VLOOKUP(A8,'[3]DS UPLOAD 2026 (2)'!$A$2:$P$1111,16,0),"")</f>
        <v/>
      </c>
      <c r="AB8" s="27" t="s">
        <v>70</v>
      </c>
      <c r="AC8" s="28"/>
    </row>
    <row r="9" spans="1:29" ht="18" customHeight="1" x14ac:dyDescent="0.3">
      <c r="A9" s="17" t="s">
        <v>71</v>
      </c>
      <c r="B9" s="18" t="s">
        <v>72</v>
      </c>
      <c r="C9" s="17" t="s">
        <v>71</v>
      </c>
      <c r="D9" s="19" t="s">
        <v>38</v>
      </c>
      <c r="E9" s="19" t="s">
        <v>61</v>
      </c>
      <c r="F9" s="16" t="str">
        <f>VLOOKUP(E9,'[1]BẢNG MÃ'!$A$2:$B$69,2,0)</f>
        <v>TĐ012</v>
      </c>
      <c r="G9" s="20" t="s">
        <v>62</v>
      </c>
      <c r="H9" s="20" t="s">
        <v>62</v>
      </c>
      <c r="I9" s="16" t="s">
        <v>30</v>
      </c>
      <c r="J9" s="16" t="str">
        <f>VLOOKUP(I9,'[1]BẢNG MÃ'!$C$2:$D$69,2,0)</f>
        <v>KP001</v>
      </c>
      <c r="K9" s="16" t="s">
        <v>43</v>
      </c>
      <c r="L9" s="16">
        <v>0</v>
      </c>
      <c r="M9" s="16" t="s">
        <v>33</v>
      </c>
      <c r="N9" s="21">
        <f ca="1">VLOOKUP(A9,'[1]Bieu 1a'!$A$8:$AW$855,10,0)</f>
        <v>36</v>
      </c>
      <c r="O9" s="22">
        <f>VLOOKUP(A9,'[1]Bieu 1a'!$A$8:$AW$855,8,0)</f>
        <v>0</v>
      </c>
      <c r="P9" s="22">
        <f>VLOOKUP(A9,'[1]Bieu 1a'!$A$8:$AW$855,9,0)</f>
        <v>32871</v>
      </c>
      <c r="Q9" s="23" t="s">
        <v>44</v>
      </c>
      <c r="R9" s="24" t="str">
        <f>VLOOKUP(A9,'[1]Bieu 1a'!$A$8:$AW$855,23,0)</f>
        <v>05/6/2013</v>
      </c>
      <c r="S9" s="25" t="s">
        <v>73</v>
      </c>
      <c r="T9" s="26" t="s">
        <v>74</v>
      </c>
      <c r="U9" s="16"/>
      <c r="V9" s="16" t="str">
        <f>IFERROR(VLOOKUP(A9,'[2]19.6.2026'!$A$9:$L$1111,5,0),"")</f>
        <v>000378/LS-CCHN</v>
      </c>
      <c r="W9" s="16" t="str">
        <f>IFERROR(VLOOKUP(A9,'[2]19.6.2026'!$A$9:$L$1111,6,0),"")</f>
        <v>01/06/2016</v>
      </c>
      <c r="X9" s="16"/>
      <c r="Y9" s="21" t="str">
        <f>IFERROR(VLOOKUP(A9,'[2]19.6.2026'!$A$9:$L$1111,7,0),"")</f>
        <v>Thực hiện phạm vi hoạt động chuyên môn theo quy định tại Thông tư số 26/2015/TTLT-BYT-BNV ngày 07/10/2015 quy định mã số, tiêu chuẩn chức danh nghề nghiệp điều dưỡng, hộ sinh, kỹ thuật y</v>
      </c>
      <c r="Z9" s="16"/>
      <c r="AA9" s="27" t="str">
        <f>IFERROR(VLOOKUP(A9,'[3]DS UPLOAD 2026 (2)'!$A$2:$P$1111,16,0),"")</f>
        <v/>
      </c>
      <c r="AB9" s="27">
        <v>399487032</v>
      </c>
      <c r="AC9" s="35"/>
    </row>
    <row r="10" spans="1:29" ht="18" customHeight="1" x14ac:dyDescent="0.3">
      <c r="A10" s="17" t="s">
        <v>75</v>
      </c>
      <c r="B10" s="18" t="s">
        <v>76</v>
      </c>
      <c r="C10" s="17" t="s">
        <v>75</v>
      </c>
      <c r="D10" s="19" t="s">
        <v>38</v>
      </c>
      <c r="E10" s="19" t="s">
        <v>61</v>
      </c>
      <c r="F10" s="16" t="str">
        <f>VLOOKUP(E10,'[1]BẢNG MÃ'!$A$2:$B$69,2,0)</f>
        <v>TĐ012</v>
      </c>
      <c r="G10" s="20" t="s">
        <v>62</v>
      </c>
      <c r="H10" s="20" t="s">
        <v>62</v>
      </c>
      <c r="I10" s="16" t="s">
        <v>30</v>
      </c>
      <c r="J10" s="16" t="str">
        <f>VLOOKUP(I10,'[1]BẢNG MÃ'!$C$2:$D$69,2,0)</f>
        <v>KP001</v>
      </c>
      <c r="K10" s="16" t="s">
        <v>43</v>
      </c>
      <c r="L10" s="16">
        <v>0</v>
      </c>
      <c r="M10" s="16" t="s">
        <v>33</v>
      </c>
      <c r="N10" s="21">
        <f ca="1">VLOOKUP(A10,'[1]Bieu 1a'!$A$8:$AW$855,10,0)</f>
        <v>40</v>
      </c>
      <c r="O10" s="22">
        <f>VLOOKUP(A10,'[1]Bieu 1a'!$A$8:$AW$855,8,0)</f>
        <v>0</v>
      </c>
      <c r="P10" s="22">
        <f>VLOOKUP(A10,'[1]Bieu 1a'!$A$8:$AW$855,9,0)</f>
        <v>31476</v>
      </c>
      <c r="Q10" s="23" t="s">
        <v>44</v>
      </c>
      <c r="R10" s="24" t="str">
        <f>VLOOKUP(A10,'[1]Bieu 1a'!$A$8:$AW$855,23,0)</f>
        <v>25/12/2008</v>
      </c>
      <c r="S10" s="25" t="s">
        <v>77</v>
      </c>
      <c r="T10" s="26" t="s">
        <v>78</v>
      </c>
      <c r="U10" s="22"/>
      <c r="V10" s="16" t="str">
        <f>IFERROR(VLOOKUP(A10,'[2]19.6.2026'!$A$9:$L$1111,5,0),"")</f>
        <v>001622/LS-CCHN</v>
      </c>
      <c r="W10" s="16" t="str">
        <f>IFERROR(VLOOKUP(A10,'[2]19.6.2026'!$A$9:$L$1111,6,0),"")</f>
        <v>16/09/2013</v>
      </c>
      <c r="X10" s="16"/>
      <c r="Y10" s="21" t="str">
        <f>IFERROR(VLOOKUP(A10,'[2]19.6.2026'!$A$9:$L$1111,7,0),"")</f>
        <v>Theo quy định tại Quyết định số 41/2005/QĐ-BNV ngày 22/4/2005 của Bộ trưởng Bộ Nội vụ về việc ban hành tiêu chuẩn nghiệp vụ các ngạch viên chức y tế điều dưỡng</v>
      </c>
      <c r="Z10" s="16"/>
      <c r="AA10" s="27" t="str">
        <f>IFERROR(VLOOKUP(A10,'[3]DS UPLOAD 2026 (2)'!$A$2:$P$1111,16,0),"")</f>
        <v/>
      </c>
      <c r="AB10" s="27" t="s">
        <v>79</v>
      </c>
      <c r="AC10" s="28"/>
    </row>
    <row r="11" spans="1:29" ht="18" customHeight="1" x14ac:dyDescent="0.3">
      <c r="A11" s="17" t="s">
        <v>80</v>
      </c>
      <c r="B11" s="36" t="s">
        <v>81</v>
      </c>
      <c r="C11" s="17" t="s">
        <v>80</v>
      </c>
      <c r="D11" s="19" t="s">
        <v>38</v>
      </c>
      <c r="E11" s="19" t="s">
        <v>61</v>
      </c>
      <c r="F11" s="16" t="str">
        <f>VLOOKUP(E11,'[1]BẢNG MÃ'!$A$2:$B$69,2,0)</f>
        <v>TĐ012</v>
      </c>
      <c r="G11" s="20"/>
      <c r="H11" s="20" t="s">
        <v>62</v>
      </c>
      <c r="I11" s="16" t="s">
        <v>30</v>
      </c>
      <c r="J11" s="16" t="str">
        <f>VLOOKUP(I11,'[1]BẢNG MÃ'!$C$2:$D$69,2,0)</f>
        <v>KP001</v>
      </c>
      <c r="K11" s="37"/>
      <c r="L11" s="16"/>
      <c r="M11" s="23" t="s">
        <v>33</v>
      </c>
      <c r="N11" s="21">
        <f ca="1">VLOOKUP(A11,'[1]Bieu 1a'!$A$8:$AW$855,10,0)</f>
        <v>31</v>
      </c>
      <c r="O11" s="22">
        <f>VLOOKUP(A11,'[1]Bieu 1a'!$A$8:$AW$855,8,0)</f>
        <v>0</v>
      </c>
      <c r="P11" s="22">
        <f>VLOOKUP(A11,'[1]Bieu 1a'!$A$8:$AW$855,9,0)</f>
        <v>34873</v>
      </c>
      <c r="Q11" s="23" t="s">
        <v>50</v>
      </c>
      <c r="R11" s="24" t="str">
        <f>VLOOKUP(A11,'[1]Bieu 1a'!$A$8:$AW$855,23,0)</f>
        <v>12/11/2018</v>
      </c>
      <c r="S11" s="25" t="s">
        <v>82</v>
      </c>
      <c r="T11" s="26" t="s">
        <v>83</v>
      </c>
      <c r="U11" s="16"/>
      <c r="V11" s="16" t="str">
        <f>IFERROR(VLOOKUP(A11,'[2]19.6.2026'!$A$9:$L$1111,5,0),"")</f>
        <v>002111/LS-CCHN</v>
      </c>
      <c r="W11" s="16" t="str">
        <f>IFERROR(VLOOKUP(A11,'[2]19.6.2026'!$A$9:$L$1111,6,0),"")</f>
        <v>30/10/2017</v>
      </c>
      <c r="X11" s="16"/>
      <c r="Y11" s="21" t="str">
        <f>IFERROR(VLOOKUP(A11,'[2]19.6.2026'!$A$9:$L$1111,7,0),"")</f>
        <v>Thực hiện phạm vi hoạt động chuyên môn theo quy định tại Thông tư số 26/2015/TTLT-BYT-BNV ngày 07/10/2015 quy định mã số, tiêu chuẩn chức danh nghề nghiệp điều dưỡng, hộ sinh, kỹ thuật y</v>
      </c>
      <c r="Z11" s="16"/>
      <c r="AA11" s="27" t="str">
        <f>IFERROR(VLOOKUP(A11,'[3]DS UPLOAD 2026 (2)'!$A$2:$P$1111,16,0),"")</f>
        <v/>
      </c>
      <c r="AB11" s="27" t="s">
        <v>84</v>
      </c>
      <c r="AC11" s="29" t="s">
        <v>85</v>
      </c>
    </row>
    <row r="12" spans="1:29" ht="18" customHeight="1" x14ac:dyDescent="0.3">
      <c r="A12" s="17" t="s">
        <v>86</v>
      </c>
      <c r="B12" s="38" t="s">
        <v>87</v>
      </c>
      <c r="C12" s="17" t="s">
        <v>86</v>
      </c>
      <c r="D12" s="19" t="s">
        <v>38</v>
      </c>
      <c r="E12" s="19" t="s">
        <v>61</v>
      </c>
      <c r="F12" s="16" t="str">
        <f>VLOOKUP(E12,'[1]BẢNG MÃ'!$A$2:$B$69,2,0)</f>
        <v>TĐ012</v>
      </c>
      <c r="G12" s="38"/>
      <c r="H12" s="20" t="s">
        <v>62</v>
      </c>
      <c r="I12" s="16" t="s">
        <v>30</v>
      </c>
      <c r="J12" s="16" t="str">
        <f>VLOOKUP(I12,'[1]BẢNG MÃ'!$C$2:$D$69,2,0)</f>
        <v>KP001</v>
      </c>
      <c r="K12" s="16"/>
      <c r="L12" s="16"/>
      <c r="M12" s="16" t="s">
        <v>33</v>
      </c>
      <c r="N12" s="21">
        <f ca="1">VLOOKUP(A12,'[1]Bieu 1a'!$A$8:$AW$855,10,0)</f>
        <v>30</v>
      </c>
      <c r="O12" s="22">
        <f>VLOOKUP(A12,'[1]Bieu 1a'!$A$8:$AW$855,8,0)</f>
        <v>0</v>
      </c>
      <c r="P12" s="22" t="str">
        <f>VLOOKUP(A12,'[1]Bieu 1a'!$A$8:$AW$855,9,0)</f>
        <v>12/01/1996</v>
      </c>
      <c r="Q12" s="23" t="s">
        <v>50</v>
      </c>
      <c r="R12" s="24" t="str">
        <f>VLOOKUP(A12,'[1]Bieu 1a'!$A$8:$AW$855,23,0)</f>
        <v>17/4/2019</v>
      </c>
      <c r="S12" s="25" t="s">
        <v>88</v>
      </c>
      <c r="T12" s="26" t="s">
        <v>89</v>
      </c>
      <c r="U12" s="16"/>
      <c r="V12" s="16" t="str">
        <f>IFERROR(VLOOKUP(A12,'[2]19.6.2026'!$A$9:$L$1111,5,0),"")</f>
        <v>004047/LS-CCHN</v>
      </c>
      <c r="W12" s="16" t="str">
        <f>IFERROR(VLOOKUP(A12,'[2]19.6.2026'!$A$9:$L$1111,6,0),"")</f>
        <v>20/11/2020</v>
      </c>
      <c r="X12" s="16"/>
      <c r="Y12" s="21" t="str">
        <f>IFERROR(VLOOKUP(A12,'[2]19.6.2026'!$A$9:$L$1111,7,0),"")</f>
        <v>Thực hiện phạm vi hoạt động chuyên môn theo quy định tại Thông tư số 26/2015/TTLT-BYT-BNV ngày 07/10/2015 quy định mã số, tiêu chuẩn chức danh nghề nghiệp điều dưỡng, hộ sinh, kỹ thuật y</v>
      </c>
      <c r="Z12" s="16"/>
      <c r="AA12" s="27" t="str">
        <f>IFERROR(VLOOKUP(A12,'[3]DS UPLOAD 2026 (2)'!$A$2:$P$1111,16,0),"")</f>
        <v/>
      </c>
      <c r="AB12" s="27" t="s">
        <v>90</v>
      </c>
      <c r="AC12" s="29" t="s">
        <v>91</v>
      </c>
    </row>
    <row r="13" spans="1:29" ht="18" customHeight="1" x14ac:dyDescent="0.3">
      <c r="A13" s="17" t="s">
        <v>92</v>
      </c>
      <c r="B13" s="36" t="s">
        <v>93</v>
      </c>
      <c r="C13" s="17" t="s">
        <v>92</v>
      </c>
      <c r="D13" s="19" t="s">
        <v>38</v>
      </c>
      <c r="E13" s="19" t="s">
        <v>61</v>
      </c>
      <c r="F13" s="16" t="str">
        <f>VLOOKUP(E13,'[1]BẢNG MÃ'!$A$2:$B$69,2,0)</f>
        <v>TĐ012</v>
      </c>
      <c r="G13" s="20"/>
      <c r="H13" s="20" t="s">
        <v>62</v>
      </c>
      <c r="I13" s="16" t="s">
        <v>30</v>
      </c>
      <c r="J13" s="16" t="str">
        <f>VLOOKUP(I13,'[1]BẢNG MÃ'!$C$2:$D$69,2,0)</f>
        <v>KP001</v>
      </c>
      <c r="K13" s="19"/>
      <c r="L13" s="16"/>
      <c r="M13" s="16" t="s">
        <v>33</v>
      </c>
      <c r="N13" s="21">
        <f ca="1">VLOOKUP(A13,'[1]Bieu 1a'!$A$8:$AW$855,10,0)</f>
        <v>28</v>
      </c>
      <c r="O13" s="22">
        <f>VLOOKUP(A13,'[1]Bieu 1a'!$A$8:$AW$855,8,0)</f>
        <v>0</v>
      </c>
      <c r="P13" s="22" t="str">
        <f>VLOOKUP(A13,'[1]Bieu 1a'!$A$8:$AW$855,9,0)</f>
        <v>24/7/1997</v>
      </c>
      <c r="Q13" s="23" t="s">
        <v>44</v>
      </c>
      <c r="R13" s="24" t="str">
        <f>VLOOKUP(A13,'[1]Bieu 1a'!$A$8:$AW$855,23,0)</f>
        <v>03/11/2020</v>
      </c>
      <c r="S13" s="25" t="s">
        <v>94</v>
      </c>
      <c r="T13" s="26" t="s">
        <v>95</v>
      </c>
      <c r="U13" s="16"/>
      <c r="V13" s="16" t="str">
        <f>IFERROR(VLOOKUP(A13,'[2]19.6.2026'!$A$9:$L$1111,5,0),"")</f>
        <v>004026/LS-CCHN</v>
      </c>
      <c r="W13" s="16" t="str">
        <f>IFERROR(VLOOKUP(A13,'[2]19.6.2026'!$A$9:$L$1111,6,0),"")</f>
        <v>21/10/2020</v>
      </c>
      <c r="X13" s="16"/>
      <c r="Y13" s="21" t="str">
        <f>IFERROR(VLOOKUP(A13,'[2]19.6.2026'!$A$9:$L$1111,7,0),"")</f>
        <v>Thực hiện phạm vi hoạt động chuyên môn theo quy định tại Thông tư số 26/2015/TTLT-BYT-BNV ngày 07/10/2015 quy định mã số, tiêu chuẩn chức danh nghề nghiệp điều dưỡng, hộ sinh, kỹ thuật y</v>
      </c>
      <c r="Z13" s="16"/>
      <c r="AA13" s="27" t="str">
        <f>IFERROR(VLOOKUP(A13,'[3]DS UPLOAD 2026 (2)'!$A$2:$P$1111,16,0),"")</f>
        <v/>
      </c>
      <c r="AB13" s="39" t="s">
        <v>96</v>
      </c>
      <c r="AC13" s="29" t="s">
        <v>97</v>
      </c>
    </row>
    <row r="14" spans="1:29" ht="18" customHeight="1" x14ac:dyDescent="0.3">
      <c r="A14" s="17" t="s">
        <v>98</v>
      </c>
      <c r="B14" s="18" t="s">
        <v>99</v>
      </c>
      <c r="C14" s="17" t="s">
        <v>98</v>
      </c>
      <c r="D14" s="19" t="s">
        <v>38</v>
      </c>
      <c r="E14" s="19" t="s">
        <v>61</v>
      </c>
      <c r="F14" s="16" t="str">
        <f>VLOOKUP(E14,'[1]BẢNG MÃ'!$A$2:$B$69,2,0)</f>
        <v>TĐ012</v>
      </c>
      <c r="G14" s="20" t="s">
        <v>62</v>
      </c>
      <c r="H14" s="20" t="s">
        <v>62</v>
      </c>
      <c r="I14" s="16" t="s">
        <v>30</v>
      </c>
      <c r="J14" s="16" t="str">
        <f>VLOOKUP(I14,'[1]BẢNG MÃ'!$C$2:$D$69,2,0)</f>
        <v>KP001</v>
      </c>
      <c r="K14" s="16" t="s">
        <v>43</v>
      </c>
      <c r="L14" s="16">
        <v>0</v>
      </c>
      <c r="M14" s="16" t="s">
        <v>33</v>
      </c>
      <c r="N14" s="21">
        <f ca="1">VLOOKUP(A14,'[1]Bieu 1a'!$A$8:$AW$855,10,0)</f>
        <v>38</v>
      </c>
      <c r="O14" s="22">
        <f>VLOOKUP(A14,'[1]Bieu 1a'!$A$8:$AW$855,8,0)</f>
        <v>0</v>
      </c>
      <c r="P14" s="22">
        <f>VLOOKUP(A14,'[1]Bieu 1a'!$A$8:$AW$855,9,0)</f>
        <v>32291</v>
      </c>
      <c r="Q14" s="23" t="s">
        <v>34</v>
      </c>
      <c r="R14" s="24" t="str">
        <f>VLOOKUP(A14,'[1]Bieu 1a'!$A$8:$AW$855,23,0)</f>
        <v>05/6/2013</v>
      </c>
      <c r="S14" s="25" t="s">
        <v>100</v>
      </c>
      <c r="T14" s="26" t="s">
        <v>101</v>
      </c>
      <c r="U14" s="16"/>
      <c r="V14" s="16" t="str">
        <f>IFERROR(VLOOKUP(A14,'[2]19.6.2026'!$A$9:$L$1111,5,0),"")</f>
        <v>000224/LS-CCHN</v>
      </c>
      <c r="W14" s="16" t="str">
        <f>IFERROR(VLOOKUP(A14,'[2]19.6.2026'!$A$9:$L$1111,6,0),"")</f>
        <v>11/12/2022</v>
      </c>
      <c r="X14" s="16"/>
      <c r="Y14" s="21" t="str">
        <f>IFERROR(VLOOKUP(A14,'[2]19.6.2026'!$A$9:$L$1111,7,0),"")</f>
        <v>Thực hiện phạm vi hoạt động chuyên môn theo quy định tại Thông tư số 26/2015/TTLT-BYT-BNV ngày 07/10/2015 quy định mã số, tiêu chuẩn chức danh nghề nghiệp điều dưỡng, hộ sinh, kỹ thuật y</v>
      </c>
      <c r="Z14" s="16"/>
      <c r="AA14" s="27" t="str">
        <f>IFERROR(VLOOKUP(A14,'[3]DS UPLOAD 2026 (2)'!$A$2:$P$1111,16,0),"")</f>
        <v/>
      </c>
      <c r="AB14" s="27" t="s">
        <v>102</v>
      </c>
      <c r="AC14" s="28"/>
    </row>
    <row r="15" spans="1:29" ht="18" customHeight="1" x14ac:dyDescent="0.3">
      <c r="A15" s="17" t="s">
        <v>103</v>
      </c>
      <c r="B15" s="18" t="s">
        <v>104</v>
      </c>
      <c r="C15" s="17" t="s">
        <v>103</v>
      </c>
      <c r="D15" s="19" t="s">
        <v>38</v>
      </c>
      <c r="E15" s="19" t="s">
        <v>61</v>
      </c>
      <c r="F15" s="16" t="str">
        <f>VLOOKUP(E15,'[1]BẢNG MÃ'!$A$2:$B$69,2,0)</f>
        <v>TĐ012</v>
      </c>
      <c r="G15" s="20" t="s">
        <v>62</v>
      </c>
      <c r="H15" s="20" t="s">
        <v>62</v>
      </c>
      <c r="I15" s="16" t="s">
        <v>30</v>
      </c>
      <c r="J15" s="16" t="str">
        <f>VLOOKUP(I15,'[1]BẢNG MÃ'!$C$2:$D$69,2,0)</f>
        <v>KP001</v>
      </c>
      <c r="K15" s="16" t="s">
        <v>43</v>
      </c>
      <c r="L15" s="16">
        <v>0</v>
      </c>
      <c r="M15" s="16" t="s">
        <v>33</v>
      </c>
      <c r="N15" s="21">
        <f ca="1">VLOOKUP(A15,'[1]Bieu 1a'!$A$8:$AW$855,10,0)</f>
        <v>39</v>
      </c>
      <c r="O15" s="22">
        <f>VLOOKUP(A15,'[1]Bieu 1a'!$A$8:$AW$855,8,0)</f>
        <v>0</v>
      </c>
      <c r="P15" s="22">
        <f>VLOOKUP(A15,'[1]Bieu 1a'!$A$8:$AW$855,9,0)</f>
        <v>31628</v>
      </c>
      <c r="Q15" s="23" t="s">
        <v>34</v>
      </c>
      <c r="R15" s="24" t="str">
        <f>VLOOKUP(A15,'[1]Bieu 1a'!$A$8:$AW$855,23,0)</f>
        <v>15/1/2010</v>
      </c>
      <c r="S15" s="25" t="s">
        <v>105</v>
      </c>
      <c r="T15" s="26" t="s">
        <v>106</v>
      </c>
      <c r="U15" s="16"/>
      <c r="V15" s="16" t="str">
        <f>IFERROR(VLOOKUP(A15,'[2]19.6.2026'!$A$9:$L$1111,5,0),"")</f>
        <v>000756/LS-CCHN</v>
      </c>
      <c r="W15" s="16" t="str">
        <f>IFERROR(VLOOKUP(A15,'[2]19.6.2026'!$A$9:$L$1111,6,0),"")</f>
        <v>11/12/2022</v>
      </c>
      <c r="X15" s="16"/>
      <c r="Y15" s="21" t="str">
        <f>IFERROR(VLOOKUP(A15,'[2]19.6.2026'!$A$9:$L$1111,7,0),"")</f>
        <v>Thực hiện phạm vi hoạt động chuyên môn theo quy định tại Thông tư số 26/2015/TTLT-BYT-BNV ngày 07/10/2015 quy định mã số, tiêu chuẩn chức danh nghề nghiệp điều dưỡng, hộ sinh, kỹ thuật y</v>
      </c>
      <c r="Z15" s="16"/>
      <c r="AA15" s="27" t="str">
        <f>IFERROR(VLOOKUP(A15,'[3]DS UPLOAD 2026 (2)'!$A$2:$P$1111,16,0),"")</f>
        <v/>
      </c>
      <c r="AB15" s="27" t="s">
        <v>107</v>
      </c>
      <c r="AC15" s="28"/>
    </row>
    <row r="16" spans="1:29" ht="18" customHeight="1" x14ac:dyDescent="0.3">
      <c r="A16" s="17" t="s">
        <v>108</v>
      </c>
      <c r="B16" s="18" t="s">
        <v>109</v>
      </c>
      <c r="C16" s="17" t="s">
        <v>108</v>
      </c>
      <c r="D16" s="19" t="s">
        <v>38</v>
      </c>
      <c r="E16" s="19" t="s">
        <v>61</v>
      </c>
      <c r="F16" s="16" t="str">
        <f>VLOOKUP(E16,'[1]BẢNG MÃ'!$A$2:$B$69,2,0)</f>
        <v>TĐ012</v>
      </c>
      <c r="G16" s="20" t="s">
        <v>62</v>
      </c>
      <c r="H16" s="20" t="s">
        <v>62</v>
      </c>
      <c r="I16" s="16" t="s">
        <v>30</v>
      </c>
      <c r="J16" s="16" t="str">
        <f>VLOOKUP(I16,'[1]BẢNG MÃ'!$C$2:$D$69,2,0)</f>
        <v>KP001</v>
      </c>
      <c r="K16" s="16" t="s">
        <v>43</v>
      </c>
      <c r="L16" s="16">
        <v>0</v>
      </c>
      <c r="M16" s="16" t="s">
        <v>33</v>
      </c>
      <c r="N16" s="21">
        <f ca="1">VLOOKUP(A16,'[1]Bieu 1a'!$A$8:$AW$855,10,0)</f>
        <v>49</v>
      </c>
      <c r="O16" s="22">
        <f>VLOOKUP(A16,'[1]Bieu 1a'!$A$8:$AW$855,8,0)</f>
        <v>0</v>
      </c>
      <c r="P16" s="22">
        <f>VLOOKUP(A16,'[1]Bieu 1a'!$A$8:$AW$855,9,0)</f>
        <v>28231</v>
      </c>
      <c r="Q16" s="23" t="s">
        <v>50</v>
      </c>
      <c r="R16" s="24" t="str">
        <f>VLOOKUP(A16,'[1]Bieu 1a'!$A$8:$AW$855,23,0)</f>
        <v>23/7/2003</v>
      </c>
      <c r="S16" s="25" t="s">
        <v>110</v>
      </c>
      <c r="T16" s="26" t="s">
        <v>111</v>
      </c>
      <c r="U16" s="16"/>
      <c r="V16" s="16" t="str">
        <f>IFERROR(VLOOKUP(A16,'[2]19.6.2026'!$A$9:$L$1111,5,0),"")</f>
        <v>001029/LS-CCHN</v>
      </c>
      <c r="W16" s="16" t="str">
        <f>IFERROR(VLOOKUP(A16,'[2]19.6.2026'!$A$9:$L$1111,6,0),"")</f>
        <v>11/12/2022</v>
      </c>
      <c r="X16" s="16"/>
      <c r="Y16" s="21" t="str">
        <f>IFERROR(VLOOKUP(A16,'[2]19.6.2026'!$A$9:$L$1111,7,0),"")</f>
        <v>Thực hiện phạm vi hoạt động chuyên môn theo quy định tại Thông tư số 26/2015/TTLT-BYT-BNV ngày 07/10/2015 quy định mã số, tiêu chuẩn chức danh nghề nghiệp điều dưỡng, hộ sinh, kỹ thuật y</v>
      </c>
      <c r="Z16" s="16"/>
      <c r="AA16" s="27" t="str">
        <f>IFERROR(VLOOKUP(A16,'[3]DS UPLOAD 2026 (2)'!$A$2:$P$1111,16,0),"")</f>
        <v/>
      </c>
      <c r="AB16" s="27" t="s">
        <v>112</v>
      </c>
      <c r="AC16" s="28"/>
    </row>
    <row r="17" spans="1:29" ht="18" customHeight="1" x14ac:dyDescent="0.3">
      <c r="A17" s="17" t="s">
        <v>113</v>
      </c>
      <c r="B17" s="18" t="s">
        <v>114</v>
      </c>
      <c r="C17" s="17" t="s">
        <v>113</v>
      </c>
      <c r="D17" s="19" t="s">
        <v>38</v>
      </c>
      <c r="E17" s="16" t="s">
        <v>115</v>
      </c>
      <c r="F17" s="16" t="str">
        <f>VLOOKUP(E17,'[1]BẢNG MÃ'!$A$2:$B$69,2,0)</f>
        <v>TĐ013</v>
      </c>
      <c r="G17" s="20" t="s">
        <v>62</v>
      </c>
      <c r="H17" s="20" t="s">
        <v>62</v>
      </c>
      <c r="I17" s="16" t="s">
        <v>30</v>
      </c>
      <c r="J17" s="16" t="str">
        <f>VLOOKUP(I17,'[1]BẢNG MÃ'!$C$2:$D$69,2,0)</f>
        <v>KP001</v>
      </c>
      <c r="K17" s="16" t="s">
        <v>43</v>
      </c>
      <c r="L17" s="16">
        <v>0</v>
      </c>
      <c r="M17" s="16" t="s">
        <v>33</v>
      </c>
      <c r="N17" s="21">
        <f ca="1">VLOOKUP(A17,'[1]Bieu 1a'!$A$8:$AW$855,10,0)</f>
        <v>55</v>
      </c>
      <c r="O17" s="22">
        <f>VLOOKUP(A17,'[1]Bieu 1a'!$A$8:$AW$855,8,0)</f>
        <v>0</v>
      </c>
      <c r="P17" s="22">
        <f>VLOOKUP(A17,'[1]Bieu 1a'!$A$8:$AW$855,9,0)</f>
        <v>25895</v>
      </c>
      <c r="Q17" s="23" t="s">
        <v>50</v>
      </c>
      <c r="R17" s="24" t="str">
        <f>VLOOKUP(A17,'[1]Bieu 1a'!$A$8:$AW$855,23,0)</f>
        <v>19/1/2005</v>
      </c>
      <c r="S17" s="25" t="s">
        <v>116</v>
      </c>
      <c r="T17" s="26" t="s">
        <v>117</v>
      </c>
      <c r="U17" s="16"/>
      <c r="V17" s="16" t="str">
        <f>IFERROR(VLOOKUP(A17,'[2]19.6.2026'!$A$9:$L$1111,5,0),"")</f>
        <v>000742/LS-CCHN</v>
      </c>
      <c r="W17" s="16" t="str">
        <f>IFERROR(VLOOKUP(A17,'[2]19.6.2026'!$A$9:$L$1111,6,0),"")</f>
        <v>24/06/2013</v>
      </c>
      <c r="X17" s="16"/>
      <c r="Y17" s="21" t="str">
        <f>IFERROR(VLOOKUP(A17,'[2]19.6.2026'!$A$9:$L$1111,7,0),"")</f>
        <v>Theo quy định tại Quyết định số 41/2005/QĐ-BNV ngày 22/4/2005 của Bộ trưởng Bộ Nội vụ về việc ban hành tiêu chuẩn nghiệp vụ các ngạch viên chức y tế điều dưỡng</v>
      </c>
      <c r="Z17" s="16"/>
      <c r="AA17" s="27" t="str">
        <f>IFERROR(VLOOKUP(A17,'[3]DS UPLOAD 2026 (2)'!$A$2:$P$1111,16,0),"")</f>
        <v/>
      </c>
      <c r="AB17" s="27" t="s">
        <v>118</v>
      </c>
      <c r="AC17" s="28"/>
    </row>
    <row r="18" spans="1:29" ht="18" customHeight="1" x14ac:dyDescent="0.3">
      <c r="A18" s="17" t="s">
        <v>119</v>
      </c>
      <c r="B18" s="29" t="s">
        <v>120</v>
      </c>
      <c r="C18" s="17" t="s">
        <v>119</v>
      </c>
      <c r="D18" s="19" t="s">
        <v>38</v>
      </c>
      <c r="E18" s="19" t="s">
        <v>121</v>
      </c>
      <c r="F18" s="16" t="str">
        <f>VLOOKUP(E18,'[1]BẢNG MÃ'!$A$2:$B$69,2,0)</f>
        <v>TĐ018</v>
      </c>
      <c r="G18" s="20" t="s">
        <v>122</v>
      </c>
      <c r="H18" s="20" t="s">
        <v>122</v>
      </c>
      <c r="I18" s="16" t="s">
        <v>30</v>
      </c>
      <c r="J18" s="16" t="str">
        <f>VLOOKUP(I18,'[1]BẢNG MÃ'!$C$2:$D$69,2,0)</f>
        <v>KP001</v>
      </c>
      <c r="K18" s="16" t="s">
        <v>43</v>
      </c>
      <c r="L18" s="16">
        <v>0</v>
      </c>
      <c r="M18" s="16" t="s">
        <v>33</v>
      </c>
      <c r="N18" s="21">
        <f ca="1">VLOOKUP(A18,'[1]Bieu 1a'!$A$8:$AW$855,10,0)</f>
        <v>42</v>
      </c>
      <c r="O18" s="22">
        <f>VLOOKUP(A18,'[1]Bieu 1a'!$A$8:$AW$855,8,0)</f>
        <v>0</v>
      </c>
      <c r="P18" s="22">
        <f>VLOOKUP(A18,'[1]Bieu 1a'!$A$8:$AW$855,9,0)</f>
        <v>30551</v>
      </c>
      <c r="Q18" s="23" t="s">
        <v>34</v>
      </c>
      <c r="R18" s="24" t="str">
        <f>VLOOKUP(A18,'[1]Bieu 1a'!$A$8:$AW$855,23,0)</f>
        <v>2/1/2009</v>
      </c>
      <c r="S18" s="25" t="s">
        <v>123</v>
      </c>
      <c r="T18" s="26" t="s">
        <v>124</v>
      </c>
      <c r="U18" s="16"/>
      <c r="V18" s="16" t="str">
        <f>IFERROR(VLOOKUP(A18,'[2]19.6.2026'!$A$9:$L$1111,5,0),"")</f>
        <v>000969/LS-CCHN</v>
      </c>
      <c r="W18" s="16" t="str">
        <f>IFERROR(VLOOKUP(A18,'[2]19.6.2026'!$A$9:$L$1111,6,0),"")</f>
        <v>11/01/2023</v>
      </c>
      <c r="X18" s="16"/>
      <c r="Y18" s="21" t="str">
        <f>IFERROR(VLOOKUP(A18,'[2]19.6.2026'!$A$9:$L$1111,7,0),"")</f>
        <v>Thực hiện phạm vi hoạt động chuyên môn theo Thông tư số 26/2015/TTLT-BYT-BNV ngày 07/10/2015 quy định  mã số, tiêu chuẩn chức danh nghề nghiệp, điều dưỡng, hộ sinh, kỹ thuật y</v>
      </c>
      <c r="Z18" s="16"/>
      <c r="AA18" s="27" t="str">
        <f>IFERROR(VLOOKUP(A18,'[3]DS UPLOAD 2026 (2)'!$A$2:$P$1111,16,0),"")</f>
        <v/>
      </c>
      <c r="AB18" s="27" t="s">
        <v>125</v>
      </c>
      <c r="AC18" s="28"/>
    </row>
    <row r="19" spans="1:29" ht="18" customHeight="1" x14ac:dyDescent="0.3">
      <c r="A19" s="17" t="s">
        <v>126</v>
      </c>
      <c r="B19" s="18" t="s">
        <v>127</v>
      </c>
      <c r="C19" s="17" t="s">
        <v>126</v>
      </c>
      <c r="D19" s="19" t="s">
        <v>38</v>
      </c>
      <c r="E19" s="19" t="s">
        <v>128</v>
      </c>
      <c r="F19" s="16" t="str">
        <f>VLOOKUP(E19,'[1]BẢNG MÃ'!$A$2:$B$69,2,0)</f>
        <v>TĐ047</v>
      </c>
      <c r="G19" s="20"/>
      <c r="H19" s="19" t="s">
        <v>128</v>
      </c>
      <c r="I19" s="16" t="s">
        <v>30</v>
      </c>
      <c r="J19" s="16" t="str">
        <f>VLOOKUP(I19,'[1]BẢNG MÃ'!$C$2:$D$69,2,0)</f>
        <v>KP001</v>
      </c>
      <c r="K19" s="16"/>
      <c r="L19" s="16">
        <v>0</v>
      </c>
      <c r="M19" s="16" t="s">
        <v>129</v>
      </c>
      <c r="N19" s="21">
        <f ca="1">VLOOKUP(A19,'[1]Bieu 1a'!$A$8:$AW$855,10,0)</f>
        <v>55</v>
      </c>
      <c r="O19" s="22">
        <f>VLOOKUP(A19,'[1]Bieu 1a'!$A$8:$AW$855,8,0)</f>
        <v>0</v>
      </c>
      <c r="P19" s="22">
        <f>VLOOKUP(A19,'[1]Bieu 1a'!$A$8:$AW$855,9,0)</f>
        <v>25808</v>
      </c>
      <c r="Q19" s="23" t="s">
        <v>44</v>
      </c>
      <c r="R19" s="24" t="str">
        <f>VLOOKUP(A19,'[1]Bieu 1a'!$A$8:$AW$855,23,0)</f>
        <v>1/4/1996</v>
      </c>
      <c r="S19" s="25" t="s">
        <v>130</v>
      </c>
      <c r="T19" s="26" t="s">
        <v>131</v>
      </c>
      <c r="U19" s="16"/>
      <c r="V19" s="16" t="str">
        <f>IFERROR(VLOOKUP(A19,'[2]19.6.2026'!$A$9:$L$1111,5,0),"")</f>
        <v/>
      </c>
      <c r="W19" s="16" t="str">
        <f>IFERROR(VLOOKUP(A19,'[2]19.6.2026'!$A$9:$L$1111,6,0),"")</f>
        <v/>
      </c>
      <c r="X19" s="16"/>
      <c r="Y19" s="21" t="str">
        <f>IFERROR(VLOOKUP(A19,'[2]19.6.2026'!$A$9:$L$1111,7,0),"")</f>
        <v/>
      </c>
      <c r="Z19" s="16"/>
      <c r="AA19" s="27" t="str">
        <f>IFERROR(VLOOKUP(A19,'[3]DS UPLOAD 2026 (2)'!$A$2:$P$1111,16,0),"")</f>
        <v/>
      </c>
      <c r="AB19" s="27" t="s">
        <v>132</v>
      </c>
      <c r="AC19" s="28" t="s">
        <v>133</v>
      </c>
    </row>
    <row r="20" spans="1:29" ht="18" customHeight="1" x14ac:dyDescent="0.3">
      <c r="A20" s="17" t="s">
        <v>134</v>
      </c>
      <c r="B20" s="18" t="s">
        <v>135</v>
      </c>
      <c r="C20" s="17" t="s">
        <v>134</v>
      </c>
      <c r="D20" s="19" t="s">
        <v>38</v>
      </c>
      <c r="E20" s="16" t="s">
        <v>128</v>
      </c>
      <c r="F20" s="16" t="str">
        <f>VLOOKUP(E20,'[1]BẢNG MÃ'!$A$2:$B$69,2,0)</f>
        <v>TĐ047</v>
      </c>
      <c r="G20" s="20"/>
      <c r="H20" s="16" t="s">
        <v>128</v>
      </c>
      <c r="I20" s="16" t="s">
        <v>30</v>
      </c>
      <c r="J20" s="16" t="str">
        <f>VLOOKUP(I20,'[1]BẢNG MÃ'!$C$2:$D$69,2,0)</f>
        <v>KP001</v>
      </c>
      <c r="K20" s="16"/>
      <c r="L20" s="16"/>
      <c r="M20" s="16" t="s">
        <v>136</v>
      </c>
      <c r="N20" s="21">
        <f ca="1">VLOOKUP(A20,'[1]Bieu 1a'!$A$8:$AW$855,10,0)</f>
        <v>49</v>
      </c>
      <c r="O20" s="22">
        <f>VLOOKUP(A20,'[1]Bieu 1a'!$A$8:$AW$855,8,0)</f>
        <v>0</v>
      </c>
      <c r="P20" s="22">
        <f>VLOOKUP(A20,'[1]Bieu 1a'!$A$8:$AW$855,9,0)</f>
        <v>28288</v>
      </c>
      <c r="Q20" s="23" t="s">
        <v>50</v>
      </c>
      <c r="R20" s="24" t="str">
        <f>VLOOKUP(A20,'[1]Bieu 1a'!$A$8:$AW$855,23,0)</f>
        <v xml:space="preserve"> 01/02/2016</v>
      </c>
      <c r="S20" s="25" t="s">
        <v>137</v>
      </c>
      <c r="T20" s="26" t="s">
        <v>138</v>
      </c>
      <c r="U20" s="16"/>
      <c r="V20" s="16" t="str">
        <f>IFERROR(VLOOKUP(A20,'[2]19.6.2026'!$A$9:$L$1111,5,0),"")</f>
        <v/>
      </c>
      <c r="W20" s="16" t="str">
        <f>IFERROR(VLOOKUP(A20,'[2]19.6.2026'!$A$9:$L$1111,6,0),"")</f>
        <v/>
      </c>
      <c r="X20" s="16"/>
      <c r="Y20" s="21" t="str">
        <f>IFERROR(VLOOKUP(A20,'[2]19.6.2026'!$A$9:$L$1111,7,0),"")</f>
        <v/>
      </c>
      <c r="Z20" s="16"/>
      <c r="AA20" s="27" t="str">
        <f>IFERROR(VLOOKUP(A20,'[3]DS UPLOAD 2026 (2)'!$A$2:$P$1111,16,0),"")</f>
        <v/>
      </c>
      <c r="AB20" s="27" t="s">
        <v>139</v>
      </c>
      <c r="AC20" s="28"/>
    </row>
    <row r="21" spans="1:29" ht="18" customHeight="1" x14ac:dyDescent="0.3">
      <c r="A21" s="17" t="s">
        <v>140</v>
      </c>
      <c r="B21" s="29" t="s">
        <v>141</v>
      </c>
      <c r="C21" s="17" t="s">
        <v>140</v>
      </c>
      <c r="D21" s="19" t="s">
        <v>38</v>
      </c>
      <c r="E21" s="19" t="s">
        <v>142</v>
      </c>
      <c r="F21" s="16" t="str">
        <f>VLOOKUP(E21,'[1]BẢNG MÃ'!$A$2:$B$69,2,0)</f>
        <v>TĐ047</v>
      </c>
      <c r="G21" s="20"/>
      <c r="H21" s="19" t="s">
        <v>142</v>
      </c>
      <c r="I21" s="16" t="s">
        <v>30</v>
      </c>
      <c r="J21" s="16" t="str">
        <f>VLOOKUP(I21,'[1]BẢNG MÃ'!$C$2:$D$69,2,0)</f>
        <v>KP001</v>
      </c>
      <c r="K21" s="16"/>
      <c r="L21" s="16"/>
      <c r="M21" s="16" t="s">
        <v>136</v>
      </c>
      <c r="N21" s="21">
        <f ca="1">VLOOKUP(A21,'[1]Bieu 1a'!$A$8:$AW$855,10,0)</f>
        <v>33</v>
      </c>
      <c r="O21" s="22">
        <f>VLOOKUP(A21,'[1]Bieu 1a'!$A$8:$AW$855,8,0)</f>
        <v>0</v>
      </c>
      <c r="P21" s="22" t="str">
        <f>VLOOKUP(A21,'[1]Bieu 1a'!$A$8:$AW$855,9,0)</f>
        <v>23/10/1992</v>
      </c>
      <c r="Q21" s="23" t="s">
        <v>50</v>
      </c>
      <c r="R21" s="24" t="str">
        <f>VLOOKUP(A21,'[1]Bieu 1a'!$A$8:$AW$855,23,0)</f>
        <v xml:space="preserve"> 01/9/2016</v>
      </c>
      <c r="S21" s="25" t="s">
        <v>143</v>
      </c>
      <c r="T21" s="26" t="s">
        <v>144</v>
      </c>
      <c r="U21" s="16"/>
      <c r="V21" s="16" t="str">
        <f>IFERROR(VLOOKUP(A21,'[2]19.6.2026'!$A$9:$L$1111,5,0),"")</f>
        <v/>
      </c>
      <c r="W21" s="16" t="str">
        <f>IFERROR(VLOOKUP(A21,'[2]19.6.2026'!$A$9:$L$1111,6,0),"")</f>
        <v/>
      </c>
      <c r="X21" s="16"/>
      <c r="Y21" s="21" t="str">
        <f>IFERROR(VLOOKUP(A21,'[2]19.6.2026'!$A$9:$L$1111,7,0),"")</f>
        <v/>
      </c>
      <c r="Z21" s="16"/>
      <c r="AA21" s="27" t="str">
        <f>IFERROR(VLOOKUP(A21,'[3]DS UPLOAD 2026 (2)'!$A$2:$P$1111,16,0),"")</f>
        <v/>
      </c>
      <c r="AB21" s="27">
        <v>988057957</v>
      </c>
      <c r="AC21" s="28"/>
    </row>
    <row r="22" spans="1:29" ht="18" customHeight="1" x14ac:dyDescent="0.3">
      <c r="A22" s="17" t="s">
        <v>145</v>
      </c>
      <c r="B22" s="29" t="s">
        <v>146</v>
      </c>
      <c r="C22" s="17" t="s">
        <v>145</v>
      </c>
      <c r="D22" s="19"/>
      <c r="E22" s="16" t="s">
        <v>28</v>
      </c>
      <c r="F22" s="16" t="str">
        <f>VLOOKUP(E22,'[1]BẢNG MÃ'!$A$2:$B$69,2,0)</f>
        <v>TĐ001</v>
      </c>
      <c r="G22" s="20" t="s">
        <v>29</v>
      </c>
      <c r="H22" s="20" t="s">
        <v>29</v>
      </c>
      <c r="I22" s="16" t="s">
        <v>147</v>
      </c>
      <c r="J22" s="16" t="str">
        <f>VLOOKUP(I22,'[1]BẢNG MÃ'!$C$2:$D$69,2,0)</f>
        <v>KP002</v>
      </c>
      <c r="K22" s="16" t="s">
        <v>31</v>
      </c>
      <c r="L22" s="16" t="s">
        <v>148</v>
      </c>
      <c r="M22" s="16" t="s">
        <v>33</v>
      </c>
      <c r="N22" s="21">
        <f ca="1">VLOOKUP(A22,'[1]Bieu 1a'!$A$8:$AW$855,10,0)</f>
        <v>46</v>
      </c>
      <c r="O22" s="22">
        <f>VLOOKUP(A22,'[1]Bieu 1a'!$A$8:$AW$855,8,0)</f>
        <v>29206</v>
      </c>
      <c r="P22" s="22">
        <f>VLOOKUP(A22,'[1]Bieu 1a'!$A$8:$AW$855,9,0)</f>
        <v>0</v>
      </c>
      <c r="Q22" s="23" t="s">
        <v>34</v>
      </c>
      <c r="R22" s="24" t="str">
        <f>VLOOKUP(A22,'[1]Bieu 1a'!$A$8:$AW$855,23,0)</f>
        <v>19/01/2005</v>
      </c>
      <c r="S22" s="25" t="s">
        <v>149</v>
      </c>
      <c r="T22" s="26">
        <v>0</v>
      </c>
      <c r="U22" s="22"/>
      <c r="V22" s="16" t="str">
        <f>IFERROR(VLOOKUP(A22,'[2]19.6.2026'!$A$9:$L$1111,5,0),"")</f>
        <v>000765/LS-CCHN</v>
      </c>
      <c r="W22" s="16" t="str">
        <f>IFERROR(VLOOKUP(A22,'[2]19.6.2026'!$A$9:$L$1111,6,0),"")</f>
        <v>11/12/2022</v>
      </c>
      <c r="X22" s="16"/>
      <c r="Y22" s="21" t="str">
        <f>IFERROR(VLOOKUP(A22,'[2]19.6.2026'!$A$9:$L$1111,7,0),"")</f>
        <v>Khám bệnh, chữa bệnh chuyên khoa Hồi sức cấp cứu</v>
      </c>
      <c r="Z22" s="16"/>
      <c r="AA22" s="27" t="str">
        <f>IFERROR(VLOOKUP(A22,'[3]DS UPLOAD 2026 (2)'!$A$2:$P$1111,16,0),"")</f>
        <v/>
      </c>
      <c r="AB22" s="27" t="s">
        <v>150</v>
      </c>
      <c r="AC22" s="28"/>
    </row>
    <row r="23" spans="1:29" ht="18" customHeight="1" x14ac:dyDescent="0.3">
      <c r="A23" s="17" t="s">
        <v>151</v>
      </c>
      <c r="B23" s="18" t="s">
        <v>152</v>
      </c>
      <c r="C23" s="17" t="s">
        <v>151</v>
      </c>
      <c r="D23" s="19"/>
      <c r="E23" s="16" t="s">
        <v>28</v>
      </c>
      <c r="F23" s="16" t="str">
        <f>VLOOKUP(E23,'[1]BẢNG MÃ'!$A$2:$B$69,2,0)</f>
        <v>TĐ001</v>
      </c>
      <c r="G23" s="20" t="s">
        <v>29</v>
      </c>
      <c r="H23" s="20" t="s">
        <v>29</v>
      </c>
      <c r="I23" s="16" t="s">
        <v>153</v>
      </c>
      <c r="J23" s="16" t="str">
        <f>VLOOKUP(I23,'[1]BẢNG MÃ'!$C$2:$D$69,2,0)</f>
        <v>KP012</v>
      </c>
      <c r="K23" s="16" t="s">
        <v>31</v>
      </c>
      <c r="L23" s="16" t="s">
        <v>154</v>
      </c>
      <c r="M23" s="16" t="s">
        <v>33</v>
      </c>
      <c r="N23" s="21">
        <f ca="1">VLOOKUP(A23,'[1]Bieu 1a'!$A$8:$AW$855,10,0)</f>
        <v>39</v>
      </c>
      <c r="O23" s="22">
        <f>VLOOKUP(A23,'[1]Bieu 1a'!$A$8:$AW$855,8,0)</f>
        <v>31681</v>
      </c>
      <c r="P23" s="22">
        <f>VLOOKUP(A23,'[1]Bieu 1a'!$A$8:$AW$855,9,0)</f>
        <v>0</v>
      </c>
      <c r="Q23" s="23" t="s">
        <v>44</v>
      </c>
      <c r="R23" s="24" t="str">
        <f>VLOOKUP(A23,'[1]Bieu 1a'!$A$8:$AW$855,23,0)</f>
        <v>05/6/2013</v>
      </c>
      <c r="S23" s="25" t="s">
        <v>155</v>
      </c>
      <c r="T23" s="26" t="s">
        <v>156</v>
      </c>
      <c r="U23" s="16"/>
      <c r="V23" s="16" t="str">
        <f>IFERROR(VLOOKUP(A23,'[2]19.6.2026'!$A$9:$L$1111,5,0),"")</f>
        <v>000496/LS-CCHN</v>
      </c>
      <c r="W23" s="16" t="str">
        <f>IFERROR(VLOOKUP(A23,'[2]19.6.2026'!$A$9:$L$1111,6,0),"")</f>
        <v>24/08/2016</v>
      </c>
      <c r="X23" s="16"/>
      <c r="Y23" s="21" t="str">
        <f>IFERROR(VLOOKUP(A23,'[2]19.6.2026'!$A$9:$L$1111,7,0),"")</f>
        <v>Khám bệnh, chữa bệnh Ngoại khoa</v>
      </c>
      <c r="Z23" s="16"/>
      <c r="AA23" s="27" t="str">
        <f>IFERROR(VLOOKUP(A23,'[3]DS UPLOAD 2026 (2)'!$A$2:$P$1111,16,0),"")</f>
        <v/>
      </c>
      <c r="AB23" s="27" t="s">
        <v>157</v>
      </c>
      <c r="AC23" s="28"/>
    </row>
    <row r="24" spans="1:29" ht="18" customHeight="1" x14ac:dyDescent="0.3">
      <c r="A24" s="17" t="s">
        <v>158</v>
      </c>
      <c r="B24" s="40" t="s">
        <v>159</v>
      </c>
      <c r="C24" s="17" t="s">
        <v>158</v>
      </c>
      <c r="D24" s="39"/>
      <c r="E24" s="16" t="s">
        <v>160</v>
      </c>
      <c r="F24" s="16" t="str">
        <f>VLOOKUP(E24,'[1]BẢNG MÃ'!$A$2:$B$69,2,0)</f>
        <v>TĐ003</v>
      </c>
      <c r="G24" s="20" t="s">
        <v>161</v>
      </c>
      <c r="H24" s="20" t="s">
        <v>161</v>
      </c>
      <c r="I24" s="16" t="s">
        <v>162</v>
      </c>
      <c r="J24" s="16" t="str">
        <f>VLOOKUP(I24,'[1]BẢNG MÃ'!$C$2:$D$69,2,0)</f>
        <v>KP008</v>
      </c>
      <c r="K24" s="16" t="s">
        <v>43</v>
      </c>
      <c r="L24" s="16">
        <v>0</v>
      </c>
      <c r="M24" s="16" t="s">
        <v>33</v>
      </c>
      <c r="N24" s="21">
        <f ca="1">VLOOKUP(A24,'[1]Bieu 1a'!$A$8:$AW$855,10,0)</f>
        <v>36</v>
      </c>
      <c r="O24" s="22" t="str">
        <f>VLOOKUP(A24,'[1]Bieu 1a'!$A$8:$AW$855,8,0)</f>
        <v>12/02/1990</v>
      </c>
      <c r="P24" s="22">
        <f>VLOOKUP(A24,'[1]Bieu 1a'!$A$8:$AW$855,9,0)</f>
        <v>0</v>
      </c>
      <c r="Q24" s="23" t="s">
        <v>163</v>
      </c>
      <c r="R24" s="24" t="str">
        <f>VLOOKUP(A24,'[1]Bieu 1a'!$A$8:$AW$855,23,0)</f>
        <v>21/10/2016</v>
      </c>
      <c r="S24" s="25" t="s">
        <v>164</v>
      </c>
      <c r="T24" s="26" t="s">
        <v>165</v>
      </c>
      <c r="U24" s="22"/>
      <c r="V24" s="16" t="str">
        <f>IFERROR(VLOOKUP(A24,'[2]19.6.2026'!$A$9:$L$1111,5,0),"")</f>
        <v>003449/LS-CCHN</v>
      </c>
      <c r="W24" s="16" t="str">
        <f>IFERROR(VLOOKUP(A24,'[2]19.6.2026'!$A$9:$L$1111,6,0),"")</f>
        <v>17/05/2019</v>
      </c>
      <c r="X24" s="16"/>
      <c r="Y24" s="21" t="str">
        <f>IFERROR(VLOOKUP(A24,'[2]19.6.2026'!$A$9:$L$1111,7,0),"")</f>
        <v>Khám bệnh, chữa bệnh Nội khoa</v>
      </c>
      <c r="Z24" s="16"/>
      <c r="AA24" s="27" t="str">
        <f>IFERROR(VLOOKUP(A24,'[3]DS UPLOAD 2026 (2)'!$A$2:$P$1111,16,0),"")</f>
        <v>01.0346;01.0209;01.0002;02.0085;21.0014</v>
      </c>
      <c r="AB24" s="27">
        <v>858339889</v>
      </c>
      <c r="AC24" s="28"/>
    </row>
    <row r="25" spans="1:29" ht="18" customHeight="1" x14ac:dyDescent="0.3">
      <c r="A25" s="17" t="s">
        <v>166</v>
      </c>
      <c r="B25" s="38" t="s">
        <v>167</v>
      </c>
      <c r="C25" s="17" t="s">
        <v>166</v>
      </c>
      <c r="D25" s="19" t="s">
        <v>38</v>
      </c>
      <c r="E25" s="16" t="s">
        <v>160</v>
      </c>
      <c r="F25" s="16" t="str">
        <f>VLOOKUP(E25,'[1]BẢNG MÃ'!$A$2:$B$69,2,0)</f>
        <v>TĐ003</v>
      </c>
      <c r="G25" s="20" t="s">
        <v>161</v>
      </c>
      <c r="H25" s="20" t="s">
        <v>161</v>
      </c>
      <c r="I25" s="16" t="s">
        <v>147</v>
      </c>
      <c r="J25" s="16" t="str">
        <f>VLOOKUP(I25,'[1]BẢNG MÃ'!$C$2:$D$69,2,0)</f>
        <v>KP002</v>
      </c>
      <c r="K25" s="16" t="s">
        <v>43</v>
      </c>
      <c r="L25" s="16">
        <v>0</v>
      </c>
      <c r="M25" s="16" t="s">
        <v>33</v>
      </c>
      <c r="N25" s="21">
        <f ca="1">VLOOKUP(A25,'[1]Bieu 1a'!$A$8:$AW$855,10,0)</f>
        <v>34</v>
      </c>
      <c r="O25" s="22">
        <f>VLOOKUP(A25,'[1]Bieu 1a'!$A$8:$AW$855,8,0)</f>
        <v>0</v>
      </c>
      <c r="P25" s="22" t="str">
        <f>VLOOKUP(A25,'[1]Bieu 1a'!$A$8:$AW$855,9,0)</f>
        <v>02/9/1991</v>
      </c>
      <c r="Q25" s="23" t="s">
        <v>50</v>
      </c>
      <c r="R25" s="24" t="str">
        <f>VLOOKUP(A25,'[1]Bieu 1a'!$A$8:$AW$855,23,0)</f>
        <v>04/05/2016</v>
      </c>
      <c r="S25" s="25" t="s">
        <v>168</v>
      </c>
      <c r="T25" s="26">
        <v>0</v>
      </c>
      <c r="U25" s="22"/>
      <c r="V25" s="16" t="str">
        <f>IFERROR(VLOOKUP(A25,'[2]19.6.2026'!$A$9:$L$1111,5,0),"")</f>
        <v>003284/LS-CCHN</v>
      </c>
      <c r="W25" s="16" t="str">
        <f>IFERROR(VLOOKUP(A25,'[2]19.6.2026'!$A$9:$L$1111,6,0),"")</f>
        <v>06/07/2018</v>
      </c>
      <c r="X25" s="16"/>
      <c r="Y25" s="21" t="str">
        <f>IFERROR(VLOOKUP(A25,'[2]19.6.2026'!$A$9:$L$1111,7,0),"")</f>
        <v>Khám bệnh, chữa bệnh Nội khoa; Hồi sức cấp cứu</v>
      </c>
      <c r="Z25" s="16"/>
      <c r="AA25" s="27" t="str">
        <f>IFERROR(VLOOKUP(A25,'[3]DS UPLOAD 2026 (2)'!$A$2:$P$1111,16,0),"")</f>
        <v/>
      </c>
      <c r="AB25" s="27" t="s">
        <v>169</v>
      </c>
      <c r="AC25" s="28" t="s">
        <v>170</v>
      </c>
    </row>
    <row r="26" spans="1:29" ht="18" customHeight="1" x14ac:dyDescent="0.3">
      <c r="A26" s="17" t="s">
        <v>171</v>
      </c>
      <c r="B26" s="18" t="s">
        <v>172</v>
      </c>
      <c r="C26" s="17" t="s">
        <v>171</v>
      </c>
      <c r="D26" s="19" t="s">
        <v>38</v>
      </c>
      <c r="E26" s="19" t="s">
        <v>173</v>
      </c>
      <c r="F26" s="16" t="str">
        <f>VLOOKUP(E26,'[1]BẢNG MÃ'!$A$2:$B$69,2,0)</f>
        <v>TĐ005</v>
      </c>
      <c r="G26" s="20"/>
      <c r="H26" s="20" t="s">
        <v>161</v>
      </c>
      <c r="I26" s="16" t="s">
        <v>147</v>
      </c>
      <c r="J26" s="16" t="str">
        <f>VLOOKUP(I26,'[1]BẢNG MÃ'!$C$2:$D$69,2,0)</f>
        <v>KP002</v>
      </c>
      <c r="K26" s="16"/>
      <c r="L26" s="16"/>
      <c r="M26" s="23" t="s">
        <v>33</v>
      </c>
      <c r="N26" s="21">
        <f ca="1">VLOOKUP(A26,'[1]Bieu 1a'!$A$8:$AW$855,10,0)</f>
        <v>33</v>
      </c>
      <c r="O26" s="22">
        <f>VLOOKUP(A26,'[1]Bieu 1a'!$A$8:$AW$855,8,0)</f>
        <v>0</v>
      </c>
      <c r="P26" s="22" t="str">
        <f>VLOOKUP(A26,'[1]Bieu 1a'!$A$8:$AW$855,9,0)</f>
        <v>10/3/1993</v>
      </c>
      <c r="Q26" s="23" t="s">
        <v>44</v>
      </c>
      <c r="R26" s="24" t="str">
        <f>VLOOKUP(A26,'[1]Bieu 1a'!$A$8:$AW$855,23,0)</f>
        <v>19/8/2019</v>
      </c>
      <c r="S26" s="25" t="s">
        <v>174</v>
      </c>
      <c r="T26" s="26" t="s">
        <v>175</v>
      </c>
      <c r="U26" s="22"/>
      <c r="V26" s="16" t="str">
        <f>IFERROR(VLOOKUP(A26,'[2]19.6.2026'!$A$9:$L$1111,5,0),"")</f>
        <v>004235/LS-CCHN</v>
      </c>
      <c r="W26" s="16" t="str">
        <f>IFERROR(VLOOKUP(A26,'[2]19.6.2026'!$A$9:$L$1111,6,0),"")</f>
        <v>10/06/2021</v>
      </c>
      <c r="X26" s="16"/>
      <c r="Y26" s="21" t="str">
        <f>IFERROR(VLOOKUP(A26,'[2]19.6.2026'!$A$9:$L$1111,7,0),"")</f>
        <v>Thực hiện phạm vi hoạt động chuyên môn theo Thông tư số 26/2015/TTLT-BYT-BNV ngày 07/10/2015 quy định  mã số, tiêu chuẩn chức danh nghề nghiệp, điều dưỡng, hộ sinh, kỹ thuật y</v>
      </c>
      <c r="Z26" s="16"/>
      <c r="AA26" s="27" t="str">
        <f>IFERROR(VLOOKUP(A26,'[3]DS UPLOAD 2026 (2)'!$A$2:$P$1111,16,0),"")</f>
        <v/>
      </c>
      <c r="AB26" s="41" t="s">
        <v>176</v>
      </c>
      <c r="AC26" s="29" t="s">
        <v>177</v>
      </c>
    </row>
    <row r="27" spans="1:29" ht="18" customHeight="1" x14ac:dyDescent="0.3">
      <c r="A27" s="17" t="s">
        <v>178</v>
      </c>
      <c r="B27" s="38" t="s">
        <v>179</v>
      </c>
      <c r="C27" s="17" t="s">
        <v>178</v>
      </c>
      <c r="D27" s="39"/>
      <c r="E27" s="19" t="s">
        <v>160</v>
      </c>
      <c r="F27" s="16" t="str">
        <f>VLOOKUP(E27,'[1]BẢNG MÃ'!$A$2:$B$69,2,0)</f>
        <v>TĐ003</v>
      </c>
      <c r="G27" s="42" t="s">
        <v>161</v>
      </c>
      <c r="H27" s="42" t="s">
        <v>161</v>
      </c>
      <c r="I27" s="16" t="s">
        <v>147</v>
      </c>
      <c r="J27" s="16" t="str">
        <f>VLOOKUP(I27,'[1]BẢNG MÃ'!$C$2:$D$69,2,0)</f>
        <v>KP002</v>
      </c>
      <c r="K27" s="16" t="s">
        <v>43</v>
      </c>
      <c r="L27" s="16">
        <v>0</v>
      </c>
      <c r="M27" s="16" t="s">
        <v>33</v>
      </c>
      <c r="N27" s="21">
        <f ca="1">VLOOKUP(A27,'[1]Bieu 1a'!$A$8:$AW$855,10,0)</f>
        <v>31</v>
      </c>
      <c r="O27" s="22" t="str">
        <f>VLOOKUP(A27,'[1]Bieu 1a'!$A$8:$AW$855,8,0)</f>
        <v>10/09/1994</v>
      </c>
      <c r="P27" s="22">
        <f>VLOOKUP(A27,'[1]Bieu 1a'!$A$8:$AW$855,9,0)</f>
        <v>0</v>
      </c>
      <c r="Q27" s="23" t="s">
        <v>44</v>
      </c>
      <c r="R27" s="24" t="str">
        <f>VLOOKUP(A27,'[1]Bieu 1a'!$A$8:$AW$855,23,0)</f>
        <v>05/04/2019</v>
      </c>
      <c r="S27" s="25" t="s">
        <v>180</v>
      </c>
      <c r="T27" s="26">
        <v>0</v>
      </c>
      <c r="U27" s="16"/>
      <c r="V27" s="16" t="str">
        <f>IFERROR(VLOOKUP(A27,'[2]19.6.2026'!$A$9:$L$1111,5,0),"")</f>
        <v>004162/LS-CCHN</v>
      </c>
      <c r="W27" s="16" t="str">
        <f>IFERROR(VLOOKUP(A27,'[2]19.6.2026'!$A$9:$L$1111,6,0),"")</f>
        <v>06/04/2021</v>
      </c>
      <c r="X27" s="16"/>
      <c r="Y27" s="21" t="str">
        <f>IFERROR(VLOOKUP(A27,'[2]19.6.2026'!$A$9:$L$1111,7,0),"")</f>
        <v>Khám bệnh, chữa bệnh Nội khoa, Hồi sức cấp cứu</v>
      </c>
      <c r="Z27" s="16"/>
      <c r="AA27" s="27" t="str">
        <f>IFERROR(VLOOKUP(A27,'[3]DS UPLOAD 2026 (2)'!$A$2:$P$1111,16,0),"")</f>
        <v/>
      </c>
      <c r="AB27" s="27">
        <v>977018056</v>
      </c>
      <c r="AC27" s="28" t="s">
        <v>181</v>
      </c>
    </row>
    <row r="28" spans="1:29" ht="18" customHeight="1" x14ac:dyDescent="0.3">
      <c r="A28" s="29" t="s">
        <v>182</v>
      </c>
      <c r="B28" s="29" t="s">
        <v>183</v>
      </c>
      <c r="C28" s="29" t="s">
        <v>182</v>
      </c>
      <c r="D28" s="19" t="s">
        <v>38</v>
      </c>
      <c r="E28" s="19" t="s">
        <v>173</v>
      </c>
      <c r="F28" s="16" t="str">
        <f>VLOOKUP(E28,'[1]BẢNG MÃ'!$A$2:$B$69,2,0)</f>
        <v>TĐ005</v>
      </c>
      <c r="G28" s="20"/>
      <c r="H28" s="20" t="s">
        <v>161</v>
      </c>
      <c r="I28" s="16" t="s">
        <v>147</v>
      </c>
      <c r="J28" s="16" t="str">
        <f>VLOOKUP(I28,'[1]BẢNG MÃ'!$C$2:$D$69,2,0)</f>
        <v>KP002</v>
      </c>
      <c r="K28" s="16"/>
      <c r="L28" s="16"/>
      <c r="M28" s="23" t="s">
        <v>33</v>
      </c>
      <c r="N28" s="21">
        <f ca="1">VLOOKUP(A28,'[1]Bieu 1a'!$A$8:$AW$855,10,0)</f>
        <v>32</v>
      </c>
      <c r="O28" s="22">
        <f>VLOOKUP(A28,'[1]Bieu 1a'!$A$8:$AW$855,8,0)</f>
        <v>0</v>
      </c>
      <c r="P28" s="22" t="str">
        <f>VLOOKUP(A28,'[1]Bieu 1a'!$A$8:$AW$855,9,0)</f>
        <v>12/3/1994</v>
      </c>
      <c r="Q28" s="23" t="s">
        <v>44</v>
      </c>
      <c r="R28" s="24" t="str">
        <f>VLOOKUP(A28,'[1]Bieu 1a'!$A$8:$AW$855,23,0)</f>
        <v>10/12/2019</v>
      </c>
      <c r="S28" s="25" t="s">
        <v>184</v>
      </c>
      <c r="T28" s="26" t="s">
        <v>185</v>
      </c>
      <c r="U28" s="16"/>
      <c r="V28" s="16" t="str">
        <f>IFERROR(VLOOKUP(A28,'[2]19.6.2026'!$A$9:$L$1111,5,0),"")</f>
        <v>004296/LS-CCHN</v>
      </c>
      <c r="W28" s="16" t="str">
        <f>IFERROR(VLOOKUP(A28,'[2]19.6.2026'!$A$9:$L$1111,6,0),"")</f>
        <v>20/07/2021</v>
      </c>
      <c r="X28" s="16"/>
      <c r="Y28" s="21" t="str">
        <f>IFERROR(VLOOKUP(A28,'[2]19.6.2026'!$A$9:$L$1111,7,0),"")</f>
        <v>Khám bệnh chữa bệnh Nội khoa</v>
      </c>
      <c r="Z28" s="16"/>
      <c r="AA28" s="27" t="str">
        <f>IFERROR(VLOOKUP(A28,'[3]DS UPLOAD 2026 (2)'!$A$2:$P$1111,16,0),"")</f>
        <v>01.0239;01.0303;01.0092</v>
      </c>
      <c r="AB28" s="27"/>
      <c r="AC28" s="29" t="s">
        <v>186</v>
      </c>
    </row>
    <row r="29" spans="1:29" ht="18" customHeight="1" x14ac:dyDescent="0.3">
      <c r="A29" s="43" t="s">
        <v>187</v>
      </c>
      <c r="B29" s="44" t="s">
        <v>188</v>
      </c>
      <c r="C29" s="45" t="s">
        <v>187</v>
      </c>
      <c r="D29" s="23"/>
      <c r="E29" s="23" t="s">
        <v>173</v>
      </c>
      <c r="F29" s="16" t="str">
        <f>VLOOKUP(E29,'[1]BẢNG MÃ'!$A$2:$B$69,2,0)</f>
        <v>TĐ005</v>
      </c>
      <c r="G29" s="27"/>
      <c r="H29" s="20" t="s">
        <v>161</v>
      </c>
      <c r="I29" s="27" t="s">
        <v>147</v>
      </c>
      <c r="J29" s="16" t="str">
        <f>VLOOKUP(I29,'[1]BẢNG MÃ'!$C$2:$D$69,2,0)</f>
        <v>KP002</v>
      </c>
      <c r="K29" s="27"/>
      <c r="L29" s="27"/>
      <c r="M29" s="16" t="s">
        <v>33</v>
      </c>
      <c r="N29" s="21">
        <f ca="1">VLOOKUP(A29,'[1]Bieu 1a'!$A$8:$AW$855,10,0)</f>
        <v>33</v>
      </c>
      <c r="O29" s="22">
        <f>VLOOKUP(A29,'[1]Bieu 1a'!$A$8:$AW$855,8,0)</f>
        <v>0</v>
      </c>
      <c r="P29" s="22" t="str">
        <f>VLOOKUP(A29,'[1]Bieu 1a'!$A$8:$AW$855,9,0)</f>
        <v>19/9/1992</v>
      </c>
      <c r="Q29" s="23" t="s">
        <v>34</v>
      </c>
      <c r="R29" s="24">
        <f>VLOOKUP(A29,'[1]Bieu 1a'!$A$8:$AW$855,23,0)</f>
        <v>45261</v>
      </c>
      <c r="S29" s="25" t="s">
        <v>189</v>
      </c>
      <c r="T29" s="26">
        <v>0</v>
      </c>
      <c r="U29" s="27"/>
      <c r="V29" s="16" t="str">
        <f>IFERROR(VLOOKUP(A29,'[2]19.6.2026'!$A$9:$L$1111,5,0),"")</f>
        <v>050361/BYT-CCHN</v>
      </c>
      <c r="W29" s="16" t="str">
        <f>IFERROR(VLOOKUP(A29,'[2]19.6.2026'!$A$9:$L$1111,6,0),"")</f>
        <v>01/04/2024</v>
      </c>
      <c r="X29" s="16"/>
      <c r="Y29" s="21" t="str">
        <f>IFERROR(VLOOKUP(A29,'[2]19.6.2026'!$A$9:$L$1111,7,0),"")</f>
        <v>Khám bệnh, chữa bệnh chuyên khoa Nội</v>
      </c>
      <c r="Z29" s="16"/>
      <c r="AA29" s="27" t="str">
        <f>IFERROR(VLOOKUP(A29,'[3]DS UPLOAD 2026 (2)'!$A$2:$P$1111,16,0),"")</f>
        <v/>
      </c>
      <c r="AB29" s="44" t="s">
        <v>190</v>
      </c>
      <c r="AC29" s="29" t="s">
        <v>191</v>
      </c>
    </row>
    <row r="30" spans="1:29" ht="18" customHeight="1" x14ac:dyDescent="0.3">
      <c r="A30" s="46" t="s">
        <v>192</v>
      </c>
      <c r="B30" s="28" t="s">
        <v>193</v>
      </c>
      <c r="C30" s="47" t="s">
        <v>192</v>
      </c>
      <c r="D30" s="23"/>
      <c r="E30" s="23" t="s">
        <v>173</v>
      </c>
      <c r="F30" s="16" t="str">
        <f>VLOOKUP(E30,'[1]BẢNG MÃ'!$A$2:$B$69,2,0)</f>
        <v>TĐ005</v>
      </c>
      <c r="G30" s="48"/>
      <c r="H30" s="20" t="s">
        <v>161</v>
      </c>
      <c r="I30" s="19" t="s">
        <v>194</v>
      </c>
      <c r="J30" s="16" t="str">
        <f>VLOOKUP(I30,'[1]BẢNG MÃ'!$C$2:$D$69,2,0)</f>
        <v>KP014</v>
      </c>
      <c r="K30" s="23"/>
      <c r="L30" s="23"/>
      <c r="M30" s="16" t="s">
        <v>136</v>
      </c>
      <c r="N30" s="21">
        <f ca="1">VLOOKUP(A30,'[1]Bieu 1a'!$A$8:$AW$855,10,0)</f>
        <v>30</v>
      </c>
      <c r="O30" s="22" t="str">
        <f>VLOOKUP(A30,'[1]Bieu 1a'!$A$8:$AW$855,8,0)</f>
        <v>22/04/1996</v>
      </c>
      <c r="P30" s="22">
        <f>VLOOKUP(A30,'[1]Bieu 1a'!$A$8:$AW$855,9,0)</f>
        <v>0</v>
      </c>
      <c r="Q30" s="23" t="s">
        <v>44</v>
      </c>
      <c r="R30" s="24" t="str">
        <f>VLOOKUP(A30,'[1]Bieu 1a'!$A$8:$AW$855,23,0)</f>
        <v>15/4/2024</v>
      </c>
      <c r="S30" s="25" t="s">
        <v>195</v>
      </c>
      <c r="T30" s="26" t="s">
        <v>196</v>
      </c>
      <c r="U30" s="49">
        <v>45870</v>
      </c>
      <c r="V30" s="16" t="str">
        <f>IFERROR(VLOOKUP(A30,'[2]19.6.2026'!$A$9:$L$1111,5,0),"")</f>
        <v>000426/LS-GPHN</v>
      </c>
      <c r="W30" s="16">
        <f>IFERROR(VLOOKUP(A30,'[2]19.6.2026'!$A$9:$L$1111,6,0),"")</f>
        <v>46002</v>
      </c>
      <c r="X30" s="16"/>
      <c r="Y30" s="21" t="str">
        <f>IFERROR(VLOOKUP(A30,'[2]19.6.2026'!$A$9:$L$1111,7,0),"")</f>
        <v>Y khoa</v>
      </c>
      <c r="Z30" s="16"/>
      <c r="AA30" s="27" t="str">
        <f>IFERROR(VLOOKUP(A30,'[3]DS UPLOAD 2026 (2)'!$A$2:$P$1111,16,0),"")</f>
        <v/>
      </c>
      <c r="AB30" s="50" t="s">
        <v>197</v>
      </c>
      <c r="AC30" s="51" t="s">
        <v>198</v>
      </c>
    </row>
    <row r="31" spans="1:29" ht="18" customHeight="1" x14ac:dyDescent="0.3">
      <c r="A31" s="17" t="s">
        <v>199</v>
      </c>
      <c r="B31" s="18" t="s">
        <v>200</v>
      </c>
      <c r="C31" s="17" t="s">
        <v>199</v>
      </c>
      <c r="D31" s="19" t="s">
        <v>38</v>
      </c>
      <c r="E31" s="30" t="s">
        <v>41</v>
      </c>
      <c r="F31" s="16" t="str">
        <f>VLOOKUP(E31,'[1]BẢNG MÃ'!$A$2:$B$69,2,0)</f>
        <v>TĐ011</v>
      </c>
      <c r="G31" s="31" t="s">
        <v>42</v>
      </c>
      <c r="H31" s="31" t="s">
        <v>42</v>
      </c>
      <c r="I31" s="16" t="s">
        <v>147</v>
      </c>
      <c r="J31" s="16" t="str">
        <f>VLOOKUP(I31,'[1]BẢNG MÃ'!$C$2:$D$69,2,0)</f>
        <v>KP002</v>
      </c>
      <c r="K31" s="16" t="s">
        <v>31</v>
      </c>
      <c r="L31" s="16" t="s">
        <v>201</v>
      </c>
      <c r="M31" s="16" t="s">
        <v>33</v>
      </c>
      <c r="N31" s="21">
        <f ca="1">VLOOKUP(A31,'[1]Bieu 1a'!$A$8:$AW$855,10,0)</f>
        <v>40</v>
      </c>
      <c r="O31" s="22">
        <f>VLOOKUP(A31,'[1]Bieu 1a'!$A$8:$AW$855,8,0)</f>
        <v>0</v>
      </c>
      <c r="P31" s="22">
        <f>VLOOKUP(A31,'[1]Bieu 1a'!$A$8:$AW$855,9,0)</f>
        <v>31359</v>
      </c>
      <c r="Q31" s="23" t="s">
        <v>50</v>
      </c>
      <c r="R31" s="24" t="str">
        <f>VLOOKUP(A31,'[1]Bieu 1a'!$A$8:$AW$855,23,0)</f>
        <v>1/12/2008</v>
      </c>
      <c r="S31" s="25" t="s">
        <v>202</v>
      </c>
      <c r="T31" s="26">
        <v>0</v>
      </c>
      <c r="U31" s="22"/>
      <c r="V31" s="16" t="str">
        <f>IFERROR(VLOOKUP(A31,'[2]19.6.2026'!$A$9:$L$1111,5,0),"")</f>
        <v>000780/LS-CCHN</v>
      </c>
      <c r="W31" s="16" t="str">
        <f>IFERROR(VLOOKUP(A31,'[2]19.6.2026'!$A$9:$L$1111,6,0),"")</f>
        <v>11/12/2022</v>
      </c>
      <c r="X31" s="16"/>
      <c r="Y31" s="21" t="str">
        <f>IFERROR(VLOOKUP(A31,'[2]19.6.2026'!$A$9:$L$1111,7,0),"")</f>
        <v>Thực hiện phạm vi hoạt động chuyên môn theo quy định tại Thông tư số 26/2015/TTLT-BYT-BNV ngày 07/10/2015 quy định mã số, tiêu chuẩn chức danh nghề nghiệp điều dưỡng, hộ sinh, kỹ thuật y</v>
      </c>
      <c r="Z31" s="16"/>
      <c r="AA31" s="27" t="str">
        <f>IFERROR(VLOOKUP(A31,'[3]DS UPLOAD 2026 (2)'!$A$2:$P$1111,16,0),"")</f>
        <v/>
      </c>
      <c r="AB31" s="27" t="s">
        <v>203</v>
      </c>
      <c r="AC31" s="28"/>
    </row>
    <row r="32" spans="1:29" ht="18" customHeight="1" x14ac:dyDescent="0.3">
      <c r="A32" s="17" t="s">
        <v>204</v>
      </c>
      <c r="B32" s="18" t="s">
        <v>205</v>
      </c>
      <c r="C32" s="17" t="s">
        <v>204</v>
      </c>
      <c r="D32" s="19" t="s">
        <v>38</v>
      </c>
      <c r="E32" s="30" t="s">
        <v>41</v>
      </c>
      <c r="F32" s="16" t="str">
        <f>VLOOKUP(E32,'[1]BẢNG MÃ'!$A$2:$B$69,2,0)</f>
        <v>TĐ011</v>
      </c>
      <c r="G32" s="31" t="s">
        <v>42</v>
      </c>
      <c r="H32" s="31" t="s">
        <v>42</v>
      </c>
      <c r="I32" s="16" t="s">
        <v>147</v>
      </c>
      <c r="J32" s="16" t="str">
        <f>VLOOKUP(I32,'[1]BẢNG MÃ'!$C$2:$D$69,2,0)</f>
        <v>KP002</v>
      </c>
      <c r="K32" s="16" t="s">
        <v>43</v>
      </c>
      <c r="L32" s="16">
        <v>0</v>
      </c>
      <c r="M32" s="16" t="s">
        <v>33</v>
      </c>
      <c r="N32" s="21">
        <f ca="1">VLOOKUP(A32,'[1]Bieu 1a'!$A$8:$AW$855,10,0)</f>
        <v>35</v>
      </c>
      <c r="O32" s="22">
        <f>VLOOKUP(A32,'[1]Bieu 1a'!$A$8:$AW$855,8,0)</f>
        <v>0</v>
      </c>
      <c r="P32" s="22">
        <f>VLOOKUP(A32,'[1]Bieu 1a'!$A$8:$AW$855,9,0)</f>
        <v>33223</v>
      </c>
      <c r="Q32" s="23" t="s">
        <v>50</v>
      </c>
      <c r="R32" s="24" t="str">
        <f>VLOOKUP(A32,'[1]Bieu 1a'!$A$8:$AW$855,23,0)</f>
        <v>10/6/2013</v>
      </c>
      <c r="S32" s="25" t="s">
        <v>206</v>
      </c>
      <c r="T32" s="26" t="s">
        <v>207</v>
      </c>
      <c r="U32" s="16"/>
      <c r="V32" s="16" t="str">
        <f>IFERROR(VLOOKUP(A32,'[2]19.6.2026'!$A$9:$L$1111,5,0),"")</f>
        <v>000381/LS-CCHN</v>
      </c>
      <c r="W32" s="16" t="str">
        <f>IFERROR(VLOOKUP(A32,'[2]19.6.2026'!$A$9:$L$1111,6,0),"")</f>
        <v>11/12/2022</v>
      </c>
      <c r="X32" s="16"/>
      <c r="Y32" s="21" t="str">
        <f>IFERROR(VLOOKUP(A32,'[2]19.6.2026'!$A$9:$L$1111,7,0),"")</f>
        <v>Thực hiện phạm vi hoạt động chuyên môn theo quy định tại Thông tư số 26/2015/TTLT-BYT-BNV ngày 07/10/2015 quy định mã số, tiêu chuẩn chức danh nghề nghiệp điều dưỡng, hộ sinh, kỹ thuật y</v>
      </c>
      <c r="Z32" s="16"/>
      <c r="AA32" s="27" t="str">
        <f>IFERROR(VLOOKUP(A32,'[3]DS UPLOAD 2026 (2)'!$A$2:$P$1111,16,0),"")</f>
        <v/>
      </c>
      <c r="AB32" s="27" t="s">
        <v>208</v>
      </c>
      <c r="AC32" s="28"/>
    </row>
    <row r="33" spans="1:29" ht="18" customHeight="1" x14ac:dyDescent="0.3">
      <c r="A33" s="43" t="s">
        <v>209</v>
      </c>
      <c r="B33" s="44" t="s">
        <v>210</v>
      </c>
      <c r="C33" s="45" t="s">
        <v>209</v>
      </c>
      <c r="D33" s="23" t="s">
        <v>38</v>
      </c>
      <c r="E33" s="23" t="s">
        <v>41</v>
      </c>
      <c r="F33" s="16" t="str">
        <f>VLOOKUP(E33,'[1]BẢNG MÃ'!$A$2:$B$69,2,0)</f>
        <v>TĐ011</v>
      </c>
      <c r="G33" s="27"/>
      <c r="H33" s="20" t="s">
        <v>42</v>
      </c>
      <c r="I33" s="27" t="s">
        <v>147</v>
      </c>
      <c r="J33" s="16" t="str">
        <f>VLOOKUP(I33,'[1]BẢNG MÃ'!$C$2:$D$69,2,0)</f>
        <v>KP002</v>
      </c>
      <c r="K33" s="27"/>
      <c r="L33" s="27"/>
      <c r="M33" s="16" t="s">
        <v>33</v>
      </c>
      <c r="N33" s="21">
        <f ca="1">VLOOKUP(A33,'[1]Bieu 1a'!$A$8:$AW$855,10,0)</f>
        <v>24</v>
      </c>
      <c r="O33" s="22">
        <f>VLOOKUP(A33,'[1]Bieu 1a'!$A$8:$AW$855,8,0)</f>
        <v>0</v>
      </c>
      <c r="P33" s="22" t="str">
        <f>VLOOKUP(A33,'[1]Bieu 1a'!$A$8:$AW$855,9,0)</f>
        <v>14/09/2001</v>
      </c>
      <c r="Q33" s="23" t="s">
        <v>50</v>
      </c>
      <c r="R33" s="24">
        <f>VLOOKUP(A33,'[1]Bieu 1a'!$A$8:$AW$855,23,0)</f>
        <v>45250</v>
      </c>
      <c r="S33" s="25" t="s">
        <v>211</v>
      </c>
      <c r="T33" s="26">
        <v>0</v>
      </c>
      <c r="U33" s="52">
        <f>EDATE(R33,9)</f>
        <v>45524</v>
      </c>
      <c r="V33" s="16" t="str">
        <f>IFERROR(VLOOKUP(A33,'[2]19.6.2026'!$A$9:$L$1111,5,0),"")</f>
        <v>000208/LS-GPHN</v>
      </c>
      <c r="W33" s="16">
        <f>IFERROR(VLOOKUP(A33,'[2]19.6.2026'!$A$9:$L$1111,6,0),"")</f>
        <v>45708</v>
      </c>
      <c r="X33" s="16"/>
      <c r="Y33" s="21" t="str">
        <f>IFERROR(VLOOKUP(A33,'[2]19.6.2026'!$A$9:$L$1111,7,0),"")</f>
        <v>Điều dưỡng</v>
      </c>
      <c r="Z33" s="16"/>
      <c r="AA33" s="27" t="str">
        <f>IFERROR(VLOOKUP(A33,'[3]DS UPLOAD 2026 (2)'!$A$2:$P$1111,16,0),"")</f>
        <v/>
      </c>
      <c r="AB33" s="44" t="s">
        <v>212</v>
      </c>
      <c r="AC33" s="29" t="s">
        <v>213</v>
      </c>
    </row>
    <row r="34" spans="1:29" ht="18" customHeight="1" x14ac:dyDescent="0.3">
      <c r="A34" s="17" t="s">
        <v>214</v>
      </c>
      <c r="B34" s="36" t="s">
        <v>215</v>
      </c>
      <c r="C34" s="17" t="s">
        <v>214</v>
      </c>
      <c r="D34" s="19" t="s">
        <v>38</v>
      </c>
      <c r="E34" s="19" t="s">
        <v>61</v>
      </c>
      <c r="F34" s="16" t="str">
        <f>VLOOKUP(E34,'[1]BẢNG MÃ'!$A$2:$B$69,2,0)</f>
        <v>TĐ012</v>
      </c>
      <c r="G34" s="20"/>
      <c r="H34" s="20" t="s">
        <v>62</v>
      </c>
      <c r="I34" s="16" t="s">
        <v>147</v>
      </c>
      <c r="J34" s="16" t="str">
        <f>VLOOKUP(I34,'[1]BẢNG MÃ'!$C$2:$D$69,2,0)</f>
        <v>KP002</v>
      </c>
      <c r="K34" s="37"/>
      <c r="L34" s="16"/>
      <c r="M34" s="23" t="s">
        <v>33</v>
      </c>
      <c r="N34" s="21">
        <f ca="1">VLOOKUP(A34,'[1]Bieu 1a'!$A$8:$AW$855,10,0)</f>
        <v>34</v>
      </c>
      <c r="O34" s="22">
        <f>VLOOKUP(A34,'[1]Bieu 1a'!$A$8:$AW$855,8,0)</f>
        <v>0</v>
      </c>
      <c r="P34" s="22">
        <f>VLOOKUP(A34,'[1]Bieu 1a'!$A$8:$AW$855,9,0)</f>
        <v>33678</v>
      </c>
      <c r="Q34" s="23" t="s">
        <v>44</v>
      </c>
      <c r="R34" s="24" t="str">
        <f>VLOOKUP(A34,'[1]Bieu 1a'!$A$8:$AW$855,23,0)</f>
        <v>12/11/2018</v>
      </c>
      <c r="S34" s="25" t="s">
        <v>216</v>
      </c>
      <c r="T34" s="26">
        <v>0</v>
      </c>
      <c r="U34" s="22"/>
      <c r="V34" s="16" t="str">
        <f>IFERROR(VLOOKUP(A34,'[2]19.6.2026'!$A$9:$L$1111,5,0),"")</f>
        <v>003268/LS-CCHN</v>
      </c>
      <c r="W34" s="16" t="str">
        <f>IFERROR(VLOOKUP(A34,'[2]19.6.2026'!$A$9:$L$1111,6,0),"")</f>
        <v>07/06/2018</v>
      </c>
      <c r="X34" s="16"/>
      <c r="Y34" s="21" t="str">
        <f>IFERROR(VLOOKUP(A34,'[2]19.6.2026'!$A$9:$L$1111,7,0),"")</f>
        <v>Thực hiện phạm vi hoạt động chuyên môn theo quy định tại Thông tư số 26/2015/TTLT-BYT-BNV ngày 07/10/2015 quy định mã số, tiêu chuẩn chức danh nghề nghiệp điều dưỡng, hộ sinh, kỹ thuật y</v>
      </c>
      <c r="Z34" s="16"/>
      <c r="AA34" s="27" t="str">
        <f>IFERROR(VLOOKUP(A34,'[3]DS UPLOAD 2026 (2)'!$A$2:$P$1111,16,0),"")</f>
        <v/>
      </c>
      <c r="AB34" s="27" t="s">
        <v>217</v>
      </c>
      <c r="AC34" s="29" t="s">
        <v>85</v>
      </c>
    </row>
    <row r="35" spans="1:29" ht="18" customHeight="1" x14ac:dyDescent="0.3">
      <c r="A35" s="17" t="s">
        <v>218</v>
      </c>
      <c r="B35" s="38" t="s">
        <v>219</v>
      </c>
      <c r="C35" s="17" t="s">
        <v>218</v>
      </c>
      <c r="D35" s="19" t="s">
        <v>38</v>
      </c>
      <c r="E35" s="19" t="s">
        <v>61</v>
      </c>
      <c r="F35" s="16" t="str">
        <f>VLOOKUP(E35,'[1]BẢNG MÃ'!$A$2:$B$69,2,0)</f>
        <v>TĐ012</v>
      </c>
      <c r="G35" s="38"/>
      <c r="H35" s="20" t="s">
        <v>62</v>
      </c>
      <c r="I35" s="16" t="s">
        <v>147</v>
      </c>
      <c r="J35" s="16" t="str">
        <f>VLOOKUP(I35,'[1]BẢNG MÃ'!$C$2:$D$69,2,0)</f>
        <v>KP002</v>
      </c>
      <c r="K35" s="16"/>
      <c r="L35" s="16"/>
      <c r="M35" s="23" t="s">
        <v>33</v>
      </c>
      <c r="N35" s="21">
        <f ca="1">VLOOKUP(A35,'[1]Bieu 1a'!$A$8:$AW$855,10,0)</f>
        <v>28</v>
      </c>
      <c r="O35" s="22">
        <f>VLOOKUP(A35,'[1]Bieu 1a'!$A$8:$AW$855,8,0)</f>
        <v>0</v>
      </c>
      <c r="P35" s="22" t="str">
        <f>VLOOKUP(A35,'[1]Bieu 1a'!$A$8:$AW$855,9,0)</f>
        <v>04/10/1997</v>
      </c>
      <c r="Q35" s="23" t="s">
        <v>44</v>
      </c>
      <c r="R35" s="24" t="str">
        <f>VLOOKUP(A35,'[1]Bieu 1a'!$A$8:$AW$855,23,0)</f>
        <v>17/4/2019</v>
      </c>
      <c r="S35" s="25" t="s">
        <v>220</v>
      </c>
      <c r="T35" s="26">
        <v>0</v>
      </c>
      <c r="U35" s="22"/>
      <c r="V35" s="16" t="str">
        <f>IFERROR(VLOOKUP(A35,'[2]19.6.2026'!$A$9:$L$1111,5,0),"")</f>
        <v>003801/LS-CCHN</v>
      </c>
      <c r="W35" s="16" t="str">
        <f>IFERROR(VLOOKUP(A35,'[2]19.6.2026'!$A$9:$L$1111,6,0),"")</f>
        <v>21/07/2020</v>
      </c>
      <c r="X35" s="16"/>
      <c r="Y35" s="21" t="str">
        <f>IFERROR(VLOOKUP(A35,'[2]19.6.2026'!$A$9:$L$1111,7,0),"")</f>
        <v>Thực hiện phạm vi hoạt động chuyên môn theo quy định tại Thông tư số 26/2015/TTLT-BYT-BNV ngày 07/10/2015 quy định mã số, tiêu chuẩn chức danh nghề nghiệp điều dưỡng, hộ sinh, kỹ thuật y</v>
      </c>
      <c r="Z35" s="16"/>
      <c r="AA35" s="27" t="str">
        <f>IFERROR(VLOOKUP(A35,'[3]DS UPLOAD 2026 (2)'!$A$2:$P$1111,16,0),"")</f>
        <v/>
      </c>
      <c r="AB35" s="27" t="s">
        <v>221</v>
      </c>
      <c r="AC35" s="29" t="s">
        <v>222</v>
      </c>
    </row>
    <row r="36" spans="1:29" ht="18" customHeight="1" x14ac:dyDescent="0.3">
      <c r="A36" s="17" t="s">
        <v>223</v>
      </c>
      <c r="B36" s="18" t="s">
        <v>224</v>
      </c>
      <c r="C36" s="17" t="s">
        <v>223</v>
      </c>
      <c r="D36" s="19" t="s">
        <v>38</v>
      </c>
      <c r="E36" s="19" t="s">
        <v>61</v>
      </c>
      <c r="F36" s="16" t="str">
        <f>VLOOKUP(E36,'[1]BẢNG MÃ'!$A$2:$B$69,2,0)</f>
        <v>TĐ012</v>
      </c>
      <c r="G36" s="20" t="s">
        <v>62</v>
      </c>
      <c r="H36" s="20" t="s">
        <v>62</v>
      </c>
      <c r="I36" s="16" t="s">
        <v>147</v>
      </c>
      <c r="J36" s="16" t="str">
        <f>VLOOKUP(I36,'[1]BẢNG MÃ'!$C$2:$D$69,2,0)</f>
        <v>KP002</v>
      </c>
      <c r="K36" s="16" t="s">
        <v>43</v>
      </c>
      <c r="L36" s="16">
        <v>0</v>
      </c>
      <c r="M36" s="16" t="s">
        <v>33</v>
      </c>
      <c r="N36" s="21">
        <f ca="1">VLOOKUP(A36,'[1]Bieu 1a'!$A$8:$AW$855,10,0)</f>
        <v>40</v>
      </c>
      <c r="O36" s="22">
        <f>VLOOKUP(A36,'[1]Bieu 1a'!$A$8:$AW$855,8,0)</f>
        <v>0</v>
      </c>
      <c r="P36" s="22">
        <f>VLOOKUP(A36,'[1]Bieu 1a'!$A$8:$AW$855,9,0)</f>
        <v>31334</v>
      </c>
      <c r="Q36" s="23" t="s">
        <v>44</v>
      </c>
      <c r="R36" s="24" t="str">
        <f>VLOOKUP(A36,'[1]Bieu 1a'!$A$8:$AW$855,23,0)</f>
        <v>15/1/2010</v>
      </c>
      <c r="S36" s="25" t="s">
        <v>225</v>
      </c>
      <c r="T36" s="26" t="s">
        <v>226</v>
      </c>
      <c r="U36" s="22"/>
      <c r="V36" s="16" t="str">
        <f>IFERROR(VLOOKUP(A36,'[2]19.6.2026'!$A$9:$L$1111,5,0),"")</f>
        <v>000832/LS-CCHN</v>
      </c>
      <c r="W36" s="16" t="str">
        <f>IFERROR(VLOOKUP(A36,'[2]19.6.2026'!$A$9:$L$1111,6,0),"")</f>
        <v>11/01/2023</v>
      </c>
      <c r="X36" s="16"/>
      <c r="Y36" s="21" t="str">
        <f>IFERROR(VLOOKUP(A36,'[2]19.6.2026'!$A$9:$L$1111,7,0),"")</f>
        <v>Thực hiện phạm vi hoạt động chuyên môn theo Thông tư số 26/2015/TTLT-BYT-BNV ngày 07/10/2015 quy định  mã số, tiêu chuẩn chức danh nghề nghiệp, điều dưỡng, hộ sinh, kỹ thuật y</v>
      </c>
      <c r="Z36" s="16"/>
      <c r="AA36" s="27" t="str">
        <f>IFERROR(VLOOKUP(A36,'[3]DS UPLOAD 2026 (2)'!$A$2:$P$1111,16,0),"")</f>
        <v/>
      </c>
      <c r="AB36" s="27">
        <v>384298976</v>
      </c>
      <c r="AC36" s="28"/>
    </row>
    <row r="37" spans="1:29" ht="18" customHeight="1" x14ac:dyDescent="0.3">
      <c r="A37" s="17" t="s">
        <v>227</v>
      </c>
      <c r="B37" s="36" t="s">
        <v>228</v>
      </c>
      <c r="C37" s="17" t="s">
        <v>227</v>
      </c>
      <c r="D37" s="19" t="s">
        <v>38</v>
      </c>
      <c r="E37" s="19" t="s">
        <v>61</v>
      </c>
      <c r="F37" s="16" t="str">
        <f>VLOOKUP(E37,'[1]BẢNG MÃ'!$A$2:$B$69,2,0)</f>
        <v>TĐ012</v>
      </c>
      <c r="G37" s="20"/>
      <c r="H37" s="20" t="s">
        <v>62</v>
      </c>
      <c r="I37" s="16" t="s">
        <v>147</v>
      </c>
      <c r="J37" s="16" t="str">
        <f>VLOOKUP(I37,'[1]BẢNG MÃ'!$C$2:$D$69,2,0)</f>
        <v>KP002</v>
      </c>
      <c r="K37" s="37"/>
      <c r="L37" s="16"/>
      <c r="M37" s="23" t="s">
        <v>33</v>
      </c>
      <c r="N37" s="21">
        <f ca="1">VLOOKUP(A37,'[1]Bieu 1a'!$A$8:$AW$855,10,0)</f>
        <v>33</v>
      </c>
      <c r="O37" s="22">
        <f>VLOOKUP(A37,'[1]Bieu 1a'!$A$8:$AW$855,8,0)</f>
        <v>0</v>
      </c>
      <c r="P37" s="22">
        <f>VLOOKUP(A37,'[1]Bieu 1a'!$A$8:$AW$855,9,0)</f>
        <v>34133</v>
      </c>
      <c r="Q37" s="23" t="s">
        <v>44</v>
      </c>
      <c r="R37" s="24" t="str">
        <f>VLOOKUP(A37,'[1]Bieu 1a'!$A$8:$AW$855,23,0)</f>
        <v>01/11/2018</v>
      </c>
      <c r="S37" s="25" t="s">
        <v>229</v>
      </c>
      <c r="T37" s="26">
        <v>0</v>
      </c>
      <c r="U37" s="22"/>
      <c r="V37" s="16" t="str">
        <f>IFERROR(VLOOKUP(A37,'[2]19.6.2026'!$A$9:$L$1111,5,0),"")</f>
        <v>003711/LS-CCHN</v>
      </c>
      <c r="W37" s="16" t="str">
        <f>IFERROR(VLOOKUP(A37,'[2]19.6.2026'!$A$9:$L$1111,6,0),"")</f>
        <v>17/04/2020</v>
      </c>
      <c r="X37" s="16"/>
      <c r="Y37" s="21" t="str">
        <f>IFERROR(VLOOKUP(A37,'[2]19.6.2026'!$A$9:$L$1111,7,0),"")</f>
        <v>Thực hiện phạm vi hoạt động chuyên môn theo quy định tại Thông tư số 26/2015/TTLT-BYT-BNV ngày 07/10/2015 quy định mã số, tiêu chuẩn chức danh nghề nghiệp điều dưỡng, hộ sinh, kỹ thuật y</v>
      </c>
      <c r="Z37" s="16"/>
      <c r="AA37" s="27" t="str">
        <f>IFERROR(VLOOKUP(A37,'[3]DS UPLOAD 2026 (2)'!$A$2:$P$1111,16,0),"")</f>
        <v/>
      </c>
      <c r="AB37" s="27" t="s">
        <v>230</v>
      </c>
      <c r="AC37" s="29" t="s">
        <v>85</v>
      </c>
    </row>
    <row r="38" spans="1:29" ht="18" customHeight="1" x14ac:dyDescent="0.3">
      <c r="A38" s="17" t="s">
        <v>231</v>
      </c>
      <c r="B38" s="36" t="s">
        <v>232</v>
      </c>
      <c r="C38" s="17" t="s">
        <v>231</v>
      </c>
      <c r="D38" s="19" t="s">
        <v>38</v>
      </c>
      <c r="E38" s="19" t="s">
        <v>61</v>
      </c>
      <c r="F38" s="16" t="str">
        <f>VLOOKUP(E38,'[1]BẢNG MÃ'!$A$2:$B$69,2,0)</f>
        <v>TĐ012</v>
      </c>
      <c r="G38" s="20"/>
      <c r="H38" s="20" t="s">
        <v>62</v>
      </c>
      <c r="I38" s="16" t="s">
        <v>147</v>
      </c>
      <c r="J38" s="16" t="str">
        <f>VLOOKUP(I38,'[1]BẢNG MÃ'!$C$2:$D$69,2,0)</f>
        <v>KP002</v>
      </c>
      <c r="K38" s="37"/>
      <c r="L38" s="16"/>
      <c r="M38" s="23" t="s">
        <v>33</v>
      </c>
      <c r="N38" s="21">
        <f ca="1">VLOOKUP(A38,'[1]Bieu 1a'!$A$8:$AW$855,10,0)</f>
        <v>34</v>
      </c>
      <c r="O38" s="22">
        <f>VLOOKUP(A38,'[1]Bieu 1a'!$A$8:$AW$855,8,0)</f>
        <v>0</v>
      </c>
      <c r="P38" s="22">
        <f>VLOOKUP(A38,'[1]Bieu 1a'!$A$8:$AW$855,9,0)</f>
        <v>33486</v>
      </c>
      <c r="Q38" s="23" t="s">
        <v>50</v>
      </c>
      <c r="R38" s="24" t="str">
        <f>VLOOKUP(A38,'[1]Bieu 1a'!$A$8:$AW$855,23,0)</f>
        <v>01/11/2018</v>
      </c>
      <c r="S38" s="25" t="s">
        <v>233</v>
      </c>
      <c r="T38" s="26">
        <v>0</v>
      </c>
      <c r="U38" s="22"/>
      <c r="V38" s="16" t="str">
        <f>IFERROR(VLOOKUP(A38,'[2]19.6.2026'!$A$9:$L$1111,5,0),"")</f>
        <v>003717/LS-CCHN</v>
      </c>
      <c r="W38" s="16" t="str">
        <f>IFERROR(VLOOKUP(A38,'[2]19.6.2026'!$A$9:$L$1111,6,0),"")</f>
        <v>22/05/2020</v>
      </c>
      <c r="X38" s="16"/>
      <c r="Y38" s="21" t="str">
        <f>IFERROR(VLOOKUP(A38,'[2]19.6.2026'!$A$9:$L$1111,7,0),"")</f>
        <v>Thực hiện phạm vi hoạt động chuyên môn theo quy định tại Thông tư số 26/2015/TTLT-BYT-BNV ngày 07/10/2015 quy định mã số, tiêu chuẩn chức danh nghề nghiệp điều dưỡng, hộ sinh, kỹ thuật y</v>
      </c>
      <c r="Z38" s="16"/>
      <c r="AA38" s="27" t="str">
        <f>IFERROR(VLOOKUP(A38,'[3]DS UPLOAD 2026 (2)'!$A$2:$P$1111,16,0),"")</f>
        <v/>
      </c>
      <c r="AB38" s="27" t="s">
        <v>234</v>
      </c>
      <c r="AC38" s="29" t="s">
        <v>85</v>
      </c>
    </row>
    <row r="39" spans="1:29" ht="17.25" customHeight="1" x14ac:dyDescent="0.3">
      <c r="A39" s="17" t="s">
        <v>235</v>
      </c>
      <c r="B39" s="18" t="s">
        <v>236</v>
      </c>
      <c r="C39" s="17" t="s">
        <v>235</v>
      </c>
      <c r="D39" s="19"/>
      <c r="E39" s="19" t="s">
        <v>61</v>
      </c>
      <c r="F39" s="16" t="str">
        <f>VLOOKUP(E39,'[1]BẢNG MÃ'!$A$2:$B$69,2,0)</f>
        <v>TĐ012</v>
      </c>
      <c r="G39" s="20"/>
      <c r="H39" s="20" t="s">
        <v>62</v>
      </c>
      <c r="I39" s="16" t="s">
        <v>147</v>
      </c>
      <c r="J39" s="16" t="str">
        <f>VLOOKUP(I39,'[1]BẢNG MÃ'!$C$2:$D$69,2,0)</f>
        <v>KP002</v>
      </c>
      <c r="K39" s="16"/>
      <c r="L39" s="16"/>
      <c r="M39" s="23" t="s">
        <v>33</v>
      </c>
      <c r="N39" s="21">
        <f ca="1">VLOOKUP(A39,'[1]Bieu 1a'!$A$8:$AW$855,10,0)</f>
        <v>35</v>
      </c>
      <c r="O39" s="22" t="str">
        <f>VLOOKUP(A39,'[1]Bieu 1a'!$A$8:$AW$855,8,0)</f>
        <v>04/6/1991</v>
      </c>
      <c r="P39" s="22">
        <f>VLOOKUP(A39,'[1]Bieu 1a'!$A$8:$AW$855,9,0)</f>
        <v>0</v>
      </c>
      <c r="Q39" s="23" t="s">
        <v>44</v>
      </c>
      <c r="R39" s="24" t="str">
        <f>VLOOKUP(A39,'[1]Bieu 1a'!$A$8:$AW$855,23,0)</f>
        <v xml:space="preserve"> 29/8/2016</v>
      </c>
      <c r="S39" s="25" t="s">
        <v>237</v>
      </c>
      <c r="T39" s="26">
        <v>0</v>
      </c>
      <c r="U39" s="22"/>
      <c r="V39" s="16" t="str">
        <f>IFERROR(VLOOKUP(A39,'[2]19.6.2026'!$A$9:$L$1111,5,0),"")</f>
        <v>002164/LS-CCHN</v>
      </c>
      <c r="W39" s="16" t="str">
        <f>IFERROR(VLOOKUP(A39,'[2]19.6.2026'!$A$9:$L$1111,6,0),"")</f>
        <v>29/12/2017</v>
      </c>
      <c r="X39" s="16"/>
      <c r="Y39" s="21" t="str">
        <f>IFERROR(VLOOKUP(A39,'[2]19.6.2026'!$A$9:$L$1111,7,0),"")</f>
        <v>Thực hiện phạm vi hoạt động chuyên môn theo quy định tại Thông tư số 26/2015/TTLT-BYT-BNV ngày 07/10/2015 quy định mã số, tiêu chuẩn chức danh nghề nghiệp điều dưỡng, hộ sinh, kỹ thuật y</v>
      </c>
      <c r="Z39" s="16"/>
      <c r="AA39" s="27" t="str">
        <f>IFERROR(VLOOKUP(A39,'[3]DS UPLOAD 2026 (2)'!$A$2:$P$1111,16,0),"")</f>
        <v/>
      </c>
      <c r="AB39" s="27" t="s">
        <v>238</v>
      </c>
      <c r="AC39" s="29" t="s">
        <v>239</v>
      </c>
    </row>
    <row r="40" spans="1:29" ht="18" customHeight="1" x14ac:dyDescent="0.3">
      <c r="A40" s="17" t="s">
        <v>240</v>
      </c>
      <c r="B40" s="36" t="s">
        <v>241</v>
      </c>
      <c r="C40" s="17" t="s">
        <v>240</v>
      </c>
      <c r="D40" s="53" t="s">
        <v>38</v>
      </c>
      <c r="E40" s="19" t="s">
        <v>61</v>
      </c>
      <c r="F40" s="16" t="str">
        <f>VLOOKUP(E40,'[1]BẢNG MÃ'!$A$2:$B$69,2,0)</f>
        <v>TĐ012</v>
      </c>
      <c r="G40" s="20"/>
      <c r="H40" s="20" t="s">
        <v>62</v>
      </c>
      <c r="I40" s="16" t="s">
        <v>147</v>
      </c>
      <c r="J40" s="16" t="str">
        <f>VLOOKUP(I40,'[1]BẢNG MÃ'!$C$2:$D$69,2,0)</f>
        <v>KP002</v>
      </c>
      <c r="K40" s="16"/>
      <c r="L40" s="16"/>
      <c r="M40" s="16" t="s">
        <v>33</v>
      </c>
      <c r="N40" s="21">
        <f ca="1">VLOOKUP(A40,'[1]Bieu 1a'!$A$8:$AW$855,10,0)</f>
        <v>30</v>
      </c>
      <c r="O40" s="22">
        <f>VLOOKUP(A40,'[1]Bieu 1a'!$A$8:$AW$855,8,0)</f>
        <v>0</v>
      </c>
      <c r="P40" s="22" t="str">
        <f>VLOOKUP(A40,'[1]Bieu 1a'!$A$8:$AW$855,9,0)</f>
        <v>19/01/1996</v>
      </c>
      <c r="Q40" s="23" t="s">
        <v>44</v>
      </c>
      <c r="R40" s="24" t="str">
        <f>VLOOKUP(A40,'[1]Bieu 1a'!$A$8:$AW$855,23,0)</f>
        <v>13/7/2020</v>
      </c>
      <c r="S40" s="25" t="s">
        <v>242</v>
      </c>
      <c r="T40" s="26">
        <v>0</v>
      </c>
      <c r="U40" s="16"/>
      <c r="V40" s="16" t="str">
        <f>IFERROR(VLOOKUP(A40,'[2]19.6.2026'!$A$9:$L$1111,5,0),"")</f>
        <v>004396/LS-CCHN</v>
      </c>
      <c r="W40" s="16" t="str">
        <f>IFERROR(VLOOKUP(A40,'[2]19.6.2026'!$A$9:$L$1111,6,0),"")</f>
        <v>20/12/2021</v>
      </c>
      <c r="X40" s="16"/>
      <c r="Y40" s="21" t="str">
        <f>IFERROR(VLOOKUP(A40,'[2]19.6.2026'!$A$9:$L$1111,7,0),"")</f>
        <v>Thực hiện phạm vi hoạt động chuyên môn theo quy định tại Thông tư số 26/2015/TTLT-BYT-BNV ngày 07/10/2015 quy định mã số, tiêu chuẩn chức danh nghề nghiệp điều dưỡng, hộ sinh, kỹ thuật y</v>
      </c>
      <c r="Z40" s="16"/>
      <c r="AA40" s="27" t="str">
        <f>IFERROR(VLOOKUP(A40,'[3]DS UPLOAD 2026 (2)'!$A$2:$P$1111,16,0),"")</f>
        <v/>
      </c>
      <c r="AB40" s="50" t="s">
        <v>243</v>
      </c>
      <c r="AC40" s="29" t="s">
        <v>244</v>
      </c>
    </row>
    <row r="41" spans="1:29" ht="18" customHeight="1" x14ac:dyDescent="0.3">
      <c r="A41" s="17" t="s">
        <v>245</v>
      </c>
      <c r="B41" s="36" t="s">
        <v>246</v>
      </c>
      <c r="C41" s="17" t="s">
        <v>245</v>
      </c>
      <c r="D41" s="53" t="s">
        <v>38</v>
      </c>
      <c r="E41" s="19" t="s">
        <v>61</v>
      </c>
      <c r="F41" s="16" t="str">
        <f>VLOOKUP(E41,'[1]BẢNG MÃ'!$A$2:$B$69,2,0)</f>
        <v>TĐ012</v>
      </c>
      <c r="G41" s="20"/>
      <c r="H41" s="20" t="s">
        <v>62</v>
      </c>
      <c r="I41" s="16" t="s">
        <v>147</v>
      </c>
      <c r="J41" s="16" t="str">
        <f>VLOOKUP(I41,'[1]BẢNG MÃ'!$C$2:$D$69,2,0)</f>
        <v>KP002</v>
      </c>
      <c r="K41" s="16"/>
      <c r="L41" s="16"/>
      <c r="M41" s="16" t="s">
        <v>33</v>
      </c>
      <c r="N41" s="21">
        <f ca="1">VLOOKUP(A41,'[1]Bieu 1a'!$A$8:$AW$855,10,0)</f>
        <v>28</v>
      </c>
      <c r="O41" s="22">
        <f>VLOOKUP(A41,'[1]Bieu 1a'!$A$8:$AW$855,8,0)</f>
        <v>0</v>
      </c>
      <c r="P41" s="22" t="str">
        <f>VLOOKUP(A41,'[1]Bieu 1a'!$A$8:$AW$855,9,0)</f>
        <v>09/3/1998</v>
      </c>
      <c r="Q41" s="23" t="s">
        <v>50</v>
      </c>
      <c r="R41" s="24" t="str">
        <f>VLOOKUP(A41,'[1]Bieu 1a'!$A$8:$AW$855,23,0)</f>
        <v>13/7/2020</v>
      </c>
      <c r="S41" s="25" t="s">
        <v>247</v>
      </c>
      <c r="T41" s="26" t="s">
        <v>248</v>
      </c>
      <c r="U41" s="16"/>
      <c r="V41" s="16" t="str">
        <f>IFERROR(VLOOKUP(A41,'[2]19.6.2026'!$A$9:$L$1111,5,0),"")</f>
        <v>004405/LS-CCHN</v>
      </c>
      <c r="W41" s="16" t="str">
        <f>IFERROR(VLOOKUP(A41,'[2]19.6.2026'!$A$9:$L$1111,6,0),"")</f>
        <v>20/12/2021</v>
      </c>
      <c r="X41" s="16"/>
      <c r="Y41" s="21" t="str">
        <f>IFERROR(VLOOKUP(A41,'[2]19.6.2026'!$A$9:$L$1111,7,0),"")</f>
        <v>Thực hiện phạm vi hoạt động chuyên môn theo quy định tại Thông tư số 26/2015/TTLT-BYT-BNV ngày 07/10/2015 quy định mã số, tiêu chuẩn chức danh nghề nghiệp điều dưỡng, hộ sinh, kỹ thuật y</v>
      </c>
      <c r="Z41" s="16"/>
      <c r="AA41" s="27" t="str">
        <f>IFERROR(VLOOKUP(A41,'[3]DS UPLOAD 2026 (2)'!$A$2:$P$1111,16,0),"")</f>
        <v/>
      </c>
      <c r="AB41" s="50" t="s">
        <v>249</v>
      </c>
      <c r="AC41" s="29" t="s">
        <v>244</v>
      </c>
    </row>
    <row r="42" spans="1:29" ht="18" customHeight="1" x14ac:dyDescent="0.3">
      <c r="A42" s="17" t="s">
        <v>250</v>
      </c>
      <c r="B42" s="36" t="s">
        <v>251</v>
      </c>
      <c r="C42" s="17" t="s">
        <v>250</v>
      </c>
      <c r="D42" s="19"/>
      <c r="E42" s="19" t="s">
        <v>61</v>
      </c>
      <c r="F42" s="16" t="str">
        <f>VLOOKUP(E42,'[1]BẢNG MÃ'!$A$2:$B$69,2,0)</f>
        <v>TĐ012</v>
      </c>
      <c r="G42" s="20"/>
      <c r="H42" s="20" t="s">
        <v>62</v>
      </c>
      <c r="I42" s="16" t="s">
        <v>147</v>
      </c>
      <c r="J42" s="16" t="str">
        <f>VLOOKUP(I42,'[1]BẢNG MÃ'!$C$2:$D$69,2,0)</f>
        <v>KP002</v>
      </c>
      <c r="K42" s="19"/>
      <c r="L42" s="16"/>
      <c r="M42" s="16" t="s">
        <v>33</v>
      </c>
      <c r="N42" s="21">
        <f ca="1">VLOOKUP(A42,'[1]Bieu 1a'!$A$8:$AW$855,10,0)</f>
        <v>26</v>
      </c>
      <c r="O42" s="22" t="str">
        <f>VLOOKUP(A42,'[1]Bieu 1a'!$A$8:$AW$855,8,0)</f>
        <v>09/10/1999</v>
      </c>
      <c r="P42" s="22">
        <f>VLOOKUP(A42,'[1]Bieu 1a'!$A$8:$AW$855,9,0)</f>
        <v>0</v>
      </c>
      <c r="Q42" s="23" t="s">
        <v>44</v>
      </c>
      <c r="R42" s="24" t="str">
        <f>VLOOKUP(A42,'[1]Bieu 1a'!$A$8:$AW$855,23,0)</f>
        <v>03/11/2020</v>
      </c>
      <c r="S42" s="25" t="s">
        <v>252</v>
      </c>
      <c r="T42" s="26">
        <v>0</v>
      </c>
      <c r="U42" s="16"/>
      <c r="V42" s="16" t="str">
        <f>IFERROR(VLOOKUP(A42,'[2]19.6.2026'!$A$9:$L$1111,5,0),"")</f>
        <v>004397/LS-CCHN</v>
      </c>
      <c r="W42" s="16" t="str">
        <f>IFERROR(VLOOKUP(A42,'[2]19.6.2026'!$A$9:$L$1111,6,0),"")</f>
        <v>20/12/2021</v>
      </c>
      <c r="X42" s="16"/>
      <c r="Y42" s="21" t="str">
        <f>IFERROR(VLOOKUP(A42,'[2]19.6.2026'!$A$9:$L$1111,7,0),"")</f>
        <v>Thực hiện phạm vi hoạt động chuyên môn theo quy định tại Thông tư số 26/2015/TTLT-BYT-BNV ngày 07/10/2015 quy định mã số, tiêu chuẩn chức danh nghề nghiệp điều dưỡng, hộ sinh, kỹ thuật y</v>
      </c>
      <c r="Z42" s="16"/>
      <c r="AA42" s="27" t="str">
        <f>IFERROR(VLOOKUP(A42,'[3]DS UPLOAD 2026 (2)'!$A$2:$P$1111,16,0),"")</f>
        <v/>
      </c>
      <c r="AB42" s="39" t="s">
        <v>253</v>
      </c>
      <c r="AC42" s="29" t="s">
        <v>97</v>
      </c>
    </row>
    <row r="43" spans="1:29" ht="18" customHeight="1" x14ac:dyDescent="0.3">
      <c r="A43" s="17" t="s">
        <v>254</v>
      </c>
      <c r="B43" s="36" t="s">
        <v>255</v>
      </c>
      <c r="C43" s="17" t="s">
        <v>254</v>
      </c>
      <c r="D43" s="19" t="s">
        <v>38</v>
      </c>
      <c r="E43" s="19" t="s">
        <v>61</v>
      </c>
      <c r="F43" s="16" t="str">
        <f>VLOOKUP(E43,'[1]BẢNG MÃ'!$A$2:$B$69,2,0)</f>
        <v>TĐ012</v>
      </c>
      <c r="G43" s="20"/>
      <c r="H43" s="20" t="s">
        <v>62</v>
      </c>
      <c r="I43" s="16" t="s">
        <v>147</v>
      </c>
      <c r="J43" s="16" t="str">
        <f>VLOOKUP(I43,'[1]BẢNG MÃ'!$C$2:$D$69,2,0)</f>
        <v>KP002</v>
      </c>
      <c r="K43" s="19"/>
      <c r="L43" s="16"/>
      <c r="M43" s="16" t="s">
        <v>136</v>
      </c>
      <c r="N43" s="21">
        <f ca="1">VLOOKUP(A43,'[1]Bieu 1a'!$A$8:$AW$855,10,0)</f>
        <v>27</v>
      </c>
      <c r="O43" s="22">
        <f>VLOOKUP(A43,'[1]Bieu 1a'!$A$8:$AW$855,8,0)</f>
        <v>0</v>
      </c>
      <c r="P43" s="22" t="str">
        <f>VLOOKUP(A43,'[1]Bieu 1a'!$A$8:$AW$855,9,0)</f>
        <v>15/5/1999</v>
      </c>
      <c r="Q43" s="23" t="s">
        <v>44</v>
      </c>
      <c r="R43" s="24" t="str">
        <f>VLOOKUP(A43,'[1]Bieu 1a'!$A$8:$AW$855,23,0)</f>
        <v>03/11/2020</v>
      </c>
      <c r="S43" s="25" t="s">
        <v>256</v>
      </c>
      <c r="T43" s="26">
        <v>0</v>
      </c>
      <c r="U43" s="16"/>
      <c r="V43" s="16" t="str">
        <f>IFERROR(VLOOKUP(A43,'[2]19.6.2026'!$A$9:$L$1111,5,0),"")</f>
        <v>004406/LS-CCHN</v>
      </c>
      <c r="W43" s="16" t="str">
        <f>IFERROR(VLOOKUP(A43,'[2]19.6.2026'!$A$9:$L$1111,6,0),"")</f>
        <v>20/12/2021</v>
      </c>
      <c r="X43" s="16"/>
      <c r="Y43" s="21" t="str">
        <f>IFERROR(VLOOKUP(A43,'[2]19.6.2026'!$A$9:$L$1111,7,0),"")</f>
        <v>Thực hiện phạm vi hoạt động chuyên môn theo quy định tại Thông tư số 26/2015/TTLT-BYT-BNV ngày 07/10/2015 quy định mã số, tiêu chuẩn chức danh nghề nghiệp điều dưỡng, hộ sinh, kỹ thuật y</v>
      </c>
      <c r="Z43" s="16"/>
      <c r="AA43" s="27" t="str">
        <f>IFERROR(VLOOKUP(A43,'[3]DS UPLOAD 2026 (2)'!$A$2:$P$1111,16,0),"")</f>
        <v/>
      </c>
      <c r="AB43" s="39" t="s">
        <v>257</v>
      </c>
      <c r="AC43" s="29" t="s">
        <v>258</v>
      </c>
    </row>
    <row r="44" spans="1:29" ht="18" customHeight="1" x14ac:dyDescent="0.3">
      <c r="A44" s="17" t="s">
        <v>259</v>
      </c>
      <c r="B44" s="36" t="s">
        <v>260</v>
      </c>
      <c r="C44" s="17" t="s">
        <v>259</v>
      </c>
      <c r="D44" s="19"/>
      <c r="E44" s="19" t="s">
        <v>61</v>
      </c>
      <c r="F44" s="16" t="str">
        <f>VLOOKUP(E44,'[1]BẢNG MÃ'!$A$2:$B$69,2,0)</f>
        <v>TĐ012</v>
      </c>
      <c r="G44" s="20"/>
      <c r="H44" s="20" t="s">
        <v>62</v>
      </c>
      <c r="I44" s="16" t="s">
        <v>147</v>
      </c>
      <c r="J44" s="16" t="str">
        <f>VLOOKUP(I44,'[1]BẢNG MÃ'!$C$2:$D$69,2,0)</f>
        <v>KP002</v>
      </c>
      <c r="K44" s="19"/>
      <c r="L44" s="16"/>
      <c r="M44" s="16" t="s">
        <v>136</v>
      </c>
      <c r="N44" s="21">
        <f ca="1">VLOOKUP(A44,'[1]Bieu 1a'!$A$8:$AW$855,10,0)</f>
        <v>27</v>
      </c>
      <c r="O44" s="22" t="str">
        <f>VLOOKUP(A44,'[1]Bieu 1a'!$A$8:$AW$855,8,0)</f>
        <v>16/3/1999</v>
      </c>
      <c r="P44" s="22">
        <f>VLOOKUP(A44,'[1]Bieu 1a'!$A$8:$AW$855,9,0)</f>
        <v>0</v>
      </c>
      <c r="Q44" s="23" t="s">
        <v>44</v>
      </c>
      <c r="R44" s="24" t="str">
        <f>VLOOKUP(A44,'[1]Bieu 1a'!$A$8:$AW$855,23,0)</f>
        <v>03/11/2020</v>
      </c>
      <c r="S44" s="25" t="s">
        <v>261</v>
      </c>
      <c r="T44" s="26">
        <v>0</v>
      </c>
      <c r="U44" s="16"/>
      <c r="V44" s="16" t="str">
        <f>IFERROR(VLOOKUP(A44,'[2]19.6.2026'!$A$9:$L$1111,5,0),"")</f>
        <v>004391/LS-CCHN</v>
      </c>
      <c r="W44" s="16" t="str">
        <f>IFERROR(VLOOKUP(A44,'[2]19.6.2026'!$A$9:$L$1111,6,0),"")</f>
        <v>20/12/2021</v>
      </c>
      <c r="X44" s="16"/>
      <c r="Y44" s="21" t="str">
        <f>IFERROR(VLOOKUP(A44,'[2]19.6.2026'!$A$9:$L$1111,7,0),"")</f>
        <v>Thực hiện phạm vi hoạt động chuyên môn theo quy định tại Thông tư số 26/2015/TTLT-BYT-BNV ngày 07/10/2015 quy định mã số, tiêu chuẩn chức danh nghề nghiệp điều dưỡng, hộ sinh, kỹ thuật y</v>
      </c>
      <c r="Z44" s="16"/>
      <c r="AA44" s="27" t="str">
        <f>IFERROR(VLOOKUP(A44,'[3]DS UPLOAD 2026 (2)'!$A$2:$P$1111,16,0),"")</f>
        <v/>
      </c>
      <c r="AB44" s="39" t="s">
        <v>262</v>
      </c>
      <c r="AC44" s="29" t="s">
        <v>258</v>
      </c>
    </row>
    <row r="45" spans="1:29" ht="18" customHeight="1" x14ac:dyDescent="0.3">
      <c r="A45" s="17" t="s">
        <v>263</v>
      </c>
      <c r="B45" s="18" t="s">
        <v>264</v>
      </c>
      <c r="C45" s="17" t="s">
        <v>263</v>
      </c>
      <c r="D45" s="19" t="s">
        <v>38</v>
      </c>
      <c r="E45" s="19" t="s">
        <v>61</v>
      </c>
      <c r="F45" s="16" t="str">
        <f>VLOOKUP(E45,'[1]BẢNG MÃ'!$A$2:$B$69,2,0)</f>
        <v>TĐ012</v>
      </c>
      <c r="G45" s="20" t="s">
        <v>62</v>
      </c>
      <c r="H45" s="20" t="s">
        <v>62</v>
      </c>
      <c r="I45" s="16" t="s">
        <v>147</v>
      </c>
      <c r="J45" s="16" t="str">
        <f>VLOOKUP(I45,'[1]BẢNG MÃ'!$C$2:$D$69,2,0)</f>
        <v>KP002</v>
      </c>
      <c r="K45" s="16" t="s">
        <v>43</v>
      </c>
      <c r="L45" s="16">
        <v>0</v>
      </c>
      <c r="M45" s="16" t="s">
        <v>33</v>
      </c>
      <c r="N45" s="21">
        <f ca="1">VLOOKUP(A45,'[1]Bieu 1a'!$A$8:$AW$855,10,0)</f>
        <v>45</v>
      </c>
      <c r="O45" s="22">
        <f>VLOOKUP(A45,'[1]Bieu 1a'!$A$8:$AW$855,8,0)</f>
        <v>0</v>
      </c>
      <c r="P45" s="22">
        <f>VLOOKUP(A45,'[1]Bieu 1a'!$A$8:$AW$855,9,0)</f>
        <v>29474</v>
      </c>
      <c r="Q45" s="23" t="s">
        <v>50</v>
      </c>
      <c r="R45" s="24" t="str">
        <f>VLOOKUP(A45,'[1]Bieu 1a'!$A$8:$AW$855,23,0)</f>
        <v>1/12/2008</v>
      </c>
      <c r="S45" s="25" t="s">
        <v>265</v>
      </c>
      <c r="T45" s="26">
        <v>0</v>
      </c>
      <c r="U45" s="22"/>
      <c r="V45" s="16" t="str">
        <f>IFERROR(VLOOKUP(A45,'[2]19.6.2026'!$A$9:$L$1111,5,0),"")</f>
        <v>000781/LS-CCHN</v>
      </c>
      <c r="W45" s="16" t="str">
        <f>IFERROR(VLOOKUP(A45,'[2]19.6.2026'!$A$9:$L$1111,6,0),"")</f>
        <v>24/06/2013</v>
      </c>
      <c r="X45" s="16"/>
      <c r="Y45" s="21" t="str">
        <f>IFERROR(VLOOKUP(A45,'[2]19.6.2026'!$A$9:$L$1111,7,0),"")</f>
        <v>Theo quy định tại Quyết định số 41/2005/QĐ-BNV ngày 22/4/2005 của Bộ trưởng Bộ Nội vụ về việc ban hành tiêu chuẩn nghiệp vụ các ngạch viên chức y tế điều dưỡng</v>
      </c>
      <c r="Z45" s="16"/>
      <c r="AA45" s="27" t="str">
        <f>IFERROR(VLOOKUP(A45,'[3]DS UPLOAD 2026 (2)'!$A$2:$P$1111,16,0),"")</f>
        <v/>
      </c>
      <c r="AB45" s="27" t="s">
        <v>266</v>
      </c>
      <c r="AC45" s="28"/>
    </row>
    <row r="46" spans="1:29" ht="18" customHeight="1" x14ac:dyDescent="0.3">
      <c r="A46" s="17" t="s">
        <v>267</v>
      </c>
      <c r="B46" s="29" t="s">
        <v>268</v>
      </c>
      <c r="C46" s="17" t="s">
        <v>267</v>
      </c>
      <c r="D46" s="19"/>
      <c r="E46" s="19" t="s">
        <v>61</v>
      </c>
      <c r="F46" s="16" t="str">
        <f>VLOOKUP(E46,'[1]BẢNG MÃ'!$A$2:$B$69,2,0)</f>
        <v>TĐ012</v>
      </c>
      <c r="G46" s="20" t="s">
        <v>62</v>
      </c>
      <c r="H46" s="20" t="s">
        <v>62</v>
      </c>
      <c r="I46" s="16" t="s">
        <v>147</v>
      </c>
      <c r="J46" s="16" t="str">
        <f>VLOOKUP(I46,'[1]BẢNG MÃ'!$C$2:$D$69,2,0)</f>
        <v>KP002</v>
      </c>
      <c r="K46" s="16" t="s">
        <v>43</v>
      </c>
      <c r="L46" s="16">
        <v>0</v>
      </c>
      <c r="M46" s="16" t="s">
        <v>33</v>
      </c>
      <c r="N46" s="21">
        <f ca="1">VLOOKUP(A46,'[1]Bieu 1a'!$A$8:$AW$855,10,0)</f>
        <v>39</v>
      </c>
      <c r="O46" s="22">
        <f>VLOOKUP(A46,'[1]Bieu 1a'!$A$8:$AW$855,8,0)</f>
        <v>31723</v>
      </c>
      <c r="P46" s="22">
        <f>VLOOKUP(A46,'[1]Bieu 1a'!$A$8:$AW$855,9,0)</f>
        <v>0</v>
      </c>
      <c r="Q46" s="23" t="s">
        <v>50</v>
      </c>
      <c r="R46" s="24" t="str">
        <f>VLOOKUP(A46,'[1]Bieu 1a'!$A$8:$AW$855,23,0)</f>
        <v>2/1/2009</v>
      </c>
      <c r="S46" s="25" t="s">
        <v>269</v>
      </c>
      <c r="T46" s="26" t="s">
        <v>270</v>
      </c>
      <c r="U46" s="22"/>
      <c r="V46" s="16" t="str">
        <f>IFERROR(VLOOKUP(A46,'[2]19.6.2026'!$A$9:$L$1111,5,0),"")</f>
        <v>000777/LS-CCHN</v>
      </c>
      <c r="W46" s="16" t="str">
        <f>IFERROR(VLOOKUP(A46,'[2]19.6.2026'!$A$9:$L$1111,6,0),"")</f>
        <v>11/01/2023</v>
      </c>
      <c r="X46" s="16"/>
      <c r="Y46" s="21" t="str">
        <f>IFERROR(VLOOKUP(A46,'[2]19.6.2026'!$A$9:$L$1111,7,0),"")</f>
        <v>Thực hiện phạm vi hoạt động chuyên môn theo Thông tư số 26/2015/TTLT-BYT-BNV ngày 07/10/2015 quy định  mã số, tiêu chuẩn chức danh nghề nghiệp, điều dưỡng, hộ sinh, kỹ thuật y</v>
      </c>
      <c r="Z46" s="16"/>
      <c r="AA46" s="27" t="str">
        <f>IFERROR(VLOOKUP(A46,'[3]DS UPLOAD 2026 (2)'!$A$2:$P$1111,16,0),"")</f>
        <v/>
      </c>
      <c r="AB46" s="27" t="s">
        <v>271</v>
      </c>
      <c r="AC46" s="28"/>
    </row>
    <row r="47" spans="1:29" ht="18" customHeight="1" x14ac:dyDescent="0.3">
      <c r="A47" s="17" t="s">
        <v>272</v>
      </c>
      <c r="B47" s="18" t="s">
        <v>273</v>
      </c>
      <c r="C47" s="17" t="s">
        <v>272</v>
      </c>
      <c r="D47" s="19" t="s">
        <v>38</v>
      </c>
      <c r="E47" s="19" t="s">
        <v>61</v>
      </c>
      <c r="F47" s="16" t="str">
        <f>VLOOKUP(E47,'[1]BẢNG MÃ'!$A$2:$B$69,2,0)</f>
        <v>TĐ012</v>
      </c>
      <c r="G47" s="20" t="s">
        <v>62</v>
      </c>
      <c r="H47" s="20" t="s">
        <v>62</v>
      </c>
      <c r="I47" s="16" t="s">
        <v>147</v>
      </c>
      <c r="J47" s="16" t="str">
        <f>VLOOKUP(I47,'[1]BẢNG MÃ'!$C$2:$D$69,2,0)</f>
        <v>KP002</v>
      </c>
      <c r="K47" s="16" t="s">
        <v>43</v>
      </c>
      <c r="L47" s="16">
        <v>0</v>
      </c>
      <c r="M47" s="16" t="s">
        <v>33</v>
      </c>
      <c r="N47" s="21">
        <f ca="1">VLOOKUP(A47,'[1]Bieu 1a'!$A$8:$AW$855,10,0)</f>
        <v>43</v>
      </c>
      <c r="O47" s="22">
        <f>VLOOKUP(A47,'[1]Bieu 1a'!$A$8:$AW$855,8,0)</f>
        <v>0</v>
      </c>
      <c r="P47" s="22">
        <f>VLOOKUP(A47,'[1]Bieu 1a'!$A$8:$AW$855,9,0)</f>
        <v>30227</v>
      </c>
      <c r="Q47" s="23" t="s">
        <v>50</v>
      </c>
      <c r="R47" s="24" t="str">
        <f>VLOOKUP(A47,'[1]Bieu 1a'!$A$8:$AW$855,23,0)</f>
        <v>7/11/2006</v>
      </c>
      <c r="S47" s="25" t="s">
        <v>274</v>
      </c>
      <c r="T47" s="26">
        <v>0</v>
      </c>
      <c r="U47" s="22"/>
      <c r="V47" s="16" t="str">
        <f>IFERROR(VLOOKUP(A47,'[2]19.6.2026'!$A$9:$L$1111,5,0),"")</f>
        <v>000740/LS-CCHN</v>
      </c>
      <c r="W47" s="16" t="str">
        <f>IFERROR(VLOOKUP(A47,'[2]19.6.2026'!$A$9:$L$1111,6,0),"")</f>
        <v>24/06/2013</v>
      </c>
      <c r="X47" s="16"/>
      <c r="Y47" s="21" t="str">
        <f>IFERROR(VLOOKUP(A47,'[2]19.6.2026'!$A$9:$L$1111,7,0),"")</f>
        <v>Theo quy định tại Quyết định số 41/2005/QĐ-BNV ngày 22/4/2005 của Bộ trưởng Bộ Nội vụ về việc ban hành tiêu chuẩn nghiệp vụ các ngạch viên chức y tế điều dưỡng</v>
      </c>
      <c r="Z47" s="16"/>
      <c r="AA47" s="27" t="str">
        <f>IFERROR(VLOOKUP(A47,'[3]DS UPLOAD 2026 (2)'!$A$2:$P$1111,16,0),"")</f>
        <v/>
      </c>
      <c r="AB47" s="27" t="s">
        <v>275</v>
      </c>
      <c r="AC47" s="54"/>
    </row>
    <row r="48" spans="1:29" ht="18" customHeight="1" x14ac:dyDescent="0.3">
      <c r="A48" s="43" t="s">
        <v>276</v>
      </c>
      <c r="B48" s="44" t="s">
        <v>277</v>
      </c>
      <c r="C48" s="45" t="s">
        <v>276</v>
      </c>
      <c r="D48" s="19"/>
      <c r="E48" s="19" t="s">
        <v>61</v>
      </c>
      <c r="F48" s="16" t="str">
        <f>VLOOKUP(E48,'[1]BẢNG MÃ'!$A$2:$B$69,2,0)</f>
        <v>TĐ012</v>
      </c>
      <c r="G48" s="20"/>
      <c r="H48" s="20" t="s">
        <v>62</v>
      </c>
      <c r="I48" s="55" t="s">
        <v>147</v>
      </c>
      <c r="J48" s="16" t="str">
        <f>VLOOKUP(I48,'[1]BẢNG MÃ'!$C$2:$D$69,2,0)</f>
        <v>KP002</v>
      </c>
      <c r="K48" s="16"/>
      <c r="L48" s="16"/>
      <c r="M48" s="16" t="s">
        <v>136</v>
      </c>
      <c r="N48" s="21">
        <f ca="1">VLOOKUP(A48,'[1]Bieu 1a'!$A$8:$AW$855,10,0)</f>
        <v>27</v>
      </c>
      <c r="O48" s="22" t="str">
        <f>VLOOKUP(A48,'[1]Bieu 1a'!$A$8:$AW$855,8,0)</f>
        <v>29/01/1999</v>
      </c>
      <c r="P48" s="22">
        <f>VLOOKUP(A48,'[1]Bieu 1a'!$A$8:$AW$855,9,0)</f>
        <v>0</v>
      </c>
      <c r="Q48" s="23" t="s">
        <v>44</v>
      </c>
      <c r="R48" s="24">
        <f>VLOOKUP(A48,'[1]Bieu 1a'!$A$8:$AW$855,23,0)</f>
        <v>44837</v>
      </c>
      <c r="S48" s="25" t="s">
        <v>278</v>
      </c>
      <c r="T48" s="26">
        <v>0</v>
      </c>
      <c r="U48" s="16"/>
      <c r="V48" s="16" t="str">
        <f>IFERROR(VLOOKUP(A48,'[2]19.6.2026'!$A$9:$L$1111,5,0),"")</f>
        <v>005703/LS-CCHN</v>
      </c>
      <c r="W48" s="16" t="str">
        <f>IFERROR(VLOOKUP(A48,'[2]19.6.2026'!$A$9:$L$1111,6,0),"")</f>
        <v>24/10/2023</v>
      </c>
      <c r="X48" s="16"/>
      <c r="Y48" s="21" t="str">
        <f>IFERROR(VLOOKUP(A48,'[2]19.6.2026'!$A$9:$L$1111,7,0),"")</f>
        <v>Thực hiện phạm vi hoạt động chuyên môn theo Thông tư số 26/2015/TTLT-BYT-BNV ngày 07/10/2015 quy định  mã số, tiêu chuẩn chức danh nghề nghiệp, điều dưỡng, hộ sinh, kỹ thuật y</v>
      </c>
      <c r="Z48" s="16"/>
      <c r="AA48" s="27" t="str">
        <f>IFERROR(VLOOKUP(A48,'[3]DS UPLOAD 2026 (2)'!$A$2:$P$1111,16,0),"")</f>
        <v/>
      </c>
      <c r="AB48" s="27" t="s">
        <v>279</v>
      </c>
      <c r="AC48" s="28" t="s">
        <v>280</v>
      </c>
    </row>
    <row r="49" spans="1:29" ht="18" customHeight="1" x14ac:dyDescent="0.3">
      <c r="A49" s="56" t="s">
        <v>281</v>
      </c>
      <c r="B49" s="57" t="s">
        <v>282</v>
      </c>
      <c r="C49" s="23" t="s">
        <v>281</v>
      </c>
      <c r="D49" s="23" t="s">
        <v>38</v>
      </c>
      <c r="E49" s="27" t="s">
        <v>61</v>
      </c>
      <c r="F49" s="27" t="str">
        <f>VLOOKUP(E49,'[1]BẢNG MÃ'!$A$2:$B$69,2,0)</f>
        <v>TĐ012</v>
      </c>
      <c r="G49" s="48"/>
      <c r="H49" s="20" t="s">
        <v>62</v>
      </c>
      <c r="I49" s="27" t="s">
        <v>147</v>
      </c>
      <c r="J49" s="27" t="str">
        <f>VLOOKUP(I49,'[1]BẢNG MÃ'!$C$2:$D$69,2,0)</f>
        <v>KP002</v>
      </c>
      <c r="K49" s="23"/>
      <c r="L49" s="23"/>
      <c r="M49" s="27" t="s">
        <v>136</v>
      </c>
      <c r="N49" s="21">
        <f ca="1">VLOOKUP(A49,'[1]Bieu 1a'!$A$8:$AW$855,10,0)</f>
        <v>23</v>
      </c>
      <c r="O49" s="22">
        <f>VLOOKUP(A49,'[1]Bieu 1a'!$A$8:$AW$855,8,0)</f>
        <v>0</v>
      </c>
      <c r="P49" s="22" t="str">
        <f>VLOOKUP(A49,'[1]Bieu 1a'!$A$8:$AW$855,9,0)</f>
        <v>23/3/2003</v>
      </c>
      <c r="Q49" s="23" t="s">
        <v>283</v>
      </c>
      <c r="R49" s="24">
        <f>VLOOKUP(A49,'[1]Bieu 1a'!$A$8:$AW$855,23,0)</f>
        <v>45783</v>
      </c>
      <c r="S49" s="25" t="s">
        <v>284</v>
      </c>
      <c r="T49" s="26" t="s">
        <v>285</v>
      </c>
      <c r="U49" s="23"/>
      <c r="V49" s="16" t="str">
        <f>IFERROR(VLOOKUP(A49,'[2]19.6.2026'!$A$9:$L$1111,5,0),"")</f>
        <v/>
      </c>
      <c r="W49" s="16" t="str">
        <f>IFERROR(VLOOKUP(A49,'[2]19.6.2026'!$A$9:$L$1111,6,0),"")</f>
        <v/>
      </c>
      <c r="X49" s="23"/>
      <c r="Y49" s="21" t="str">
        <f>IFERROR(VLOOKUP(A49,'[2]19.6.2026'!$A$9:$L$1111,7,0),"")</f>
        <v/>
      </c>
      <c r="Z49" s="16"/>
      <c r="AA49" s="27" t="str">
        <f>IFERROR(VLOOKUP(A49,'[3]DS UPLOAD 2026 (2)'!$A$2:$P$1111,16,0),"")</f>
        <v/>
      </c>
      <c r="AB49" s="58" t="s">
        <v>286</v>
      </c>
      <c r="AC49" s="51" t="s">
        <v>287</v>
      </c>
    </row>
    <row r="50" spans="1:29" ht="18" customHeight="1" x14ac:dyDescent="0.3">
      <c r="A50" s="17" t="s">
        <v>288</v>
      </c>
      <c r="B50" s="59" t="s">
        <v>289</v>
      </c>
      <c r="C50" s="17" t="s">
        <v>288</v>
      </c>
      <c r="D50" s="19" t="s">
        <v>38</v>
      </c>
      <c r="E50" s="19" t="s">
        <v>142</v>
      </c>
      <c r="F50" s="16" t="str">
        <f>VLOOKUP(E50,'[1]BẢNG MÃ'!$A$2:$B$69,2,0)</f>
        <v>TĐ047</v>
      </c>
      <c r="G50" s="20"/>
      <c r="H50" s="19" t="s">
        <v>142</v>
      </c>
      <c r="I50" s="16" t="s">
        <v>147</v>
      </c>
      <c r="J50" s="16" t="str">
        <f>VLOOKUP(I50,'[1]BẢNG MÃ'!$C$2:$D$69,2,0)</f>
        <v>KP002</v>
      </c>
      <c r="K50" s="16"/>
      <c r="L50" s="16"/>
      <c r="M50" s="16" t="s">
        <v>136</v>
      </c>
      <c r="N50" s="21">
        <f ca="1">VLOOKUP(A50,'[1]Bieu 1a'!$A$8:$AW$855,10,0)</f>
        <v>32</v>
      </c>
      <c r="O50" s="22">
        <f>VLOOKUP(A50,'[1]Bieu 1a'!$A$8:$AW$855,8,0)</f>
        <v>0</v>
      </c>
      <c r="P50" s="22" t="str">
        <f>VLOOKUP(A50,'[1]Bieu 1a'!$A$8:$AW$855,9,0)</f>
        <v>30/7/1993</v>
      </c>
      <c r="Q50" s="23" t="s">
        <v>50</v>
      </c>
      <c r="R50" s="24" t="str">
        <f>VLOOKUP(A50,'[1]Bieu 1a'!$A$8:$AW$855,23,0)</f>
        <v xml:space="preserve"> 02/10/2017</v>
      </c>
      <c r="S50" s="25" t="s">
        <v>290</v>
      </c>
      <c r="T50" s="26">
        <v>0</v>
      </c>
      <c r="U50" s="22"/>
      <c r="V50" s="16" t="str">
        <f>IFERROR(VLOOKUP(A50,'[2]19.6.2026'!$A$9:$L$1111,5,0),"")</f>
        <v/>
      </c>
      <c r="W50" s="16" t="str">
        <f>IFERROR(VLOOKUP(A50,'[2]19.6.2026'!$A$9:$L$1111,6,0),"")</f>
        <v/>
      </c>
      <c r="X50" s="16"/>
      <c r="Y50" s="21" t="str">
        <f>IFERROR(VLOOKUP(A50,'[2]19.6.2026'!$A$9:$L$1111,7,0),"")</f>
        <v/>
      </c>
      <c r="Z50" s="16"/>
      <c r="AA50" s="27" t="str">
        <f>IFERROR(VLOOKUP(A50,'[3]DS UPLOAD 2026 (2)'!$A$2:$P$1111,16,0),"")</f>
        <v/>
      </c>
      <c r="AB50" s="27" t="s">
        <v>291</v>
      </c>
      <c r="AC50" s="28"/>
    </row>
    <row r="51" spans="1:29" ht="18" customHeight="1" x14ac:dyDescent="0.3">
      <c r="A51" s="17" t="s">
        <v>292</v>
      </c>
      <c r="B51" s="18" t="s">
        <v>293</v>
      </c>
      <c r="C51" s="17" t="s">
        <v>292</v>
      </c>
      <c r="D51" s="19" t="s">
        <v>38</v>
      </c>
      <c r="E51" s="19" t="s">
        <v>142</v>
      </c>
      <c r="F51" s="16" t="str">
        <f>VLOOKUP(E51,'[1]BẢNG MÃ'!$A$2:$B$69,2,0)</f>
        <v>TĐ047</v>
      </c>
      <c r="G51" s="20"/>
      <c r="H51" s="19" t="s">
        <v>142</v>
      </c>
      <c r="I51" s="16" t="s">
        <v>294</v>
      </c>
      <c r="J51" s="16" t="str">
        <f>VLOOKUP(I51,'[1]BẢNG MÃ'!$C$2:$D$69,2,0)</f>
        <v>KP002</v>
      </c>
      <c r="K51" s="16"/>
      <c r="L51" s="16">
        <v>0</v>
      </c>
      <c r="M51" s="16" t="s">
        <v>129</v>
      </c>
      <c r="N51" s="21">
        <f ca="1">VLOOKUP(A51,'[1]Bieu 1a'!$A$8:$AW$855,10,0)</f>
        <v>43</v>
      </c>
      <c r="O51" s="22">
        <f>VLOOKUP(A51,'[1]Bieu 1a'!$A$8:$AW$855,8,0)</f>
        <v>0</v>
      </c>
      <c r="P51" s="22">
        <f>VLOOKUP(A51,'[1]Bieu 1a'!$A$8:$AW$855,9,0)</f>
        <v>30269</v>
      </c>
      <c r="Q51" s="23" t="s">
        <v>50</v>
      </c>
      <c r="R51" s="24" t="str">
        <f>VLOOKUP(A51,'[1]Bieu 1a'!$A$8:$AW$855,23,0)</f>
        <v>1/12/2006</v>
      </c>
      <c r="S51" s="25" t="s">
        <v>295</v>
      </c>
      <c r="T51" s="26" t="s">
        <v>296</v>
      </c>
      <c r="U51" s="16"/>
      <c r="V51" s="16" t="str">
        <f>IFERROR(VLOOKUP(A51,'[2]19.6.2026'!$A$9:$L$1111,5,0),"")</f>
        <v/>
      </c>
      <c r="W51" s="16" t="str">
        <f>IFERROR(VLOOKUP(A51,'[2]19.6.2026'!$A$9:$L$1111,6,0),"")</f>
        <v/>
      </c>
      <c r="X51" s="16"/>
      <c r="Y51" s="21" t="str">
        <f>IFERROR(VLOOKUP(A51,'[2]19.6.2026'!$A$9:$L$1111,7,0),"")</f>
        <v/>
      </c>
      <c r="Z51" s="16"/>
      <c r="AA51" s="27" t="str">
        <f>IFERROR(VLOOKUP(A51,'[3]DS UPLOAD 2026 (2)'!$A$2:$P$1111,16,0),"")</f>
        <v/>
      </c>
      <c r="AB51" s="27" t="s">
        <v>297</v>
      </c>
      <c r="AC51" s="28" t="s">
        <v>133</v>
      </c>
    </row>
    <row r="52" spans="1:29" ht="18" customHeight="1" x14ac:dyDescent="0.3">
      <c r="A52" s="17" t="s">
        <v>298</v>
      </c>
      <c r="B52" s="40" t="s">
        <v>299</v>
      </c>
      <c r="C52" s="17" t="s">
        <v>298</v>
      </c>
      <c r="D52" s="19" t="s">
        <v>38</v>
      </c>
      <c r="E52" s="19" t="s">
        <v>128</v>
      </c>
      <c r="F52" s="16" t="str">
        <f>VLOOKUP(E52,'[1]BẢNG MÃ'!$A$2:$B$69,2,0)</f>
        <v>TĐ047</v>
      </c>
      <c r="G52" s="20"/>
      <c r="H52" s="19" t="s">
        <v>128</v>
      </c>
      <c r="I52" s="16" t="s">
        <v>294</v>
      </c>
      <c r="J52" s="16" t="str">
        <f>VLOOKUP(I52,'[1]BẢNG MÃ'!$C$2:$D$69,2,0)</f>
        <v>KP002</v>
      </c>
      <c r="K52" s="16"/>
      <c r="L52" s="16"/>
      <c r="M52" s="16" t="s">
        <v>136</v>
      </c>
      <c r="N52" s="21">
        <f ca="1">VLOOKUP(A52,'[1]Bieu 1a'!$A$8:$AW$855,10,0)</f>
        <v>47</v>
      </c>
      <c r="O52" s="22">
        <f>VLOOKUP(A52,'[1]Bieu 1a'!$A$8:$AW$855,8,0)</f>
        <v>0</v>
      </c>
      <c r="P52" s="22" t="str">
        <f>VLOOKUP(A52,'[1]Bieu 1a'!$A$8:$AW$855,9,0)</f>
        <v>11/03/1979</v>
      </c>
      <c r="Q52" s="23" t="s">
        <v>50</v>
      </c>
      <c r="R52" s="24" t="str">
        <f>VLOOKUP(A52,'[1]Bieu 1a'!$A$8:$AW$855,23,0)</f>
        <v>12/4/2020</v>
      </c>
      <c r="S52" s="25" t="s">
        <v>300</v>
      </c>
      <c r="T52" s="26" t="s">
        <v>301</v>
      </c>
      <c r="U52" s="16"/>
      <c r="V52" s="16" t="str">
        <f>IFERROR(VLOOKUP(A52,'[2]19.6.2026'!$A$9:$L$1111,5,0),"")</f>
        <v/>
      </c>
      <c r="W52" s="16" t="str">
        <f>IFERROR(VLOOKUP(A52,'[2]19.6.2026'!$A$9:$L$1111,6,0),"")</f>
        <v/>
      </c>
      <c r="X52" s="16"/>
      <c r="Y52" s="21" t="str">
        <f>IFERROR(VLOOKUP(A52,'[2]19.6.2026'!$A$9:$L$1111,7,0),"")</f>
        <v/>
      </c>
      <c r="Z52" s="16"/>
      <c r="AA52" s="27" t="str">
        <f>IFERROR(VLOOKUP(A52,'[3]DS UPLOAD 2026 (2)'!$A$2:$P$1111,16,0),"")</f>
        <v/>
      </c>
      <c r="AB52" s="39" t="s">
        <v>302</v>
      </c>
      <c r="AC52" s="29" t="s">
        <v>303</v>
      </c>
    </row>
    <row r="53" spans="1:29" ht="18" customHeight="1" x14ac:dyDescent="0.3">
      <c r="A53" s="17" t="s">
        <v>304</v>
      </c>
      <c r="B53" s="18" t="s">
        <v>305</v>
      </c>
      <c r="C53" s="17" t="s">
        <v>304</v>
      </c>
      <c r="D53" s="19"/>
      <c r="E53" s="19" t="s">
        <v>160</v>
      </c>
      <c r="F53" s="16" t="str">
        <f>VLOOKUP(E53,'[1]BẢNG MÃ'!$A$2:$B$69,2,0)</f>
        <v>TĐ003</v>
      </c>
      <c r="G53" s="20" t="s">
        <v>29</v>
      </c>
      <c r="H53" s="20" t="s">
        <v>29</v>
      </c>
      <c r="I53" s="16" t="s">
        <v>306</v>
      </c>
      <c r="J53" s="16" t="str">
        <f>VLOOKUP(I53,'[1]BẢNG MÃ'!$C$2:$D$69,2,0)</f>
        <v>KP003</v>
      </c>
      <c r="K53" s="16" t="s">
        <v>307</v>
      </c>
      <c r="L53" s="16" t="s">
        <v>308</v>
      </c>
      <c r="M53" s="16" t="s">
        <v>33</v>
      </c>
      <c r="N53" s="21">
        <f ca="1">VLOOKUP(A53,'[1]Bieu 1a'!$A$8:$AW$855,10,0)</f>
        <v>42</v>
      </c>
      <c r="O53" s="22">
        <f>VLOOKUP(A53,'[1]Bieu 1a'!$A$8:$AW$855,8,0)</f>
        <v>30552</v>
      </c>
      <c r="P53" s="22">
        <f>VLOOKUP(A53,'[1]Bieu 1a'!$A$8:$AW$855,9,0)</f>
        <v>0</v>
      </c>
      <c r="Q53" s="23" t="s">
        <v>50</v>
      </c>
      <c r="R53" s="24" t="str">
        <f>VLOOKUP(A53,'[1]Bieu 1a'!$A$8:$AW$855,23,0)</f>
        <v>1/12/2008</v>
      </c>
      <c r="S53" s="25" t="s">
        <v>309</v>
      </c>
      <c r="T53" s="26" t="s">
        <v>310</v>
      </c>
      <c r="U53" s="16"/>
      <c r="V53" s="16" t="str">
        <f>IFERROR(VLOOKUP(A53,'[2]19.6.2026'!$A$9:$L$1111,5,0),"")</f>
        <v>000767/LS-CCHN</v>
      </c>
      <c r="W53" s="16">
        <f>IFERROR(VLOOKUP(A53,'[2]19.6.2026'!$A$9:$L$1111,6,0),"")</f>
        <v>41449</v>
      </c>
      <c r="X53" s="16"/>
      <c r="Y53" s="21" t="str">
        <f>IFERROR(VLOOKUP(A53,'[2]19.6.2026'!$A$9:$L$1111,7,0),"")</f>
        <v>Khám bệnh, chữa bệnh Hồi sức cấp cứu</v>
      </c>
      <c r="Z53" s="16"/>
      <c r="AA53" s="27" t="str">
        <f>IFERROR(VLOOKUP(A53,'[3]DS UPLOAD 2026 (2)'!$A$2:$P$1111,16,0),"")</f>
        <v/>
      </c>
      <c r="AB53" s="27">
        <v>912426888</v>
      </c>
      <c r="AC53" s="28"/>
    </row>
    <row r="54" spans="1:29" ht="18" customHeight="1" x14ac:dyDescent="0.3">
      <c r="A54" s="17" t="s">
        <v>311</v>
      </c>
      <c r="B54" s="38" t="s">
        <v>312</v>
      </c>
      <c r="C54" s="17" t="s">
        <v>311</v>
      </c>
      <c r="D54" s="19"/>
      <c r="E54" s="16" t="s">
        <v>160</v>
      </c>
      <c r="F54" s="16" t="str">
        <f>VLOOKUP(E54,'[1]BẢNG MÃ'!$A$2:$B$69,2,0)</f>
        <v>TĐ003</v>
      </c>
      <c r="G54" s="20" t="s">
        <v>161</v>
      </c>
      <c r="H54" s="20" t="s">
        <v>161</v>
      </c>
      <c r="I54" s="16" t="s">
        <v>306</v>
      </c>
      <c r="J54" s="16" t="str">
        <f>VLOOKUP(I54,'[1]BẢNG MÃ'!$C$2:$D$69,2,0)</f>
        <v>KP003</v>
      </c>
      <c r="K54" s="16" t="s">
        <v>31</v>
      </c>
      <c r="L54" s="16" t="s">
        <v>32</v>
      </c>
      <c r="M54" s="16" t="s">
        <v>33</v>
      </c>
      <c r="N54" s="21">
        <f ca="1">VLOOKUP(A54,'[1]Bieu 1a'!$A$8:$AW$855,10,0)</f>
        <v>34</v>
      </c>
      <c r="O54" s="22">
        <f>VLOOKUP(A54,'[1]Bieu 1a'!$A$8:$AW$855,8,0)</f>
        <v>33457</v>
      </c>
      <c r="P54" s="22">
        <f>VLOOKUP(A54,'[1]Bieu 1a'!$A$8:$AW$855,9,0)</f>
        <v>0</v>
      </c>
      <c r="Q54" s="23" t="s">
        <v>50</v>
      </c>
      <c r="R54" s="24" t="str">
        <f>VLOOKUP(A54,'[1]Bieu 1a'!$A$8:$AW$855,23,0)</f>
        <v>20/3/2018</v>
      </c>
      <c r="S54" s="25" t="s">
        <v>313</v>
      </c>
      <c r="T54" s="26" t="s">
        <v>314</v>
      </c>
      <c r="U54" s="16"/>
      <c r="V54" s="16" t="str">
        <f>IFERROR(VLOOKUP(A54,'[2]19.6.2026'!$A$9:$L$1111,5,0),"")</f>
        <v>003456/LS-CCHN</v>
      </c>
      <c r="W54" s="16" t="str">
        <f>IFERROR(VLOOKUP(A54,'[2]19.6.2026'!$A$9:$L$1111,6,0),"")</f>
        <v>17/05/2019</v>
      </c>
      <c r="X54" s="16"/>
      <c r="Y54" s="21" t="str">
        <f>IFERROR(VLOOKUP(A54,'[2]19.6.2026'!$A$9:$L$1111,7,0),"")</f>
        <v>Khám bệnh, chữa bệnh Nội khoa; Hồi sức cấp cứu</v>
      </c>
      <c r="Z54" s="16"/>
      <c r="AA54" s="27" t="str">
        <f>IFERROR(VLOOKUP(A54,'[3]DS UPLOAD 2026 (2)'!$A$2:$P$1111,16,0),"")</f>
        <v/>
      </c>
      <c r="AB54" s="27" t="s">
        <v>315</v>
      </c>
      <c r="AC54" s="28" t="s">
        <v>316</v>
      </c>
    </row>
    <row r="55" spans="1:29" ht="18" customHeight="1" x14ac:dyDescent="0.3">
      <c r="A55" s="17" t="s">
        <v>317</v>
      </c>
      <c r="B55" s="38" t="s">
        <v>318</v>
      </c>
      <c r="C55" s="17" t="s">
        <v>317</v>
      </c>
      <c r="D55" s="19"/>
      <c r="E55" s="19" t="s">
        <v>160</v>
      </c>
      <c r="F55" s="16" t="str">
        <f>VLOOKUP(E55,'[1]BẢNG MÃ'!$A$2:$B$69,2,0)</f>
        <v>TĐ003</v>
      </c>
      <c r="G55" s="20"/>
      <c r="H55" s="20" t="s">
        <v>161</v>
      </c>
      <c r="I55" s="16" t="s">
        <v>306</v>
      </c>
      <c r="J55" s="16" t="str">
        <f>VLOOKUP(I55,'[1]BẢNG MÃ'!$C$2:$D$69,2,0)</f>
        <v>KP003</v>
      </c>
      <c r="K55" s="19"/>
      <c r="L55" s="16"/>
      <c r="M55" s="23" t="s">
        <v>33</v>
      </c>
      <c r="N55" s="21">
        <f ca="1">VLOOKUP(A55,'[1]Bieu 1a'!$A$8:$AW$855,10,0)</f>
        <v>33</v>
      </c>
      <c r="O55" s="22" t="str">
        <f>VLOOKUP(A55,'[1]Bieu 1a'!$A$8:$AW$855,8,0)</f>
        <v>20/10/1992</v>
      </c>
      <c r="P55" s="22">
        <f>VLOOKUP(A55,'[1]Bieu 1a'!$A$8:$AW$855,9,0)</f>
        <v>0</v>
      </c>
      <c r="Q55" s="23" t="s">
        <v>50</v>
      </c>
      <c r="R55" s="24" t="str">
        <f>VLOOKUP(A55,'[1]Bieu 1a'!$A$8:$AW$855,23,0)</f>
        <v xml:space="preserve"> 01/9/2017</v>
      </c>
      <c r="S55" s="25" t="s">
        <v>319</v>
      </c>
      <c r="T55" s="26" t="s">
        <v>320</v>
      </c>
      <c r="U55" s="16"/>
      <c r="V55" s="16" t="str">
        <f>IFERROR(VLOOKUP(A55,'[2]19.6.2026'!$A$9:$L$1111,5,0),"")</f>
        <v>003519/LS-CCHN</v>
      </c>
      <c r="W55" s="16" t="str">
        <f>IFERROR(VLOOKUP(A55,'[2]19.6.2026'!$A$9:$L$1111,6,0),"")</f>
        <v>17/07/2019</v>
      </c>
      <c r="X55" s="16"/>
      <c r="Y55" s="21" t="str">
        <f>IFERROR(VLOOKUP(A55,'[2]19.6.2026'!$A$9:$L$1111,7,0),"")</f>
        <v>Khám bệnh, chữa bệnh Nội khoa, Hồi sức cấp cứu</v>
      </c>
      <c r="Z55" s="16"/>
      <c r="AA55" s="27" t="str">
        <f>IFERROR(VLOOKUP(A55,'[3]DS UPLOAD 2026 (2)'!$A$2:$P$1111,16,0),"")</f>
        <v/>
      </c>
      <c r="AB55" s="27" t="s">
        <v>321</v>
      </c>
      <c r="AC55" s="29" t="s">
        <v>322</v>
      </c>
    </row>
    <row r="56" spans="1:29" ht="18" customHeight="1" x14ac:dyDescent="0.3">
      <c r="A56" s="29" t="s">
        <v>323</v>
      </c>
      <c r="B56" s="29" t="s">
        <v>324</v>
      </c>
      <c r="C56" s="29" t="s">
        <v>323</v>
      </c>
      <c r="D56" s="19" t="s">
        <v>38</v>
      </c>
      <c r="E56" s="19" t="s">
        <v>173</v>
      </c>
      <c r="F56" s="16" t="str">
        <f>VLOOKUP(E56,'[1]BẢNG MÃ'!$A$2:$B$69,2,0)</f>
        <v>TĐ005</v>
      </c>
      <c r="G56" s="20"/>
      <c r="H56" s="20" t="s">
        <v>161</v>
      </c>
      <c r="I56" s="16" t="s">
        <v>306</v>
      </c>
      <c r="J56" s="16" t="str">
        <f>VLOOKUP(I56,'[1]BẢNG MÃ'!$C$2:$D$69,2,0)</f>
        <v>KP003</v>
      </c>
      <c r="K56" s="16"/>
      <c r="L56" s="16"/>
      <c r="M56" s="23" t="s">
        <v>33</v>
      </c>
      <c r="N56" s="21">
        <f ca="1">VLOOKUP(A56,'[1]Bieu 1a'!$A$8:$AW$855,10,0)</f>
        <v>32</v>
      </c>
      <c r="O56" s="22">
        <f>VLOOKUP(A56,'[1]Bieu 1a'!$A$8:$AW$855,8,0)</f>
        <v>0</v>
      </c>
      <c r="P56" s="22" t="str">
        <f>VLOOKUP(A56,'[1]Bieu 1a'!$A$8:$AW$855,9,0)</f>
        <v>15/4/1994</v>
      </c>
      <c r="Q56" s="23" t="s">
        <v>34</v>
      </c>
      <c r="R56" s="24" t="str">
        <f>VLOOKUP(A56,'[1]Bieu 1a'!$A$8:$AW$855,23,0)</f>
        <v>02/12/2019</v>
      </c>
      <c r="S56" s="25" t="s">
        <v>325</v>
      </c>
      <c r="T56" s="26" t="s">
        <v>326</v>
      </c>
      <c r="U56" s="16"/>
      <c r="V56" s="16" t="str">
        <f>IFERROR(VLOOKUP(A56,'[2]19.6.2026'!$A$9:$L$1111,5,0),"")</f>
        <v>004295/LS-CCHN</v>
      </c>
      <c r="W56" s="16" t="str">
        <f>IFERROR(VLOOKUP(A56,'[2]19.6.2026'!$A$9:$L$1111,6,0),"")</f>
        <v>20/07/2021</v>
      </c>
      <c r="X56" s="16"/>
      <c r="Y56" s="21" t="str">
        <f>IFERROR(VLOOKUP(A56,'[2]19.6.2026'!$A$9:$L$1111,7,0),"")</f>
        <v>Khám bệnh chữa bệnh Nội khoa</v>
      </c>
      <c r="Z56" s="16"/>
      <c r="AA56" s="27" t="str">
        <f>IFERROR(VLOOKUP(A56,'[3]DS UPLOAD 2026 (2)'!$A$2:$P$1111,16,0),"")</f>
        <v/>
      </c>
      <c r="AB56" s="27"/>
      <c r="AC56" s="29" t="s">
        <v>327</v>
      </c>
    </row>
    <row r="57" spans="1:29" ht="18" customHeight="1" x14ac:dyDescent="0.3">
      <c r="A57" s="17" t="s">
        <v>328</v>
      </c>
      <c r="B57" s="29" t="s">
        <v>329</v>
      </c>
      <c r="C57" s="17" t="s">
        <v>328</v>
      </c>
      <c r="D57" s="53"/>
      <c r="E57" s="19" t="s">
        <v>173</v>
      </c>
      <c r="F57" s="16" t="str">
        <f>VLOOKUP(E57,'[1]BẢNG MÃ'!$A$2:$B$69,2,0)</f>
        <v>TĐ005</v>
      </c>
      <c r="G57" s="20" t="s">
        <v>161</v>
      </c>
      <c r="H57" s="20" t="s">
        <v>161</v>
      </c>
      <c r="I57" s="16" t="s">
        <v>306</v>
      </c>
      <c r="J57" s="16" t="str">
        <f>VLOOKUP(I57,'[1]BẢNG MÃ'!$C$2:$D$69,2,0)</f>
        <v>KP003</v>
      </c>
      <c r="K57" s="16" t="s">
        <v>43</v>
      </c>
      <c r="L57" s="16">
        <v>0</v>
      </c>
      <c r="M57" s="16" t="s">
        <v>33</v>
      </c>
      <c r="N57" s="21">
        <f ca="1">VLOOKUP(A57,'[1]Bieu 1a'!$A$8:$AW$855,10,0)</f>
        <v>30</v>
      </c>
      <c r="O57" s="22">
        <f>VLOOKUP(A57,'[1]Bieu 1a'!$A$8:$AW$855,8,0)</f>
        <v>34909</v>
      </c>
      <c r="P57" s="22">
        <f>VLOOKUP(A57,'[1]Bieu 1a'!$A$8:$AW$855,9,0)</f>
        <v>0</v>
      </c>
      <c r="Q57" s="23" t="s">
        <v>34</v>
      </c>
      <c r="R57" s="24" t="str">
        <f>VLOOKUP(A57,'[1]Bieu 1a'!$A$8:$AW$855,23,0)</f>
        <v>01/4/2020</v>
      </c>
      <c r="S57" s="25" t="s">
        <v>330</v>
      </c>
      <c r="T57" s="26" t="s">
        <v>331</v>
      </c>
      <c r="U57" s="16"/>
      <c r="V57" s="16" t="str">
        <f>IFERROR(VLOOKUP(A57,'[2]19.6.2026'!$A$9:$L$1111,5,0),"")</f>
        <v>004232/LS-CCHN</v>
      </c>
      <c r="W57" s="16" t="str">
        <f>IFERROR(VLOOKUP(A57,'[2]19.6.2026'!$A$9:$L$1111,6,0),"")</f>
        <v>10/06/2021</v>
      </c>
      <c r="X57" s="16"/>
      <c r="Y57" s="21" t="str">
        <f>IFERROR(VLOOKUP(A57,'[2]19.6.2026'!$A$9:$L$1111,7,0),"")</f>
        <v>Khám bệnh, chữa bệnh Nội khoa, Hồi sức cấp cứu</v>
      </c>
      <c r="Z57" s="16"/>
      <c r="AA57" s="27" t="str">
        <f>IFERROR(VLOOKUP(A57,'[3]DS UPLOAD 2026 (2)'!$A$2:$P$1111,16,0),"")</f>
        <v/>
      </c>
      <c r="AB57" s="27">
        <v>368462305</v>
      </c>
      <c r="AC57" s="28" t="s">
        <v>332</v>
      </c>
    </row>
    <row r="58" spans="1:29" ht="18" customHeight="1" x14ac:dyDescent="0.3">
      <c r="A58" s="17" t="s">
        <v>333</v>
      </c>
      <c r="B58" s="18" t="s">
        <v>334</v>
      </c>
      <c r="C58" s="17" t="s">
        <v>333</v>
      </c>
      <c r="D58" s="19" t="s">
        <v>38</v>
      </c>
      <c r="E58" s="19" t="s">
        <v>173</v>
      </c>
      <c r="F58" s="16" t="str">
        <f>VLOOKUP(E58,'[1]BẢNG MÃ'!$A$2:$B$69,2,0)</f>
        <v>TĐ005</v>
      </c>
      <c r="G58" s="60"/>
      <c r="H58" s="20" t="s">
        <v>161</v>
      </c>
      <c r="I58" s="16" t="s">
        <v>306</v>
      </c>
      <c r="J58" s="16" t="str">
        <f>VLOOKUP(I58,'[1]BẢNG MÃ'!$C$2:$D$69,2,0)</f>
        <v>KP003</v>
      </c>
      <c r="K58" s="16"/>
      <c r="L58" s="16"/>
      <c r="M58" s="16" t="s">
        <v>136</v>
      </c>
      <c r="N58" s="21">
        <f ca="1">VLOOKUP(A58,'[1]Bieu 1a'!$A$8:$AW$855,10,0)</f>
        <v>29</v>
      </c>
      <c r="O58" s="22">
        <f>VLOOKUP(A58,'[1]Bieu 1a'!$A$8:$AW$855,8,0)</f>
        <v>0</v>
      </c>
      <c r="P58" s="22" t="str">
        <f>VLOOKUP(A58,'[1]Bieu 1a'!$A$8:$AW$855,9,0)</f>
        <v>17/01/1997</v>
      </c>
      <c r="Q58" s="23" t="s">
        <v>50</v>
      </c>
      <c r="R58" s="24">
        <f>VLOOKUP(A58,'[1]Bieu 1a'!$A$8:$AW$855,23,0)</f>
        <v>45030</v>
      </c>
      <c r="S58" s="25" t="s">
        <v>335</v>
      </c>
      <c r="T58" s="26" t="s">
        <v>336</v>
      </c>
      <c r="U58" s="22">
        <f>EDATE(R58,12)</f>
        <v>45396</v>
      </c>
      <c r="V58" s="16" t="str">
        <f>IFERROR(VLOOKUP(A58,'[2]19.6.2026'!$A$9:$L$1111,5,0),"")</f>
        <v>000040/LS-GPHN</v>
      </c>
      <c r="W58" s="16" t="str">
        <f>IFERROR(VLOOKUP(A58,'[2]19.6.2026'!$A$9:$L$1111,6,0),"")</f>
        <v/>
      </c>
      <c r="X58" s="16"/>
      <c r="Y58" s="21" t="str">
        <f>IFERROR(VLOOKUP(A58,'[2]19.6.2026'!$A$9:$L$1111,7,0),"")</f>
        <v>Chuyên khoa Nội khoa</v>
      </c>
      <c r="Z58" s="16"/>
      <c r="AA58" s="27" t="str">
        <f>IFERROR(VLOOKUP(A58,'[3]DS UPLOAD 2026 (2)'!$A$2:$P$1111,16,0),"")</f>
        <v/>
      </c>
      <c r="AB58" s="27" t="s">
        <v>337</v>
      </c>
      <c r="AC58" s="28" t="s">
        <v>338</v>
      </c>
    </row>
    <row r="59" spans="1:29" ht="18" customHeight="1" x14ac:dyDescent="0.3">
      <c r="A59" s="46" t="s">
        <v>339</v>
      </c>
      <c r="B59" s="28" t="s">
        <v>340</v>
      </c>
      <c r="C59" s="47" t="s">
        <v>339</v>
      </c>
      <c r="D59" s="23"/>
      <c r="E59" s="23" t="s">
        <v>173</v>
      </c>
      <c r="F59" s="16" t="str">
        <f>VLOOKUP(E59,'[1]BẢNG MÃ'!$A$2:$B$69,2,0)</f>
        <v>TĐ005</v>
      </c>
      <c r="G59" s="48"/>
      <c r="H59" s="20" t="s">
        <v>161</v>
      </c>
      <c r="I59" s="19" t="s">
        <v>306</v>
      </c>
      <c r="J59" s="16" t="str">
        <f>VLOOKUP(I59,'[1]BẢNG MÃ'!$C$2:$D$69,2,0)</f>
        <v>KP003</v>
      </c>
      <c r="K59" s="23"/>
      <c r="L59" s="23"/>
      <c r="M59" s="16" t="s">
        <v>33</v>
      </c>
      <c r="N59" s="21">
        <f ca="1">VLOOKUP(A59,'[1]Bieu 1a'!$A$8:$AW$855,10,0)</f>
        <v>29</v>
      </c>
      <c r="O59" s="22" t="str">
        <f>VLOOKUP(A59,'[1]Bieu 1a'!$A$8:$AW$855,8,0)</f>
        <v>07/12/1996</v>
      </c>
      <c r="P59" s="22">
        <f>VLOOKUP(A59,'[1]Bieu 1a'!$A$8:$AW$855,9,0)</f>
        <v>0</v>
      </c>
      <c r="Q59" s="23" t="s">
        <v>50</v>
      </c>
      <c r="R59" s="24" t="str">
        <f>VLOOKUP(A59,'[1]Bieu 1a'!$A$8:$AW$855,23,0)</f>
        <v>01/7/2024</v>
      </c>
      <c r="S59" s="25" t="s">
        <v>341</v>
      </c>
      <c r="T59" s="26" t="s">
        <v>342</v>
      </c>
      <c r="U59" s="49">
        <v>45870</v>
      </c>
      <c r="V59" s="16" t="str">
        <f>IFERROR(VLOOKUP(A59,'[2]19.6.2026'!$A$9:$L$1111,5,0),"")</f>
        <v>005668/LS-CCHN</v>
      </c>
      <c r="W59" s="16" t="str">
        <f>IFERROR(VLOOKUP(A59,'[2]19.6.2026'!$A$9:$L$1111,6,0),"")</f>
        <v/>
      </c>
      <c r="X59" s="19"/>
      <c r="Y59" s="21" t="str">
        <f>IFERROR(VLOOKUP(A59,'[2]19.6.2026'!$A$9:$L$1111,7,0),"")</f>
        <v>Khám bệnh, chữa bệnh đa khoa</v>
      </c>
      <c r="Z59" s="16"/>
      <c r="AA59" s="27" t="str">
        <f>IFERROR(VLOOKUP(A59,'[3]DS UPLOAD 2026 (2)'!$A$2:$P$1111,16,0),"")</f>
        <v/>
      </c>
      <c r="AB59" s="50"/>
      <c r="AC59" s="29" t="s">
        <v>343</v>
      </c>
    </row>
    <row r="60" spans="1:29" ht="18" customHeight="1" x14ac:dyDescent="0.3">
      <c r="A60" s="17" t="s">
        <v>344</v>
      </c>
      <c r="B60" s="18" t="s">
        <v>345</v>
      </c>
      <c r="C60" s="17" t="s">
        <v>344</v>
      </c>
      <c r="D60" s="19" t="s">
        <v>38</v>
      </c>
      <c r="E60" s="30" t="s">
        <v>41</v>
      </c>
      <c r="F60" s="16" t="str">
        <f>VLOOKUP(E60,'[1]BẢNG MÃ'!$A$2:$B$69,2,0)</f>
        <v>TĐ011</v>
      </c>
      <c r="G60" s="31" t="s">
        <v>42</v>
      </c>
      <c r="H60" s="31" t="s">
        <v>42</v>
      </c>
      <c r="I60" s="16" t="s">
        <v>306</v>
      </c>
      <c r="J60" s="16" t="str">
        <f>VLOOKUP(I60,'[1]BẢNG MÃ'!$C$2:$D$69,2,0)</f>
        <v>KP003</v>
      </c>
      <c r="K60" s="16" t="s">
        <v>31</v>
      </c>
      <c r="L60" s="16" t="s">
        <v>201</v>
      </c>
      <c r="M60" s="16" t="s">
        <v>33</v>
      </c>
      <c r="N60" s="21">
        <f ca="1">VLOOKUP(A60,'[1]Bieu 1a'!$A$8:$AW$855,10,0)</f>
        <v>44</v>
      </c>
      <c r="O60" s="22">
        <f>VLOOKUP(A60,'[1]Bieu 1a'!$A$8:$AW$855,8,0)</f>
        <v>0</v>
      </c>
      <c r="P60" s="22">
        <f>VLOOKUP(A60,'[1]Bieu 1a'!$A$8:$AW$855,9,0)</f>
        <v>30024</v>
      </c>
      <c r="Q60" s="23" t="s">
        <v>34</v>
      </c>
      <c r="R60" s="24" t="str">
        <f>VLOOKUP(A60,'[1]Bieu 1a'!$A$8:$AW$855,23,0)</f>
        <v>30/10/2006</v>
      </c>
      <c r="S60" s="25" t="s">
        <v>346</v>
      </c>
      <c r="T60" s="26" t="s">
        <v>347</v>
      </c>
      <c r="U60" s="16"/>
      <c r="V60" s="16" t="str">
        <f>IFERROR(VLOOKUP(A60,'[2]19.6.2026'!$A$9:$L$1111,5,0),"")</f>
        <v>000769/LS-CCHN</v>
      </c>
      <c r="W60" s="16" t="str">
        <f>IFERROR(VLOOKUP(A60,'[2]19.6.2026'!$A$9:$L$1111,6,0),"")</f>
        <v>11/01/2023</v>
      </c>
      <c r="X60" s="16"/>
      <c r="Y60" s="21" t="str">
        <f>IFERROR(VLOOKUP(A60,'[2]19.6.2026'!$A$9:$L$1111,7,0),"")</f>
        <v>Thực hiện phạm vi hoạt động chuyên môn theo Thông tư số 26/2015/TTLT-BYT-BNV ngày 07/10/2015 quy định  mã số, tiêu chuẩn chức danh nghề nghiệp, điều dưỡng, hộ sinh, kỹ thuật y</v>
      </c>
      <c r="Z60" s="16"/>
      <c r="AA60" s="27" t="str">
        <f>IFERROR(VLOOKUP(A60,'[3]DS UPLOAD 2026 (2)'!$A$2:$P$1111,16,0),"")</f>
        <v/>
      </c>
      <c r="AB60" s="27" t="s">
        <v>348</v>
      </c>
      <c r="AC60" s="28"/>
    </row>
    <row r="61" spans="1:29" ht="18" customHeight="1" x14ac:dyDescent="0.3">
      <c r="A61" s="56" t="s">
        <v>349</v>
      </c>
      <c r="B61" s="61" t="s">
        <v>350</v>
      </c>
      <c r="C61" s="23" t="s">
        <v>349</v>
      </c>
      <c r="D61" s="23" t="s">
        <v>38</v>
      </c>
      <c r="E61" s="27" t="s">
        <v>41</v>
      </c>
      <c r="F61" s="27" t="str">
        <f>VLOOKUP(E61,'[1]BẢNG MÃ'!$A$2:$B$69,2,0)</f>
        <v>TĐ011</v>
      </c>
      <c r="G61" s="48"/>
      <c r="H61" s="20" t="s">
        <v>42</v>
      </c>
      <c r="I61" s="23" t="s">
        <v>351</v>
      </c>
      <c r="J61" s="27" t="str">
        <f>VLOOKUP(I61,'[1]BẢNG MÃ'!$C$2:$D$69,2,0)</f>
        <v>KP011</v>
      </c>
      <c r="K61" s="23"/>
      <c r="L61" s="23"/>
      <c r="M61" s="27" t="s">
        <v>136</v>
      </c>
      <c r="N61" s="21">
        <f ca="1">VLOOKUP(A61,'[1]Bieu 1a'!$A$8:$AW$855,10,0)</f>
        <v>31</v>
      </c>
      <c r="O61" s="22">
        <f>VLOOKUP(A61,'[1]Bieu 1a'!$A$8:$AW$855,8,0)</f>
        <v>0</v>
      </c>
      <c r="P61" s="22" t="str">
        <f>VLOOKUP(A61,'[1]Bieu 1a'!$A$8:$AW$855,9,0)</f>
        <v>1/7/1995</v>
      </c>
      <c r="Q61" s="23" t="s">
        <v>44</v>
      </c>
      <c r="R61" s="24">
        <f>VLOOKUP(A61,'[1]Bieu 1a'!$A$8:$AW$855,23,0)</f>
        <v>45783</v>
      </c>
      <c r="S61" s="25" t="s">
        <v>352</v>
      </c>
      <c r="T61" s="26"/>
      <c r="U61" s="23"/>
      <c r="V61" s="16" t="str">
        <f>IFERROR(VLOOKUP(A61,'[2]19.6.2026'!$A$9:$L$1111,5,0),"")</f>
        <v>003338/LS-CCHN</v>
      </c>
      <c r="W61" s="16">
        <f>IFERROR(VLOOKUP(A61,'[2]19.6.2026'!$A$9:$L$1111,6,0),"")</f>
        <v>43329</v>
      </c>
      <c r="X61" s="23"/>
      <c r="Y61" s="21" t="str">
        <f>IFERROR(VLOOKUP(A61,'[2]19.6.2026'!$A$9:$L$1111,7,0),"")</f>
        <v>Thực hiện phạm vi hoạt động chuyên môn theo quy định tại Thông tư số 26/2015/TTLT-BYT-BNV ngày 07/10/2015 quy định mã số, tiêu chuẩn chức danh nghề nghiệp điều dưỡng, hộ sinh, kỹ thuật y</v>
      </c>
      <c r="Z61" s="16"/>
      <c r="AA61" s="27" t="str">
        <f>IFERROR(VLOOKUP(A61,'[3]DS UPLOAD 2026 (2)'!$A$2:$P$1111,16,0),"")</f>
        <v/>
      </c>
      <c r="AB61" s="58" t="s">
        <v>353</v>
      </c>
      <c r="AC61" s="51" t="s">
        <v>287</v>
      </c>
    </row>
    <row r="62" spans="1:29" ht="18" customHeight="1" x14ac:dyDescent="0.3">
      <c r="A62" s="17" t="s">
        <v>354</v>
      </c>
      <c r="B62" s="29" t="s">
        <v>40</v>
      </c>
      <c r="C62" s="17" t="s">
        <v>354</v>
      </c>
      <c r="D62" s="19" t="s">
        <v>38</v>
      </c>
      <c r="E62" s="19" t="s">
        <v>61</v>
      </c>
      <c r="F62" s="16" t="str">
        <f>VLOOKUP(E62,'[1]BẢNG MÃ'!$A$2:$B$69,2,0)</f>
        <v>TĐ012</v>
      </c>
      <c r="G62" s="20" t="s">
        <v>62</v>
      </c>
      <c r="H62" s="20" t="s">
        <v>62</v>
      </c>
      <c r="I62" s="16" t="s">
        <v>355</v>
      </c>
      <c r="J62" s="16" t="str">
        <f>VLOOKUP(I62,'[1]BẢNG MÃ'!$C$2:$D$69,2,0)</f>
        <v>KP007</v>
      </c>
      <c r="K62" s="16" t="s">
        <v>43</v>
      </c>
      <c r="L62" s="16">
        <v>0</v>
      </c>
      <c r="M62" s="16" t="s">
        <v>33</v>
      </c>
      <c r="N62" s="21">
        <f ca="1">VLOOKUP(A62,'[1]Bieu 1a'!$A$8:$AW$855,10,0)</f>
        <v>38</v>
      </c>
      <c r="O62" s="22">
        <f>VLOOKUP(A62,'[1]Bieu 1a'!$A$8:$AW$855,8,0)</f>
        <v>0</v>
      </c>
      <c r="P62" s="22">
        <f>VLOOKUP(A62,'[1]Bieu 1a'!$A$8:$AW$855,9,0)</f>
        <v>32183</v>
      </c>
      <c r="Q62" s="23" t="s">
        <v>356</v>
      </c>
      <c r="R62" s="24" t="str">
        <f>VLOOKUP(A62,'[1]Bieu 1a'!$A$8:$AW$855,23,0)</f>
        <v>15/1/2010</v>
      </c>
      <c r="S62" s="25" t="s">
        <v>357</v>
      </c>
      <c r="T62" s="26" t="s">
        <v>358</v>
      </c>
      <c r="U62" s="16"/>
      <c r="V62" s="16" t="str">
        <f>IFERROR(VLOOKUP(A62,'[2]19.6.2026'!$A$9:$L$1111,5,0),"")</f>
        <v>000786/LS-CCHN</v>
      </c>
      <c r="W62" s="16" t="str">
        <f>IFERROR(VLOOKUP(A62,'[2]19.6.2026'!$A$9:$L$1111,6,0),"")</f>
        <v>11/01/2023</v>
      </c>
      <c r="X62" s="16"/>
      <c r="Y62" s="21" t="str">
        <f>IFERROR(VLOOKUP(A62,'[2]19.6.2026'!$A$9:$L$1111,7,0),"")</f>
        <v>Thực hiện phạm vi hoạt động chuyên môn theo Thông tư số 26/2015/TTLT-BYT-BNV ngày 07/10/2015 quy định  mã số, tiêu chuẩn chức danh nghề nghiệp, điều dưỡng, hộ sinh, kỹ thuật y</v>
      </c>
      <c r="Z62" s="16"/>
      <c r="AA62" s="27" t="str">
        <f>IFERROR(VLOOKUP(A62,'[3]DS UPLOAD 2026 (2)'!$A$2:$P$1111,16,0),"")</f>
        <v/>
      </c>
      <c r="AB62" s="27" t="s">
        <v>359</v>
      </c>
      <c r="AC62" s="28"/>
    </row>
    <row r="63" spans="1:29" ht="18" customHeight="1" x14ac:dyDescent="0.3">
      <c r="A63" s="17" t="s">
        <v>360</v>
      </c>
      <c r="B63" s="40" t="s">
        <v>361</v>
      </c>
      <c r="C63" s="17" t="s">
        <v>360</v>
      </c>
      <c r="D63" s="19"/>
      <c r="E63" s="19" t="s">
        <v>61</v>
      </c>
      <c r="F63" s="16" t="str">
        <f>VLOOKUP(E63,'[1]BẢNG MÃ'!$A$2:$B$69,2,0)</f>
        <v>TĐ012</v>
      </c>
      <c r="G63" s="20"/>
      <c r="H63" s="20" t="s">
        <v>62</v>
      </c>
      <c r="I63" s="16" t="s">
        <v>306</v>
      </c>
      <c r="J63" s="16" t="str">
        <f>VLOOKUP(I63,'[1]BẢNG MÃ'!$C$2:$D$69,2,0)</f>
        <v>KP003</v>
      </c>
      <c r="K63" s="16"/>
      <c r="L63" s="16"/>
      <c r="M63" s="23" t="s">
        <v>33</v>
      </c>
      <c r="N63" s="21">
        <f ca="1">VLOOKUP(A63,'[1]Bieu 1a'!$A$8:$AW$855,10,0)</f>
        <v>32</v>
      </c>
      <c r="O63" s="22" t="str">
        <f>VLOOKUP(A63,'[1]Bieu 1a'!$A$8:$AW$855,8,0)</f>
        <v>06/7/1993</v>
      </c>
      <c r="P63" s="22">
        <f>VLOOKUP(A63,'[1]Bieu 1a'!$A$8:$AW$855,9,0)</f>
        <v>0</v>
      </c>
      <c r="Q63" s="23" t="s">
        <v>50</v>
      </c>
      <c r="R63" s="24" t="str">
        <f>VLOOKUP(A63,'[1]Bieu 1a'!$A$8:$AW$855,23,0)</f>
        <v xml:space="preserve"> 29/8/2016</v>
      </c>
      <c r="S63" s="25" t="s">
        <v>362</v>
      </c>
      <c r="T63" s="26" t="s">
        <v>363</v>
      </c>
      <c r="U63" s="16"/>
      <c r="V63" s="16" t="str">
        <f>IFERROR(VLOOKUP(A63,'[2]19.6.2026'!$A$9:$L$1111,5,0),"")</f>
        <v>003317/LS-CCHN</v>
      </c>
      <c r="W63" s="16" t="str">
        <f>IFERROR(VLOOKUP(A63,'[2]19.6.2026'!$A$9:$L$1111,6,0),"")</f>
        <v>28/06/2018</v>
      </c>
      <c r="X63" s="16"/>
      <c r="Y63" s="21" t="str">
        <f>IFERROR(VLOOKUP(A63,'[2]19.6.2026'!$A$9:$L$1111,7,0),"")</f>
        <v>Thực hiện phạm vi hoạt động chuyên môn theo quy định tại Thông tư số 26/2015/TTLT-BYT-BNV ngày 07/10/2015 quy định mã số, tiêu chuẩn chức danh nghề nghiệp điều dưỡng, hộ sinh, kỹ thuật y</v>
      </c>
      <c r="Z63" s="16"/>
      <c r="AA63" s="27" t="str">
        <f>IFERROR(VLOOKUP(A63,'[3]DS UPLOAD 2026 (2)'!$A$2:$P$1111,16,0),"")</f>
        <v/>
      </c>
      <c r="AB63" s="27">
        <v>989590939</v>
      </c>
      <c r="AC63" s="29" t="s">
        <v>239</v>
      </c>
    </row>
    <row r="64" spans="1:29" ht="18" customHeight="1" x14ac:dyDescent="0.3">
      <c r="A64" s="17" t="s">
        <v>364</v>
      </c>
      <c r="B64" s="18" t="s">
        <v>365</v>
      </c>
      <c r="C64" s="17" t="s">
        <v>364</v>
      </c>
      <c r="D64" s="19"/>
      <c r="E64" s="19" t="s">
        <v>61</v>
      </c>
      <c r="F64" s="16" t="str">
        <f>VLOOKUP(E64,'[1]BẢNG MÃ'!$A$2:$B$69,2,0)</f>
        <v>TĐ012</v>
      </c>
      <c r="G64" s="20" t="s">
        <v>62</v>
      </c>
      <c r="H64" s="20" t="s">
        <v>62</v>
      </c>
      <c r="I64" s="16" t="s">
        <v>306</v>
      </c>
      <c r="J64" s="16" t="str">
        <f>VLOOKUP(I64,'[1]BẢNG MÃ'!$C$2:$D$69,2,0)</f>
        <v>KP003</v>
      </c>
      <c r="K64" s="16" t="s">
        <v>43</v>
      </c>
      <c r="L64" s="16">
        <v>0</v>
      </c>
      <c r="M64" s="16" t="s">
        <v>33</v>
      </c>
      <c r="N64" s="21">
        <f ca="1">VLOOKUP(A64,'[1]Bieu 1a'!$A$8:$AW$855,10,0)</f>
        <v>41</v>
      </c>
      <c r="O64" s="22">
        <f>VLOOKUP(A64,'[1]Bieu 1a'!$A$8:$AW$855,8,0)</f>
        <v>31084</v>
      </c>
      <c r="P64" s="22">
        <f>VLOOKUP(A64,'[1]Bieu 1a'!$A$8:$AW$855,9,0)</f>
        <v>0</v>
      </c>
      <c r="Q64" s="23" t="s">
        <v>50</v>
      </c>
      <c r="R64" s="24" t="str">
        <f>VLOOKUP(A64,'[1]Bieu 1a'!$A$8:$AW$855,23,0)</f>
        <v>1/12/2008</v>
      </c>
      <c r="S64" s="25" t="s">
        <v>366</v>
      </c>
      <c r="T64" s="26" t="s">
        <v>367</v>
      </c>
      <c r="U64" s="16"/>
      <c r="V64" s="16" t="str">
        <f>IFERROR(VLOOKUP(A64,'[2]19.6.2026'!$A$9:$L$1111,5,0),"")</f>
        <v>001089/LS-CCHN</v>
      </c>
      <c r="W64" s="16" t="str">
        <f>IFERROR(VLOOKUP(A64,'[2]19.6.2026'!$A$9:$L$1111,6,0),"")</f>
        <v>11/01/2023</v>
      </c>
      <c r="X64" s="16"/>
      <c r="Y64" s="21" t="str">
        <f>IFERROR(VLOOKUP(A64,'[2]19.6.2026'!$A$9:$L$1111,7,0),"")</f>
        <v>Thực hiện phạm vi hoạt động chuyên môn theo Thông tư số 26/2015/TTLT-BYT-BNV ngày 07/10/2015 quy định  mã số, tiêu chuẩn chức danh nghề nghiệp, điều dưỡng, hộ sinh, kỹ thuật y</v>
      </c>
      <c r="Z64" s="16"/>
      <c r="AA64" s="27" t="str">
        <f>IFERROR(VLOOKUP(A64,'[3]DS UPLOAD 2026 (2)'!$A$2:$P$1111,16,0),"")</f>
        <v/>
      </c>
      <c r="AB64" s="27" t="s">
        <v>368</v>
      </c>
      <c r="AC64" s="28"/>
    </row>
    <row r="65" spans="1:29" ht="18" customHeight="1" x14ac:dyDescent="0.3">
      <c r="A65" s="17" t="s">
        <v>369</v>
      </c>
      <c r="B65" s="36" t="s">
        <v>370</v>
      </c>
      <c r="C65" s="17" t="s">
        <v>369</v>
      </c>
      <c r="D65" s="19" t="s">
        <v>38</v>
      </c>
      <c r="E65" s="19" t="s">
        <v>61</v>
      </c>
      <c r="F65" s="16" t="str">
        <f>VLOOKUP(E65,'[1]BẢNG MÃ'!$A$2:$B$69,2,0)</f>
        <v>TĐ012</v>
      </c>
      <c r="G65" s="20" t="s">
        <v>62</v>
      </c>
      <c r="H65" s="20" t="s">
        <v>62</v>
      </c>
      <c r="I65" s="16" t="s">
        <v>306</v>
      </c>
      <c r="J65" s="16" t="str">
        <f>VLOOKUP(I65,'[1]BẢNG MÃ'!$C$2:$D$69,2,0)</f>
        <v>KP003</v>
      </c>
      <c r="K65" s="16" t="s">
        <v>43</v>
      </c>
      <c r="L65" s="16">
        <v>0</v>
      </c>
      <c r="M65" s="16" t="s">
        <v>33</v>
      </c>
      <c r="N65" s="21">
        <f ca="1">VLOOKUP(A65,'[1]Bieu 1a'!$A$8:$AW$855,10,0)</f>
        <v>33</v>
      </c>
      <c r="O65" s="22">
        <f>VLOOKUP(A65,'[1]Bieu 1a'!$A$8:$AW$855,8,0)</f>
        <v>0</v>
      </c>
      <c r="P65" s="22">
        <f>VLOOKUP(A65,'[1]Bieu 1a'!$A$8:$AW$855,9,0)</f>
        <v>34121</v>
      </c>
      <c r="Q65" s="23" t="s">
        <v>50</v>
      </c>
      <c r="R65" s="24" t="str">
        <f>VLOOKUP(A65,'[1]Bieu 1a'!$A$8:$AW$855,23,0)</f>
        <v>20/3/2018</v>
      </c>
      <c r="S65" s="25" t="s">
        <v>371</v>
      </c>
      <c r="T65" s="26" t="s">
        <v>372</v>
      </c>
      <c r="U65" s="16"/>
      <c r="V65" s="16" t="str">
        <f>IFERROR(VLOOKUP(A65,'[2]19.6.2026'!$A$9:$L$1111,5,0),"")</f>
        <v>003672/LS-CCHN</v>
      </c>
      <c r="W65" s="16" t="str">
        <f>IFERROR(VLOOKUP(A65,'[2]19.6.2026'!$A$9:$L$1111,6,0),"")</f>
        <v>22/01/2020</v>
      </c>
      <c r="X65" s="16"/>
      <c r="Y65" s="21" t="str">
        <f>IFERROR(VLOOKUP(A65,'[2]19.6.2026'!$A$9:$L$1111,7,0),"")</f>
        <v>Thực hiện phạm vi hoạt động chuyên môn theo quy định tại Thông tư số 26/2015/TTLT-BYT-BNV ngày 07/10/2015 quy định mã số, tiêu chuẩn chức danh nghề nghiệp điều dưỡng, hộ sinh, kỹ thuật y</v>
      </c>
      <c r="Z65" s="16"/>
      <c r="AA65" s="27" t="str">
        <f>IFERROR(VLOOKUP(A65,'[3]DS UPLOAD 2026 (2)'!$A$2:$P$1111,16,0),"")</f>
        <v/>
      </c>
      <c r="AB65" s="27" t="s">
        <v>373</v>
      </c>
      <c r="AC65" s="28" t="s">
        <v>374</v>
      </c>
    </row>
    <row r="66" spans="1:29" ht="18" customHeight="1" x14ac:dyDescent="0.3">
      <c r="A66" s="17" t="s">
        <v>375</v>
      </c>
      <c r="B66" s="18" t="s">
        <v>376</v>
      </c>
      <c r="C66" s="17" t="s">
        <v>375</v>
      </c>
      <c r="D66" s="19" t="s">
        <v>38</v>
      </c>
      <c r="E66" s="19" t="s">
        <v>61</v>
      </c>
      <c r="F66" s="16" t="str">
        <f>VLOOKUP(E66,'[1]BẢNG MÃ'!$A$2:$B$69,2,0)</f>
        <v>TĐ012</v>
      </c>
      <c r="G66" s="20"/>
      <c r="H66" s="20" t="s">
        <v>62</v>
      </c>
      <c r="I66" s="16" t="s">
        <v>306</v>
      </c>
      <c r="J66" s="16" t="str">
        <f>VLOOKUP(I66,'[1]BẢNG MÃ'!$C$2:$D$69,2,0)</f>
        <v>KP003</v>
      </c>
      <c r="K66" s="16"/>
      <c r="L66" s="16"/>
      <c r="M66" s="23" t="s">
        <v>33</v>
      </c>
      <c r="N66" s="21">
        <f ca="1">VLOOKUP(A66,'[1]Bieu 1a'!$A$8:$AW$855,10,0)</f>
        <v>31</v>
      </c>
      <c r="O66" s="22">
        <f>VLOOKUP(A66,'[1]Bieu 1a'!$A$8:$AW$855,8,0)</f>
        <v>0</v>
      </c>
      <c r="P66" s="22" t="str">
        <f>VLOOKUP(A66,'[1]Bieu 1a'!$A$8:$AW$855,9,0)</f>
        <v>18/12/1994</v>
      </c>
      <c r="Q66" s="23" t="s">
        <v>50</v>
      </c>
      <c r="R66" s="24" t="str">
        <f>VLOOKUP(A66,'[1]Bieu 1a'!$A$8:$AW$855,23,0)</f>
        <v xml:space="preserve"> 29/8/2016</v>
      </c>
      <c r="S66" s="25" t="s">
        <v>377</v>
      </c>
      <c r="T66" s="26" t="s">
        <v>378</v>
      </c>
      <c r="U66" s="16"/>
      <c r="V66" s="16" t="str">
        <f>IFERROR(VLOOKUP(A66,'[2]19.6.2026'!$A$9:$L$1111,5,0),"")</f>
        <v>003316/LS-CCHN</v>
      </c>
      <c r="W66" s="16" t="str">
        <f>IFERROR(VLOOKUP(A66,'[2]19.6.2026'!$A$9:$L$1111,6,0),"")</f>
        <v>28/06/2018</v>
      </c>
      <c r="X66" s="16"/>
      <c r="Y66" s="21" t="str">
        <f>IFERROR(VLOOKUP(A66,'[2]19.6.2026'!$A$9:$L$1111,7,0),"")</f>
        <v>Thực hiện phạm vi hoạt động chuyên môn theo quy định tại Thông tư số 26/2015/TTLT-BYT-BNV ngày 07/10/2015 quy định mã số, tiêu chuẩn chức danh nghề nghiệp điều dưỡng, hộ sinh, kỹ thuật y</v>
      </c>
      <c r="Z66" s="16"/>
      <c r="AA66" s="27" t="str">
        <f>IFERROR(VLOOKUP(A66,'[3]DS UPLOAD 2026 (2)'!$A$2:$P$1111,16,0),"")</f>
        <v/>
      </c>
      <c r="AB66" s="27" t="s">
        <v>379</v>
      </c>
      <c r="AC66" s="29" t="s">
        <v>239</v>
      </c>
    </row>
    <row r="67" spans="1:29" ht="18" customHeight="1" x14ac:dyDescent="0.3">
      <c r="A67" s="17" t="s">
        <v>380</v>
      </c>
      <c r="B67" s="18" t="s">
        <v>381</v>
      </c>
      <c r="C67" s="17" t="s">
        <v>380</v>
      </c>
      <c r="D67" s="19" t="s">
        <v>38</v>
      </c>
      <c r="E67" s="19" t="s">
        <v>61</v>
      </c>
      <c r="F67" s="16" t="str">
        <f>VLOOKUP(E67,'[1]BẢNG MÃ'!$A$2:$B$69,2,0)</f>
        <v>TĐ012</v>
      </c>
      <c r="G67" s="20"/>
      <c r="H67" s="20" t="s">
        <v>62</v>
      </c>
      <c r="I67" s="16" t="s">
        <v>306</v>
      </c>
      <c r="J67" s="16" t="str">
        <f>VLOOKUP(I67,'[1]BẢNG MÃ'!$C$2:$D$69,2,0)</f>
        <v>KP003</v>
      </c>
      <c r="K67" s="16"/>
      <c r="L67" s="16"/>
      <c r="M67" s="23" t="s">
        <v>33</v>
      </c>
      <c r="N67" s="21">
        <f ca="1">VLOOKUP(A67,'[1]Bieu 1a'!$A$8:$AW$855,10,0)</f>
        <v>37</v>
      </c>
      <c r="O67" s="22">
        <f>VLOOKUP(A67,'[1]Bieu 1a'!$A$8:$AW$855,8,0)</f>
        <v>0</v>
      </c>
      <c r="P67" s="22" t="str">
        <f>VLOOKUP(A67,'[1]Bieu 1a'!$A$8:$AW$855,9,0)</f>
        <v>25/11/1988</v>
      </c>
      <c r="Q67" s="23" t="s">
        <v>50</v>
      </c>
      <c r="R67" s="24" t="str">
        <f>VLOOKUP(A67,'[1]Bieu 1a'!$A$8:$AW$855,23,0)</f>
        <v xml:space="preserve"> 29/8/2016</v>
      </c>
      <c r="S67" s="25" t="s">
        <v>382</v>
      </c>
      <c r="T67" s="26" t="s">
        <v>383</v>
      </c>
      <c r="U67" s="16"/>
      <c r="V67" s="16" t="str">
        <f>IFERROR(VLOOKUP(A67,'[2]19.6.2026'!$A$9:$L$1111,5,0),"")</f>
        <v>003347/LS-CCHN</v>
      </c>
      <c r="W67" s="16" t="str">
        <f>IFERROR(VLOOKUP(A67,'[2]19.6.2026'!$A$9:$L$1111,6,0),"")</f>
        <v>17/08/2018</v>
      </c>
      <c r="X67" s="16"/>
      <c r="Y67" s="21" t="str">
        <f>IFERROR(VLOOKUP(A67,'[2]19.6.2026'!$A$9:$L$1111,7,0),"")</f>
        <v>Thực hiện phạm vi hoạt động chuyên môn theo quy định tại Thông tư số 26/2015/TTLT-BYT-BNV ngày 07/10/2015 quy định mã số, tiêu chuẩn chức danh nghề nghiệp điều dưỡng, hộ sinh, kỹ thuật y</v>
      </c>
      <c r="Z67" s="16"/>
      <c r="AA67" s="27" t="str">
        <f>IFERROR(VLOOKUP(A67,'[3]DS UPLOAD 2026 (2)'!$A$2:$P$1111,16,0),"")</f>
        <v/>
      </c>
      <c r="AB67" s="27" t="s">
        <v>384</v>
      </c>
      <c r="AC67" s="29" t="s">
        <v>239</v>
      </c>
    </row>
    <row r="68" spans="1:29" ht="18" customHeight="1" x14ac:dyDescent="0.3">
      <c r="A68" s="17" t="s">
        <v>385</v>
      </c>
      <c r="B68" s="36" t="s">
        <v>386</v>
      </c>
      <c r="C68" s="17" t="s">
        <v>385</v>
      </c>
      <c r="D68" s="19" t="s">
        <v>38</v>
      </c>
      <c r="E68" s="19" t="s">
        <v>61</v>
      </c>
      <c r="F68" s="16" t="str">
        <f>VLOOKUP(E68,'[1]BẢNG MÃ'!$A$2:$B$69,2,0)</f>
        <v>TĐ012</v>
      </c>
      <c r="G68" s="20"/>
      <c r="H68" s="20" t="s">
        <v>62</v>
      </c>
      <c r="I68" s="16" t="s">
        <v>306</v>
      </c>
      <c r="J68" s="16" t="str">
        <f>VLOOKUP(I68,'[1]BẢNG MÃ'!$C$2:$D$69,2,0)</f>
        <v>KP003</v>
      </c>
      <c r="K68" s="37"/>
      <c r="L68" s="16"/>
      <c r="M68" s="23" t="s">
        <v>33</v>
      </c>
      <c r="N68" s="21">
        <f ca="1">VLOOKUP(A68,'[1]Bieu 1a'!$A$8:$AW$855,10,0)</f>
        <v>32</v>
      </c>
      <c r="O68" s="22">
        <f>VLOOKUP(A68,'[1]Bieu 1a'!$A$8:$AW$855,8,0)</f>
        <v>0</v>
      </c>
      <c r="P68" s="22">
        <f>VLOOKUP(A68,'[1]Bieu 1a'!$A$8:$AW$855,9,0)</f>
        <v>34490</v>
      </c>
      <c r="Q68" s="23" t="s">
        <v>50</v>
      </c>
      <c r="R68" s="24" t="str">
        <f>VLOOKUP(A68,'[1]Bieu 1a'!$A$8:$AW$855,23,0)</f>
        <v>01/11/2018</v>
      </c>
      <c r="S68" s="25" t="s">
        <v>387</v>
      </c>
      <c r="T68" s="26" t="s">
        <v>372</v>
      </c>
      <c r="U68" s="16"/>
      <c r="V68" s="16" t="str">
        <f>IFERROR(VLOOKUP(A68,'[2]19.6.2026'!$A$9:$L$1111,5,0),"")</f>
        <v>003721/LS-CCHN</v>
      </c>
      <c r="W68" s="16" t="str">
        <f>IFERROR(VLOOKUP(A68,'[2]19.6.2026'!$A$9:$L$1111,6,0),"")</f>
        <v>22/05/2020</v>
      </c>
      <c r="X68" s="16"/>
      <c r="Y68" s="21" t="str">
        <f>IFERROR(VLOOKUP(A68,'[2]19.6.2026'!$A$9:$L$1111,7,0),"")</f>
        <v>Thực hiện phạm vi hoạt động chuyên môn theo quy định tại Thông tư số 26/2015/TTLT-BYT-BNV ngày 07/10/2015 quy định mã số, tiêu chuẩn chức danh nghề nghiệp điều dưỡng, hộ sinh, kỹ thuật y</v>
      </c>
      <c r="Z68" s="16"/>
      <c r="AA68" s="27" t="str">
        <f>IFERROR(VLOOKUP(A68,'[3]DS UPLOAD 2026 (2)'!$A$2:$P$1111,16,0),"")</f>
        <v/>
      </c>
      <c r="AB68" s="27" t="s">
        <v>388</v>
      </c>
      <c r="AC68" s="29" t="s">
        <v>85</v>
      </c>
    </row>
    <row r="69" spans="1:29" ht="18" customHeight="1" x14ac:dyDescent="0.3">
      <c r="A69" s="17" t="s">
        <v>389</v>
      </c>
      <c r="B69" s="36" t="s">
        <v>390</v>
      </c>
      <c r="C69" s="17" t="s">
        <v>389</v>
      </c>
      <c r="D69" s="53"/>
      <c r="E69" s="19" t="s">
        <v>61</v>
      </c>
      <c r="F69" s="16" t="str">
        <f>VLOOKUP(E69,'[1]BẢNG MÃ'!$A$2:$B$69,2,0)</f>
        <v>TĐ012</v>
      </c>
      <c r="G69" s="20"/>
      <c r="H69" s="20" t="s">
        <v>62</v>
      </c>
      <c r="I69" s="16" t="s">
        <v>306</v>
      </c>
      <c r="J69" s="16" t="str">
        <f>VLOOKUP(I69,'[1]BẢNG MÃ'!$C$2:$D$69,2,0)</f>
        <v>KP003</v>
      </c>
      <c r="K69" s="37"/>
      <c r="L69" s="16"/>
      <c r="M69" s="23" t="s">
        <v>33</v>
      </c>
      <c r="N69" s="21">
        <f ca="1">VLOOKUP(A69,'[1]Bieu 1a'!$A$8:$AW$855,10,0)</f>
        <v>34</v>
      </c>
      <c r="O69" s="22">
        <f>VLOOKUP(A69,'[1]Bieu 1a'!$A$8:$AW$855,8,0)</f>
        <v>33449</v>
      </c>
      <c r="P69" s="22">
        <f>VLOOKUP(A69,'[1]Bieu 1a'!$A$8:$AW$855,9,0)</f>
        <v>0</v>
      </c>
      <c r="Q69" s="23" t="s">
        <v>50</v>
      </c>
      <c r="R69" s="24" t="str">
        <f>VLOOKUP(A69,'[1]Bieu 1a'!$A$8:$AW$855,23,0)</f>
        <v>01/11/2018</v>
      </c>
      <c r="S69" s="25" t="s">
        <v>391</v>
      </c>
      <c r="T69" s="26" t="s">
        <v>392</v>
      </c>
      <c r="U69" s="16"/>
      <c r="V69" s="16" t="str">
        <f>IFERROR(VLOOKUP(A69,'[2]19.6.2026'!$A$9:$L$1111,5,0),"")</f>
        <v>002078/LS-CCHN</v>
      </c>
      <c r="W69" s="16" t="str">
        <f>IFERROR(VLOOKUP(A69,'[2]19.6.2026'!$A$9:$L$1111,6,0),"")</f>
        <v>29/08/2017</v>
      </c>
      <c r="X69" s="16"/>
      <c r="Y69" s="21" t="str">
        <f>IFERROR(VLOOKUP(A69,'[2]19.6.2026'!$A$9:$L$1111,7,0),"")</f>
        <v>Thực hiện phạm vi hoạt động chuyên môn theo quy định tại Thông tư số 26/2015/TTLT-BYT-BNV ngày 07/10/2015 quy định mã số, tiêu chuẩn chức danh nghề nghiệp điều dưỡng, hộ sinh, kỹ thuật y</v>
      </c>
      <c r="Z69" s="16"/>
      <c r="AA69" s="27" t="str">
        <f>IFERROR(VLOOKUP(A69,'[3]DS UPLOAD 2026 (2)'!$A$2:$P$1111,16,0),"")</f>
        <v/>
      </c>
      <c r="AB69" s="27">
        <v>979664191</v>
      </c>
      <c r="AC69" s="29" t="s">
        <v>85</v>
      </c>
    </row>
    <row r="70" spans="1:29" ht="18" customHeight="1" x14ac:dyDescent="0.3">
      <c r="A70" s="29" t="s">
        <v>393</v>
      </c>
      <c r="B70" s="18" t="s">
        <v>394</v>
      </c>
      <c r="C70" s="29" t="s">
        <v>393</v>
      </c>
      <c r="D70" s="53"/>
      <c r="E70" s="19" t="s">
        <v>61</v>
      </c>
      <c r="F70" s="16" t="str">
        <f>VLOOKUP(E70,'[1]BẢNG MÃ'!$A$2:$B$69,2,0)</f>
        <v>TĐ012</v>
      </c>
      <c r="G70" s="20"/>
      <c r="H70" s="20" t="s">
        <v>62</v>
      </c>
      <c r="I70" s="16" t="s">
        <v>306</v>
      </c>
      <c r="J70" s="16" t="str">
        <f>VLOOKUP(I70,'[1]BẢNG MÃ'!$C$2:$D$69,2,0)</f>
        <v>KP003</v>
      </c>
      <c r="K70" s="16"/>
      <c r="L70" s="16"/>
      <c r="M70" s="23" t="s">
        <v>33</v>
      </c>
      <c r="N70" s="21">
        <f ca="1">VLOOKUP(A70,'[1]Bieu 1a'!$A$8:$AW$855,10,0)</f>
        <v>29</v>
      </c>
      <c r="O70" s="22" t="str">
        <f>VLOOKUP(A70,'[1]Bieu 1a'!$A$8:$AW$855,8,0)</f>
        <v>01/3/1997</v>
      </c>
      <c r="P70" s="22">
        <f>VLOOKUP(A70,'[1]Bieu 1a'!$A$8:$AW$855,9,0)</f>
        <v>0</v>
      </c>
      <c r="Q70" s="23" t="s">
        <v>44</v>
      </c>
      <c r="R70" s="24" t="str">
        <f>VLOOKUP(A70,'[1]Bieu 1a'!$A$8:$AW$855,23,0)</f>
        <v>02/12/2019</v>
      </c>
      <c r="S70" s="25" t="s">
        <v>395</v>
      </c>
      <c r="T70" s="26" t="s">
        <v>396</v>
      </c>
      <c r="U70" s="16"/>
      <c r="V70" s="16" t="str">
        <f>IFERROR(VLOOKUP(A70,'[2]19.6.2026'!$A$9:$L$1111,5,0),"")</f>
        <v>004302/LS-CCHN</v>
      </c>
      <c r="W70" s="16" t="str">
        <f>IFERROR(VLOOKUP(A70,'[2]19.6.2026'!$A$9:$L$1111,6,0),"")</f>
        <v>20/07/2021</v>
      </c>
      <c r="X70" s="16"/>
      <c r="Y70" s="21" t="str">
        <f>IFERROR(VLOOKUP(A70,'[2]19.6.2026'!$A$9:$L$1111,7,0),"")</f>
        <v>Thực hiện phạm vi hoạt động chuyên môn theo quy định tại Thông tư số 26/2015/TTLT-BYT-BNV ngày 07/10/2015 quy định mã số, tiêu chuẩn chức danh nghề nghiệp điều dưỡng, hộ sinh, kỹ thuật y</v>
      </c>
      <c r="Z70" s="16"/>
      <c r="AA70" s="27" t="str">
        <f>IFERROR(VLOOKUP(A70,'[3]DS UPLOAD 2026 (2)'!$A$2:$P$1111,16,0),"")</f>
        <v/>
      </c>
      <c r="AB70" s="27"/>
      <c r="AC70" s="29" t="s">
        <v>327</v>
      </c>
    </row>
    <row r="71" spans="1:29" ht="18" customHeight="1" x14ac:dyDescent="0.3">
      <c r="A71" s="17" t="s">
        <v>397</v>
      </c>
      <c r="B71" s="18" t="s">
        <v>398</v>
      </c>
      <c r="C71" s="17" t="s">
        <v>397</v>
      </c>
      <c r="D71" s="19" t="s">
        <v>38</v>
      </c>
      <c r="E71" s="19" t="s">
        <v>61</v>
      </c>
      <c r="F71" s="16" t="str">
        <f>VLOOKUP(E71,'[1]BẢNG MÃ'!$A$2:$B$69,2,0)</f>
        <v>TĐ012</v>
      </c>
      <c r="G71" s="20" t="s">
        <v>62</v>
      </c>
      <c r="H71" s="20" t="s">
        <v>62</v>
      </c>
      <c r="I71" s="16" t="s">
        <v>306</v>
      </c>
      <c r="J71" s="16" t="str">
        <f>VLOOKUP(I71,'[1]BẢNG MÃ'!$C$2:$D$69,2,0)</f>
        <v>KP003</v>
      </c>
      <c r="K71" s="16" t="s">
        <v>43</v>
      </c>
      <c r="L71" s="16">
        <v>0</v>
      </c>
      <c r="M71" s="16" t="s">
        <v>33</v>
      </c>
      <c r="N71" s="21">
        <f ca="1">VLOOKUP(A71,'[1]Bieu 1a'!$A$8:$AW$855,10,0)</f>
        <v>43</v>
      </c>
      <c r="O71" s="22">
        <f>VLOOKUP(A71,'[1]Bieu 1a'!$A$8:$AW$855,8,0)</f>
        <v>0</v>
      </c>
      <c r="P71" s="22">
        <f>VLOOKUP(A71,'[1]Bieu 1a'!$A$8:$AW$855,9,0)</f>
        <v>30241</v>
      </c>
      <c r="Q71" s="23" t="s">
        <v>50</v>
      </c>
      <c r="R71" s="24" t="str">
        <f>VLOOKUP(A71,'[1]Bieu 1a'!$A$8:$AW$855,23,0)</f>
        <v>7/11/2006</v>
      </c>
      <c r="S71" s="25" t="s">
        <v>399</v>
      </c>
      <c r="T71" s="26" t="s">
        <v>400</v>
      </c>
      <c r="U71" s="16"/>
      <c r="V71" s="16" t="str">
        <f>IFERROR(VLOOKUP(A71,'[2]19.6.2026'!$A$9:$L$1111,5,0),"")</f>
        <v>000773/LS-CCHN</v>
      </c>
      <c r="W71" s="16" t="str">
        <f>IFERROR(VLOOKUP(A71,'[2]19.6.2026'!$A$9:$L$1111,6,0),"")</f>
        <v>11/01/2023</v>
      </c>
      <c r="X71" s="16"/>
      <c r="Y71" s="21" t="str">
        <f>IFERROR(VLOOKUP(A71,'[2]19.6.2026'!$A$9:$L$1111,7,0),"")</f>
        <v>Thực hiện phạm vi hoạt động chuyên môn theo Thông tư số 26/2015/TTLT-BYT-BNV ngày 07/10/2015 quy định  mã số, tiêu chuẩn chức danh nghề nghiệp, điều dưỡng, hộ sinh, kỹ thuật y</v>
      </c>
      <c r="Z71" s="16"/>
      <c r="AA71" s="27" t="str">
        <f>IFERROR(VLOOKUP(A71,'[3]DS UPLOAD 2026 (2)'!$A$2:$P$1111,16,0),"")</f>
        <v/>
      </c>
      <c r="AB71" s="27" t="s">
        <v>401</v>
      </c>
      <c r="AC71" s="28"/>
    </row>
    <row r="72" spans="1:29" ht="18" customHeight="1" x14ac:dyDescent="0.3">
      <c r="A72" s="17" t="s">
        <v>402</v>
      </c>
      <c r="B72" s="36" t="s">
        <v>403</v>
      </c>
      <c r="C72" s="17" t="s">
        <v>402</v>
      </c>
      <c r="D72" s="53" t="s">
        <v>38</v>
      </c>
      <c r="E72" s="19" t="s">
        <v>61</v>
      </c>
      <c r="F72" s="16" t="str">
        <f>VLOOKUP(E72,'[1]BẢNG MÃ'!$A$2:$B$69,2,0)</f>
        <v>TĐ012</v>
      </c>
      <c r="G72" s="20"/>
      <c r="H72" s="20" t="s">
        <v>62</v>
      </c>
      <c r="I72" s="16" t="s">
        <v>306</v>
      </c>
      <c r="J72" s="16" t="str">
        <f>VLOOKUP(I72,'[1]BẢNG MÃ'!$C$2:$D$69,2,0)</f>
        <v>KP003</v>
      </c>
      <c r="K72" s="16"/>
      <c r="L72" s="16"/>
      <c r="M72" s="16" t="s">
        <v>33</v>
      </c>
      <c r="N72" s="21">
        <f ca="1">VLOOKUP(A72,'[1]Bieu 1a'!$A$8:$AW$855,10,0)</f>
        <v>29</v>
      </c>
      <c r="O72" s="22">
        <f>VLOOKUP(A72,'[1]Bieu 1a'!$A$8:$AW$855,8,0)</f>
        <v>0</v>
      </c>
      <c r="P72" s="22" t="str">
        <f>VLOOKUP(A72,'[1]Bieu 1a'!$A$8:$AW$855,9,0)</f>
        <v>11/06/1997</v>
      </c>
      <c r="Q72" s="23" t="s">
        <v>50</v>
      </c>
      <c r="R72" s="24" t="str">
        <f>VLOOKUP(A72,'[1]Bieu 1a'!$A$8:$AW$855,23,0)</f>
        <v>13/7/2020</v>
      </c>
      <c r="S72" s="25" t="s">
        <v>404</v>
      </c>
      <c r="T72" s="26" t="s">
        <v>405</v>
      </c>
      <c r="U72" s="16"/>
      <c r="V72" s="16" t="str">
        <f>IFERROR(VLOOKUP(A72,'[2]19.6.2026'!$A$9:$L$1111,5,0),"")</f>
        <v>004301/LS-CCHN</v>
      </c>
      <c r="W72" s="16" t="str">
        <f>IFERROR(VLOOKUP(A72,'[2]19.6.2026'!$A$9:$L$1111,6,0),"")</f>
        <v>20/07/2021</v>
      </c>
      <c r="X72" s="16"/>
      <c r="Y72" s="21" t="str">
        <f>IFERROR(VLOOKUP(A72,'[2]19.6.2026'!$A$9:$L$1111,7,0),"")</f>
        <v>Thực hiện phạm vi hoạt động chuyên môn theo quy định tại Thông tư số 26/2015/TTLT-BYT-BNV ngày 07/10/2015 quy định mã số, tiêu chuẩn chức danh nghề nghiệp điều dưỡng, hộ sinh, kỹ thuật y</v>
      </c>
      <c r="Z72" s="16"/>
      <c r="AA72" s="27" t="str">
        <f>IFERROR(VLOOKUP(A72,'[3]DS UPLOAD 2026 (2)'!$A$2:$P$1111,16,0),"")</f>
        <v/>
      </c>
      <c r="AB72" s="50" t="s">
        <v>406</v>
      </c>
      <c r="AC72" s="29" t="s">
        <v>407</v>
      </c>
    </row>
    <row r="73" spans="1:29" ht="17.25" customHeight="1" x14ac:dyDescent="0.3">
      <c r="A73" s="17" t="s">
        <v>408</v>
      </c>
      <c r="B73" s="36" t="s">
        <v>409</v>
      </c>
      <c r="C73" s="17" t="s">
        <v>408</v>
      </c>
      <c r="D73" s="53" t="s">
        <v>38</v>
      </c>
      <c r="E73" s="19" t="s">
        <v>61</v>
      </c>
      <c r="F73" s="16" t="str">
        <f>VLOOKUP(E73,'[1]BẢNG MÃ'!$A$2:$B$69,2,0)</f>
        <v>TĐ012</v>
      </c>
      <c r="G73" s="20"/>
      <c r="H73" s="20" t="s">
        <v>62</v>
      </c>
      <c r="I73" s="16" t="s">
        <v>306</v>
      </c>
      <c r="J73" s="16" t="str">
        <f>VLOOKUP(I73,'[1]BẢNG MÃ'!$C$2:$D$69,2,0)</f>
        <v>KP003</v>
      </c>
      <c r="K73" s="16"/>
      <c r="L73" s="16"/>
      <c r="M73" s="16" t="s">
        <v>33</v>
      </c>
      <c r="N73" s="21">
        <f ca="1">VLOOKUP(A73,'[1]Bieu 1a'!$A$8:$AW$855,10,0)</f>
        <v>31</v>
      </c>
      <c r="O73" s="22">
        <f>VLOOKUP(A73,'[1]Bieu 1a'!$A$8:$AW$855,8,0)</f>
        <v>0</v>
      </c>
      <c r="P73" s="22" t="str">
        <f>VLOOKUP(A73,'[1]Bieu 1a'!$A$8:$AW$855,9,0)</f>
        <v>14/12/1994</v>
      </c>
      <c r="Q73" s="23" t="s">
        <v>34</v>
      </c>
      <c r="R73" s="24" t="str">
        <f>VLOOKUP(A73,'[1]Bieu 1a'!$A$8:$AW$855,23,0)</f>
        <v>13/7/2020</v>
      </c>
      <c r="S73" s="25" t="s">
        <v>410</v>
      </c>
      <c r="T73" s="26" t="s">
        <v>411</v>
      </c>
      <c r="U73" s="16"/>
      <c r="V73" s="16" t="str">
        <f>IFERROR(VLOOKUP(A73,'[2]19.6.2026'!$A$9:$L$1111,5,0),"")</f>
        <v>004234/LS-CCHN</v>
      </c>
      <c r="W73" s="16" t="str">
        <f>IFERROR(VLOOKUP(A73,'[2]19.6.2026'!$A$9:$L$1111,6,0),"")</f>
        <v>10/06/2021</v>
      </c>
      <c r="X73" s="16"/>
      <c r="Y73" s="21" t="str">
        <f>IFERROR(VLOOKUP(A73,'[2]19.6.2026'!$A$9:$L$1111,7,0),"")</f>
        <v>Thực hiện phạm vi hoạt động chuyên môn theo quy định tại Thông tư số 26/2015/TTLT-BYT-BNV ngày 07/10/2015 quy định mã số, tiêu chuẩn chức danh nghề nghiệp điều dưỡng, hộ sinh, kỹ thuật y</v>
      </c>
      <c r="Z73" s="16"/>
      <c r="AA73" s="27" t="str">
        <f>IFERROR(VLOOKUP(A73,'[3]DS UPLOAD 2026 (2)'!$A$2:$P$1111,16,0),"")</f>
        <v/>
      </c>
      <c r="AB73" s="50" t="s">
        <v>412</v>
      </c>
      <c r="AC73" s="29" t="s">
        <v>244</v>
      </c>
    </row>
    <row r="74" spans="1:29" ht="18" customHeight="1" x14ac:dyDescent="0.3">
      <c r="A74" s="17" t="s">
        <v>413</v>
      </c>
      <c r="B74" s="36" t="s">
        <v>414</v>
      </c>
      <c r="C74" s="17" t="s">
        <v>413</v>
      </c>
      <c r="D74" s="19" t="s">
        <v>38</v>
      </c>
      <c r="E74" s="19" t="s">
        <v>61</v>
      </c>
      <c r="F74" s="16" t="str">
        <f>VLOOKUP(E74,'[1]BẢNG MÃ'!$A$2:$B$69,2,0)</f>
        <v>TĐ012</v>
      </c>
      <c r="G74" s="20"/>
      <c r="H74" s="20" t="s">
        <v>62</v>
      </c>
      <c r="I74" s="16" t="s">
        <v>306</v>
      </c>
      <c r="J74" s="16" t="str">
        <f>VLOOKUP(I74,'[1]BẢNG MÃ'!$C$2:$D$69,2,0)</f>
        <v>KP003</v>
      </c>
      <c r="K74" s="19"/>
      <c r="L74" s="16"/>
      <c r="M74" s="16" t="s">
        <v>33</v>
      </c>
      <c r="N74" s="21">
        <f ca="1">VLOOKUP(A74,'[1]Bieu 1a'!$A$8:$AW$855,10,0)</f>
        <v>26</v>
      </c>
      <c r="O74" s="22">
        <f>VLOOKUP(A74,'[1]Bieu 1a'!$A$8:$AW$855,8,0)</f>
        <v>0</v>
      </c>
      <c r="P74" s="22" t="str">
        <f>VLOOKUP(A74,'[1]Bieu 1a'!$A$8:$AW$855,9,0)</f>
        <v>22/10/1999</v>
      </c>
      <c r="Q74" s="23" t="s">
        <v>50</v>
      </c>
      <c r="R74" s="24" t="str">
        <f>VLOOKUP(A74,'[1]Bieu 1a'!$A$8:$AW$855,23,0)</f>
        <v>03/11/2020</v>
      </c>
      <c r="S74" s="25" t="s">
        <v>415</v>
      </c>
      <c r="T74" s="26" t="s">
        <v>416</v>
      </c>
      <c r="U74" s="16"/>
      <c r="V74" s="16" t="str">
        <f>IFERROR(VLOOKUP(A74,'[2]19.6.2026'!$A$9:$L$1111,5,0),"")</f>
        <v>004376/LS-CCHN</v>
      </c>
      <c r="W74" s="16" t="str">
        <f>IFERROR(VLOOKUP(A74,'[2]19.6.2026'!$A$9:$L$1111,6,0),"")</f>
        <v>05/11/2021</v>
      </c>
      <c r="X74" s="16"/>
      <c r="Y74" s="21" t="str">
        <f>IFERROR(VLOOKUP(A74,'[2]19.6.2026'!$A$9:$L$1111,7,0),"")</f>
        <v>Thực hiện phạm vi hoạt động chuyên môn theo quy định tại Thông tư số 26/2015/TTLT-BYT-BNV ngày 07/10/2015 quy định mã số, tiêu chuẩn chức danh nghề nghiệp điều dưỡng, hộ sinh, kỹ thuật y</v>
      </c>
      <c r="Z74" s="16"/>
      <c r="AA74" s="27" t="str">
        <f>IFERROR(VLOOKUP(A74,'[3]DS UPLOAD 2026 (2)'!$A$2:$P$1111,16,0),"")</f>
        <v/>
      </c>
      <c r="AB74" s="39" t="s">
        <v>417</v>
      </c>
      <c r="AC74" s="29" t="s">
        <v>97</v>
      </c>
    </row>
    <row r="75" spans="1:29" ht="18" customHeight="1" x14ac:dyDescent="0.3">
      <c r="A75" s="17" t="s">
        <v>418</v>
      </c>
      <c r="B75" s="29" t="s">
        <v>419</v>
      </c>
      <c r="C75" s="17" t="s">
        <v>418</v>
      </c>
      <c r="D75" s="19" t="s">
        <v>38</v>
      </c>
      <c r="E75" s="19" t="s">
        <v>61</v>
      </c>
      <c r="F75" s="16" t="str">
        <f>VLOOKUP(E75,'[1]BẢNG MÃ'!$A$2:$B$69,2,0)</f>
        <v>TĐ012</v>
      </c>
      <c r="G75" s="20" t="s">
        <v>62</v>
      </c>
      <c r="H75" s="20" t="s">
        <v>62</v>
      </c>
      <c r="I75" s="16" t="s">
        <v>306</v>
      </c>
      <c r="J75" s="16" t="str">
        <f>VLOOKUP(I75,'[1]BẢNG MÃ'!$C$2:$D$69,2,0)</f>
        <v>KP003</v>
      </c>
      <c r="K75" s="16" t="s">
        <v>43</v>
      </c>
      <c r="L75" s="16">
        <v>0</v>
      </c>
      <c r="M75" s="16" t="s">
        <v>33</v>
      </c>
      <c r="N75" s="21">
        <f ca="1">VLOOKUP(A75,'[1]Bieu 1a'!$A$8:$AW$855,10,0)</f>
        <v>39</v>
      </c>
      <c r="O75" s="22">
        <f>VLOOKUP(A75,'[1]Bieu 1a'!$A$8:$AW$855,8,0)</f>
        <v>0</v>
      </c>
      <c r="P75" s="22">
        <f>VLOOKUP(A75,'[1]Bieu 1a'!$A$8:$AW$855,9,0)</f>
        <v>31752</v>
      </c>
      <c r="Q75" s="23" t="s">
        <v>50</v>
      </c>
      <c r="R75" s="24" t="str">
        <f>VLOOKUP(A75,'[1]Bieu 1a'!$A$8:$AW$855,23,0)</f>
        <v>15/1/2010</v>
      </c>
      <c r="S75" s="25" t="s">
        <v>420</v>
      </c>
      <c r="T75" s="26" t="s">
        <v>421</v>
      </c>
      <c r="U75" s="16"/>
      <c r="V75" s="16" t="str">
        <f>IFERROR(VLOOKUP(A75,'[2]19.6.2026'!$A$9:$L$1111,5,0),"")</f>
        <v>000783/LS-CCHN</v>
      </c>
      <c r="W75" s="16" t="str">
        <f>IFERROR(VLOOKUP(A75,'[2]19.6.2026'!$A$9:$L$1111,6,0),"")</f>
        <v>11/01/2023</v>
      </c>
      <c r="X75" s="16"/>
      <c r="Y75" s="21" t="str">
        <f>IFERROR(VLOOKUP(A75,'[2]19.6.2026'!$A$9:$L$1111,7,0),"")</f>
        <v>Thực hiện phạm vi hoạt động chuyên môn theo Thông tư số 26/2015/TTLT-BYT-BNV ngày 07/10/2015 quy định  mã số, tiêu chuẩn chức danh nghề nghiệp, điều dưỡng, hộ sinh, kỹ thuật y</v>
      </c>
      <c r="Z75" s="16"/>
      <c r="AA75" s="27" t="str">
        <f>IFERROR(VLOOKUP(A75,'[3]DS UPLOAD 2026 (2)'!$A$2:$P$1111,16,0),"")</f>
        <v/>
      </c>
      <c r="AB75" s="27" t="s">
        <v>422</v>
      </c>
      <c r="AC75" s="28"/>
    </row>
    <row r="76" spans="1:29" ht="18" customHeight="1" x14ac:dyDescent="0.3">
      <c r="A76" s="17" t="s">
        <v>423</v>
      </c>
      <c r="B76" s="18" t="s">
        <v>424</v>
      </c>
      <c r="C76" s="17" t="s">
        <v>423</v>
      </c>
      <c r="D76" s="19" t="s">
        <v>38</v>
      </c>
      <c r="E76" s="19" t="s">
        <v>61</v>
      </c>
      <c r="F76" s="16" t="str">
        <f>VLOOKUP(E76,'[1]BẢNG MÃ'!$A$2:$B$69,2,0)</f>
        <v>TĐ012</v>
      </c>
      <c r="G76" s="20" t="s">
        <v>62</v>
      </c>
      <c r="H76" s="20" t="s">
        <v>62</v>
      </c>
      <c r="I76" s="16" t="s">
        <v>306</v>
      </c>
      <c r="J76" s="16" t="str">
        <f>VLOOKUP(I76,'[1]BẢNG MÃ'!$C$2:$D$69,2,0)</f>
        <v>KP003</v>
      </c>
      <c r="K76" s="16" t="s">
        <v>43</v>
      </c>
      <c r="L76" s="16">
        <v>0</v>
      </c>
      <c r="M76" s="16" t="s">
        <v>33</v>
      </c>
      <c r="N76" s="21">
        <f ca="1">VLOOKUP(A76,'[1]Bieu 1a'!$A$8:$AW$855,10,0)</f>
        <v>52</v>
      </c>
      <c r="O76" s="22">
        <f>VLOOKUP(A76,'[1]Bieu 1a'!$A$8:$AW$855,8,0)</f>
        <v>0</v>
      </c>
      <c r="P76" s="22">
        <f>VLOOKUP(A76,'[1]Bieu 1a'!$A$8:$AW$855,9,0)</f>
        <v>26947</v>
      </c>
      <c r="Q76" s="23" t="s">
        <v>44</v>
      </c>
      <c r="R76" s="24" t="str">
        <f>VLOOKUP(A76,'[1]Bieu 1a'!$A$8:$AW$855,23,0)</f>
        <v>1/5/1999</v>
      </c>
      <c r="S76" s="25" t="s">
        <v>425</v>
      </c>
      <c r="T76" s="26" t="s">
        <v>426</v>
      </c>
      <c r="U76" s="16"/>
      <c r="V76" s="16" t="str">
        <f>IFERROR(VLOOKUP(A76,'[2]19.6.2026'!$A$9:$L$1111,5,0),"")</f>
        <v>000771/LS-CCHN</v>
      </c>
      <c r="W76" s="16" t="str">
        <f>IFERROR(VLOOKUP(A76,'[2]19.6.2026'!$A$9:$L$1111,6,0),"")</f>
        <v>11/01/2023</v>
      </c>
      <c r="X76" s="16"/>
      <c r="Y76" s="21" t="str">
        <f>IFERROR(VLOOKUP(A76,'[2]19.6.2026'!$A$9:$L$1111,7,0),"")</f>
        <v>Thực hiện phạm vi hoạt động chuyên môn theo Thông tư số 26/2015/TTLT-BYT-BNV ngày 07/10/2015 quy định  mã số, tiêu chuẩn chức danh nghề nghiệp, điều dưỡng, hộ sinh, kỹ thuật y</v>
      </c>
      <c r="Z76" s="16"/>
      <c r="AA76" s="27" t="str">
        <f>IFERROR(VLOOKUP(A76,'[3]DS UPLOAD 2026 (2)'!$A$2:$P$1111,16,0),"")</f>
        <v/>
      </c>
      <c r="AB76" s="27" t="s">
        <v>427</v>
      </c>
      <c r="AC76" s="28"/>
    </row>
    <row r="77" spans="1:29" ht="18" customHeight="1" x14ac:dyDescent="0.3">
      <c r="A77" s="17" t="s">
        <v>428</v>
      </c>
      <c r="B77" s="18" t="s">
        <v>429</v>
      </c>
      <c r="C77" s="17" t="s">
        <v>428</v>
      </c>
      <c r="D77" s="19" t="s">
        <v>38</v>
      </c>
      <c r="E77" s="19" t="s">
        <v>61</v>
      </c>
      <c r="F77" s="16" t="str">
        <f>VLOOKUP(E77,'[1]BẢNG MÃ'!$A$2:$B$69,2,0)</f>
        <v>TĐ012</v>
      </c>
      <c r="G77" s="20" t="s">
        <v>62</v>
      </c>
      <c r="H77" s="20" t="s">
        <v>62</v>
      </c>
      <c r="I77" s="16" t="s">
        <v>306</v>
      </c>
      <c r="J77" s="16" t="str">
        <f>VLOOKUP(I77,'[1]BẢNG MÃ'!$C$2:$D$69,2,0)</f>
        <v>KP003</v>
      </c>
      <c r="K77" s="16" t="s">
        <v>43</v>
      </c>
      <c r="L77" s="16">
        <v>0</v>
      </c>
      <c r="M77" s="16" t="s">
        <v>33</v>
      </c>
      <c r="N77" s="21">
        <f ca="1">VLOOKUP(A77,'[1]Bieu 1a'!$A$8:$AW$855,10,0)</f>
        <v>37</v>
      </c>
      <c r="O77" s="22">
        <f>VLOOKUP(A77,'[1]Bieu 1a'!$A$8:$AW$855,8,0)</f>
        <v>0</v>
      </c>
      <c r="P77" s="22">
        <f>VLOOKUP(A77,'[1]Bieu 1a'!$A$8:$AW$855,9,0)</f>
        <v>32410</v>
      </c>
      <c r="Q77" s="23" t="s">
        <v>44</v>
      </c>
      <c r="R77" s="24" t="str">
        <f>VLOOKUP(A77,'[1]Bieu 1a'!$A$8:$AW$855,23,0)</f>
        <v>14/1/2011</v>
      </c>
      <c r="S77" s="25" t="s">
        <v>430</v>
      </c>
      <c r="T77" s="26" t="s">
        <v>431</v>
      </c>
      <c r="U77" s="16"/>
      <c r="V77" s="16" t="str">
        <f>IFERROR(VLOOKUP(A77,'[2]19.6.2026'!$A$9:$L$1111,5,0),"")</f>
        <v>000800/LS-CCHN</v>
      </c>
      <c r="W77" s="16" t="str">
        <f>IFERROR(VLOOKUP(A77,'[2]19.6.2026'!$A$9:$L$1111,6,0),"")</f>
        <v>11/01/2023</v>
      </c>
      <c r="X77" s="16"/>
      <c r="Y77" s="21" t="str">
        <f>IFERROR(VLOOKUP(A77,'[2]19.6.2026'!$A$9:$L$1111,7,0),"")</f>
        <v>Thực hiện phạm vi hoạt động chuyên môn theo Thông tư số 26/2015/TTLT-BYT-BNV ngày 07/10/2015 quy định  mã số, tiêu chuẩn chức danh nghề nghiệp, điều dưỡng, hộ sinh, kỹ thuật y</v>
      </c>
      <c r="Z77" s="16"/>
      <c r="AA77" s="27" t="str">
        <f>IFERROR(VLOOKUP(A77,'[3]DS UPLOAD 2026 (2)'!$A$2:$P$1111,16,0),"")</f>
        <v/>
      </c>
      <c r="AB77" s="27" t="s">
        <v>432</v>
      </c>
      <c r="AC77" s="28"/>
    </row>
    <row r="78" spans="1:29" ht="18" customHeight="1" x14ac:dyDescent="0.3">
      <c r="A78" s="43" t="s">
        <v>433</v>
      </c>
      <c r="B78" s="44" t="s">
        <v>434</v>
      </c>
      <c r="C78" s="45" t="s">
        <v>433</v>
      </c>
      <c r="D78" s="19" t="s">
        <v>38</v>
      </c>
      <c r="E78" s="19" t="s">
        <v>61</v>
      </c>
      <c r="F78" s="16" t="str">
        <f>VLOOKUP(E78,'[1]BẢNG MÃ'!$A$2:$B$69,2,0)</f>
        <v>TĐ012</v>
      </c>
      <c r="G78" s="20"/>
      <c r="H78" s="20" t="s">
        <v>62</v>
      </c>
      <c r="I78" s="55" t="s">
        <v>306</v>
      </c>
      <c r="J78" s="16" t="str">
        <f>VLOOKUP(I78,'[1]BẢNG MÃ'!$C$2:$D$69,2,0)</f>
        <v>KP003</v>
      </c>
      <c r="K78" s="16"/>
      <c r="L78" s="16"/>
      <c r="M78" s="16" t="s">
        <v>33</v>
      </c>
      <c r="N78" s="21">
        <f ca="1">VLOOKUP(A78,'[1]Bieu 1a'!$A$8:$AW$855,10,0)</f>
        <v>24</v>
      </c>
      <c r="O78" s="22">
        <f>VLOOKUP(A78,'[1]Bieu 1a'!$A$8:$AW$855,8,0)</f>
        <v>0</v>
      </c>
      <c r="P78" s="22" t="str">
        <f>VLOOKUP(A78,'[1]Bieu 1a'!$A$8:$AW$855,9,0)</f>
        <v>20/9/2001</v>
      </c>
      <c r="Q78" s="23" t="s">
        <v>435</v>
      </c>
      <c r="R78" s="24">
        <f>VLOOKUP(A78,'[1]Bieu 1a'!$A$8:$AW$855,23,0)</f>
        <v>44837</v>
      </c>
      <c r="S78" s="25" t="s">
        <v>436</v>
      </c>
      <c r="T78" s="26" t="s">
        <v>437</v>
      </c>
      <c r="U78" s="16"/>
      <c r="V78" s="16" t="str">
        <f>IFERROR(VLOOKUP(A78,'[2]19.6.2026'!$A$9:$L$1111,5,0),"")</f>
        <v>005719/LS-CCHN</v>
      </c>
      <c r="W78" s="16" t="str">
        <f>IFERROR(VLOOKUP(A78,'[2]19.6.2026'!$A$9:$L$1111,6,0),"")</f>
        <v>13/12/2023</v>
      </c>
      <c r="X78" s="16"/>
      <c r="Y78" s="21" t="str">
        <f>IFERROR(VLOOKUP(A78,'[2]19.6.2026'!$A$9:$L$1111,7,0),"")</f>
        <v>Thực hiện phạm vi hoạt động chuyên môn theo Thông tư số 26/2015/TTLT-BYT-BNV ngày 07/10/2015 quy định  mã số, tiêu chuẩn chức danh nghề nghiệp, điều dưỡng, hộ sinh, kỹ thuật y</v>
      </c>
      <c r="Z78" s="16"/>
      <c r="AA78" s="27" t="str">
        <f>IFERROR(VLOOKUP(A78,'[3]DS UPLOAD 2026 (2)'!$A$2:$P$1111,16,0),"")</f>
        <v/>
      </c>
      <c r="AB78" s="27" t="s">
        <v>438</v>
      </c>
      <c r="AC78" s="29" t="s">
        <v>439</v>
      </c>
    </row>
    <row r="79" spans="1:29" ht="18" customHeight="1" x14ac:dyDescent="0.3">
      <c r="A79" s="43" t="s">
        <v>440</v>
      </c>
      <c r="B79" s="62" t="s">
        <v>441</v>
      </c>
      <c r="C79" s="45" t="s">
        <v>440</v>
      </c>
      <c r="D79" s="19" t="s">
        <v>38</v>
      </c>
      <c r="E79" s="19" t="s">
        <v>61</v>
      </c>
      <c r="F79" s="16" t="str">
        <f>VLOOKUP(E79,'[1]BẢNG MÃ'!$A$2:$B$69,2,0)</f>
        <v>TĐ012</v>
      </c>
      <c r="G79" s="16"/>
      <c r="H79" s="20" t="s">
        <v>62</v>
      </c>
      <c r="I79" s="16" t="s">
        <v>306</v>
      </c>
      <c r="J79" s="16" t="str">
        <f>VLOOKUP(I79,'[1]BẢNG MÃ'!$C$2:$D$69,2,0)</f>
        <v>KP003</v>
      </c>
      <c r="K79" s="16"/>
      <c r="L79" s="16"/>
      <c r="M79" s="16" t="s">
        <v>33</v>
      </c>
      <c r="N79" s="21">
        <f ca="1">VLOOKUP(A79,'[1]Bieu 1a'!$A$8:$AW$855,10,0)</f>
        <v>23</v>
      </c>
      <c r="O79" s="22">
        <f>VLOOKUP(A79,'[1]Bieu 1a'!$A$8:$AW$855,8,0)</f>
        <v>0</v>
      </c>
      <c r="P79" s="22" t="str">
        <f>VLOOKUP(A79,'[1]Bieu 1a'!$A$8:$AW$855,9,0)</f>
        <v>28/11/2002</v>
      </c>
      <c r="Q79" s="23" t="s">
        <v>34</v>
      </c>
      <c r="R79" s="24">
        <f>VLOOKUP(A79,'[1]Bieu 1a'!$A$8:$AW$855,23,0)</f>
        <v>45250</v>
      </c>
      <c r="S79" s="25" t="s">
        <v>442</v>
      </c>
      <c r="T79" s="26" t="s">
        <v>443</v>
      </c>
      <c r="U79" s="52">
        <f>EDATE(R79,9)</f>
        <v>45524</v>
      </c>
      <c r="V79" s="16" t="str">
        <f>IFERROR(VLOOKUP(A79,'[2]19.6.2026'!$A$9:$L$1111,5,0),"")</f>
        <v>000165/LS-GPHN</v>
      </c>
      <c r="W79" s="16">
        <f>IFERROR(VLOOKUP(A79,'[2]19.6.2026'!$A$9:$L$1111,6,0),"")</f>
        <v>45581</v>
      </c>
      <c r="X79" s="16"/>
      <c r="Y79" s="21" t="str">
        <f>IFERROR(VLOOKUP(A79,'[2]19.6.2026'!$A$9:$L$1111,7,0),"")</f>
        <v>Điều dưỡng</v>
      </c>
      <c r="Z79" s="16"/>
      <c r="AA79" s="27" t="str">
        <f>IFERROR(VLOOKUP(A79,'[3]DS UPLOAD 2026 (2)'!$A$2:$P$1111,16,0),"")</f>
        <v/>
      </c>
      <c r="AB79" s="62" t="s">
        <v>444</v>
      </c>
      <c r="AC79" s="29" t="s">
        <v>213</v>
      </c>
    </row>
    <row r="80" spans="1:29" ht="18" customHeight="1" x14ac:dyDescent="0.3">
      <c r="A80" s="46" t="s">
        <v>445</v>
      </c>
      <c r="B80" s="63" t="s">
        <v>446</v>
      </c>
      <c r="C80" s="47" t="s">
        <v>445</v>
      </c>
      <c r="D80" s="23" t="s">
        <v>38</v>
      </c>
      <c r="E80" s="19" t="s">
        <v>61</v>
      </c>
      <c r="F80" s="16" t="str">
        <f>VLOOKUP(E80,'[1]BẢNG MÃ'!$A$2:$B$69,2,0)</f>
        <v>TĐ012</v>
      </c>
      <c r="G80" s="48"/>
      <c r="H80" s="20" t="s">
        <v>62</v>
      </c>
      <c r="I80" s="19" t="s">
        <v>306</v>
      </c>
      <c r="J80" s="16" t="str">
        <f>VLOOKUP(I80,'[1]BẢNG MÃ'!$C$2:$D$69,2,0)</f>
        <v>KP003</v>
      </c>
      <c r="K80" s="23"/>
      <c r="L80" s="23"/>
      <c r="M80" s="16" t="s">
        <v>136</v>
      </c>
      <c r="N80" s="21">
        <f ca="1">VLOOKUP(A80,'[1]Bieu 1a'!$A$8:$AW$855,10,0)</f>
        <v>22</v>
      </c>
      <c r="O80" s="22">
        <f>VLOOKUP(A80,'[1]Bieu 1a'!$A$8:$AW$855,8,0)</f>
        <v>0</v>
      </c>
      <c r="P80" s="22" t="str">
        <f>VLOOKUP(A80,'[1]Bieu 1a'!$A$8:$AW$855,9,0)</f>
        <v>07/8/2003</v>
      </c>
      <c r="Q80" s="23" t="s">
        <v>50</v>
      </c>
      <c r="R80" s="24">
        <f>VLOOKUP(A80,'[1]Bieu 1a'!$A$8:$AW$855,23,0)</f>
        <v>45597</v>
      </c>
      <c r="S80" s="25" t="s">
        <v>447</v>
      </c>
      <c r="T80" s="26" t="s">
        <v>448</v>
      </c>
      <c r="U80" s="23"/>
      <c r="V80" s="16" t="str">
        <f>IFERROR(VLOOKUP(A80,'[2]19.6.2026'!$A$9:$L$1111,5,0),"")</f>
        <v>000336/LS-GPHN</v>
      </c>
      <c r="W80" s="16">
        <f>IFERROR(VLOOKUP(A80,'[2]19.6.2026'!$A$9:$L$1111,6,0),"")</f>
        <v>45905</v>
      </c>
      <c r="X80" s="19"/>
      <c r="Y80" s="21" t="str">
        <f>IFERROR(VLOOKUP(A80,'[2]19.6.2026'!$A$9:$L$1111,7,0),"")</f>
        <v>Điều dưỡng</v>
      </c>
      <c r="Z80" s="16"/>
      <c r="AA80" s="27" t="str">
        <f>IFERROR(VLOOKUP(A80,'[3]DS UPLOAD 2026 (2)'!$A$2:$P$1111,16,0),"")</f>
        <v/>
      </c>
      <c r="AB80" s="23" t="s">
        <v>449</v>
      </c>
      <c r="AC80" s="51" t="s">
        <v>450</v>
      </c>
    </row>
    <row r="81" spans="1:29" ht="18" customHeight="1" x14ac:dyDescent="0.35">
      <c r="A81" s="64" t="s">
        <v>451</v>
      </c>
      <c r="B81" s="59" t="s">
        <v>452</v>
      </c>
      <c r="C81" s="64" t="s">
        <v>451</v>
      </c>
      <c r="D81" s="19" t="s">
        <v>38</v>
      </c>
      <c r="E81" s="19" t="s">
        <v>61</v>
      </c>
      <c r="F81" s="16" t="str">
        <f>VLOOKUP(E81,'[1]BẢNG MÃ'!$A$2:$B$69,2,0)</f>
        <v>TĐ012</v>
      </c>
      <c r="G81" s="65"/>
      <c r="H81" s="20" t="s">
        <v>62</v>
      </c>
      <c r="I81" s="19" t="s">
        <v>194</v>
      </c>
      <c r="J81" s="16" t="str">
        <f>VLOOKUP(I81,'[1]BẢNG MÃ'!$C$2:$D$69,2,0)</f>
        <v>KP014</v>
      </c>
      <c r="K81" s="19"/>
      <c r="L81" s="19"/>
      <c r="M81" s="16" t="s">
        <v>33</v>
      </c>
      <c r="N81" s="21">
        <f ca="1">VLOOKUP(A81,'[1]Bieu 1a'!$A$8:$AW$855,10,0)</f>
        <v>22</v>
      </c>
      <c r="O81" s="22">
        <f>VLOOKUP(A81,'[1]Bieu 1a'!$A$8:$AW$855,8,0)</f>
        <v>0</v>
      </c>
      <c r="P81" s="22" t="str">
        <f>VLOOKUP(A81,'[1]Bieu 1a'!$A$8:$AW$855,9,0)</f>
        <v>05/09/2003</v>
      </c>
      <c r="Q81" s="23" t="s">
        <v>34</v>
      </c>
      <c r="R81" s="24">
        <f>VLOOKUP(A81,'[1]Bieu 1a'!$A$8:$AW$855,23,0)</f>
        <v>45698</v>
      </c>
      <c r="S81" s="25" t="s">
        <v>453</v>
      </c>
      <c r="T81" s="26" t="s">
        <v>454</v>
      </c>
      <c r="U81" s="19"/>
      <c r="V81" s="16" t="str">
        <f>IFERROR(VLOOKUP(A81,'[2]19.6.2026'!$A$9:$L$1111,5,0),"")</f>
        <v/>
      </c>
      <c r="W81" s="16" t="str">
        <f>IFERROR(VLOOKUP(A81,'[2]19.6.2026'!$A$9:$L$1111,6,0),"")</f>
        <v/>
      </c>
      <c r="X81" s="19"/>
      <c r="Y81" s="21" t="str">
        <f>IFERROR(VLOOKUP(A81,'[2]19.6.2026'!$A$9:$L$1111,7,0),"")</f>
        <v/>
      </c>
      <c r="Z81" s="16"/>
      <c r="AA81" s="27" t="str">
        <f>IFERROR(VLOOKUP(A81,'[3]DS UPLOAD 2026 (2)'!$A$2:$P$1111,16,0),"")</f>
        <v/>
      </c>
      <c r="AB81" s="19"/>
      <c r="AC81" s="29" t="s">
        <v>455</v>
      </c>
    </row>
    <row r="82" spans="1:29" ht="18" customHeight="1" x14ac:dyDescent="0.3">
      <c r="A82" s="17" t="s">
        <v>456</v>
      </c>
      <c r="B82" s="29" t="s">
        <v>457</v>
      </c>
      <c r="C82" s="17" t="s">
        <v>456</v>
      </c>
      <c r="D82" s="19" t="s">
        <v>38</v>
      </c>
      <c r="E82" s="19" t="s">
        <v>142</v>
      </c>
      <c r="F82" s="16" t="str">
        <f>VLOOKUP(E82,'[1]BẢNG MÃ'!$A$2:$B$69,2,0)</f>
        <v>TĐ047</v>
      </c>
      <c r="G82" s="20"/>
      <c r="H82" s="19" t="s">
        <v>142</v>
      </c>
      <c r="I82" s="16" t="s">
        <v>306</v>
      </c>
      <c r="J82" s="16" t="str">
        <f>VLOOKUP(I82,'[1]BẢNG MÃ'!$C$2:$D$69,2,0)</f>
        <v>KP003</v>
      </c>
      <c r="K82" s="16"/>
      <c r="L82" s="16"/>
      <c r="M82" s="16" t="s">
        <v>136</v>
      </c>
      <c r="N82" s="21">
        <f ca="1">VLOOKUP(A82,'[1]Bieu 1a'!$A$8:$AW$855,10,0)</f>
        <v>44</v>
      </c>
      <c r="O82" s="22">
        <f>VLOOKUP(A82,'[1]Bieu 1a'!$A$8:$AW$855,8,0)</f>
        <v>0</v>
      </c>
      <c r="P82" s="22" t="str">
        <f>VLOOKUP(A82,'[1]Bieu 1a'!$A$8:$AW$855,9,0)</f>
        <v>25/12/1981</v>
      </c>
      <c r="Q82" s="23" t="s">
        <v>34</v>
      </c>
      <c r="R82" s="24" t="str">
        <f>VLOOKUP(A82,'[1]Bieu 1a'!$A$8:$AW$855,23,0)</f>
        <v xml:space="preserve"> 01/9/2016</v>
      </c>
      <c r="S82" s="25" t="s">
        <v>458</v>
      </c>
      <c r="T82" s="26" t="s">
        <v>459</v>
      </c>
      <c r="U82" s="16"/>
      <c r="V82" s="16" t="str">
        <f>IFERROR(VLOOKUP(A82,'[2]19.6.2026'!$A$9:$L$1111,5,0),"")</f>
        <v/>
      </c>
      <c r="W82" s="16" t="str">
        <f>IFERROR(VLOOKUP(A82,'[2]19.6.2026'!$A$9:$L$1111,6,0),"")</f>
        <v/>
      </c>
      <c r="X82" s="16"/>
      <c r="Y82" s="21" t="str">
        <f>IFERROR(VLOOKUP(A82,'[2]19.6.2026'!$A$9:$L$1111,7,0),"")</f>
        <v/>
      </c>
      <c r="Z82" s="16"/>
      <c r="AA82" s="27" t="str">
        <f>IFERROR(VLOOKUP(A82,'[3]DS UPLOAD 2026 (2)'!$A$2:$P$1111,16,0),"")</f>
        <v/>
      </c>
      <c r="AB82" s="27" t="s">
        <v>460</v>
      </c>
      <c r="AC82" s="28"/>
    </row>
    <row r="83" spans="1:29" ht="18" customHeight="1" x14ac:dyDescent="0.3">
      <c r="A83" s="17" t="s">
        <v>461</v>
      </c>
      <c r="B83" s="40" t="s">
        <v>462</v>
      </c>
      <c r="C83" s="17" t="s">
        <v>461</v>
      </c>
      <c r="D83" s="19" t="s">
        <v>38</v>
      </c>
      <c r="E83" s="19" t="s">
        <v>128</v>
      </c>
      <c r="F83" s="16" t="str">
        <f>VLOOKUP(E83,'[1]BẢNG MÃ'!$A$2:$B$69,2,0)</f>
        <v>TĐ047</v>
      </c>
      <c r="G83" s="20"/>
      <c r="H83" s="19" t="s">
        <v>128</v>
      </c>
      <c r="I83" s="16" t="s">
        <v>306</v>
      </c>
      <c r="J83" s="16" t="str">
        <f>VLOOKUP(I83,'[1]BẢNG MÃ'!$C$2:$D$69,2,0)</f>
        <v>KP003</v>
      </c>
      <c r="K83" s="16"/>
      <c r="L83" s="16"/>
      <c r="M83" s="16" t="s">
        <v>136</v>
      </c>
      <c r="N83" s="21">
        <f ca="1">VLOOKUP(A83,'[1]Bieu 1a'!$A$8:$AW$855,10,0)</f>
        <v>35</v>
      </c>
      <c r="O83" s="22">
        <f>VLOOKUP(A83,'[1]Bieu 1a'!$A$8:$AW$855,8,0)</f>
        <v>0</v>
      </c>
      <c r="P83" s="22" t="str">
        <f>VLOOKUP(A83,'[1]Bieu 1a'!$A$8:$AW$855,9,0)</f>
        <v>01/06/1991</v>
      </c>
      <c r="Q83" s="23" t="s">
        <v>50</v>
      </c>
      <c r="R83" s="24" t="str">
        <f>VLOOKUP(A83,'[1]Bieu 1a'!$A$8:$AW$855,23,0)</f>
        <v>12/4/2020</v>
      </c>
      <c r="S83" s="25" t="s">
        <v>463</v>
      </c>
      <c r="T83" s="26" t="s">
        <v>464</v>
      </c>
      <c r="U83" s="16"/>
      <c r="V83" s="16" t="str">
        <f>IFERROR(VLOOKUP(A83,'[2]19.6.2026'!$A$9:$L$1111,5,0),"")</f>
        <v/>
      </c>
      <c r="W83" s="16" t="str">
        <f>IFERROR(VLOOKUP(A83,'[2]19.6.2026'!$A$9:$L$1111,6,0),"")</f>
        <v/>
      </c>
      <c r="X83" s="16"/>
      <c r="Y83" s="21" t="str">
        <f>IFERROR(VLOOKUP(A83,'[2]19.6.2026'!$A$9:$L$1111,7,0),"")</f>
        <v/>
      </c>
      <c r="Z83" s="16"/>
      <c r="AA83" s="27" t="str">
        <f>IFERROR(VLOOKUP(A83,'[3]DS UPLOAD 2026 (2)'!$A$2:$P$1111,16,0),"")</f>
        <v/>
      </c>
      <c r="AB83" s="39" t="s">
        <v>465</v>
      </c>
      <c r="AC83" s="29" t="s">
        <v>303</v>
      </c>
    </row>
    <row r="84" spans="1:29" ht="18" customHeight="1" x14ac:dyDescent="0.3">
      <c r="A84" s="17" t="s">
        <v>466</v>
      </c>
      <c r="B84" s="18" t="s">
        <v>467</v>
      </c>
      <c r="C84" s="17" t="s">
        <v>466</v>
      </c>
      <c r="D84" s="19" t="s">
        <v>38</v>
      </c>
      <c r="E84" s="16" t="s">
        <v>160</v>
      </c>
      <c r="F84" s="16" t="str">
        <f>VLOOKUP(E84,'[1]BẢNG MÃ'!$A$2:$B$69,2,0)</f>
        <v>TĐ003</v>
      </c>
      <c r="G84" s="20" t="s">
        <v>161</v>
      </c>
      <c r="H84" s="20" t="s">
        <v>161</v>
      </c>
      <c r="I84" s="16" t="s">
        <v>468</v>
      </c>
      <c r="J84" s="16" t="str">
        <f>VLOOKUP(I84,'[1]BẢNG MÃ'!$C$2:$D$69,2,0)</f>
        <v>KP004</v>
      </c>
      <c r="K84" s="16" t="s">
        <v>31</v>
      </c>
      <c r="L84" s="16" t="s">
        <v>154</v>
      </c>
      <c r="M84" s="16" t="s">
        <v>33</v>
      </c>
      <c r="N84" s="21">
        <f ca="1">VLOOKUP(A84,'[1]Bieu 1a'!$A$8:$AW$855,10,0)</f>
        <v>55</v>
      </c>
      <c r="O84" s="22">
        <f>VLOOKUP(A84,'[1]Bieu 1a'!$A$8:$AW$855,8,0)</f>
        <v>0</v>
      </c>
      <c r="P84" s="22">
        <f>VLOOKUP(A84,'[1]Bieu 1a'!$A$8:$AW$855,9,0)</f>
        <v>25913</v>
      </c>
      <c r="Q84" s="23" t="s">
        <v>50</v>
      </c>
      <c r="R84" s="24" t="str">
        <f>VLOOKUP(A84,'[1]Bieu 1a'!$A$8:$AW$855,23,0)</f>
        <v>10/1/1996</v>
      </c>
      <c r="S84" s="25" t="s">
        <v>469</v>
      </c>
      <c r="T84" s="26" t="s">
        <v>470</v>
      </c>
      <c r="U84" s="16"/>
      <c r="V84" s="16" t="str">
        <f>IFERROR(VLOOKUP(A84,'[2]19.6.2026'!$A$9:$L$1111,5,0),"")</f>
        <v>000792/LS-CCHN</v>
      </c>
      <c r="W84" s="16" t="str">
        <f>IFERROR(VLOOKUP(A84,'[2]19.6.2026'!$A$9:$L$1111,6,0),"")</f>
        <v>11/01/2023</v>
      </c>
      <c r="X84" s="16"/>
      <c r="Y84" s="21" t="str">
        <f>IFERROR(VLOOKUP(A84,'[2]19.6.2026'!$A$9:$L$1111,7,0),"")</f>
        <v>Khám bệnh, chữa bệnh Nội khoa</v>
      </c>
      <c r="Z84" s="16"/>
      <c r="AA84" s="27" t="str">
        <f>IFERROR(VLOOKUP(A84,'[3]DS UPLOAD 2026 (2)'!$A$2:$P$1111,16,0),"")</f>
        <v>18.0018;18.0020;18.0030;18.0031;18.0034;18.0035;18.0036;18.0054</v>
      </c>
      <c r="AB84" s="27" t="s">
        <v>471</v>
      </c>
      <c r="AC84" s="28"/>
    </row>
    <row r="85" spans="1:29" ht="18" customHeight="1" x14ac:dyDescent="0.3">
      <c r="A85" s="17" t="s">
        <v>472</v>
      </c>
      <c r="B85" s="40" t="s">
        <v>473</v>
      </c>
      <c r="C85" s="17" t="s">
        <v>472</v>
      </c>
      <c r="D85" s="19" t="s">
        <v>38</v>
      </c>
      <c r="E85" s="19" t="s">
        <v>160</v>
      </c>
      <c r="F85" s="16" t="str">
        <f>VLOOKUP(E85,'[1]BẢNG MÃ'!$A$2:$B$69,2,0)</f>
        <v>TĐ003</v>
      </c>
      <c r="G85" s="20" t="s">
        <v>161</v>
      </c>
      <c r="H85" s="20" t="s">
        <v>161</v>
      </c>
      <c r="I85" s="16" t="s">
        <v>468</v>
      </c>
      <c r="J85" s="16" t="str">
        <f>VLOOKUP(I85,'[1]BẢNG MÃ'!$C$2:$D$69,2,0)</f>
        <v>KP004</v>
      </c>
      <c r="K85" s="16" t="s">
        <v>43</v>
      </c>
      <c r="L85" s="16" t="s">
        <v>474</v>
      </c>
      <c r="M85" s="16" t="s">
        <v>33</v>
      </c>
      <c r="N85" s="21">
        <f ca="1">VLOOKUP(A85,'[1]Bieu 1a'!$A$8:$AW$855,10,0)</f>
        <v>36</v>
      </c>
      <c r="O85" s="22">
        <f>VLOOKUP(A85,'[1]Bieu 1a'!$A$8:$AW$855,8,0)</f>
        <v>0</v>
      </c>
      <c r="P85" s="22" t="str">
        <f>VLOOKUP(A85,'[1]Bieu 1a'!$A$8:$AW$855,9,0)</f>
        <v>10/6/1990</v>
      </c>
      <c r="Q85" s="23" t="s">
        <v>44</v>
      </c>
      <c r="R85" s="24" t="str">
        <f>VLOOKUP(A85,'[1]Bieu 1a'!$A$8:$AW$855,23,0)</f>
        <v>10/01/2016</v>
      </c>
      <c r="S85" s="25" t="s">
        <v>475</v>
      </c>
      <c r="T85" s="26" t="s">
        <v>476</v>
      </c>
      <c r="U85" s="16"/>
      <c r="V85" s="16" t="str">
        <f>IFERROR(VLOOKUP(A85,'[2]19.6.2026'!$A$9:$L$1111,5,0),"")</f>
        <v>002135/LS-CCHN</v>
      </c>
      <c r="W85" s="16" t="str">
        <f>IFERROR(VLOOKUP(A85,'[2]19.6.2026'!$A$9:$L$1111,6,0),"")</f>
        <v>01/12/2017</v>
      </c>
      <c r="X85" s="16"/>
      <c r="Y85" s="21" t="str">
        <f>IFERROR(VLOOKUP(A85,'[2]19.6.2026'!$A$9:$L$1111,7,0),"")</f>
        <v>Khám bệnh chữa bệnh Nội khoa</v>
      </c>
      <c r="Z85" s="16"/>
      <c r="AA85" s="27" t="str">
        <f>IFERROR(VLOOKUP(A85,'[3]DS UPLOAD 2026 (2)'!$A$2:$P$1111,16,0),"")</f>
        <v/>
      </c>
      <c r="AB85" s="27" t="s">
        <v>477</v>
      </c>
      <c r="AC85" s="28"/>
    </row>
    <row r="86" spans="1:29" ht="18" customHeight="1" x14ac:dyDescent="0.3">
      <c r="A86" s="46" t="s">
        <v>478</v>
      </c>
      <c r="B86" s="28" t="s">
        <v>72</v>
      </c>
      <c r="C86" s="47" t="s">
        <v>478</v>
      </c>
      <c r="D86" s="23" t="s">
        <v>38</v>
      </c>
      <c r="E86" s="23" t="s">
        <v>479</v>
      </c>
      <c r="F86" s="16" t="str">
        <f>VLOOKUP(E86,'[1]BẢNG MÃ'!$A$2:$B$69,2,0)</f>
        <v>TĐ004</v>
      </c>
      <c r="G86" s="48"/>
      <c r="H86" s="20" t="s">
        <v>161</v>
      </c>
      <c r="I86" s="16" t="s">
        <v>468</v>
      </c>
      <c r="J86" s="16" t="str">
        <f>VLOOKUP(I86,'[1]BẢNG MÃ'!$C$2:$D$69,2,0)</f>
        <v>KP004</v>
      </c>
      <c r="K86" s="23"/>
      <c r="L86" s="23"/>
      <c r="M86" s="16" t="s">
        <v>33</v>
      </c>
      <c r="N86" s="21">
        <f ca="1">VLOOKUP(A86,'[1]Bieu 1a'!$A$8:$AW$855,10,0)</f>
        <v>29</v>
      </c>
      <c r="O86" s="22">
        <f>VLOOKUP(A86,'[1]Bieu 1a'!$A$8:$AW$855,8,0)</f>
        <v>0</v>
      </c>
      <c r="P86" s="22" t="str">
        <f>VLOOKUP(A86,'[1]Bieu 1a'!$A$8:$AW$855,9,0)</f>
        <v>16/12/1996</v>
      </c>
      <c r="Q86" s="23" t="s">
        <v>50</v>
      </c>
      <c r="R86" s="24" t="str">
        <f>VLOOKUP(A86,'[1]Bieu 1a'!$A$8:$AW$855,23,0)</f>
        <v>01/7/2024</v>
      </c>
      <c r="S86" s="25" t="s">
        <v>480</v>
      </c>
      <c r="T86" s="26" t="s">
        <v>481</v>
      </c>
      <c r="U86" s="49">
        <v>45870</v>
      </c>
      <c r="V86" s="16" t="str">
        <f>IFERROR(VLOOKUP(A86,'[2]19.6.2026'!$A$9:$L$1111,5,0),"")</f>
        <v>000080/LS-GPHN</v>
      </c>
      <c r="W86" s="16" t="str">
        <f>IFERROR(VLOOKUP(A86,'[2]19.6.2026'!$A$9:$L$1111,6,0),"")</f>
        <v/>
      </c>
      <c r="X86" s="19"/>
      <c r="Y86" s="21" t="str">
        <f>IFERROR(VLOOKUP(A86,'[2]19.6.2026'!$A$9:$L$1111,7,0),"")</f>
        <v>Chuyên khoa Nội khoa</v>
      </c>
      <c r="Z86" s="16"/>
      <c r="AA86" s="27" t="str">
        <f>IFERROR(VLOOKUP(A86,'[3]DS UPLOAD 2026 (2)'!$A$2:$P$1111,16,0),"")</f>
        <v/>
      </c>
      <c r="AB86" s="50"/>
      <c r="AC86" s="29" t="s">
        <v>343</v>
      </c>
    </row>
    <row r="87" spans="1:29" ht="18" customHeight="1" x14ac:dyDescent="0.3">
      <c r="A87" s="43" t="s">
        <v>482</v>
      </c>
      <c r="B87" s="44" t="s">
        <v>483</v>
      </c>
      <c r="C87" s="45" t="s">
        <v>482</v>
      </c>
      <c r="D87" s="23" t="s">
        <v>38</v>
      </c>
      <c r="E87" s="19" t="s">
        <v>173</v>
      </c>
      <c r="F87" s="16" t="str">
        <f>VLOOKUP(E87,'[1]BẢNG MÃ'!$A$2:$B$69,2,0)</f>
        <v>TĐ005</v>
      </c>
      <c r="G87" s="23"/>
      <c r="H87" s="20" t="s">
        <v>161</v>
      </c>
      <c r="I87" s="16" t="s">
        <v>468</v>
      </c>
      <c r="J87" s="16" t="str">
        <f>VLOOKUP(I87,'[1]BẢNG MÃ'!$C$2:$D$69,2,0)</f>
        <v>KP004</v>
      </c>
      <c r="K87" s="23"/>
      <c r="L87" s="23"/>
      <c r="M87" s="16" t="s">
        <v>136</v>
      </c>
      <c r="N87" s="21">
        <f ca="1">VLOOKUP(A87,'[1]Bieu 1a'!$A$8:$AW$855,10,0)</f>
        <v>27</v>
      </c>
      <c r="O87" s="22">
        <f>VLOOKUP(A87,'[1]Bieu 1a'!$A$8:$AW$855,8,0)</f>
        <v>0</v>
      </c>
      <c r="P87" s="22" t="str">
        <f>VLOOKUP(A87,'[1]Bieu 1a'!$A$8:$AW$855,9,0)</f>
        <v>04/11/1998</v>
      </c>
      <c r="Q87" s="23" t="s">
        <v>50</v>
      </c>
      <c r="R87" s="24">
        <f>VLOOKUP(A87,'[1]Bieu 1a'!$A$8:$AW$855,23,0)</f>
        <v>45337</v>
      </c>
      <c r="S87" s="25" t="s">
        <v>484</v>
      </c>
      <c r="T87" s="26" t="s">
        <v>481</v>
      </c>
      <c r="U87" s="49">
        <v>45870</v>
      </c>
      <c r="V87" s="16" t="str">
        <f>IFERROR(VLOOKUP(A87,'[2]19.6.2026'!$A$9:$L$1111,5,0),"")</f>
        <v>000366/LS-GPHN</v>
      </c>
      <c r="W87" s="16">
        <f>IFERROR(VLOOKUP(A87,'[2]19.6.2026'!$A$9:$L$1111,6,0),"")</f>
        <v>45926</v>
      </c>
      <c r="X87" s="16"/>
      <c r="Y87" s="21" t="str">
        <f>IFERROR(VLOOKUP(A87,'[2]19.6.2026'!$A$9:$L$1111,7,0),"")</f>
        <v>Y khoa</v>
      </c>
      <c r="Z87" s="16"/>
      <c r="AA87" s="27" t="str">
        <f>IFERROR(VLOOKUP(A87,'[3]DS UPLOAD 2026 (2)'!$A$2:$P$1111,16,0),"")</f>
        <v/>
      </c>
      <c r="AB87" s="44" t="s">
        <v>485</v>
      </c>
      <c r="AC87" s="66" t="s">
        <v>486</v>
      </c>
    </row>
    <row r="88" spans="1:29" ht="18" customHeight="1" x14ac:dyDescent="0.3">
      <c r="A88" s="17" t="s">
        <v>487</v>
      </c>
      <c r="B88" s="18" t="s">
        <v>488</v>
      </c>
      <c r="C88" s="17" t="s">
        <v>487</v>
      </c>
      <c r="D88" s="19" t="s">
        <v>38</v>
      </c>
      <c r="E88" s="19" t="s">
        <v>41</v>
      </c>
      <c r="F88" s="16" t="str">
        <f>VLOOKUP(E88,'[1]BẢNG MÃ'!$A$2:$B$69,2,0)</f>
        <v>TĐ011</v>
      </c>
      <c r="G88" s="20" t="s">
        <v>42</v>
      </c>
      <c r="H88" s="20" t="s">
        <v>42</v>
      </c>
      <c r="I88" s="16" t="s">
        <v>30</v>
      </c>
      <c r="J88" s="16" t="str">
        <f>VLOOKUP(I88,'[1]BẢNG MÃ'!$C$2:$D$69,2,0)</f>
        <v>KP001</v>
      </c>
      <c r="K88" s="16" t="s">
        <v>43</v>
      </c>
      <c r="L88" s="16">
        <v>0</v>
      </c>
      <c r="M88" s="16" t="s">
        <v>33</v>
      </c>
      <c r="N88" s="21">
        <f ca="1">VLOOKUP(A88,'[1]Bieu 1a'!$A$8:$AW$855,10,0)</f>
        <v>51</v>
      </c>
      <c r="O88" s="22">
        <f>VLOOKUP(A88,'[1]Bieu 1a'!$A$8:$AW$855,8,0)</f>
        <v>0</v>
      </c>
      <c r="P88" s="22">
        <f>VLOOKUP(A88,'[1]Bieu 1a'!$A$8:$AW$855,9,0)</f>
        <v>27337</v>
      </c>
      <c r="Q88" s="23" t="s">
        <v>50</v>
      </c>
      <c r="R88" s="24" t="str">
        <f>VLOOKUP(A88,'[1]Bieu 1a'!$A$8:$AW$855,23,0)</f>
        <v>26/4/1999</v>
      </c>
      <c r="S88" s="25" t="s">
        <v>489</v>
      </c>
      <c r="T88" s="26" t="s">
        <v>490</v>
      </c>
      <c r="U88" s="16"/>
      <c r="V88" s="16" t="str">
        <f>IFERROR(VLOOKUP(A88,'[2]19.6.2026'!$A$9:$L$1111,5,0),"")</f>
        <v>001012/LS-CCHN</v>
      </c>
      <c r="W88" s="16" t="str">
        <f>IFERROR(VLOOKUP(A88,'[2]19.6.2026'!$A$9:$L$1111,6,0),"")</f>
        <v>24/06/2013</v>
      </c>
      <c r="X88" s="16"/>
      <c r="Y88" s="21" t="str">
        <f>IFERROR(VLOOKUP(A88,'[2]19.6.2026'!$A$9:$L$1111,7,0),"")</f>
        <v>Theo quy định tại Quyết định số 41/2005/QĐ-BNV ngày 22/4/2005 của Bộ trưởng Bộ Nội vụ về việc ban hành tiêu chuẩn nghiệp vụ các ngạch viên chức y tế điều dưỡng</v>
      </c>
      <c r="Z88" s="16"/>
      <c r="AA88" s="27" t="str">
        <f>IFERROR(VLOOKUP(A88,'[3]DS UPLOAD 2026 (2)'!$A$2:$P$1111,16,0),"")</f>
        <v/>
      </c>
      <c r="AB88" s="27">
        <v>985504163</v>
      </c>
      <c r="AC88" s="51"/>
    </row>
    <row r="89" spans="1:29" ht="18" customHeight="1" x14ac:dyDescent="0.3">
      <c r="A89" s="17" t="s">
        <v>491</v>
      </c>
      <c r="B89" s="18" t="s">
        <v>492</v>
      </c>
      <c r="C89" s="17" t="s">
        <v>491</v>
      </c>
      <c r="D89" s="19" t="s">
        <v>38</v>
      </c>
      <c r="E89" s="19" t="s">
        <v>41</v>
      </c>
      <c r="F89" s="16" t="str">
        <f>VLOOKUP(E89,'[1]BẢNG MÃ'!$A$2:$B$69,2,0)</f>
        <v>TĐ011</v>
      </c>
      <c r="G89" s="20" t="s">
        <v>42</v>
      </c>
      <c r="H89" s="20" t="s">
        <v>42</v>
      </c>
      <c r="I89" s="16" t="s">
        <v>468</v>
      </c>
      <c r="J89" s="16" t="str">
        <f>VLOOKUP(I89,'[1]BẢNG MÃ'!$C$2:$D$69,2,0)</f>
        <v>KP004</v>
      </c>
      <c r="K89" s="16" t="s">
        <v>31</v>
      </c>
      <c r="L89" s="16" t="s">
        <v>201</v>
      </c>
      <c r="M89" s="16" t="s">
        <v>33</v>
      </c>
      <c r="N89" s="21">
        <f ca="1">VLOOKUP(A89,'[1]Bieu 1a'!$A$8:$AW$855,10,0)</f>
        <v>43</v>
      </c>
      <c r="O89" s="22">
        <f>VLOOKUP(A89,'[1]Bieu 1a'!$A$8:$AW$855,8,0)</f>
        <v>0</v>
      </c>
      <c r="P89" s="22">
        <f>VLOOKUP(A89,'[1]Bieu 1a'!$A$8:$AW$855,9,0)</f>
        <v>30234</v>
      </c>
      <c r="Q89" s="23" t="s">
        <v>44</v>
      </c>
      <c r="R89" s="24" t="str">
        <f>VLOOKUP(A89,'[1]Bieu 1a'!$A$8:$AW$855,23,0)</f>
        <v>17/3/2006</v>
      </c>
      <c r="S89" s="25" t="s">
        <v>493</v>
      </c>
      <c r="T89" s="26" t="s">
        <v>494</v>
      </c>
      <c r="U89" s="16"/>
      <c r="V89" s="16" t="str">
        <f>IFERROR(VLOOKUP(A89,'[2]19.6.2026'!$A$9:$L$1111,5,0),"")</f>
        <v>000938/LS-CCHN</v>
      </c>
      <c r="W89" s="16" t="str">
        <f>IFERROR(VLOOKUP(A89,'[2]19.6.2026'!$A$9:$L$1111,6,0),"")</f>
        <v>24/06/2013</v>
      </c>
      <c r="X89" s="16"/>
      <c r="Y89" s="21" t="str">
        <f>IFERROR(VLOOKUP(A89,'[2]19.6.2026'!$A$9:$L$1111,7,0),"")</f>
        <v>Theo quy định tại Quyết định số 41/2005/QĐ-BNV ngày 22/4/2005 của Bộ trưởng Bộ Nội vụ về việc ban hành tiêu chuẩn nghiệp vụ các ngạch viên chức y tế điều dưỡng</v>
      </c>
      <c r="Z89" s="16"/>
      <c r="AA89" s="27" t="str">
        <f>IFERROR(VLOOKUP(A89,'[3]DS UPLOAD 2026 (2)'!$A$2:$P$1111,16,0),"")</f>
        <v/>
      </c>
      <c r="AB89" s="27" t="s">
        <v>495</v>
      </c>
      <c r="AC89" s="51"/>
    </row>
    <row r="90" spans="1:29" ht="18" customHeight="1" x14ac:dyDescent="0.3">
      <c r="A90" s="17" t="s">
        <v>496</v>
      </c>
      <c r="B90" s="18" t="s">
        <v>497</v>
      </c>
      <c r="C90" s="17" t="s">
        <v>496</v>
      </c>
      <c r="D90" s="19"/>
      <c r="E90" s="30" t="s">
        <v>41</v>
      </c>
      <c r="F90" s="16" t="str">
        <f>VLOOKUP(E90,'[1]BẢNG MÃ'!$A$2:$B$69,2,0)</f>
        <v>TĐ011</v>
      </c>
      <c r="G90" s="20" t="s">
        <v>42</v>
      </c>
      <c r="H90" s="20" t="s">
        <v>42</v>
      </c>
      <c r="I90" s="16" t="s">
        <v>498</v>
      </c>
      <c r="J90" s="16" t="str">
        <f>VLOOKUP(I90,'[1]BẢNG MÃ'!$C$2:$D$69,2,0)</f>
        <v>KP009</v>
      </c>
      <c r="K90" s="16" t="s">
        <v>43</v>
      </c>
      <c r="L90" s="16">
        <v>0</v>
      </c>
      <c r="M90" s="16" t="s">
        <v>33</v>
      </c>
      <c r="N90" s="21">
        <f ca="1">VLOOKUP(A90,'[1]Bieu 1a'!$A$8:$AW$855,10,0)</f>
        <v>41</v>
      </c>
      <c r="O90" s="22">
        <f>VLOOKUP(A90,'[1]Bieu 1a'!$A$8:$AW$855,8,0)</f>
        <v>31108</v>
      </c>
      <c r="P90" s="22">
        <f>VLOOKUP(A90,'[1]Bieu 1a'!$A$8:$AW$855,9,0)</f>
        <v>0</v>
      </c>
      <c r="Q90" s="23" t="s">
        <v>50</v>
      </c>
      <c r="R90" s="24" t="str">
        <f>VLOOKUP(A90,'[1]Bieu 1a'!$A$8:$AW$855,23,0)</f>
        <v>01/12/2008</v>
      </c>
      <c r="S90" s="25" t="s">
        <v>499</v>
      </c>
      <c r="T90" s="26" t="s">
        <v>500</v>
      </c>
      <c r="U90" s="22"/>
      <c r="V90" s="16" t="str">
        <f>IFERROR(VLOOKUP(A90,'[2]19.6.2026'!$A$9:$L$1111,5,0),"")</f>
        <v>000778/LS-CCHN</v>
      </c>
      <c r="W90" s="16" t="str">
        <f>IFERROR(VLOOKUP(A90,'[2]19.6.2026'!$A$9:$L$1111,6,0),"")</f>
        <v>11/01/2023</v>
      </c>
      <c r="X90" s="16"/>
      <c r="Y90" s="21" t="str">
        <f>IFERROR(VLOOKUP(A90,'[2]19.6.2026'!$A$9:$L$1111,7,0),"")</f>
        <v>Thực hiện phạm vi hoạt động chuyên môn theo Thông tư số 26/2015/TTLT-BYT-BNV ngày 07/10/2015 quy định  mã số, tiêu chuẩn chức danh nghề nghiệp, điều dưỡng, hộ sinh, kỹ thuật y</v>
      </c>
      <c r="Z90" s="16"/>
      <c r="AA90" s="27" t="str">
        <f>IFERROR(VLOOKUP(A90,'[3]DS UPLOAD 2026 (2)'!$A$2:$P$1111,16,0),"")</f>
        <v/>
      </c>
      <c r="AB90" s="27" t="s">
        <v>501</v>
      </c>
      <c r="AC90" s="28"/>
    </row>
    <row r="91" spans="1:29" ht="18" customHeight="1" x14ac:dyDescent="0.3">
      <c r="A91" s="17" t="s">
        <v>502</v>
      </c>
      <c r="B91" s="18" t="s">
        <v>503</v>
      </c>
      <c r="C91" s="17" t="s">
        <v>502</v>
      </c>
      <c r="D91" s="19" t="s">
        <v>38</v>
      </c>
      <c r="E91" s="30" t="s">
        <v>41</v>
      </c>
      <c r="F91" s="16" t="str">
        <f>VLOOKUP(E91,'[1]BẢNG MÃ'!$A$2:$B$69,2,0)</f>
        <v>TĐ011</v>
      </c>
      <c r="G91" s="31" t="s">
        <v>42</v>
      </c>
      <c r="H91" s="31" t="s">
        <v>42</v>
      </c>
      <c r="I91" s="16" t="s">
        <v>468</v>
      </c>
      <c r="J91" s="16" t="str">
        <f>VLOOKUP(I91,'[1]BẢNG MÃ'!$C$2:$D$69,2,0)</f>
        <v>KP004</v>
      </c>
      <c r="K91" s="16" t="s">
        <v>43</v>
      </c>
      <c r="L91" s="16">
        <v>0</v>
      </c>
      <c r="M91" s="16" t="s">
        <v>33</v>
      </c>
      <c r="N91" s="21">
        <f ca="1">VLOOKUP(A91,'[1]Bieu 1a'!$A$8:$AW$855,10,0)</f>
        <v>39</v>
      </c>
      <c r="O91" s="22">
        <f>VLOOKUP(A91,'[1]Bieu 1a'!$A$8:$AW$855,8,0)</f>
        <v>0</v>
      </c>
      <c r="P91" s="22">
        <f>VLOOKUP(A91,'[1]Bieu 1a'!$A$8:$AW$855,9,0)</f>
        <v>31684</v>
      </c>
      <c r="Q91" s="23" t="s">
        <v>50</v>
      </c>
      <c r="R91" s="24" t="str">
        <f>VLOOKUP(A91,'[1]Bieu 1a'!$A$8:$AW$855,23,0)</f>
        <v>15/1/2010</v>
      </c>
      <c r="S91" s="25" t="s">
        <v>504</v>
      </c>
      <c r="T91" s="26" t="s">
        <v>505</v>
      </c>
      <c r="U91" s="22"/>
      <c r="V91" s="16" t="str">
        <f>IFERROR(VLOOKUP(A91,'[2]19.6.2026'!$A$9:$L$1111,5,0),"")</f>
        <v>000754/LS-CCHN</v>
      </c>
      <c r="W91" s="16" t="str">
        <f>IFERROR(VLOOKUP(A91,'[2]19.6.2026'!$A$9:$L$1111,6,0),"")</f>
        <v>11/01/2023</v>
      </c>
      <c r="X91" s="16"/>
      <c r="Y91" s="21" t="str">
        <f>IFERROR(VLOOKUP(A91,'[2]19.6.2026'!$A$9:$L$1111,7,0),"")</f>
        <v>Thực hiện phạm vi hoạt động chuyên môn theo Thông tư số 26/2015/TTLT-BYT-BNV ngày 07/10/2015 quy định  mã số, tiêu chuẩn chức danh nghề nghiệp, điều dưỡng, hộ sinh, kỹ thuật y</v>
      </c>
      <c r="Z91" s="16"/>
      <c r="AA91" s="27" t="str">
        <f>IFERROR(VLOOKUP(A91,'[3]DS UPLOAD 2026 (2)'!$A$2:$P$1111,16,0),"")</f>
        <v/>
      </c>
      <c r="AB91" s="27" t="s">
        <v>506</v>
      </c>
      <c r="AC91" s="28"/>
    </row>
    <row r="92" spans="1:29" ht="18" customHeight="1" x14ac:dyDescent="0.3">
      <c r="A92" s="17" t="s">
        <v>507</v>
      </c>
      <c r="B92" s="18" t="s">
        <v>508</v>
      </c>
      <c r="C92" s="17" t="s">
        <v>507</v>
      </c>
      <c r="D92" s="19" t="s">
        <v>38</v>
      </c>
      <c r="E92" s="19" t="s">
        <v>61</v>
      </c>
      <c r="F92" s="16" t="str">
        <f>VLOOKUP(E92,'[1]BẢNG MÃ'!$A$2:$B$69,2,0)</f>
        <v>TĐ012</v>
      </c>
      <c r="G92" s="20"/>
      <c r="H92" s="20" t="s">
        <v>62</v>
      </c>
      <c r="I92" s="16" t="s">
        <v>468</v>
      </c>
      <c r="J92" s="16" t="str">
        <f>VLOOKUP(I92,'[1]BẢNG MÃ'!$C$2:$D$69,2,0)</f>
        <v>KP004</v>
      </c>
      <c r="K92" s="16"/>
      <c r="L92" s="16"/>
      <c r="M92" s="23" t="s">
        <v>33</v>
      </c>
      <c r="N92" s="21">
        <f ca="1">VLOOKUP(A92,'[1]Bieu 1a'!$A$8:$AW$855,10,0)</f>
        <v>33</v>
      </c>
      <c r="O92" s="22">
        <f>VLOOKUP(A92,'[1]Bieu 1a'!$A$8:$AW$855,8,0)</f>
        <v>0</v>
      </c>
      <c r="P92" s="22" t="str">
        <f>VLOOKUP(A92,'[1]Bieu 1a'!$A$8:$AW$855,9,0)</f>
        <v>29/5/1993</v>
      </c>
      <c r="Q92" s="23" t="s">
        <v>50</v>
      </c>
      <c r="R92" s="24" t="str">
        <f>VLOOKUP(A92,'[1]Bieu 1a'!$A$8:$AW$855,23,0)</f>
        <v xml:space="preserve"> 29/8/2016</v>
      </c>
      <c r="S92" s="25" t="s">
        <v>509</v>
      </c>
      <c r="T92" s="26" t="s">
        <v>510</v>
      </c>
      <c r="U92" s="16"/>
      <c r="V92" s="16" t="str">
        <f>IFERROR(VLOOKUP(A92,'[2]19.6.2026'!$A$9:$L$1111,5,0),"")</f>
        <v>003302/LS-CCHN</v>
      </c>
      <c r="W92" s="16" t="str">
        <f>IFERROR(VLOOKUP(A92,'[2]19.6.2026'!$A$9:$L$1111,6,0),"")</f>
        <v>28/06/2018</v>
      </c>
      <c r="X92" s="16"/>
      <c r="Y92" s="21" t="str">
        <f>IFERROR(VLOOKUP(A92,'[2]19.6.2026'!$A$9:$L$1111,7,0),"")</f>
        <v>Thực hiện phạm vi hoạt động chuyên môn theo quy định tại Thông tư số 26/2015/TTLT-BYT-BNV ngày 07/10/2015 quy định mã số, tiêu chuẩn chức danh nghề nghiệp điều dưỡng, hộ sinh, kỹ thuật y</v>
      </c>
      <c r="Z92" s="16"/>
      <c r="AA92" s="27" t="str">
        <f>IFERROR(VLOOKUP(A92,'[3]DS UPLOAD 2026 (2)'!$A$2:$P$1111,16,0),"")</f>
        <v/>
      </c>
      <c r="AB92" s="27" t="s">
        <v>511</v>
      </c>
      <c r="AC92" s="29" t="s">
        <v>239</v>
      </c>
    </row>
    <row r="93" spans="1:29" ht="18" customHeight="1" x14ac:dyDescent="0.3">
      <c r="A93" s="17" t="s">
        <v>512</v>
      </c>
      <c r="B93" s="18" t="s">
        <v>513</v>
      </c>
      <c r="C93" s="17" t="s">
        <v>512</v>
      </c>
      <c r="D93" s="19" t="s">
        <v>38</v>
      </c>
      <c r="E93" s="19" t="s">
        <v>514</v>
      </c>
      <c r="F93" s="16" t="str">
        <f>VLOOKUP(E93,'[1]BẢNG MÃ'!$A$2:$B$69,2,0)</f>
        <v>TĐ019</v>
      </c>
      <c r="G93" s="20" t="s">
        <v>122</v>
      </c>
      <c r="H93" s="20" t="s">
        <v>122</v>
      </c>
      <c r="I93" s="16" t="s">
        <v>468</v>
      </c>
      <c r="J93" s="16" t="str">
        <f>VLOOKUP(I93,'[1]BẢNG MÃ'!$C$2:$D$69,2,0)</f>
        <v>KP004</v>
      </c>
      <c r="K93" s="16" t="s">
        <v>43</v>
      </c>
      <c r="L93" s="16">
        <v>0</v>
      </c>
      <c r="M93" s="16" t="s">
        <v>33</v>
      </c>
      <c r="N93" s="21">
        <f ca="1">VLOOKUP(A93,'[1]Bieu 1a'!$A$8:$AW$855,10,0)</f>
        <v>52</v>
      </c>
      <c r="O93" s="22">
        <f>VLOOKUP(A93,'[1]Bieu 1a'!$A$8:$AW$855,8,0)</f>
        <v>0</v>
      </c>
      <c r="P93" s="22">
        <f>VLOOKUP(A93,'[1]Bieu 1a'!$A$8:$AW$855,9,0)</f>
        <v>26923</v>
      </c>
      <c r="Q93" s="23" t="s">
        <v>50</v>
      </c>
      <c r="R93" s="24" t="str">
        <f>VLOOKUP(A93,'[1]Bieu 1a'!$A$8:$AW$855,23,0)</f>
        <v>1/11/1994</v>
      </c>
      <c r="S93" s="25" t="s">
        <v>515</v>
      </c>
      <c r="T93" s="26" t="s">
        <v>516</v>
      </c>
      <c r="U93" s="16"/>
      <c r="V93" s="16" t="str">
        <f>IFERROR(VLOOKUP(A93,'[2]19.6.2026'!$A$9:$L$1111,5,0),"")</f>
        <v>000841/LS-CCHN</v>
      </c>
      <c r="W93" s="16" t="str">
        <f>IFERROR(VLOOKUP(A93,'[2]19.6.2026'!$A$9:$L$1111,6,0),"")</f>
        <v/>
      </c>
      <c r="X93" s="16"/>
      <c r="Y93" s="21" t="str">
        <f>IFERROR(VLOOKUP(A93,'[2]19.6.2026'!$A$9:$L$1111,7,0),"")</f>
        <v>Theo quy định tại Quyết định số 41/2005/QĐ-BNV ngày 22/4/2005 của Bộ trưởng Bộ Nội vụ về việc ban hành tiêu chuẩn nghiệp vụ các ngạch viên chức y tế điều dưỡng</v>
      </c>
      <c r="Z93" s="16"/>
      <c r="AA93" s="27" t="str">
        <f>IFERROR(VLOOKUP(A93,'[3]DS UPLOAD 2026 (2)'!$A$2:$P$1111,16,0),"")</f>
        <v/>
      </c>
      <c r="AB93" s="27" t="s">
        <v>517</v>
      </c>
      <c r="AC93" s="28" t="s">
        <v>518</v>
      </c>
    </row>
    <row r="94" spans="1:29" ht="18" customHeight="1" x14ac:dyDescent="0.3">
      <c r="A94" s="17" t="s">
        <v>519</v>
      </c>
      <c r="B94" s="18" t="s">
        <v>520</v>
      </c>
      <c r="C94" s="17" t="s">
        <v>519</v>
      </c>
      <c r="D94" s="19" t="s">
        <v>38</v>
      </c>
      <c r="E94" s="19" t="s">
        <v>142</v>
      </c>
      <c r="F94" s="16" t="str">
        <f>VLOOKUP(E94,'[1]BẢNG MÃ'!$A$2:$B$69,2,0)</f>
        <v>TĐ047</v>
      </c>
      <c r="G94" s="20"/>
      <c r="H94" s="19" t="s">
        <v>142</v>
      </c>
      <c r="I94" s="16" t="s">
        <v>468</v>
      </c>
      <c r="J94" s="16" t="str">
        <f>VLOOKUP(I94,'[1]BẢNG MÃ'!$C$2:$D$69,2,0)</f>
        <v>KP004</v>
      </c>
      <c r="K94" s="16"/>
      <c r="L94" s="16"/>
      <c r="M94" s="16" t="s">
        <v>136</v>
      </c>
      <c r="N94" s="21">
        <f ca="1">VLOOKUP(A94,'[1]Bieu 1a'!$A$8:$AW$855,10,0)</f>
        <v>44</v>
      </c>
      <c r="O94" s="22">
        <f>VLOOKUP(A94,'[1]Bieu 1a'!$A$8:$AW$855,8,0)</f>
        <v>0</v>
      </c>
      <c r="P94" s="22">
        <f>VLOOKUP(A94,'[1]Bieu 1a'!$A$8:$AW$855,9,0)</f>
        <v>29945</v>
      </c>
      <c r="Q94" s="23" t="s">
        <v>50</v>
      </c>
      <c r="R94" s="24" t="str">
        <f>VLOOKUP(A94,'[1]Bieu 1a'!$A$8:$AW$855,23,0)</f>
        <v>03/09/2019</v>
      </c>
      <c r="S94" s="25" t="s">
        <v>521</v>
      </c>
      <c r="T94" s="26" t="s">
        <v>510</v>
      </c>
      <c r="U94" s="16"/>
      <c r="V94" s="16" t="str">
        <f>IFERROR(VLOOKUP(A94,'[2]19.6.2026'!$A$9:$L$1111,5,0),"")</f>
        <v/>
      </c>
      <c r="W94" s="16" t="str">
        <f>IFERROR(VLOOKUP(A94,'[2]19.6.2026'!$A$9:$L$1111,6,0),"")</f>
        <v/>
      </c>
      <c r="X94" s="16"/>
      <c r="Y94" s="21" t="str">
        <f>IFERROR(VLOOKUP(A94,'[2]19.6.2026'!$A$9:$L$1111,7,0),"")</f>
        <v/>
      </c>
      <c r="Z94" s="16"/>
      <c r="AA94" s="27" t="str">
        <f>IFERROR(VLOOKUP(A94,'[3]DS UPLOAD 2026 (2)'!$A$2:$P$1111,16,0),"")</f>
        <v/>
      </c>
      <c r="AB94" s="27">
        <v>615571288</v>
      </c>
      <c r="AC94" s="28" t="s">
        <v>522</v>
      </c>
    </row>
    <row r="95" spans="1:29" ht="18" customHeight="1" x14ac:dyDescent="0.3">
      <c r="A95" s="17" t="s">
        <v>523</v>
      </c>
      <c r="B95" s="18" t="s">
        <v>524</v>
      </c>
      <c r="C95" s="17" t="s">
        <v>523</v>
      </c>
      <c r="D95" s="19"/>
      <c r="E95" s="16" t="s">
        <v>28</v>
      </c>
      <c r="F95" s="16" t="str">
        <f>VLOOKUP(E95,'[1]BẢNG MÃ'!$A$2:$B$69,2,0)</f>
        <v>TĐ001</v>
      </c>
      <c r="G95" s="20" t="s">
        <v>29</v>
      </c>
      <c r="H95" s="20" t="s">
        <v>29</v>
      </c>
      <c r="I95" s="16" t="s">
        <v>525</v>
      </c>
      <c r="J95" s="16" t="str">
        <f>VLOOKUP(I95,'[1]BẢNG MÃ'!$C$2:$D$69,2,0)</f>
        <v>KP006</v>
      </c>
      <c r="K95" s="16" t="s">
        <v>307</v>
      </c>
      <c r="L95" s="16" t="s">
        <v>526</v>
      </c>
      <c r="M95" s="16" t="s">
        <v>33</v>
      </c>
      <c r="N95" s="21">
        <f ca="1">VLOOKUP(A95,'[1]Bieu 1a'!$A$8:$AW$855,10,0)</f>
        <v>53</v>
      </c>
      <c r="O95" s="22">
        <f>VLOOKUP(A95,'[1]Bieu 1a'!$A$8:$AW$855,8,0)</f>
        <v>26605</v>
      </c>
      <c r="P95" s="22">
        <f>VLOOKUP(A95,'[1]Bieu 1a'!$A$8:$AW$855,9,0)</f>
        <v>0</v>
      </c>
      <c r="Q95" s="23" t="s">
        <v>50</v>
      </c>
      <c r="R95" s="24" t="str">
        <f>VLOOKUP(A95,'[1]Bieu 1a'!$A$8:$AW$855,23,0)</f>
        <v>20/4/1997</v>
      </c>
      <c r="S95" s="25" t="s">
        <v>527</v>
      </c>
      <c r="T95" s="26" t="s">
        <v>528</v>
      </c>
      <c r="U95" s="22"/>
      <c r="V95" s="16" t="str">
        <f>IFERROR(VLOOKUP(A95,'[2]19.6.2026'!$A$9:$L$1111,5,0),"")</f>
        <v>000106/LS-CCHN</v>
      </c>
      <c r="W95" s="16">
        <f>IFERROR(VLOOKUP(A95,'[2]19.6.2026'!$A$9:$L$1111,6,0),"")</f>
        <v>41088</v>
      </c>
      <c r="X95" s="16"/>
      <c r="Y95" s="21" t="str">
        <f>IFERROR(VLOOKUP(A95,'[2]19.6.2026'!$A$9:$L$1111,7,0),"")</f>
        <v>Khám bệnh, chữa bệnh chuyên khoa Nội tổng hợp; Siêu âm, điện não đồ; Khám bệnh, chữa bệnh chuyên khoa Thần kinh.</v>
      </c>
      <c r="Z95" s="16"/>
      <c r="AA95" s="27" t="str">
        <f>IFERROR(VLOOKUP(A95,'[3]DS UPLOAD 2026 (2)'!$A$2:$P$1111,16,0),"")</f>
        <v>21C.2; 18A.1; 18A.2; 01.0021; 03.0708; 03.4253; 18.0047;18.0501;18.0553;18.0554;18.0555;18.0558;18.0565;18.0566;18.0567;18.0562;18.0556;18.0564</v>
      </c>
      <c r="AB95" s="27">
        <v>913516948</v>
      </c>
      <c r="AC95" s="28"/>
    </row>
    <row r="96" spans="1:29" ht="18" customHeight="1" x14ac:dyDescent="0.3">
      <c r="A96" s="17" t="s">
        <v>529</v>
      </c>
      <c r="B96" s="18" t="s">
        <v>530</v>
      </c>
      <c r="C96" s="17" t="s">
        <v>529</v>
      </c>
      <c r="D96" s="19" t="s">
        <v>38</v>
      </c>
      <c r="E96" s="19" t="s">
        <v>160</v>
      </c>
      <c r="F96" s="16" t="str">
        <f>VLOOKUP(E96,'[1]BẢNG MÃ'!$A$2:$B$69,2,0)</f>
        <v>TĐ003</v>
      </c>
      <c r="G96" s="20" t="s">
        <v>29</v>
      </c>
      <c r="H96" s="20" t="s">
        <v>29</v>
      </c>
      <c r="I96" s="16" t="s">
        <v>525</v>
      </c>
      <c r="J96" s="16" t="str">
        <f>VLOOKUP(I96,'[1]BẢNG MÃ'!$C$2:$D$69,2,0)</f>
        <v>KP006</v>
      </c>
      <c r="K96" s="16" t="s">
        <v>31</v>
      </c>
      <c r="L96" s="16" t="s">
        <v>154</v>
      </c>
      <c r="M96" s="16" t="s">
        <v>33</v>
      </c>
      <c r="N96" s="21">
        <f ca="1">VLOOKUP(A96,'[1]Bieu 1a'!$A$8:$AW$855,10,0)</f>
        <v>50</v>
      </c>
      <c r="O96" s="22">
        <f>VLOOKUP(A96,'[1]Bieu 1a'!$A$8:$AW$855,8,0)</f>
        <v>0</v>
      </c>
      <c r="P96" s="22">
        <f>VLOOKUP(A96,'[1]Bieu 1a'!$A$8:$AW$855,9,0)</f>
        <v>27600</v>
      </c>
      <c r="Q96" s="23" t="s">
        <v>34</v>
      </c>
      <c r="R96" s="24" t="str">
        <f>VLOOKUP(A96,'[1]Bieu 1a'!$A$8:$AW$855,23,0)</f>
        <v>19/07/2000</v>
      </c>
      <c r="S96" s="25" t="s">
        <v>531</v>
      </c>
      <c r="T96" s="26" t="s">
        <v>532</v>
      </c>
      <c r="U96" s="22"/>
      <c r="V96" s="16" t="str">
        <f>IFERROR(VLOOKUP(A96,'[2]19.6.2026'!$A$9:$L$1111,5,0),"")</f>
        <v>002936/LS-CCHN</v>
      </c>
      <c r="W96" s="16" t="str">
        <f>IFERROR(VLOOKUP(A96,'[2]19.6.2026'!$A$9:$L$1111,6,0),"")</f>
        <v>13/02/2015</v>
      </c>
      <c r="X96" s="16"/>
      <c r="Y96" s="21" t="str">
        <f>IFERROR(VLOOKUP(A96,'[2]19.6.2026'!$A$9:$L$1111,7,0),"")</f>
        <v>Khám bệnh, chữa bệnh chuyên khoa Tâm thần - Thần kinh</v>
      </c>
      <c r="Z96" s="16"/>
      <c r="AA96" s="27" t="str">
        <f>IFERROR(VLOOKUP(A96,'[3]DS UPLOAD 2026 (2)'!$A$2:$P$1111,16,0),"")</f>
        <v>02.0145;03.0138;02.0160</v>
      </c>
      <c r="AB96" s="27">
        <v>976328730</v>
      </c>
      <c r="AC96" s="29" t="s">
        <v>533</v>
      </c>
    </row>
    <row r="97" spans="1:29" ht="18" customHeight="1" x14ac:dyDescent="0.3">
      <c r="A97" s="17" t="s">
        <v>534</v>
      </c>
      <c r="B97" s="18" t="s">
        <v>535</v>
      </c>
      <c r="C97" s="17" t="s">
        <v>534</v>
      </c>
      <c r="D97" s="19"/>
      <c r="E97" s="19" t="s">
        <v>160</v>
      </c>
      <c r="F97" s="16" t="str">
        <f>VLOOKUP(E97,'[1]BẢNG MÃ'!$A$2:$B$69,2,0)</f>
        <v>TĐ003</v>
      </c>
      <c r="G97" s="20" t="s">
        <v>161</v>
      </c>
      <c r="H97" s="20" t="s">
        <v>161</v>
      </c>
      <c r="I97" s="16" t="s">
        <v>525</v>
      </c>
      <c r="J97" s="16" t="str">
        <f>VLOOKUP(I97,'[1]BẢNG MÃ'!$C$2:$D$69,2,0)</f>
        <v>KP006</v>
      </c>
      <c r="K97" s="16" t="s">
        <v>43</v>
      </c>
      <c r="L97" s="16">
        <v>0</v>
      </c>
      <c r="M97" s="16" t="s">
        <v>33</v>
      </c>
      <c r="N97" s="21">
        <f ca="1">VLOOKUP(A97,'[1]Bieu 1a'!$A$8:$AW$855,10,0)</f>
        <v>44</v>
      </c>
      <c r="O97" s="22">
        <f>VLOOKUP(A97,'[1]Bieu 1a'!$A$8:$AW$855,8,0)</f>
        <v>30094</v>
      </c>
      <c r="P97" s="22">
        <f>VLOOKUP(A97,'[1]Bieu 1a'!$A$8:$AW$855,9,0)</f>
        <v>0</v>
      </c>
      <c r="Q97" s="23" t="s">
        <v>34</v>
      </c>
      <c r="R97" s="24" t="str">
        <f>VLOOKUP(A97,'[1]Bieu 1a'!$A$8:$AW$855,23,0)</f>
        <v>30/10/2006</v>
      </c>
      <c r="S97" s="25" t="s">
        <v>536</v>
      </c>
      <c r="T97" s="26" t="s">
        <v>537</v>
      </c>
      <c r="U97" s="22"/>
      <c r="V97" s="16" t="str">
        <f>IFERROR(VLOOKUP(A97,'[2]19.6.2026'!$A$9:$L$1111,5,0),"")</f>
        <v>000911/LS-CCHN</v>
      </c>
      <c r="W97" s="16" t="str">
        <f>IFERROR(VLOOKUP(A97,'[2]19.6.2026'!$A$9:$L$1111,6,0),"")</f>
        <v>21/11/2019</v>
      </c>
      <c r="X97" s="16"/>
      <c r="Y97" s="21" t="str">
        <f>IFERROR(VLOOKUP(A97,'[2]19.6.2026'!$A$9:$L$1111,7,0),"")</f>
        <v>Khám bệnh chữa bệnh Nội khoa</v>
      </c>
      <c r="Z97" s="16"/>
      <c r="AA97" s="27" t="str">
        <f>IFERROR(VLOOKUP(A97,'[3]DS UPLOAD 2026 (2)'!$A$2:$P$1111,16,0),"")</f>
        <v/>
      </c>
      <c r="AB97" s="27" t="s">
        <v>538</v>
      </c>
      <c r="AC97" s="28"/>
    </row>
    <row r="98" spans="1:29" ht="18" customHeight="1" x14ac:dyDescent="0.3">
      <c r="A98" s="17" t="s">
        <v>539</v>
      </c>
      <c r="B98" s="18" t="s">
        <v>540</v>
      </c>
      <c r="C98" s="17" t="s">
        <v>539</v>
      </c>
      <c r="D98" s="19" t="s">
        <v>38</v>
      </c>
      <c r="E98" s="19" t="s">
        <v>160</v>
      </c>
      <c r="F98" s="16" t="str">
        <f>VLOOKUP(E98,'[1]BẢNG MÃ'!$A$2:$B$69,2,0)</f>
        <v>TĐ003</v>
      </c>
      <c r="G98" s="20" t="s">
        <v>161</v>
      </c>
      <c r="H98" s="20" t="s">
        <v>161</v>
      </c>
      <c r="I98" s="16" t="s">
        <v>525</v>
      </c>
      <c r="J98" s="16" t="str">
        <f>VLOOKUP(I98,'[1]BẢNG MÃ'!$C$2:$D$69,2,0)</f>
        <v>KP006</v>
      </c>
      <c r="K98" s="16" t="s">
        <v>43</v>
      </c>
      <c r="L98" s="16">
        <v>0</v>
      </c>
      <c r="M98" s="16" t="s">
        <v>33</v>
      </c>
      <c r="N98" s="21">
        <f ca="1">VLOOKUP(A98,'[1]Bieu 1a'!$A$8:$AW$855,10,0)</f>
        <v>42</v>
      </c>
      <c r="O98" s="22">
        <f>VLOOKUP(A98,'[1]Bieu 1a'!$A$8:$AW$855,8,0)</f>
        <v>0</v>
      </c>
      <c r="P98" s="22">
        <f>VLOOKUP(A98,'[1]Bieu 1a'!$A$8:$AW$855,9,0)</f>
        <v>30609</v>
      </c>
      <c r="Q98" s="23" t="s">
        <v>44</v>
      </c>
      <c r="R98" s="24" t="str">
        <f>VLOOKUP(A98,'[1]Bieu 1a'!$A$8:$AW$855,23,0)</f>
        <v>30/10/2006</v>
      </c>
      <c r="S98" s="25" t="s">
        <v>541</v>
      </c>
      <c r="T98" s="26" t="s">
        <v>542</v>
      </c>
      <c r="U98" s="22"/>
      <c r="V98" s="16" t="str">
        <f>IFERROR(VLOOKUP(A98,'[2]19.6.2026'!$A$9:$L$1111,5,0),"")</f>
        <v>000827/LS-CCHN</v>
      </c>
      <c r="W98" s="16" t="str">
        <f>IFERROR(VLOOKUP(A98,'[2]19.6.2026'!$A$9:$L$1111,6,0),"")</f>
        <v>24/06/2013</v>
      </c>
      <c r="X98" s="16"/>
      <c r="Y98" s="21" t="str">
        <f>IFERROR(VLOOKUP(A98,'[2]19.6.2026'!$A$9:$L$1111,7,0),"")</f>
        <v>Khám bệnh chữa bệnh Nội khoa; chuyên khoa Thần kinh</v>
      </c>
      <c r="Z98" s="16"/>
      <c r="AA98" s="27" t="str">
        <f>IFERROR(VLOOKUP(A98,'[3]DS UPLOAD 2026 (2)'!$A$2:$P$1111,16,0),"")</f>
        <v/>
      </c>
      <c r="AB98" s="27" t="s">
        <v>543</v>
      </c>
      <c r="AC98" s="28"/>
    </row>
    <row r="99" spans="1:29" ht="18" customHeight="1" x14ac:dyDescent="0.3">
      <c r="A99" s="17" t="s">
        <v>544</v>
      </c>
      <c r="B99" s="38" t="s">
        <v>545</v>
      </c>
      <c r="C99" s="17" t="s">
        <v>544</v>
      </c>
      <c r="D99" s="19" t="s">
        <v>38</v>
      </c>
      <c r="E99" s="19" t="s">
        <v>173</v>
      </c>
      <c r="F99" s="16" t="str">
        <f>VLOOKUP(E99,'[1]BẢNG MÃ'!$A$2:$B$69,2,0)</f>
        <v>TĐ005</v>
      </c>
      <c r="G99" s="20"/>
      <c r="H99" s="20" t="s">
        <v>161</v>
      </c>
      <c r="I99" s="16" t="s">
        <v>525</v>
      </c>
      <c r="J99" s="16" t="str">
        <f>VLOOKUP(I99,'[1]BẢNG MÃ'!$C$2:$D$69,2,0)</f>
        <v>KP006</v>
      </c>
      <c r="K99" s="19"/>
      <c r="L99" s="16"/>
      <c r="M99" s="16" t="s">
        <v>33</v>
      </c>
      <c r="N99" s="21">
        <f ca="1">VLOOKUP(A99,'[1]Bieu 1a'!$A$8:$AW$855,10,0)</f>
        <v>29</v>
      </c>
      <c r="O99" s="22">
        <f>VLOOKUP(A99,'[1]Bieu 1a'!$A$8:$AW$855,8,0)</f>
        <v>0</v>
      </c>
      <c r="P99" s="22">
        <f>VLOOKUP(A99,'[1]Bieu 1a'!$A$8:$AW$855,9,0)</f>
        <v>35318</v>
      </c>
      <c r="Q99" s="23" t="s">
        <v>44</v>
      </c>
      <c r="R99" s="24" t="str">
        <f>VLOOKUP(A99,'[1]Bieu 1a'!$A$8:$AW$855,23,0)</f>
        <v>25/1/2021</v>
      </c>
      <c r="S99" s="25" t="s">
        <v>546</v>
      </c>
      <c r="T99" s="26" t="s">
        <v>547</v>
      </c>
      <c r="U99" s="16"/>
      <c r="V99" s="16" t="str">
        <f>IFERROR(VLOOKUP(A99,'[2]19.6.2026'!$A$9:$L$1111,5,0),"")</f>
        <v>005495/LS-CCHN</v>
      </c>
      <c r="W99" s="16" t="str">
        <f>IFERROR(VLOOKUP(A99,'[2]19.6.2026'!$A$9:$L$1111,6,0),"")</f>
        <v>16/11/2022</v>
      </c>
      <c r="X99" s="16"/>
      <c r="Y99" s="21" t="str">
        <f>IFERROR(VLOOKUP(A99,'[2]19.6.2026'!$A$9:$L$1111,7,0),"")</f>
        <v>Khám bệnh, chữa bệnh chuyên khoa Nội</v>
      </c>
      <c r="Z99" s="16"/>
      <c r="AA99" s="27" t="str">
        <f>IFERROR(VLOOKUP(A99,'[3]DS UPLOAD 2026 (2)'!$A$2:$P$1111,16,0),"")</f>
        <v/>
      </c>
      <c r="AB99" s="27">
        <v>375183876</v>
      </c>
      <c r="AC99" s="29" t="s">
        <v>548</v>
      </c>
    </row>
    <row r="100" spans="1:29" ht="18" customHeight="1" x14ac:dyDescent="0.3">
      <c r="A100" s="16" t="s">
        <v>549</v>
      </c>
      <c r="B100" s="36" t="s">
        <v>550</v>
      </c>
      <c r="C100" s="16" t="s">
        <v>549</v>
      </c>
      <c r="D100" s="53" t="s">
        <v>38</v>
      </c>
      <c r="E100" s="19" t="s">
        <v>173</v>
      </c>
      <c r="F100" s="16" t="str">
        <f>VLOOKUP(E100,'[1]BẢNG MÃ'!$A$2:$B$69,2,0)</f>
        <v>TĐ005</v>
      </c>
      <c r="G100" s="20"/>
      <c r="H100" s="20" t="s">
        <v>161</v>
      </c>
      <c r="I100" s="16" t="s">
        <v>525</v>
      </c>
      <c r="J100" s="16" t="str">
        <f>VLOOKUP(I100,'[1]BẢNG MÃ'!$C$2:$D$69,2,0)</f>
        <v>KP006</v>
      </c>
      <c r="K100" s="16"/>
      <c r="L100" s="16"/>
      <c r="M100" s="16" t="s">
        <v>33</v>
      </c>
      <c r="N100" s="21">
        <f ca="1">VLOOKUP(A100,'[1]Bieu 1a'!$A$8:$AW$855,10,0)</f>
        <v>31</v>
      </c>
      <c r="O100" s="22">
        <f>VLOOKUP(A100,'[1]Bieu 1a'!$A$8:$AW$855,8,0)</f>
        <v>0</v>
      </c>
      <c r="P100" s="22" t="str">
        <f>VLOOKUP(A100,'[1]Bieu 1a'!$A$8:$AW$855,9,0)</f>
        <v>17/9/1994</v>
      </c>
      <c r="Q100" s="23" t="s">
        <v>50</v>
      </c>
      <c r="R100" s="24">
        <f>VLOOKUP(A100,'[1]Bieu 1a'!$A$8:$AW$855,23,0)</f>
        <v>44445</v>
      </c>
      <c r="S100" s="25" t="s">
        <v>551</v>
      </c>
      <c r="T100" s="26" t="s">
        <v>552</v>
      </c>
      <c r="U100" s="16"/>
      <c r="V100" s="16" t="str">
        <f>IFERROR(VLOOKUP(A100,'[2]19.6.2026'!$A$9:$L$1111,5,0),"")</f>
        <v>005588/LS-CCHN</v>
      </c>
      <c r="W100" s="16" t="str">
        <f>IFERROR(VLOOKUP(A100,'[2]19.6.2026'!$A$9:$L$1111,6,0),"")</f>
        <v xml:space="preserve"> 15/05/2023</v>
      </c>
      <c r="X100" s="16"/>
      <c r="Y100" s="21" t="str">
        <f>IFERROR(VLOOKUP(A100,'[2]19.6.2026'!$A$9:$L$1111,7,0),"")</f>
        <v>Khám bệnh, chữa bệnh chuyên khoa Nội</v>
      </c>
      <c r="Z100" s="16"/>
      <c r="AA100" s="27" t="str">
        <f>IFERROR(VLOOKUP(A100,'[3]DS UPLOAD 2026 (2)'!$A$2:$P$1111,16,0),"")</f>
        <v/>
      </c>
      <c r="AB100" s="39" t="s">
        <v>553</v>
      </c>
      <c r="AC100" s="29" t="s">
        <v>554</v>
      </c>
    </row>
    <row r="101" spans="1:29" ht="18" customHeight="1" x14ac:dyDescent="0.3">
      <c r="A101" s="17" t="s">
        <v>555</v>
      </c>
      <c r="B101" s="18" t="s">
        <v>556</v>
      </c>
      <c r="C101" s="17" t="s">
        <v>555</v>
      </c>
      <c r="D101" s="19" t="s">
        <v>38</v>
      </c>
      <c r="E101" s="19" t="s">
        <v>173</v>
      </c>
      <c r="F101" s="16" t="str">
        <f>VLOOKUP(E101,'[1]BẢNG MÃ'!$A$2:$B$69,2,0)</f>
        <v>TĐ005</v>
      </c>
      <c r="G101" s="60"/>
      <c r="H101" s="20" t="s">
        <v>161</v>
      </c>
      <c r="I101" s="16" t="s">
        <v>525</v>
      </c>
      <c r="J101" s="16" t="str">
        <f>VLOOKUP(I101,'[1]BẢNG MÃ'!$C$2:$D$69,2,0)</f>
        <v>KP006</v>
      </c>
      <c r="K101" s="16"/>
      <c r="L101" s="16"/>
      <c r="M101" s="16" t="s">
        <v>33</v>
      </c>
      <c r="N101" s="21">
        <f ca="1">VLOOKUP(A101,'[1]Bieu 1a'!$A$8:$AW$855,10,0)</f>
        <v>29</v>
      </c>
      <c r="O101" s="22">
        <f>VLOOKUP(A101,'[1]Bieu 1a'!$A$8:$AW$855,8,0)</f>
        <v>0</v>
      </c>
      <c r="P101" s="22" t="str">
        <f>VLOOKUP(A101,'[1]Bieu 1a'!$A$8:$AW$855,9,0)</f>
        <v>06/12/1996</v>
      </c>
      <c r="Q101" s="23" t="s">
        <v>44</v>
      </c>
      <c r="R101" s="24">
        <f>VLOOKUP(A101,'[1]Bieu 1a'!$A$8:$AW$855,23,0)</f>
        <v>45030</v>
      </c>
      <c r="S101" s="25" t="s">
        <v>557</v>
      </c>
      <c r="T101" s="26" t="s">
        <v>558</v>
      </c>
      <c r="U101" s="67">
        <f>EDATE(R101,18)</f>
        <v>45579</v>
      </c>
      <c r="V101" s="16" t="str">
        <f>IFERROR(VLOOKUP(A101,'[2]19.6.2026'!$A$9:$L$1111,5,0),"")</f>
        <v>000195/LS-GPHN</v>
      </c>
      <c r="W101" s="16">
        <f>IFERROR(VLOOKUP(A101,'[2]19.6.2026'!$A$9:$L$1111,6,0),"")</f>
        <v>45657</v>
      </c>
      <c r="X101" s="16"/>
      <c r="Y101" s="21" t="str">
        <f>IFERROR(VLOOKUP(A101,'[2]19.6.2026'!$A$9:$L$1111,7,0),"")</f>
        <v>Nội khoa</v>
      </c>
      <c r="Z101" s="16"/>
      <c r="AA101" s="27" t="str">
        <f>IFERROR(VLOOKUP(A101,'[3]DS UPLOAD 2026 (2)'!$A$2:$P$1111,16,0),"")</f>
        <v/>
      </c>
      <c r="AB101" s="27" t="s">
        <v>559</v>
      </c>
      <c r="AC101" s="29" t="s">
        <v>560</v>
      </c>
    </row>
    <row r="102" spans="1:29" ht="18" customHeight="1" x14ac:dyDescent="0.3">
      <c r="A102" s="17" t="s">
        <v>561</v>
      </c>
      <c r="B102" s="36" t="s">
        <v>562</v>
      </c>
      <c r="C102" s="17" t="s">
        <v>561</v>
      </c>
      <c r="D102" s="53" t="s">
        <v>38</v>
      </c>
      <c r="E102" s="16" t="s">
        <v>563</v>
      </c>
      <c r="F102" s="16" t="str">
        <f>VLOOKUP(E102,'[1]BẢNG MÃ'!$A$2:$B$69,2,0)</f>
        <v>TĐ011</v>
      </c>
      <c r="G102" s="20"/>
      <c r="H102" s="20" t="s">
        <v>42</v>
      </c>
      <c r="I102" s="16" t="s">
        <v>525</v>
      </c>
      <c r="J102" s="16" t="str">
        <f>VLOOKUP(I102,'[1]BẢNG MÃ'!$C$2:$D$69,2,0)</f>
        <v>KP006</v>
      </c>
      <c r="K102" s="16"/>
      <c r="L102" s="16"/>
      <c r="M102" s="16" t="s">
        <v>33</v>
      </c>
      <c r="N102" s="21">
        <f ca="1">VLOOKUP(A102,'[1]Bieu 1a'!$A$8:$AW$855,10,0)</f>
        <v>39</v>
      </c>
      <c r="O102" s="22">
        <f>VLOOKUP(A102,'[1]Bieu 1a'!$A$8:$AW$855,8,0)</f>
        <v>0</v>
      </c>
      <c r="P102" s="22" t="str">
        <f>VLOOKUP(A102,'[1]Bieu 1a'!$A$8:$AW$855,9,0)</f>
        <v>03/04/1987</v>
      </c>
      <c r="Q102" s="23" t="s">
        <v>44</v>
      </c>
      <c r="R102" s="24" t="str">
        <f>VLOOKUP(A102,'[1]Bieu 1a'!$A$8:$AW$855,23,0)</f>
        <v>13/7/2020</v>
      </c>
      <c r="S102" s="25" t="s">
        <v>564</v>
      </c>
      <c r="T102" s="26" t="s">
        <v>565</v>
      </c>
      <c r="U102" s="16"/>
      <c r="V102" s="16" t="str">
        <f>IFERROR(VLOOKUP(A102,'[2]19.6.2026'!$A$9:$L$1111,5,0),"")</f>
        <v>004307/LS-CCHN</v>
      </c>
      <c r="W102" s="16" t="str">
        <f>IFERROR(VLOOKUP(A102,'[2]19.6.2026'!$A$9:$L$1111,6,0),"")</f>
        <v>20/07/2021</v>
      </c>
      <c r="X102" s="16"/>
      <c r="Y102" s="21" t="str">
        <f>IFERROR(VLOOKUP(A102,'[2]19.6.2026'!$A$9:$L$1111,7,0),"")</f>
        <v>Thực hiện phạm vi hoạt động chuyên môn theo quy định tại Thông tư số 26/2015/TTLT-BYT-BNV ngày 07/10/2015 quy định mã số, tiêu chuẩn chức danh nghề nghiệp điều dưỡng, hộ sinh, kỹ thuật y</v>
      </c>
      <c r="Z102" s="16"/>
      <c r="AA102" s="27" t="str">
        <f>IFERROR(VLOOKUP(A102,'[3]DS UPLOAD 2026 (2)'!$A$2:$P$1111,16,0),"")</f>
        <v/>
      </c>
      <c r="AB102" s="50" t="s">
        <v>566</v>
      </c>
      <c r="AC102" s="29" t="s">
        <v>244</v>
      </c>
    </row>
    <row r="103" spans="1:29" ht="18" customHeight="1" x14ac:dyDescent="0.3">
      <c r="A103" s="17" t="s">
        <v>567</v>
      </c>
      <c r="B103" s="18" t="s">
        <v>568</v>
      </c>
      <c r="C103" s="17" t="s">
        <v>567</v>
      </c>
      <c r="D103" s="19" t="s">
        <v>38</v>
      </c>
      <c r="E103" s="30" t="s">
        <v>41</v>
      </c>
      <c r="F103" s="16" t="str">
        <f>VLOOKUP(E103,'[1]BẢNG MÃ'!$A$2:$B$69,2,0)</f>
        <v>TĐ011</v>
      </c>
      <c r="G103" s="31" t="s">
        <v>42</v>
      </c>
      <c r="H103" s="31" t="s">
        <v>42</v>
      </c>
      <c r="I103" s="16" t="s">
        <v>525</v>
      </c>
      <c r="J103" s="16" t="str">
        <f>VLOOKUP(I103,'[1]BẢNG MÃ'!$C$2:$D$69,2,0)</f>
        <v>KP006</v>
      </c>
      <c r="K103" s="16" t="s">
        <v>31</v>
      </c>
      <c r="L103" s="16" t="s">
        <v>201</v>
      </c>
      <c r="M103" s="16" t="s">
        <v>33</v>
      </c>
      <c r="N103" s="21">
        <f ca="1">VLOOKUP(A103,'[1]Bieu 1a'!$A$8:$AW$855,10,0)</f>
        <v>36</v>
      </c>
      <c r="O103" s="22">
        <f>VLOOKUP(A103,'[1]Bieu 1a'!$A$8:$AW$855,8,0)</f>
        <v>0</v>
      </c>
      <c r="P103" s="22">
        <f>VLOOKUP(A103,'[1]Bieu 1a'!$A$8:$AW$855,9,0)</f>
        <v>32868</v>
      </c>
      <c r="Q103" s="23" t="s">
        <v>50</v>
      </c>
      <c r="R103" s="24" t="str">
        <f>VLOOKUP(A103,'[1]Bieu 1a'!$A$8:$AW$855,23,0)</f>
        <v>05/6/2013</v>
      </c>
      <c r="S103" s="25" t="s">
        <v>569</v>
      </c>
      <c r="T103" s="26" t="s">
        <v>570</v>
      </c>
      <c r="U103" s="16"/>
      <c r="V103" s="16" t="str">
        <f>IFERROR(VLOOKUP(A103,'[2]19.6.2026'!$A$9:$L$1111,5,0),"")</f>
        <v>000405/LS-CCHN</v>
      </c>
      <c r="W103" s="16" t="str">
        <f>IFERROR(VLOOKUP(A103,'[2]19.6.2026'!$A$9:$L$1111,6,0),"")</f>
        <v>11/01/2023</v>
      </c>
      <c r="X103" s="16"/>
      <c r="Y103" s="21" t="str">
        <f>IFERROR(VLOOKUP(A103,'[2]19.6.2026'!$A$9:$L$1111,7,0),"")</f>
        <v>Thực hiện phạm vi hoạt động chuyên môn theo Thông tư số 26/2015/TTLT-BYT-BNV ngày 07/10/2015 quy định  mã số, tiêu chuẩn chức danh nghề nghiệp, điều dưỡng, hộ sinh, kỹ thuật y</v>
      </c>
      <c r="Z103" s="16"/>
      <c r="AA103" s="27" t="str">
        <f>IFERROR(VLOOKUP(A103,'[3]DS UPLOAD 2026 (2)'!$A$2:$P$1111,16,0),"")</f>
        <v/>
      </c>
      <c r="AB103" s="27" t="s">
        <v>571</v>
      </c>
      <c r="AC103" s="28"/>
    </row>
    <row r="104" spans="1:29" ht="18" customHeight="1" x14ac:dyDescent="0.3">
      <c r="A104" s="17" t="s">
        <v>572</v>
      </c>
      <c r="B104" s="18" t="s">
        <v>573</v>
      </c>
      <c r="C104" s="17" t="s">
        <v>572</v>
      </c>
      <c r="D104" s="19"/>
      <c r="E104" s="19" t="s">
        <v>61</v>
      </c>
      <c r="F104" s="16" t="str">
        <f>VLOOKUP(E104,'[1]BẢNG MÃ'!$A$2:$B$69,2,0)</f>
        <v>TĐ012</v>
      </c>
      <c r="G104" s="20" t="s">
        <v>62</v>
      </c>
      <c r="H104" s="20" t="s">
        <v>62</v>
      </c>
      <c r="I104" s="16" t="s">
        <v>525</v>
      </c>
      <c r="J104" s="16" t="str">
        <f>VLOOKUP(I104,'[1]BẢNG MÃ'!$C$2:$D$69,2,0)</f>
        <v>KP006</v>
      </c>
      <c r="K104" s="16" t="s">
        <v>43</v>
      </c>
      <c r="L104" s="16">
        <v>0</v>
      </c>
      <c r="M104" s="16" t="s">
        <v>33</v>
      </c>
      <c r="N104" s="21">
        <f ca="1">VLOOKUP(A104,'[1]Bieu 1a'!$A$8:$AW$855,10,0)</f>
        <v>34</v>
      </c>
      <c r="O104" s="22">
        <f>VLOOKUP(A104,'[1]Bieu 1a'!$A$8:$AW$855,8,0)</f>
        <v>33531</v>
      </c>
      <c r="P104" s="22">
        <f>VLOOKUP(A104,'[1]Bieu 1a'!$A$8:$AW$855,9,0)</f>
        <v>0</v>
      </c>
      <c r="Q104" s="23" t="s">
        <v>44</v>
      </c>
      <c r="R104" s="24" t="str">
        <f>VLOOKUP(A104,'[1]Bieu 1a'!$A$8:$AW$855,23,0)</f>
        <v>01/11/2014</v>
      </c>
      <c r="S104" s="25" t="s">
        <v>574</v>
      </c>
      <c r="T104" s="26" t="s">
        <v>575</v>
      </c>
      <c r="U104" s="22"/>
      <c r="V104" s="16" t="str">
        <f>IFERROR(VLOOKUP(A104,'[2]19.6.2026'!$A$9:$L$1111,5,0),"")</f>
        <v>003320/LS-CCHN</v>
      </c>
      <c r="W104" s="16" t="str">
        <f>IFERROR(VLOOKUP(A104,'[2]19.6.2026'!$A$9:$L$1111,6,0),"")</f>
        <v>20/07/2018</v>
      </c>
      <c r="X104" s="16"/>
      <c r="Y104" s="21" t="str">
        <f>IFERROR(VLOOKUP(A104,'[2]19.6.2026'!$A$9:$L$1111,7,0),"")</f>
        <v>Thực hiện phạm vi hoạt động chuyên môn theo quy định tại Thông tư số 26/2015/TTLT-BYT-BNV ngày 07/10/2015 quy định mã số, tiêu chuẩn chức danh nghề nghiệp điều dưỡng, hộ sinh, kỹ thuật y</v>
      </c>
      <c r="Z104" s="16"/>
      <c r="AA104" s="27" t="str">
        <f>IFERROR(VLOOKUP(A104,'[3]DS UPLOAD 2026 (2)'!$A$2:$P$1111,16,0),"")</f>
        <v/>
      </c>
      <c r="AB104" s="27" t="s">
        <v>576</v>
      </c>
      <c r="AC104" s="28"/>
    </row>
    <row r="105" spans="1:29" ht="18.75" customHeight="1" x14ac:dyDescent="0.3">
      <c r="A105" s="17" t="s">
        <v>577</v>
      </c>
      <c r="B105" s="36" t="s">
        <v>578</v>
      </c>
      <c r="C105" s="17" t="s">
        <v>577</v>
      </c>
      <c r="D105" s="19" t="s">
        <v>38</v>
      </c>
      <c r="E105" s="19" t="s">
        <v>61</v>
      </c>
      <c r="F105" s="16" t="str">
        <f>VLOOKUP(E105,'[1]BẢNG MÃ'!$A$2:$B$69,2,0)</f>
        <v>TĐ012</v>
      </c>
      <c r="G105" s="20"/>
      <c r="H105" s="20" t="s">
        <v>62</v>
      </c>
      <c r="I105" s="16" t="s">
        <v>525</v>
      </c>
      <c r="J105" s="16" t="str">
        <f>VLOOKUP(I105,'[1]BẢNG MÃ'!$C$2:$D$69,2,0)</f>
        <v>KP006</v>
      </c>
      <c r="K105" s="37"/>
      <c r="L105" s="16"/>
      <c r="M105" s="23" t="s">
        <v>33</v>
      </c>
      <c r="N105" s="21">
        <f ca="1">VLOOKUP(A105,'[1]Bieu 1a'!$A$8:$AW$855,10,0)</f>
        <v>29</v>
      </c>
      <c r="O105" s="22">
        <f>VLOOKUP(A105,'[1]Bieu 1a'!$A$8:$AW$855,8,0)</f>
        <v>0</v>
      </c>
      <c r="P105" s="22">
        <f>VLOOKUP(A105,'[1]Bieu 1a'!$A$8:$AW$855,9,0)</f>
        <v>35598</v>
      </c>
      <c r="Q105" s="23" t="s">
        <v>50</v>
      </c>
      <c r="R105" s="24" t="str">
        <f>VLOOKUP(A105,'[1]Bieu 1a'!$A$8:$AW$855,23,0)</f>
        <v>01/11/2018</v>
      </c>
      <c r="S105" s="25" t="s">
        <v>579</v>
      </c>
      <c r="T105" s="26" t="s">
        <v>580</v>
      </c>
      <c r="U105" s="22"/>
      <c r="V105" s="16" t="str">
        <f>IFERROR(VLOOKUP(A105,'[2]19.6.2026'!$A$9:$L$1111,5,0),"")</f>
        <v>003675/LS-CCHN</v>
      </c>
      <c r="W105" s="16" t="str">
        <f>IFERROR(VLOOKUP(A105,'[2]19.6.2026'!$A$9:$L$1111,6,0),"")</f>
        <v>22/01/2020</v>
      </c>
      <c r="X105" s="16"/>
      <c r="Y105" s="21" t="str">
        <f>IFERROR(VLOOKUP(A105,'[2]19.6.2026'!$A$9:$L$1111,7,0),"")</f>
        <v>Thực hiện phạm vi hoạt động chuyên môn theo quy định tại Thông tư số 26/2015/TTLT-BYT-BNV ngày 07/10/2015 quy định mã số, tiêu chuẩn chức danh nghề nghiệp điều dưỡng, hộ sinh, kỹ thuật y</v>
      </c>
      <c r="Z105" s="16"/>
      <c r="AA105" s="27" t="str">
        <f>IFERROR(VLOOKUP(A105,'[3]DS UPLOAD 2026 (2)'!$A$2:$P$1111,16,0),"")</f>
        <v/>
      </c>
      <c r="AB105" s="27" t="s">
        <v>581</v>
      </c>
      <c r="AC105" s="29" t="s">
        <v>85</v>
      </c>
    </row>
    <row r="106" spans="1:29" ht="18" customHeight="1" x14ac:dyDescent="0.3">
      <c r="A106" s="17" t="s">
        <v>582</v>
      </c>
      <c r="B106" s="38" t="s">
        <v>583</v>
      </c>
      <c r="C106" s="17" t="s">
        <v>582</v>
      </c>
      <c r="D106" s="19" t="s">
        <v>38</v>
      </c>
      <c r="E106" s="19" t="s">
        <v>61</v>
      </c>
      <c r="F106" s="16" t="str">
        <f>VLOOKUP(E106,'[1]BẢNG MÃ'!$A$2:$B$69,2,0)</f>
        <v>TĐ012</v>
      </c>
      <c r="G106" s="38"/>
      <c r="H106" s="20" t="s">
        <v>62</v>
      </c>
      <c r="I106" s="16" t="s">
        <v>525</v>
      </c>
      <c r="J106" s="16" t="str">
        <f>VLOOKUP(I106,'[1]BẢNG MÃ'!$C$2:$D$69,2,0)</f>
        <v>KP006</v>
      </c>
      <c r="K106" s="16"/>
      <c r="L106" s="16"/>
      <c r="M106" s="23" t="s">
        <v>33</v>
      </c>
      <c r="N106" s="21">
        <f ca="1">VLOOKUP(A106,'[1]Bieu 1a'!$A$8:$AW$855,10,0)</f>
        <v>29</v>
      </c>
      <c r="O106" s="22">
        <f>VLOOKUP(A106,'[1]Bieu 1a'!$A$8:$AW$855,8,0)</f>
        <v>0</v>
      </c>
      <c r="P106" s="22" t="str">
        <f>VLOOKUP(A106,'[1]Bieu 1a'!$A$8:$AW$855,9,0)</f>
        <v>20/11/1996</v>
      </c>
      <c r="Q106" s="23" t="s">
        <v>50</v>
      </c>
      <c r="R106" s="24" t="str">
        <f>VLOOKUP(A106,'[1]Bieu 1a'!$A$8:$AW$855,23,0)</f>
        <v>17/4/2019</v>
      </c>
      <c r="S106" s="25" t="s">
        <v>584</v>
      </c>
      <c r="T106" s="26" t="s">
        <v>585</v>
      </c>
      <c r="U106" s="22"/>
      <c r="V106" s="16" t="str">
        <f>IFERROR(VLOOKUP(A106,'[2]19.6.2026'!$A$9:$L$1111,5,0),"")</f>
        <v>004118/LS-CCHN</v>
      </c>
      <c r="W106" s="16" t="str">
        <f>IFERROR(VLOOKUP(A106,'[2]19.6.2026'!$A$9:$L$1111,6,0),"")</f>
        <v>08/02/2020</v>
      </c>
      <c r="X106" s="16"/>
      <c r="Y106" s="21" t="str">
        <f>IFERROR(VLOOKUP(A106,'[2]19.6.2026'!$A$9:$L$1111,7,0),"")</f>
        <v>Thực hiện phạm vi hoạt động chuyên môn theo quy định tại Thông tư số 26/2015/TTLT-BYT-BNV ngày 07/10/2015 quy định mã số, tiêu chuẩn chức danh nghề nghiệp điều dưỡng, hộ sinh, kỹ thuật y</v>
      </c>
      <c r="Z106" s="16"/>
      <c r="AA106" s="27" t="str">
        <f>IFERROR(VLOOKUP(A106,'[3]DS UPLOAD 2026 (2)'!$A$2:$P$1111,16,0),"")</f>
        <v/>
      </c>
      <c r="AB106" s="27" t="s">
        <v>586</v>
      </c>
      <c r="AC106" s="29" t="s">
        <v>222</v>
      </c>
    </row>
    <row r="107" spans="1:29" ht="18" customHeight="1" x14ac:dyDescent="0.3">
      <c r="A107" s="29" t="s">
        <v>587</v>
      </c>
      <c r="B107" s="18" t="s">
        <v>588</v>
      </c>
      <c r="C107" s="29" t="s">
        <v>587</v>
      </c>
      <c r="D107" s="19" t="s">
        <v>38</v>
      </c>
      <c r="E107" s="19" t="s">
        <v>61</v>
      </c>
      <c r="F107" s="16" t="str">
        <f>VLOOKUP(E107,'[1]BẢNG MÃ'!$A$2:$B$69,2,0)</f>
        <v>TĐ012</v>
      </c>
      <c r="G107" s="20"/>
      <c r="H107" s="20" t="s">
        <v>62</v>
      </c>
      <c r="I107" s="16" t="s">
        <v>525</v>
      </c>
      <c r="J107" s="16" t="str">
        <f>VLOOKUP(I107,'[1]BẢNG MÃ'!$C$2:$D$69,2,0)</f>
        <v>KP006</v>
      </c>
      <c r="K107" s="16"/>
      <c r="L107" s="16"/>
      <c r="M107" s="16" t="s">
        <v>33</v>
      </c>
      <c r="N107" s="21">
        <f ca="1">VLOOKUP(A107,'[1]Bieu 1a'!$A$8:$AW$855,10,0)</f>
        <v>28</v>
      </c>
      <c r="O107" s="22">
        <f>VLOOKUP(A107,'[1]Bieu 1a'!$A$8:$AW$855,8,0)</f>
        <v>0</v>
      </c>
      <c r="P107" s="22" t="str">
        <f>VLOOKUP(A107,'[1]Bieu 1a'!$A$8:$AW$855,9,0)</f>
        <v>14/10/1997</v>
      </c>
      <c r="Q107" s="23" t="s">
        <v>44</v>
      </c>
      <c r="R107" s="24" t="str">
        <f>VLOOKUP(A107,'[1]Bieu 1a'!$A$8:$AW$855,23,0)</f>
        <v>02/12/2019</v>
      </c>
      <c r="S107" s="25" t="s">
        <v>589</v>
      </c>
      <c r="T107" s="26" t="s">
        <v>590</v>
      </c>
      <c r="U107" s="22"/>
      <c r="V107" s="16" t="str">
        <f>IFERROR(VLOOKUP(A107,'[2]19.6.2026'!$A$9:$L$1111,5,0),"")</f>
        <v>004156/LS-CCHN</v>
      </c>
      <c r="W107" s="16" t="str">
        <f>IFERROR(VLOOKUP(A107,'[2]19.6.2026'!$A$9:$L$1111,6,0),"")</f>
        <v>06/04/2021</v>
      </c>
      <c r="X107" s="16"/>
      <c r="Y107" s="21" t="str">
        <f>IFERROR(VLOOKUP(A107,'[2]19.6.2026'!$A$9:$L$1111,7,0),"")</f>
        <v>Thực hiện phạm vi hoạt động chuyên môn theo quy định tại Thông tư số 26/2015/TTLT-BYT-BNV ngày 07/10/2015 quy định mã số, tiêu chuẩn chức danh nghề nghiệp điều dưỡng, hộ sinh, kỹ thuật y</v>
      </c>
      <c r="Z107" s="16"/>
      <c r="AA107" s="27" t="str">
        <f>IFERROR(VLOOKUP(A107,'[3]DS UPLOAD 2026 (2)'!$A$2:$P$1111,16,0),"")</f>
        <v/>
      </c>
      <c r="AB107" s="27"/>
      <c r="AC107" s="29" t="s">
        <v>591</v>
      </c>
    </row>
    <row r="108" spans="1:29" ht="15.75" customHeight="1" x14ac:dyDescent="0.3">
      <c r="A108" s="17" t="s">
        <v>592</v>
      </c>
      <c r="B108" s="29" t="s">
        <v>593</v>
      </c>
      <c r="C108" s="17" t="s">
        <v>592</v>
      </c>
      <c r="D108" s="19" t="s">
        <v>38</v>
      </c>
      <c r="E108" s="19" t="s">
        <v>61</v>
      </c>
      <c r="F108" s="16" t="str">
        <f>VLOOKUP(E108,'[1]BẢNG MÃ'!$A$2:$B$69,2,0)</f>
        <v>TĐ012</v>
      </c>
      <c r="G108" s="20"/>
      <c r="H108" s="20" t="s">
        <v>62</v>
      </c>
      <c r="I108" s="16" t="s">
        <v>525</v>
      </c>
      <c r="J108" s="16" t="str">
        <f>VLOOKUP(I108,'[1]BẢNG MÃ'!$C$2:$D$69,2,0)</f>
        <v>KP006</v>
      </c>
      <c r="K108" s="19"/>
      <c r="L108" s="16"/>
      <c r="M108" s="16" t="s">
        <v>33</v>
      </c>
      <c r="N108" s="21">
        <f ca="1">VLOOKUP(A108,'[1]Bieu 1a'!$A$8:$AW$855,10,0)</f>
        <v>37</v>
      </c>
      <c r="O108" s="22">
        <f>VLOOKUP(A108,'[1]Bieu 1a'!$A$8:$AW$855,8,0)</f>
        <v>0</v>
      </c>
      <c r="P108" s="22" t="str">
        <f>VLOOKUP(A108,'[1]Bieu 1a'!$A$8:$AW$855,9,0)</f>
        <v>16/01/1989</v>
      </c>
      <c r="Q108" s="23" t="s">
        <v>44</v>
      </c>
      <c r="R108" s="24" t="str">
        <f>VLOOKUP(A108,'[1]Bieu 1a'!$A$8:$AW$855,23,0)</f>
        <v>03/11/2020</v>
      </c>
      <c r="S108" s="25" t="s">
        <v>594</v>
      </c>
      <c r="T108" s="26" t="s">
        <v>595</v>
      </c>
      <c r="U108" s="16"/>
      <c r="V108" s="16" t="str">
        <f>IFERROR(VLOOKUP(A108,'[2]19.6.2026'!$A$9:$L$1111,5,0),"")</f>
        <v>004543/LS-CCHN</v>
      </c>
      <c r="W108" s="16" t="str">
        <f>IFERROR(VLOOKUP(A108,'[2]19.6.2026'!$A$9:$L$1111,6,0),"")</f>
        <v>26/05/2022</v>
      </c>
      <c r="X108" s="16"/>
      <c r="Y108" s="21" t="str">
        <f>IFERROR(VLOOKUP(A108,'[2]19.6.2026'!$A$9:$L$1111,7,0),"")</f>
        <v>Thực hiện phạm vi hoạt động chuyên môn theo quy định tại Thông tư số 26/2015/TTLT-BYT-BNV ngày 07/10/2015 quy định mã số, tiêu chuẩn chức danh nghề nghiệp điều dưỡng, hộ sinh, kỹ thuật y</v>
      </c>
      <c r="Z108" s="16"/>
      <c r="AA108" s="27" t="str">
        <f>IFERROR(VLOOKUP(A108,'[3]DS UPLOAD 2026 (2)'!$A$2:$P$1111,16,0),"")</f>
        <v/>
      </c>
      <c r="AB108" s="55" t="s">
        <v>596</v>
      </c>
      <c r="AC108" s="29" t="s">
        <v>97</v>
      </c>
    </row>
    <row r="109" spans="1:29" ht="18" customHeight="1" x14ac:dyDescent="0.3">
      <c r="A109" s="17" t="s">
        <v>597</v>
      </c>
      <c r="B109" s="18" t="s">
        <v>598</v>
      </c>
      <c r="C109" s="17" t="s">
        <v>597</v>
      </c>
      <c r="D109" s="19" t="s">
        <v>38</v>
      </c>
      <c r="E109" s="19" t="s">
        <v>61</v>
      </c>
      <c r="F109" s="16" t="str">
        <f>VLOOKUP(E109,'[1]BẢNG MÃ'!$A$2:$B$69,2,0)</f>
        <v>TĐ012</v>
      </c>
      <c r="G109" s="20" t="s">
        <v>62</v>
      </c>
      <c r="H109" s="20" t="s">
        <v>62</v>
      </c>
      <c r="I109" s="16" t="s">
        <v>525</v>
      </c>
      <c r="J109" s="16" t="str">
        <f>VLOOKUP(I109,'[1]BẢNG MÃ'!$C$2:$D$69,2,0)</f>
        <v>KP006</v>
      </c>
      <c r="K109" s="16" t="s">
        <v>43</v>
      </c>
      <c r="L109" s="16">
        <v>0</v>
      </c>
      <c r="M109" s="16" t="s">
        <v>33</v>
      </c>
      <c r="N109" s="21">
        <f ca="1">VLOOKUP(A109,'[1]Bieu 1a'!$A$8:$AW$855,10,0)</f>
        <v>42</v>
      </c>
      <c r="O109" s="22">
        <f>VLOOKUP(A109,'[1]Bieu 1a'!$A$8:$AW$855,8,0)</f>
        <v>0</v>
      </c>
      <c r="P109" s="22">
        <f>VLOOKUP(A109,'[1]Bieu 1a'!$A$8:$AW$855,9,0)</f>
        <v>30547</v>
      </c>
      <c r="Q109" s="23" t="s">
        <v>50</v>
      </c>
      <c r="R109" s="24" t="str">
        <f>VLOOKUP(A109,'[1]Bieu 1a'!$A$8:$AW$855,23,0)</f>
        <v>01/12/2008</v>
      </c>
      <c r="S109" s="25" t="s">
        <v>599</v>
      </c>
      <c r="T109" s="26" t="s">
        <v>600</v>
      </c>
      <c r="U109" s="22"/>
      <c r="V109" s="16" t="str">
        <f>IFERROR(VLOOKUP(A109,'[2]19.6.2026'!$A$9:$L$1111,5,0),"")</f>
        <v>000804/LS-CCHN</v>
      </c>
      <c r="W109" s="16" t="str">
        <f>IFERROR(VLOOKUP(A109,'[2]19.6.2026'!$A$9:$L$1111,6,0),"")</f>
        <v>11/01/2023</v>
      </c>
      <c r="X109" s="16"/>
      <c r="Y109" s="21" t="str">
        <f>IFERROR(VLOOKUP(A109,'[2]19.6.2026'!$A$9:$L$1111,7,0),"")</f>
        <v>Thực hiện phạm vi hoạt động chuyên môn theo Thông tư số 26/2015/TTLT-BYT-BNV ngày 07/10/2015 quy định  mã số, tiêu chuẩn chức danh nghề nghiệp, điều dưỡng, hộ sinh, kỹ thuật y</v>
      </c>
      <c r="Z109" s="16"/>
      <c r="AA109" s="27" t="str">
        <f>IFERROR(VLOOKUP(A109,'[3]DS UPLOAD 2026 (2)'!$A$2:$P$1111,16,0),"")</f>
        <v/>
      </c>
      <c r="AB109" s="27" t="s">
        <v>601</v>
      </c>
      <c r="AC109" s="28"/>
    </row>
    <row r="110" spans="1:29" ht="18" customHeight="1" x14ac:dyDescent="0.3">
      <c r="A110" s="17" t="s">
        <v>602</v>
      </c>
      <c r="B110" s="18" t="s">
        <v>603</v>
      </c>
      <c r="C110" s="17" t="s">
        <v>602</v>
      </c>
      <c r="D110" s="19" t="s">
        <v>38</v>
      </c>
      <c r="E110" s="19" t="s">
        <v>61</v>
      </c>
      <c r="F110" s="16" t="str">
        <f>VLOOKUP(E110,'[1]BẢNG MÃ'!$A$2:$B$69,2,0)</f>
        <v>TĐ012</v>
      </c>
      <c r="G110" s="20" t="s">
        <v>62</v>
      </c>
      <c r="H110" s="20" t="s">
        <v>62</v>
      </c>
      <c r="I110" s="16" t="s">
        <v>525</v>
      </c>
      <c r="J110" s="16" t="str">
        <f>VLOOKUP(I110,'[1]BẢNG MÃ'!$C$2:$D$69,2,0)</f>
        <v>KP006</v>
      </c>
      <c r="K110" s="16" t="s">
        <v>43</v>
      </c>
      <c r="L110" s="16">
        <v>0</v>
      </c>
      <c r="M110" s="16" t="s">
        <v>33</v>
      </c>
      <c r="N110" s="21">
        <f ca="1">VLOOKUP(A110,'[1]Bieu 1a'!$A$8:$AW$855,10,0)</f>
        <v>51</v>
      </c>
      <c r="O110" s="22">
        <f>VLOOKUP(A110,'[1]Bieu 1a'!$A$8:$AW$855,8,0)</f>
        <v>0</v>
      </c>
      <c r="P110" s="22">
        <f>VLOOKUP(A110,'[1]Bieu 1a'!$A$8:$AW$855,9,0)</f>
        <v>27230</v>
      </c>
      <c r="Q110" s="23" t="s">
        <v>34</v>
      </c>
      <c r="R110" s="24" t="str">
        <f>VLOOKUP(A110,'[1]Bieu 1a'!$A$8:$AW$855,23,0)</f>
        <v>19/01/2005</v>
      </c>
      <c r="S110" s="25" t="s">
        <v>604</v>
      </c>
      <c r="T110" s="26" t="s">
        <v>605</v>
      </c>
      <c r="U110" s="22"/>
      <c r="V110" s="16" t="str">
        <f>IFERROR(VLOOKUP(A110,'[2]19.6.2026'!$A$9:$L$1111,5,0),"")</f>
        <v>000805/LS-CCHN</v>
      </c>
      <c r="W110" s="16" t="str">
        <f>IFERROR(VLOOKUP(A110,'[2]19.6.2026'!$A$9:$L$1111,6,0),"")</f>
        <v>11/01/2023</v>
      </c>
      <c r="X110" s="16"/>
      <c r="Y110" s="21" t="str">
        <f>IFERROR(VLOOKUP(A110,'[2]19.6.2026'!$A$9:$L$1111,7,0),"")</f>
        <v>Thực hiện phạm vi hoạt động chuyên môn theo Thông tư số 26/2015/TTLT-BYT-BNV ngày 07/10/2015 quy định  mã số, tiêu chuẩn chức danh nghề nghiệp, điều dưỡng, hộ sinh, kỹ thuật y</v>
      </c>
      <c r="Z110" s="16"/>
      <c r="AA110" s="27" t="str">
        <f>IFERROR(VLOOKUP(A110,'[3]DS UPLOAD 2026 (2)'!$A$2:$P$1111,16,0),"")</f>
        <v/>
      </c>
      <c r="AB110" s="27" t="s">
        <v>606</v>
      </c>
      <c r="AC110" s="28"/>
    </row>
    <row r="111" spans="1:29" ht="18" customHeight="1" x14ac:dyDescent="0.3">
      <c r="A111" s="17" t="s">
        <v>607</v>
      </c>
      <c r="B111" s="36" t="s">
        <v>608</v>
      </c>
      <c r="C111" s="17" t="s">
        <v>607</v>
      </c>
      <c r="D111" s="53" t="s">
        <v>38</v>
      </c>
      <c r="E111" s="19" t="s">
        <v>61</v>
      </c>
      <c r="F111" s="16" t="str">
        <f>VLOOKUP(E111,'[1]BẢNG MÃ'!$A$2:$B$69,2,0)</f>
        <v>TĐ012</v>
      </c>
      <c r="G111" s="20"/>
      <c r="H111" s="20" t="s">
        <v>62</v>
      </c>
      <c r="I111" s="16" t="s">
        <v>525</v>
      </c>
      <c r="J111" s="16" t="str">
        <f>VLOOKUP(I111,'[1]BẢNG MÃ'!$C$2:$D$69,2,0)</f>
        <v>KP006</v>
      </c>
      <c r="K111" s="16"/>
      <c r="L111" s="16"/>
      <c r="M111" s="16" t="s">
        <v>33</v>
      </c>
      <c r="N111" s="21">
        <f ca="1">VLOOKUP(A111,'[1]Bieu 1a'!$A$8:$AW$855,10,0)</f>
        <v>38</v>
      </c>
      <c r="O111" s="22">
        <f>VLOOKUP(A111,'[1]Bieu 1a'!$A$8:$AW$855,8,0)</f>
        <v>0</v>
      </c>
      <c r="P111" s="22" t="str">
        <f>VLOOKUP(A111,'[1]Bieu 1a'!$A$8:$AW$855,9,0)</f>
        <v>04/3/1988</v>
      </c>
      <c r="Q111" s="23" t="s">
        <v>50</v>
      </c>
      <c r="R111" s="24" t="str">
        <f>VLOOKUP(A111,'[1]Bieu 1a'!$A$8:$AW$855,23,0)</f>
        <v>23/8/2021</v>
      </c>
      <c r="S111" s="25" t="s">
        <v>609</v>
      </c>
      <c r="T111" s="26" t="s">
        <v>610</v>
      </c>
      <c r="U111" s="16"/>
      <c r="V111" s="16" t="str">
        <f>IFERROR(VLOOKUP(A111,'[2]19.6.2026'!$A$9:$L$1111,5,0),"")</f>
        <v>000818/LS-CCHN</v>
      </c>
      <c r="W111" s="16" t="str">
        <f>IFERROR(VLOOKUP(A111,'[2]19.6.2026'!$A$9:$L$1111,6,0),"")</f>
        <v>11/01/2023</v>
      </c>
      <c r="X111" s="16"/>
      <c r="Y111" s="21" t="str">
        <f>IFERROR(VLOOKUP(A111,'[2]19.6.2026'!$A$9:$L$1111,7,0),"")</f>
        <v>Thực hiện phạm vi hoạt động chuyên môn theo Thông tư số 26/2015/TTLT-BYT-BNV ngày 07/10/2015 quy định  mã số, tiêu chuẩn chức danh nghề nghiệp, điều dưỡng, hộ sinh, kỹ thuật y</v>
      </c>
      <c r="Z111" s="16"/>
      <c r="AA111" s="27" t="str">
        <f>IFERROR(VLOOKUP(A111,'[3]DS UPLOAD 2026 (2)'!$A$2:$P$1111,16,0),"")</f>
        <v/>
      </c>
      <c r="AB111" s="39" t="s">
        <v>611</v>
      </c>
      <c r="AC111" s="29" t="s">
        <v>612</v>
      </c>
    </row>
    <row r="112" spans="1:29" ht="18" customHeight="1" x14ac:dyDescent="0.3">
      <c r="A112" s="17" t="s">
        <v>613</v>
      </c>
      <c r="B112" s="18" t="s">
        <v>614</v>
      </c>
      <c r="C112" s="17" t="s">
        <v>613</v>
      </c>
      <c r="D112" s="19" t="s">
        <v>38</v>
      </c>
      <c r="E112" s="19" t="s">
        <v>61</v>
      </c>
      <c r="F112" s="16" t="str">
        <f>VLOOKUP(E112,'[1]BẢNG MÃ'!$A$2:$B$69,2,0)</f>
        <v>TĐ012</v>
      </c>
      <c r="G112" s="20" t="s">
        <v>62</v>
      </c>
      <c r="H112" s="20" t="s">
        <v>62</v>
      </c>
      <c r="I112" s="16" t="s">
        <v>525</v>
      </c>
      <c r="J112" s="16" t="str">
        <f>VLOOKUP(I112,'[1]BẢNG MÃ'!$C$2:$D$69,2,0)</f>
        <v>KP006</v>
      </c>
      <c r="K112" s="16" t="s">
        <v>43</v>
      </c>
      <c r="L112" s="16">
        <v>0</v>
      </c>
      <c r="M112" s="16" t="s">
        <v>33</v>
      </c>
      <c r="N112" s="21">
        <f ca="1">VLOOKUP(A112,'[1]Bieu 1a'!$A$8:$AW$855,10,0)</f>
        <v>36</v>
      </c>
      <c r="O112" s="22">
        <f>VLOOKUP(A112,'[1]Bieu 1a'!$A$8:$AW$855,8,0)</f>
        <v>0</v>
      </c>
      <c r="P112" s="22">
        <f>VLOOKUP(A112,'[1]Bieu 1a'!$A$8:$AW$855,9,0)</f>
        <v>32764</v>
      </c>
      <c r="Q112" s="23" t="s">
        <v>50</v>
      </c>
      <c r="R112" s="24" t="str">
        <f>VLOOKUP(A112,'[1]Bieu 1a'!$A$8:$AW$855,23,0)</f>
        <v>1/12/2010</v>
      </c>
      <c r="S112" s="25" t="s">
        <v>615</v>
      </c>
      <c r="T112" s="26" t="s">
        <v>616</v>
      </c>
      <c r="U112" s="22"/>
      <c r="V112" s="16" t="str">
        <f>IFERROR(VLOOKUP(A112,'[2]19.6.2026'!$A$9:$L$1111,5,0),"")</f>
        <v>000813/LS-CCHN</v>
      </c>
      <c r="W112" s="16" t="str">
        <f>IFERROR(VLOOKUP(A112,'[2]19.6.2026'!$A$9:$L$1111,6,0),"")</f>
        <v>11/01/2023</v>
      </c>
      <c r="X112" s="16"/>
      <c r="Y112" s="21" t="str">
        <f>IFERROR(VLOOKUP(A112,'[2]19.6.2026'!$A$9:$L$1111,7,0),"")</f>
        <v>Thực hiện phạm vi hoạt động chuyên môn theo Thông tư số 26/2015/TTLT-BYT-BNV ngày 07/10/2015 quy định  mã số, tiêu chuẩn chức danh nghề nghiệp, điều dưỡng, hộ sinh, kỹ thuật y</v>
      </c>
      <c r="Z112" s="16"/>
      <c r="AA112" s="27" t="str">
        <f>IFERROR(VLOOKUP(A112,'[3]DS UPLOAD 2026 (2)'!$A$2:$P$1111,16,0),"")</f>
        <v/>
      </c>
      <c r="AB112" s="27" t="s">
        <v>617</v>
      </c>
      <c r="AC112" s="28"/>
    </row>
    <row r="113" spans="1:29" ht="18" customHeight="1" x14ac:dyDescent="0.3">
      <c r="A113" s="17" t="s">
        <v>618</v>
      </c>
      <c r="B113" s="40" t="s">
        <v>619</v>
      </c>
      <c r="C113" s="17" t="s">
        <v>618</v>
      </c>
      <c r="D113" s="19" t="s">
        <v>38</v>
      </c>
      <c r="E113" s="19" t="s">
        <v>128</v>
      </c>
      <c r="F113" s="16" t="str">
        <f>VLOOKUP(E113,'[1]BẢNG MÃ'!$A$2:$B$69,2,0)</f>
        <v>TĐ047</v>
      </c>
      <c r="G113" s="20"/>
      <c r="H113" s="19" t="s">
        <v>128</v>
      </c>
      <c r="I113" s="16" t="s">
        <v>525</v>
      </c>
      <c r="J113" s="16" t="str">
        <f>VLOOKUP(I113,'[1]BẢNG MÃ'!$C$2:$D$69,2,0)</f>
        <v>KP006</v>
      </c>
      <c r="K113" s="16"/>
      <c r="L113" s="16"/>
      <c r="M113" s="16" t="s">
        <v>136</v>
      </c>
      <c r="N113" s="21">
        <f ca="1">VLOOKUP(A113,'[1]Bieu 1a'!$A$8:$AW$855,10,0)</f>
        <v>52</v>
      </c>
      <c r="O113" s="22">
        <f>VLOOKUP(A113,'[1]Bieu 1a'!$A$8:$AW$855,8,0)</f>
        <v>0</v>
      </c>
      <c r="P113" s="22" t="str">
        <f>VLOOKUP(A113,'[1]Bieu 1a'!$A$8:$AW$855,9,0)</f>
        <v>31/7/1973</v>
      </c>
      <c r="Q113" s="23" t="s">
        <v>34</v>
      </c>
      <c r="R113" s="24" t="str">
        <f>VLOOKUP(A113,'[1]Bieu 1a'!$A$8:$AW$855,23,0)</f>
        <v>12/4/2020</v>
      </c>
      <c r="S113" s="25" t="s">
        <v>620</v>
      </c>
      <c r="T113" s="26" t="s">
        <v>621</v>
      </c>
      <c r="U113" s="16"/>
      <c r="V113" s="16" t="str">
        <f>IFERROR(VLOOKUP(A113,'[2]19.6.2026'!$A$9:$L$1111,5,0),"")</f>
        <v/>
      </c>
      <c r="W113" s="16" t="str">
        <f>IFERROR(VLOOKUP(A113,'[2]19.6.2026'!$A$9:$L$1111,6,0),"")</f>
        <v/>
      </c>
      <c r="X113" s="16"/>
      <c r="Y113" s="21" t="str">
        <f>IFERROR(VLOOKUP(A113,'[2]19.6.2026'!$A$9:$L$1111,7,0),"")</f>
        <v/>
      </c>
      <c r="Z113" s="16"/>
      <c r="AA113" s="27" t="str">
        <f>IFERROR(VLOOKUP(A113,'[3]DS UPLOAD 2026 (2)'!$A$2:$P$1111,16,0),"")</f>
        <v/>
      </c>
      <c r="AB113" s="39" t="s">
        <v>622</v>
      </c>
      <c r="AC113" s="29" t="s">
        <v>303</v>
      </c>
    </row>
    <row r="114" spans="1:29" ht="18.75" customHeight="1" x14ac:dyDescent="0.3">
      <c r="A114" s="17" t="s">
        <v>623</v>
      </c>
      <c r="B114" s="18" t="s">
        <v>624</v>
      </c>
      <c r="C114" s="17" t="s">
        <v>623</v>
      </c>
      <c r="D114" s="19"/>
      <c r="E114" s="19" t="s">
        <v>160</v>
      </c>
      <c r="F114" s="16" t="str">
        <f>VLOOKUP(E114,'[1]BẢNG MÃ'!$A$2:$B$69,2,0)</f>
        <v>TĐ003</v>
      </c>
      <c r="G114" s="20" t="s">
        <v>29</v>
      </c>
      <c r="H114" s="20" t="s">
        <v>29</v>
      </c>
      <c r="I114" s="16" t="s">
        <v>355</v>
      </c>
      <c r="J114" s="16" t="str">
        <f>VLOOKUP(I114,'[1]BẢNG MÃ'!$C$2:$D$69,2,0)</f>
        <v>KP007</v>
      </c>
      <c r="K114" s="16" t="s">
        <v>31</v>
      </c>
      <c r="L114" s="16" t="s">
        <v>32</v>
      </c>
      <c r="M114" s="16" t="s">
        <v>33</v>
      </c>
      <c r="N114" s="21">
        <f ca="1">VLOOKUP(A114,'[1]Bieu 1a'!$A$8:$AW$855,10,0)</f>
        <v>35</v>
      </c>
      <c r="O114" s="22">
        <f>VLOOKUP(A114,'[1]Bieu 1a'!$A$8:$AW$855,8,0)</f>
        <v>33232</v>
      </c>
      <c r="P114" s="22">
        <f>VLOOKUP(A114,'[1]Bieu 1a'!$A$8:$AW$855,9,0)</f>
        <v>0</v>
      </c>
      <c r="Q114" s="23" t="s">
        <v>356</v>
      </c>
      <c r="R114" s="24" t="str">
        <f>VLOOKUP(A114,'[1]Bieu 1a'!$A$8:$AW$855,23,0)</f>
        <v>01/11/2014</v>
      </c>
      <c r="S114" s="25" t="s">
        <v>625</v>
      </c>
      <c r="T114" s="26" t="s">
        <v>626</v>
      </c>
      <c r="U114" s="16"/>
      <c r="V114" s="16" t="str">
        <f>IFERROR(VLOOKUP(A114,'[2]19.6.2026'!$A$9:$L$1111,5,0),"")</f>
        <v>000543/LS-CCHN</v>
      </c>
      <c r="W114" s="16" t="str">
        <f>IFERROR(VLOOKUP(A114,'[2]19.6.2026'!$A$9:$L$1111,6,0),"")</f>
        <v>13/10/2016</v>
      </c>
      <c r="X114" s="16"/>
      <c r="Y114" s="21" t="str">
        <f>IFERROR(VLOOKUP(A114,'[2]19.6.2026'!$A$9:$L$1111,7,0),"")</f>
        <v>Khám bệnh, chữa bệnh Nội khoa, Hồi sức cấp cứu</v>
      </c>
      <c r="Z114" s="16"/>
      <c r="AA114" s="27" t="str">
        <f>IFERROR(VLOOKUP(A114,'[3]DS UPLOAD 2026 (2)'!$A$2:$P$1111,16,0),"")</f>
        <v>01.0174;01.0175</v>
      </c>
      <c r="AB114" s="27">
        <v>389908570</v>
      </c>
      <c r="AC114" s="28"/>
    </row>
    <row r="115" spans="1:29" ht="18" customHeight="1" x14ac:dyDescent="0.3">
      <c r="A115" s="17" t="s">
        <v>627</v>
      </c>
      <c r="B115" s="38" t="s">
        <v>628</v>
      </c>
      <c r="C115" s="17" t="s">
        <v>627</v>
      </c>
      <c r="D115" s="19" t="s">
        <v>38</v>
      </c>
      <c r="E115" s="19" t="s">
        <v>160</v>
      </c>
      <c r="F115" s="16" t="str">
        <f>VLOOKUP(E115,'[1]BẢNG MÃ'!$A$2:$B$69,2,0)</f>
        <v>TĐ003</v>
      </c>
      <c r="G115" s="20" t="s">
        <v>161</v>
      </c>
      <c r="H115" s="20" t="s">
        <v>161</v>
      </c>
      <c r="I115" s="68" t="s">
        <v>355</v>
      </c>
      <c r="J115" s="16" t="str">
        <f>VLOOKUP(I115,'[1]BẢNG MÃ'!$C$2:$D$69,2,0)</f>
        <v>KP007</v>
      </c>
      <c r="K115" s="16" t="s">
        <v>43</v>
      </c>
      <c r="L115" s="16">
        <v>0</v>
      </c>
      <c r="M115" s="16" t="s">
        <v>33</v>
      </c>
      <c r="N115" s="21">
        <f ca="1">VLOOKUP(A115,'[1]Bieu 1a'!$A$8:$AW$855,10,0)</f>
        <v>33</v>
      </c>
      <c r="O115" s="22">
        <f>VLOOKUP(A115,'[1]Bieu 1a'!$A$8:$AW$855,8,0)</f>
        <v>0</v>
      </c>
      <c r="P115" s="22">
        <f>VLOOKUP(A115,'[1]Bieu 1a'!$A$8:$AW$855,9,0)</f>
        <v>33817</v>
      </c>
      <c r="Q115" s="23" t="s">
        <v>44</v>
      </c>
      <c r="R115" s="24" t="str">
        <f>VLOOKUP(A115,'[1]Bieu 1a'!$A$8:$AW$855,23,0)</f>
        <v>20/3/2018</v>
      </c>
      <c r="S115" s="25" t="s">
        <v>629</v>
      </c>
      <c r="T115" s="26" t="s">
        <v>630</v>
      </c>
      <c r="U115" s="16"/>
      <c r="V115" s="16" t="str">
        <f>IFERROR(VLOOKUP(A115,'[2]19.6.2026'!$A$9:$L$1111,5,0),"")</f>
        <v>003440/LS-CCHN</v>
      </c>
      <c r="W115" s="16" t="str">
        <f>IFERROR(VLOOKUP(A115,'[2]19.6.2026'!$A$9:$L$1111,6,0),"")</f>
        <v>21/08/2019</v>
      </c>
      <c r="X115" s="16"/>
      <c r="Y115" s="21" t="str">
        <f>IFERROR(VLOOKUP(A115,'[2]19.6.2026'!$A$9:$L$1111,7,0),"")</f>
        <v>Khám bệnh, chữa bệnh Nội khoa</v>
      </c>
      <c r="Z115" s="16"/>
      <c r="AA115" s="27" t="str">
        <f>IFERROR(VLOOKUP(A115,'[3]DS UPLOAD 2026 (2)'!$A$2:$P$1111,16,0),"")</f>
        <v>01.0002</v>
      </c>
      <c r="AB115" s="27" t="s">
        <v>631</v>
      </c>
      <c r="AC115" s="28" t="s">
        <v>632</v>
      </c>
    </row>
    <row r="116" spans="1:29" ht="18" customHeight="1" x14ac:dyDescent="0.3">
      <c r="A116" s="17" t="s">
        <v>633</v>
      </c>
      <c r="B116" s="18" t="s">
        <v>634</v>
      </c>
      <c r="C116" s="17" t="s">
        <v>633</v>
      </c>
      <c r="D116" s="19"/>
      <c r="E116" s="16" t="s">
        <v>479</v>
      </c>
      <c r="F116" s="16" t="str">
        <f>VLOOKUP(E116,'[1]BẢNG MÃ'!$A$2:$B$69,2,0)</f>
        <v>TĐ004</v>
      </c>
      <c r="G116" s="20" t="s">
        <v>29</v>
      </c>
      <c r="H116" s="20" t="s">
        <v>29</v>
      </c>
      <c r="I116" s="68" t="s">
        <v>355</v>
      </c>
      <c r="J116" s="16" t="str">
        <f>VLOOKUP(I116,'[1]BẢNG MÃ'!$C$2:$D$69,2,0)</f>
        <v>KP007</v>
      </c>
      <c r="K116" s="16" t="s">
        <v>43</v>
      </c>
      <c r="L116" s="16">
        <v>0</v>
      </c>
      <c r="M116" s="16" t="s">
        <v>33</v>
      </c>
      <c r="N116" s="21">
        <f ca="1">VLOOKUP(A116,'[1]Bieu 1a'!$A$8:$AW$855,10,0)</f>
        <v>58</v>
      </c>
      <c r="O116" s="22">
        <f>VLOOKUP(A116,'[1]Bieu 1a'!$A$8:$AW$855,8,0)</f>
        <v>24936</v>
      </c>
      <c r="P116" s="22">
        <f>VLOOKUP(A116,'[1]Bieu 1a'!$A$8:$AW$855,9,0)</f>
        <v>0</v>
      </c>
      <c r="Q116" s="23" t="s">
        <v>635</v>
      </c>
      <c r="R116" s="24" t="str">
        <f>VLOOKUP(A116,'[1]Bieu 1a'!$A$8:$AW$855,23,0)</f>
        <v>29/7/1991</v>
      </c>
      <c r="S116" s="25" t="s">
        <v>636</v>
      </c>
      <c r="T116" s="26" t="s">
        <v>637</v>
      </c>
      <c r="U116" s="16"/>
      <c r="V116" s="16" t="str">
        <f>IFERROR(VLOOKUP(A116,'[2]19.6.2026'!$A$9:$L$1111,5,0),"")</f>
        <v>000428/LS-CCHN</v>
      </c>
      <c r="W116" s="16" t="str">
        <f>IFERROR(VLOOKUP(A116,'[2]19.6.2026'!$A$9:$L$1111,6,0),"")</f>
        <v>11/12/2022</v>
      </c>
      <c r="X116" s="16"/>
      <c r="Y116" s="21" t="str">
        <f>IFERROR(VLOOKUP(A116,'[2]19.6.2026'!$A$9:$L$1111,7,0),"")</f>
        <v>Khám bệnh, chữa bệnh Nội khoa</v>
      </c>
      <c r="Z116" s="16"/>
      <c r="AA116" s="27" t="str">
        <f>IFERROR(VLOOKUP(A116,'[3]DS UPLOAD 2026 (2)'!$A$2:$P$1111,16,0),"")</f>
        <v>01.0002</v>
      </c>
      <c r="AB116" s="27">
        <v>989890533</v>
      </c>
      <c r="AC116" s="28"/>
    </row>
    <row r="117" spans="1:29" ht="18" customHeight="1" x14ac:dyDescent="0.3">
      <c r="A117" s="29" t="s">
        <v>638</v>
      </c>
      <c r="B117" s="29" t="s">
        <v>639</v>
      </c>
      <c r="C117" s="29" t="s">
        <v>638</v>
      </c>
      <c r="D117" s="19" t="s">
        <v>38</v>
      </c>
      <c r="E117" s="19" t="s">
        <v>173</v>
      </c>
      <c r="F117" s="16" t="str">
        <f>VLOOKUP(E117,'[1]BẢNG MÃ'!$A$2:$B$69,2,0)</f>
        <v>TĐ005</v>
      </c>
      <c r="G117" s="20"/>
      <c r="H117" s="20" t="s">
        <v>161</v>
      </c>
      <c r="I117" s="16" t="s">
        <v>355</v>
      </c>
      <c r="J117" s="16" t="str">
        <f>VLOOKUP(I117,'[1]BẢNG MÃ'!$C$2:$D$69,2,0)</f>
        <v>KP007</v>
      </c>
      <c r="K117" s="16"/>
      <c r="L117" s="16"/>
      <c r="M117" s="16" t="s">
        <v>136</v>
      </c>
      <c r="N117" s="21">
        <f ca="1">VLOOKUP(A117,'[1]Bieu 1a'!$A$8:$AW$855,10,0)</f>
        <v>32</v>
      </c>
      <c r="O117" s="22">
        <f>VLOOKUP(A117,'[1]Bieu 1a'!$A$8:$AW$855,8,0)</f>
        <v>0</v>
      </c>
      <c r="P117" s="22" t="str">
        <f>VLOOKUP(A117,'[1]Bieu 1a'!$A$8:$AW$855,9,0)</f>
        <v>29/9/1993</v>
      </c>
      <c r="Q117" s="23" t="s">
        <v>356</v>
      </c>
      <c r="R117" s="24" t="str">
        <f>VLOOKUP(A117,'[1]Bieu 1a'!$A$8:$AW$855,23,0)</f>
        <v>10/12/2019</v>
      </c>
      <c r="S117" s="25" t="s">
        <v>640</v>
      </c>
      <c r="T117" s="26" t="s">
        <v>641</v>
      </c>
      <c r="U117" s="22"/>
      <c r="V117" s="16" t="str">
        <f>IFERROR(VLOOKUP(A117,'[2]19.6.2026'!$A$9:$L$1111,5,0),"")</f>
        <v>004378/LS-CCHN</v>
      </c>
      <c r="W117" s="16" t="str">
        <f>IFERROR(VLOOKUP(A117,'[2]19.6.2026'!$A$9:$L$1111,6,0),"")</f>
        <v>05/11/2021</v>
      </c>
      <c r="X117" s="16"/>
      <c r="Y117" s="21" t="str">
        <f>IFERROR(VLOOKUP(A117,'[2]19.6.2026'!$A$9:$L$1111,7,0),"")</f>
        <v>Khám bệnh, chữa bệnh nội khoa</v>
      </c>
      <c r="Z117" s="16"/>
      <c r="AA117" s="27" t="str">
        <f>IFERROR(VLOOKUP(A117,'[3]DS UPLOAD 2026 (2)'!$A$2:$P$1111,16,0),"")</f>
        <v/>
      </c>
      <c r="AB117" s="27">
        <v>977579948</v>
      </c>
      <c r="AC117" s="28" t="s">
        <v>642</v>
      </c>
    </row>
    <row r="118" spans="1:29" ht="18" customHeight="1" x14ac:dyDescent="0.3">
      <c r="A118" s="17" t="s">
        <v>643</v>
      </c>
      <c r="B118" s="18" t="s">
        <v>644</v>
      </c>
      <c r="C118" s="17" t="s">
        <v>643</v>
      </c>
      <c r="D118" s="19"/>
      <c r="E118" s="68" t="s">
        <v>173</v>
      </c>
      <c r="F118" s="16" t="str">
        <f>VLOOKUP(E118,'[1]BẢNG MÃ'!$A$2:$B$69,2,0)</f>
        <v>TĐ005</v>
      </c>
      <c r="G118" s="31" t="s">
        <v>161</v>
      </c>
      <c r="H118" s="31" t="s">
        <v>161</v>
      </c>
      <c r="I118" s="16" t="s">
        <v>355</v>
      </c>
      <c r="J118" s="16" t="str">
        <f>VLOOKUP(I118,'[1]BẢNG MÃ'!$C$2:$D$69,2,0)</f>
        <v>KP007</v>
      </c>
      <c r="K118" s="16" t="s">
        <v>43</v>
      </c>
      <c r="L118" s="16">
        <v>0</v>
      </c>
      <c r="M118" s="16" t="s">
        <v>33</v>
      </c>
      <c r="N118" s="21">
        <f ca="1">VLOOKUP(A118,'[1]Bieu 1a'!$A$8:$AW$855,10,0)</f>
        <v>43</v>
      </c>
      <c r="O118" s="22">
        <f>VLOOKUP(A118,'[1]Bieu 1a'!$A$8:$AW$855,8,0)</f>
        <v>30176</v>
      </c>
      <c r="P118" s="22">
        <f>VLOOKUP(A118,'[1]Bieu 1a'!$A$8:$AW$855,9,0)</f>
        <v>0</v>
      </c>
      <c r="Q118" s="23" t="s">
        <v>356</v>
      </c>
      <c r="R118" s="24" t="str">
        <f>VLOOKUP(A118,'[1]Bieu 1a'!$A$8:$AW$855,23,0)</f>
        <v>15/1/2010</v>
      </c>
      <c r="S118" s="25" t="s">
        <v>645</v>
      </c>
      <c r="T118" s="26" t="s">
        <v>646</v>
      </c>
      <c r="U118" s="16"/>
      <c r="V118" s="16" t="str">
        <f>IFERROR(VLOOKUP(A118,'[2]19.6.2026'!$A$9:$L$1111,5,0),"")</f>
        <v>000044/LS-GPHN</v>
      </c>
      <c r="W118" s="16" t="str">
        <f>IFERROR(VLOOKUP(A118,'[2]19.6.2026'!$A$9:$L$1111,6,0),"")</f>
        <v/>
      </c>
      <c r="X118" s="16"/>
      <c r="Y118" s="21" t="str">
        <f>IFERROR(VLOOKUP(A118,'[2]19.6.2026'!$A$9:$L$1111,7,0),"")</f>
        <v>Chuyên khoa Nội khoa</v>
      </c>
      <c r="Z118" s="16"/>
      <c r="AA118" s="27" t="str">
        <f>IFERROR(VLOOKUP(A118,'[3]DS UPLOAD 2026 (2)'!$A$2:$P$1111,16,0),"")</f>
        <v/>
      </c>
      <c r="AB118" s="27">
        <v>988990686</v>
      </c>
      <c r="AC118" s="28"/>
    </row>
    <row r="119" spans="1:29" ht="18" customHeight="1" x14ac:dyDescent="0.3">
      <c r="A119" s="43" t="s">
        <v>647</v>
      </c>
      <c r="B119" s="44" t="s">
        <v>648</v>
      </c>
      <c r="C119" s="45" t="s">
        <v>647</v>
      </c>
      <c r="D119" s="23"/>
      <c r="E119" s="23" t="s">
        <v>173</v>
      </c>
      <c r="F119" s="16" t="str">
        <f>VLOOKUP(E119,'[1]BẢNG MÃ'!$A$2:$B$69,2,0)</f>
        <v>TĐ005</v>
      </c>
      <c r="G119" s="27"/>
      <c r="H119" s="20" t="s">
        <v>161</v>
      </c>
      <c r="I119" s="27" t="s">
        <v>355</v>
      </c>
      <c r="J119" s="16" t="str">
        <f>VLOOKUP(I119,'[1]BẢNG MÃ'!$C$2:$D$69,2,0)</f>
        <v>KP007</v>
      </c>
      <c r="K119" s="27"/>
      <c r="L119" s="27"/>
      <c r="M119" s="16" t="s">
        <v>33</v>
      </c>
      <c r="N119" s="21">
        <f ca="1">VLOOKUP(A119,'[1]Bieu 1a'!$A$8:$AW$855,10,0)</f>
        <v>26</v>
      </c>
      <c r="O119" s="22" t="str">
        <f>VLOOKUP(A119,'[1]Bieu 1a'!$A$8:$AW$855,8,0)</f>
        <v>09/7/1999</v>
      </c>
      <c r="P119" s="22">
        <f>VLOOKUP(A119,'[1]Bieu 1a'!$A$8:$AW$855,9,0)</f>
        <v>0</v>
      </c>
      <c r="Q119" s="23" t="s">
        <v>34</v>
      </c>
      <c r="R119" s="24">
        <f>VLOOKUP(A119,'[1]Bieu 1a'!$A$8:$AW$855,23,0)</f>
        <v>45260</v>
      </c>
      <c r="S119" s="25" t="s">
        <v>649</v>
      </c>
      <c r="T119" s="26" t="s">
        <v>650</v>
      </c>
      <c r="U119" s="67">
        <f>EDATE(R119,18)</f>
        <v>45807</v>
      </c>
      <c r="V119" s="16" t="str">
        <f>IFERROR(VLOOKUP(A119,'[2]19.6.2026'!$A$9:$L$1111,5,0),"")</f>
        <v>000311/LS-GPHN</v>
      </c>
      <c r="W119" s="16">
        <f>IFERROR(VLOOKUP(A119,'[2]19.6.2026'!$A$9:$L$1111,6,0),"")</f>
        <v>45876</v>
      </c>
      <c r="X119" s="16"/>
      <c r="Y119" s="21" t="str">
        <f>IFERROR(VLOOKUP(A119,'[2]19.6.2026'!$A$9:$L$1111,7,0),"")</f>
        <v>Chuyên khoa Nội khoa</v>
      </c>
      <c r="Z119" s="16"/>
      <c r="AA119" s="27" t="str">
        <f>IFERROR(VLOOKUP(A119,'[3]DS UPLOAD 2026 (2)'!$A$2:$P$1111,16,0),"")</f>
        <v/>
      </c>
      <c r="AB119" s="44" t="s">
        <v>651</v>
      </c>
      <c r="AC119" s="29" t="s">
        <v>191</v>
      </c>
    </row>
    <row r="120" spans="1:29" ht="18" customHeight="1" x14ac:dyDescent="0.3">
      <c r="A120" s="17" t="s">
        <v>652</v>
      </c>
      <c r="B120" s="18" t="s">
        <v>653</v>
      </c>
      <c r="C120" s="17" t="s">
        <v>652</v>
      </c>
      <c r="D120" s="19" t="s">
        <v>38</v>
      </c>
      <c r="E120" s="19" t="s">
        <v>41</v>
      </c>
      <c r="F120" s="16" t="str">
        <f>VLOOKUP(E120,'[1]BẢNG MÃ'!$A$2:$B$69,2,0)</f>
        <v>TĐ011</v>
      </c>
      <c r="G120" s="20" t="s">
        <v>42</v>
      </c>
      <c r="H120" s="20" t="s">
        <v>42</v>
      </c>
      <c r="I120" s="16" t="s">
        <v>355</v>
      </c>
      <c r="J120" s="16" t="str">
        <f>VLOOKUP(I120,'[1]BẢNG MÃ'!$C$2:$D$69,2,0)</f>
        <v>KP007</v>
      </c>
      <c r="K120" s="16" t="s">
        <v>43</v>
      </c>
      <c r="L120" s="16">
        <v>0</v>
      </c>
      <c r="M120" s="16" t="s">
        <v>33</v>
      </c>
      <c r="N120" s="21">
        <f ca="1">VLOOKUP(A120,'[1]Bieu 1a'!$A$8:$AW$855,10,0)</f>
        <v>56</v>
      </c>
      <c r="O120" s="22">
        <f>VLOOKUP(A120,'[1]Bieu 1a'!$A$8:$AW$855,8,0)</f>
        <v>0</v>
      </c>
      <c r="P120" s="22">
        <f>VLOOKUP(A120,'[1]Bieu 1a'!$A$8:$AW$855,9,0)</f>
        <v>25561</v>
      </c>
      <c r="Q120" s="23" t="s">
        <v>34</v>
      </c>
      <c r="R120" s="24" t="str">
        <f>VLOOKUP(A120,'[1]Bieu 1a'!$A$8:$AW$855,23,0)</f>
        <v>2/3/1992</v>
      </c>
      <c r="S120" s="25" t="s">
        <v>654</v>
      </c>
      <c r="T120" s="26" t="s">
        <v>655</v>
      </c>
      <c r="U120" s="22"/>
      <c r="V120" s="16" t="str">
        <f>IFERROR(VLOOKUP(A120,'[2]19.6.2026'!$A$9:$L$1111,5,0),"")</f>
        <v>000809/LS-CCHN</v>
      </c>
      <c r="W120" s="16" t="str">
        <f>IFERROR(VLOOKUP(A120,'[2]19.6.2026'!$A$9:$L$1111,6,0),"")</f>
        <v>24/06/2013</v>
      </c>
      <c r="X120" s="16"/>
      <c r="Y120" s="21" t="str">
        <f>IFERROR(VLOOKUP(A120,'[2]19.6.2026'!$A$9:$L$1111,7,0),"")</f>
        <v>Theo quy định tại Quyết định số 41/2005/QĐ-BNV ngày 22/4/2005 của Bộ trưởng Bộ Nội vụ về việc ban hành tiêu chuẩn nghiệp vụ các ngạch viên chức y tế điều dưỡng</v>
      </c>
      <c r="Z120" s="16"/>
      <c r="AA120" s="27" t="str">
        <f>IFERROR(VLOOKUP(A120,'[3]DS UPLOAD 2026 (2)'!$A$2:$P$1111,16,0),"")</f>
        <v/>
      </c>
      <c r="AB120" s="27" t="s">
        <v>656</v>
      </c>
      <c r="AC120" s="51"/>
    </row>
    <row r="121" spans="1:29" ht="18" customHeight="1" x14ac:dyDescent="0.3">
      <c r="A121" s="17" t="s">
        <v>657</v>
      </c>
      <c r="B121" s="18" t="s">
        <v>658</v>
      </c>
      <c r="C121" s="17" t="s">
        <v>657</v>
      </c>
      <c r="D121" s="19" t="s">
        <v>38</v>
      </c>
      <c r="E121" s="19" t="s">
        <v>41</v>
      </c>
      <c r="F121" s="16" t="str">
        <f>VLOOKUP(E121,'[1]BẢNG MÃ'!$A$2:$B$69,2,0)</f>
        <v>TĐ011</v>
      </c>
      <c r="G121" s="20" t="s">
        <v>42</v>
      </c>
      <c r="H121" s="20" t="s">
        <v>42</v>
      </c>
      <c r="I121" s="68" t="s">
        <v>355</v>
      </c>
      <c r="J121" s="16" t="str">
        <f>VLOOKUP(I121,'[1]BẢNG MÃ'!$C$2:$D$69,2,0)</f>
        <v>KP007</v>
      </c>
      <c r="K121" s="16" t="s">
        <v>31</v>
      </c>
      <c r="L121" s="16" t="s">
        <v>201</v>
      </c>
      <c r="M121" s="16" t="s">
        <v>33</v>
      </c>
      <c r="N121" s="21">
        <f ca="1">VLOOKUP(A121,'[1]Bieu 1a'!$A$8:$AW$855,10,0)</f>
        <v>46</v>
      </c>
      <c r="O121" s="22">
        <f>VLOOKUP(A121,'[1]Bieu 1a'!$A$8:$AW$855,8,0)</f>
        <v>0</v>
      </c>
      <c r="P121" s="22">
        <f>VLOOKUP(A121,'[1]Bieu 1a'!$A$8:$AW$855,9,0)</f>
        <v>29132</v>
      </c>
      <c r="Q121" s="23" t="s">
        <v>34</v>
      </c>
      <c r="R121" s="24" t="str">
        <f>VLOOKUP(A121,'[1]Bieu 1a'!$A$8:$AW$855,23,0)</f>
        <v>19/01/2005</v>
      </c>
      <c r="S121" s="25" t="s">
        <v>659</v>
      </c>
      <c r="T121" s="26" t="s">
        <v>660</v>
      </c>
      <c r="U121" s="16"/>
      <c r="V121" s="16" t="str">
        <f>IFERROR(VLOOKUP(A121,'[2]19.6.2026'!$A$9:$L$1111,5,0),"")</f>
        <v>001234/LS-CCHN</v>
      </c>
      <c r="W121" s="16" t="str">
        <f>IFERROR(VLOOKUP(A121,'[2]19.6.2026'!$A$9:$L$1111,6,0),"")</f>
        <v>19/07/2013</v>
      </c>
      <c r="X121" s="16"/>
      <c r="Y121" s="21" t="str">
        <f>IFERROR(VLOOKUP(A121,'[2]19.6.2026'!$A$9:$L$1111,7,0),"")</f>
        <v>Theo quy định tại Quyết định số 41/2005/QĐ-BNV ngày 22/4/2005 của Bộ trưởng Bộ Nội vụ về việc ban hành tiêu chuẩn nghiệp vụ các ngạch viên chức y tế điều dưỡng</v>
      </c>
      <c r="Z121" s="16"/>
      <c r="AA121" s="27" t="str">
        <f>IFERROR(VLOOKUP(A121,'[3]DS UPLOAD 2026 (2)'!$A$2:$P$1111,16,0),"")</f>
        <v/>
      </c>
      <c r="AB121" s="27">
        <v>948097266</v>
      </c>
      <c r="AC121" s="51"/>
    </row>
    <row r="122" spans="1:29" ht="18" customHeight="1" x14ac:dyDescent="0.3">
      <c r="A122" s="17" t="s">
        <v>661</v>
      </c>
      <c r="B122" s="18" t="s">
        <v>662</v>
      </c>
      <c r="C122" s="17" t="s">
        <v>661</v>
      </c>
      <c r="D122" s="19" t="s">
        <v>38</v>
      </c>
      <c r="E122" s="30" t="s">
        <v>41</v>
      </c>
      <c r="F122" s="16" t="str">
        <f>VLOOKUP(E122,'[1]BẢNG MÃ'!$A$2:$B$69,2,0)</f>
        <v>TĐ011</v>
      </c>
      <c r="G122" s="20" t="s">
        <v>42</v>
      </c>
      <c r="H122" s="20" t="s">
        <v>42</v>
      </c>
      <c r="I122" s="16" t="s">
        <v>355</v>
      </c>
      <c r="J122" s="16" t="str">
        <f>VLOOKUP(I122,'[1]BẢNG MÃ'!$C$2:$D$69,2,0)</f>
        <v>KP007</v>
      </c>
      <c r="K122" s="16" t="s">
        <v>43</v>
      </c>
      <c r="L122" s="16">
        <v>0</v>
      </c>
      <c r="M122" s="16" t="s">
        <v>33</v>
      </c>
      <c r="N122" s="21">
        <f ca="1">VLOOKUP(A122,'[1]Bieu 1a'!$A$8:$AW$855,10,0)</f>
        <v>34</v>
      </c>
      <c r="O122" s="22">
        <f>VLOOKUP(A122,'[1]Bieu 1a'!$A$8:$AW$855,8,0)</f>
        <v>0</v>
      </c>
      <c r="P122" s="22">
        <f>VLOOKUP(A122,'[1]Bieu 1a'!$A$8:$AW$855,9,0)</f>
        <v>33552</v>
      </c>
      <c r="Q122" s="23" t="s">
        <v>44</v>
      </c>
      <c r="R122" s="24" t="str">
        <f>VLOOKUP(A122,'[1]Bieu 1a'!$A$8:$AW$855,23,0)</f>
        <v>05/6/2013</v>
      </c>
      <c r="S122" s="25" t="s">
        <v>663</v>
      </c>
      <c r="T122" s="26" t="s">
        <v>664</v>
      </c>
      <c r="U122" s="22"/>
      <c r="V122" s="16" t="str">
        <f>IFERROR(VLOOKUP(A122,'[2]19.6.2026'!$A$9:$L$1111,5,0),"")</f>
        <v>000116/LS-GPHN</v>
      </c>
      <c r="W122" s="16">
        <f>IFERROR(VLOOKUP(A122,'[2]19.6.2026'!$A$9:$L$1111,6,0),"")</f>
        <v>45511</v>
      </c>
      <c r="X122" s="16"/>
      <c r="Y122" s="21" t="str">
        <f>IFERROR(VLOOKUP(A122,'[2]19.6.2026'!$A$9:$L$1111,7,0),"")</f>
        <v>Điều dưỡng</v>
      </c>
      <c r="Z122" s="16"/>
      <c r="AA122" s="27" t="str">
        <f>IFERROR(VLOOKUP(A122,'[3]DS UPLOAD 2026 (2)'!$A$2:$P$1111,16,0),"")</f>
        <v/>
      </c>
      <c r="AB122" s="27" t="s">
        <v>665</v>
      </c>
      <c r="AC122" s="28"/>
    </row>
    <row r="123" spans="1:29" ht="18" customHeight="1" x14ac:dyDescent="0.3">
      <c r="A123" s="29" t="s">
        <v>666</v>
      </c>
      <c r="B123" s="18" t="s">
        <v>667</v>
      </c>
      <c r="C123" s="29" t="s">
        <v>666</v>
      </c>
      <c r="D123" s="19" t="s">
        <v>38</v>
      </c>
      <c r="E123" s="19" t="s">
        <v>61</v>
      </c>
      <c r="F123" s="16" t="str">
        <f>VLOOKUP(E123,'[1]BẢNG MÃ'!$A$2:$B$69,2,0)</f>
        <v>TĐ012</v>
      </c>
      <c r="G123" s="20"/>
      <c r="H123" s="20" t="s">
        <v>62</v>
      </c>
      <c r="I123" s="16" t="s">
        <v>355</v>
      </c>
      <c r="J123" s="16" t="str">
        <f>VLOOKUP(I123,'[1]BẢNG MÃ'!$C$2:$D$69,2,0)</f>
        <v>KP007</v>
      </c>
      <c r="K123" s="16"/>
      <c r="L123" s="16"/>
      <c r="M123" s="16" t="s">
        <v>136</v>
      </c>
      <c r="N123" s="21">
        <f ca="1">VLOOKUP(A123,'[1]Bieu 1a'!$A$8:$AW$855,10,0)</f>
        <v>28</v>
      </c>
      <c r="O123" s="22">
        <f>VLOOKUP(A123,'[1]Bieu 1a'!$A$8:$AW$855,8,0)</f>
        <v>0</v>
      </c>
      <c r="P123" s="22" t="str">
        <f>VLOOKUP(A123,'[1]Bieu 1a'!$A$8:$AW$855,9,0)</f>
        <v>07/09/1997</v>
      </c>
      <c r="Q123" s="23" t="s">
        <v>668</v>
      </c>
      <c r="R123" s="24" t="str">
        <f>VLOOKUP(A123,'[1]Bieu 1a'!$A$8:$AW$855,23,0)</f>
        <v>02/12/2019</v>
      </c>
      <c r="S123" s="25" t="s">
        <v>669</v>
      </c>
      <c r="T123" s="26" t="s">
        <v>670</v>
      </c>
      <c r="U123" s="22"/>
      <c r="V123" s="16" t="str">
        <f>IFERROR(VLOOKUP(A123,'[2]19.6.2026'!$A$9:$L$1111,5,0),"")</f>
        <v>004306/LS-CCHN</v>
      </c>
      <c r="W123" s="16" t="str">
        <f>IFERROR(VLOOKUP(A123,'[2]19.6.2026'!$A$9:$L$1111,6,0),"")</f>
        <v>20/07/2021</v>
      </c>
      <c r="X123" s="16"/>
      <c r="Y123" s="21" t="str">
        <f>IFERROR(VLOOKUP(A123,'[2]19.6.2026'!$A$9:$L$1111,7,0),"")</f>
        <v>Thực hiện phạm vi hoạt động chuyên môn theo quy định tại Thông tư số 26/2015/TTLT-BYT-BNV ngày 07/10/2015 quy định mã số, tiêu chuẩn chức danh nghề nghiệp điều dưỡng, hộ sinh, kỹ thuật y</v>
      </c>
      <c r="Z123" s="16"/>
      <c r="AA123" s="27" t="str">
        <f>IFERROR(VLOOKUP(A123,'[3]DS UPLOAD 2026 (2)'!$A$2:$P$1111,16,0),"")</f>
        <v/>
      </c>
      <c r="AB123" s="27"/>
      <c r="AC123" s="28" t="s">
        <v>671</v>
      </c>
    </row>
    <row r="124" spans="1:29" ht="18" customHeight="1" x14ac:dyDescent="0.3">
      <c r="A124" s="17" t="s">
        <v>672</v>
      </c>
      <c r="B124" s="18" t="s">
        <v>673</v>
      </c>
      <c r="C124" s="17" t="s">
        <v>672</v>
      </c>
      <c r="D124" s="19" t="s">
        <v>38</v>
      </c>
      <c r="E124" s="19" t="s">
        <v>61</v>
      </c>
      <c r="F124" s="16" t="str">
        <f>VLOOKUP(E124,'[1]BẢNG MÃ'!$A$2:$B$69,2,0)</f>
        <v>TĐ012</v>
      </c>
      <c r="G124" s="20" t="s">
        <v>62</v>
      </c>
      <c r="H124" s="20" t="s">
        <v>62</v>
      </c>
      <c r="I124" s="16" t="s">
        <v>355</v>
      </c>
      <c r="J124" s="16" t="str">
        <f>VLOOKUP(I124,'[1]BẢNG MÃ'!$C$2:$D$69,2,0)</f>
        <v>KP007</v>
      </c>
      <c r="K124" s="16" t="s">
        <v>43</v>
      </c>
      <c r="L124" s="16">
        <v>0</v>
      </c>
      <c r="M124" s="16" t="s">
        <v>33</v>
      </c>
      <c r="N124" s="21">
        <f ca="1">VLOOKUP(A124,'[1]Bieu 1a'!$A$8:$AW$855,10,0)</f>
        <v>39</v>
      </c>
      <c r="O124" s="22">
        <f>VLOOKUP(A124,'[1]Bieu 1a'!$A$8:$AW$855,8,0)</f>
        <v>0</v>
      </c>
      <c r="P124" s="22">
        <f>VLOOKUP(A124,'[1]Bieu 1a'!$A$8:$AW$855,9,0)</f>
        <v>31630</v>
      </c>
      <c r="Q124" s="23" t="s">
        <v>356</v>
      </c>
      <c r="R124" s="24" t="str">
        <f>VLOOKUP(A124,'[1]Bieu 1a'!$A$8:$AW$855,23,0)</f>
        <v>25/12/2008</v>
      </c>
      <c r="S124" s="25" t="s">
        <v>674</v>
      </c>
      <c r="T124" s="26" t="s">
        <v>675</v>
      </c>
      <c r="U124" s="22"/>
      <c r="V124" s="16" t="str">
        <f>IFERROR(VLOOKUP(A124,'[2]19.6.2026'!$A$9:$L$1111,5,0),"")</f>
        <v>001347/LS-CCHN</v>
      </c>
      <c r="W124" s="16" t="str">
        <f>IFERROR(VLOOKUP(A124,'[2]19.6.2026'!$A$9:$L$1111,6,0),"")</f>
        <v>11/01/2023</v>
      </c>
      <c r="X124" s="16"/>
      <c r="Y124" s="21" t="str">
        <f>IFERROR(VLOOKUP(A124,'[2]19.6.2026'!$A$9:$L$1111,7,0),"")</f>
        <v>Thực hiện phạm vi hoạt động chuyên môn theo Thông tư số 26/2015/TTLT-BYT-BNV ngày 07/10/2015 quy định  mã số, tiêu chuẩn chức danh nghề nghiệp, điều dưỡng, hộ sinh, kỹ thuật y</v>
      </c>
      <c r="Z124" s="16"/>
      <c r="AA124" s="27" t="str">
        <f>IFERROR(VLOOKUP(A124,'[3]DS UPLOAD 2026 (2)'!$A$2:$P$1111,16,0),"")</f>
        <v/>
      </c>
      <c r="AB124" s="27" t="s">
        <v>676</v>
      </c>
      <c r="AC124" s="28"/>
    </row>
    <row r="125" spans="1:29" ht="15" customHeight="1" x14ac:dyDescent="0.3">
      <c r="A125" s="17" t="s">
        <v>677</v>
      </c>
      <c r="B125" s="59" t="s">
        <v>678</v>
      </c>
      <c r="C125" s="17" t="s">
        <v>677</v>
      </c>
      <c r="D125" s="19" t="s">
        <v>38</v>
      </c>
      <c r="E125" s="19" t="s">
        <v>61</v>
      </c>
      <c r="F125" s="16" t="str">
        <f>VLOOKUP(E125,'[1]BẢNG MÃ'!$A$2:$B$69,2,0)</f>
        <v>TĐ012</v>
      </c>
      <c r="G125" s="20"/>
      <c r="H125" s="20" t="s">
        <v>62</v>
      </c>
      <c r="I125" s="68" t="s">
        <v>355</v>
      </c>
      <c r="J125" s="16" t="str">
        <f>VLOOKUP(I125,'[1]BẢNG MÃ'!$C$2:$D$69,2,0)</f>
        <v>KP007</v>
      </c>
      <c r="K125" s="16"/>
      <c r="L125" s="16"/>
      <c r="M125" s="23" t="s">
        <v>33</v>
      </c>
      <c r="N125" s="21">
        <f ca="1">VLOOKUP(A125,'[1]Bieu 1a'!$A$8:$AW$855,10,0)</f>
        <v>31</v>
      </c>
      <c r="O125" s="22">
        <f>VLOOKUP(A125,'[1]Bieu 1a'!$A$8:$AW$855,8,0)</f>
        <v>0</v>
      </c>
      <c r="P125" s="22" t="str">
        <f>VLOOKUP(A125,'[1]Bieu 1a'!$A$8:$AW$855,9,0)</f>
        <v>14/11/1994</v>
      </c>
      <c r="Q125" s="23" t="s">
        <v>635</v>
      </c>
      <c r="R125" s="24" t="str">
        <f>VLOOKUP(A125,'[1]Bieu 1a'!$A$8:$AW$855,23,0)</f>
        <v xml:space="preserve"> 02/10/2017</v>
      </c>
      <c r="S125" s="25" t="s">
        <v>679</v>
      </c>
      <c r="T125" s="26" t="s">
        <v>680</v>
      </c>
      <c r="U125" s="16"/>
      <c r="V125" s="16" t="str">
        <f>IFERROR(VLOOKUP(A125,'[2]19.6.2026'!$A$9:$L$1111,5,0),"")</f>
        <v>003377/LS-CCHN</v>
      </c>
      <c r="W125" s="16" t="str">
        <f>IFERROR(VLOOKUP(A125,'[2]19.6.2026'!$A$9:$L$1111,6,0),"")</f>
        <v>17/10/2018</v>
      </c>
      <c r="X125" s="16"/>
      <c r="Y125" s="21" t="str">
        <f>IFERROR(VLOOKUP(A125,'[2]19.6.2026'!$A$9:$L$1111,7,0),"")</f>
        <v>Thực hiện phạm vi hoạt động chuyên môn theo quy định tại Thông tư số 26/2015/TTLT-BYT-BNV ngày 07/10/2015 quy định mã số, tiêu chuẩn chức danh nghề nghiệp điều dưỡng, hộ sinh, kỹ thuật y</v>
      </c>
      <c r="Z125" s="16"/>
      <c r="AA125" s="27" t="str">
        <f>IFERROR(VLOOKUP(A125,'[3]DS UPLOAD 2026 (2)'!$A$2:$P$1111,16,0),"")</f>
        <v/>
      </c>
      <c r="AB125" s="27">
        <v>978073820</v>
      </c>
      <c r="AC125" s="29" t="s">
        <v>681</v>
      </c>
    </row>
    <row r="126" spans="1:29" ht="18" customHeight="1" x14ac:dyDescent="0.3">
      <c r="A126" s="29" t="s">
        <v>682</v>
      </c>
      <c r="B126" s="18" t="s">
        <v>683</v>
      </c>
      <c r="C126" s="29" t="s">
        <v>682</v>
      </c>
      <c r="D126" s="53"/>
      <c r="E126" s="19" t="s">
        <v>61</v>
      </c>
      <c r="F126" s="16" t="str">
        <f>VLOOKUP(E126,'[1]BẢNG MÃ'!$A$2:$B$69,2,0)</f>
        <v>TĐ012</v>
      </c>
      <c r="G126" s="20"/>
      <c r="H126" s="20" t="s">
        <v>62</v>
      </c>
      <c r="I126" s="68" t="s">
        <v>355</v>
      </c>
      <c r="J126" s="16" t="str">
        <f>VLOOKUP(I126,'[1]BẢNG MÃ'!$C$2:$D$69,2,0)</f>
        <v>KP007</v>
      </c>
      <c r="K126" s="16"/>
      <c r="L126" s="16"/>
      <c r="M126" s="23" t="s">
        <v>33</v>
      </c>
      <c r="N126" s="21">
        <f ca="1">VLOOKUP(A126,'[1]Bieu 1a'!$A$8:$AW$855,10,0)</f>
        <v>29</v>
      </c>
      <c r="O126" s="22" t="str">
        <f>VLOOKUP(A126,'[1]Bieu 1a'!$A$8:$AW$855,8,0)</f>
        <v>23/2/1997</v>
      </c>
      <c r="P126" s="22">
        <f>VLOOKUP(A126,'[1]Bieu 1a'!$A$8:$AW$855,9,0)</f>
        <v>0</v>
      </c>
      <c r="Q126" s="23" t="s">
        <v>356</v>
      </c>
      <c r="R126" s="24" t="str">
        <f>VLOOKUP(A126,'[1]Bieu 1a'!$A$8:$AW$855,23,0)</f>
        <v>02/12/2019</v>
      </c>
      <c r="S126" s="25" t="s">
        <v>684</v>
      </c>
      <c r="T126" s="26" t="s">
        <v>685</v>
      </c>
      <c r="U126" s="16"/>
      <c r="V126" s="16" t="str">
        <f>IFERROR(VLOOKUP(A126,'[2]19.6.2026'!$A$9:$L$1111,5,0),"")</f>
        <v>004312/LS-CCHN</v>
      </c>
      <c r="W126" s="16" t="str">
        <f>IFERROR(VLOOKUP(A126,'[2]19.6.2026'!$A$9:$L$1111,6,0),"")</f>
        <v>20/07/2021</v>
      </c>
      <c r="X126" s="16"/>
      <c r="Y126" s="21" t="str">
        <f>IFERROR(VLOOKUP(A126,'[2]19.6.2026'!$A$9:$L$1111,7,0),"")</f>
        <v>Thực hiện phạm vi hoạt động chuyên môn theo quy định tại Thông tư số 26/2015/TTLT-BYT-BNV ngày 07/10/2015 quy định mã số, tiêu chuẩn chức danh nghề nghiệp điều dưỡng, hộ sinh, kỹ thuật y</v>
      </c>
      <c r="Z126" s="16"/>
      <c r="AA126" s="27" t="str">
        <f>IFERROR(VLOOKUP(A126,'[3]DS UPLOAD 2026 (2)'!$A$2:$P$1111,16,0),"")</f>
        <v/>
      </c>
      <c r="AB126" s="27"/>
      <c r="AC126" s="29" t="s">
        <v>327</v>
      </c>
    </row>
    <row r="127" spans="1:29" ht="18" customHeight="1" x14ac:dyDescent="0.3">
      <c r="A127" s="17" t="s">
        <v>686</v>
      </c>
      <c r="B127" s="18" t="s">
        <v>687</v>
      </c>
      <c r="C127" s="17" t="s">
        <v>686</v>
      </c>
      <c r="D127" s="19" t="s">
        <v>38</v>
      </c>
      <c r="E127" s="19" t="s">
        <v>61</v>
      </c>
      <c r="F127" s="16" t="str">
        <f>VLOOKUP(E127,'[1]BẢNG MÃ'!$A$2:$B$69,2,0)</f>
        <v>TĐ012</v>
      </c>
      <c r="G127" s="20" t="s">
        <v>62</v>
      </c>
      <c r="H127" s="20" t="s">
        <v>62</v>
      </c>
      <c r="I127" s="68" t="s">
        <v>355</v>
      </c>
      <c r="J127" s="16" t="str">
        <f>VLOOKUP(I127,'[1]BẢNG MÃ'!$C$2:$D$69,2,0)</f>
        <v>KP007</v>
      </c>
      <c r="K127" s="16" t="s">
        <v>43</v>
      </c>
      <c r="L127" s="16">
        <v>0</v>
      </c>
      <c r="M127" s="16" t="s">
        <v>33</v>
      </c>
      <c r="N127" s="21">
        <f ca="1">VLOOKUP(A127,'[1]Bieu 1a'!$A$8:$AW$855,10,0)</f>
        <v>41</v>
      </c>
      <c r="O127" s="22">
        <f>VLOOKUP(A127,'[1]Bieu 1a'!$A$8:$AW$855,8,0)</f>
        <v>0</v>
      </c>
      <c r="P127" s="22">
        <f>VLOOKUP(A127,'[1]Bieu 1a'!$A$8:$AW$855,9,0)</f>
        <v>31033</v>
      </c>
      <c r="Q127" s="23" t="s">
        <v>635</v>
      </c>
      <c r="R127" s="24" t="str">
        <f>VLOOKUP(A127,'[1]Bieu 1a'!$A$8:$AW$855,23,0)</f>
        <v>1/12/2008</v>
      </c>
      <c r="S127" s="25" t="s">
        <v>688</v>
      </c>
      <c r="T127" s="26" t="s">
        <v>689</v>
      </c>
      <c r="U127" s="16"/>
      <c r="V127" s="16" t="str">
        <f>IFERROR(VLOOKUP(A127,'[2]19.6.2026'!$A$9:$L$1111,5,0),"")</f>
        <v>000746/LS-CCHN</v>
      </c>
      <c r="W127" s="16" t="str">
        <f>IFERROR(VLOOKUP(A127,'[2]19.6.2026'!$A$9:$L$1111,6,0),"")</f>
        <v>11/01/2023</v>
      </c>
      <c r="X127" s="16"/>
      <c r="Y127" s="21" t="str">
        <f>IFERROR(VLOOKUP(A127,'[2]19.6.2026'!$A$9:$L$1111,7,0),"")</f>
        <v>Thực hiện phạm vi hoạt động chuyên môn theo Thông tư số 26/2015/TTLT-BYT-BNV ngày 07/10/2015 quy định  mã số, tiêu chuẩn chức danh nghề nghiệp, điều dưỡng, hộ sinh, kỹ thuật y</v>
      </c>
      <c r="Z127" s="16"/>
      <c r="AA127" s="27" t="str">
        <f>IFERROR(VLOOKUP(A127,'[3]DS UPLOAD 2026 (2)'!$A$2:$P$1111,16,0),"")</f>
        <v/>
      </c>
      <c r="AB127" s="27">
        <v>364187469</v>
      </c>
      <c r="AC127" s="28"/>
    </row>
    <row r="128" spans="1:29" ht="18.75" customHeight="1" x14ac:dyDescent="0.3">
      <c r="A128" s="17" t="s">
        <v>690</v>
      </c>
      <c r="B128" s="18" t="s">
        <v>691</v>
      </c>
      <c r="C128" s="17" t="s">
        <v>690</v>
      </c>
      <c r="D128" s="19" t="s">
        <v>38</v>
      </c>
      <c r="E128" s="19" t="s">
        <v>61</v>
      </c>
      <c r="F128" s="16" t="str">
        <f>VLOOKUP(E128,'[1]BẢNG MÃ'!$A$2:$B$69,2,0)</f>
        <v>TĐ012</v>
      </c>
      <c r="G128" s="20" t="s">
        <v>62</v>
      </c>
      <c r="H128" s="20" t="s">
        <v>62</v>
      </c>
      <c r="I128" s="68" t="s">
        <v>355</v>
      </c>
      <c r="J128" s="16" t="str">
        <f>VLOOKUP(I128,'[1]BẢNG MÃ'!$C$2:$D$69,2,0)</f>
        <v>KP007</v>
      </c>
      <c r="K128" s="16" t="s">
        <v>43</v>
      </c>
      <c r="L128" s="16">
        <v>0</v>
      </c>
      <c r="M128" s="16" t="s">
        <v>33</v>
      </c>
      <c r="N128" s="21">
        <f ca="1">VLOOKUP(A128,'[1]Bieu 1a'!$A$8:$AW$855,10,0)</f>
        <v>39</v>
      </c>
      <c r="O128" s="22">
        <f>VLOOKUP(A128,'[1]Bieu 1a'!$A$8:$AW$855,8,0)</f>
        <v>0</v>
      </c>
      <c r="P128" s="22">
        <f>VLOOKUP(A128,'[1]Bieu 1a'!$A$8:$AW$855,9,0)</f>
        <v>31752</v>
      </c>
      <c r="Q128" s="23" t="s">
        <v>50</v>
      </c>
      <c r="R128" s="24" t="str">
        <f>VLOOKUP(A128,'[1]Bieu 1a'!$A$8:$AW$855,23,0)</f>
        <v>1/12/2010</v>
      </c>
      <c r="S128" s="25" t="s">
        <v>692</v>
      </c>
      <c r="T128" s="26" t="s">
        <v>693</v>
      </c>
      <c r="U128" s="16"/>
      <c r="V128" s="16" t="str">
        <f>IFERROR(VLOOKUP(A128,'[2]19.6.2026'!$A$9:$L$1111,5,0),"")</f>
        <v>000835/LS-CCHN</v>
      </c>
      <c r="W128" s="16" t="str">
        <f>IFERROR(VLOOKUP(A128,'[2]19.6.2026'!$A$9:$L$1111,6,0),"")</f>
        <v>11/01/2023</v>
      </c>
      <c r="X128" s="16"/>
      <c r="Y128" s="21" t="str">
        <f>IFERROR(VLOOKUP(A128,'[2]19.6.2026'!$A$9:$L$1111,7,0),"")</f>
        <v>Thực hiện phạm vi hoạt động chuyên môn theo Thông tư số 26/2015/TTLT-BYT-BNV ngày 07/10/2015 quy định  mã số, tiêu chuẩn chức danh nghề nghiệp, điều dưỡng, hộ sinh, kỹ thuật y</v>
      </c>
      <c r="Z128" s="16"/>
      <c r="AA128" s="27" t="str">
        <f>IFERROR(VLOOKUP(A128,'[3]DS UPLOAD 2026 (2)'!$A$2:$P$1111,16,0),"")</f>
        <v/>
      </c>
      <c r="AB128" s="27">
        <v>914045886</v>
      </c>
      <c r="AC128" s="28"/>
    </row>
    <row r="129" spans="1:29" ht="18" customHeight="1" x14ac:dyDescent="0.3">
      <c r="A129" s="17" t="s">
        <v>694</v>
      </c>
      <c r="B129" s="36" t="s">
        <v>695</v>
      </c>
      <c r="C129" s="17" t="s">
        <v>694</v>
      </c>
      <c r="D129" s="19" t="s">
        <v>38</v>
      </c>
      <c r="E129" s="19" t="s">
        <v>61</v>
      </c>
      <c r="F129" s="16" t="str">
        <f>VLOOKUP(E129,'[1]BẢNG MÃ'!$A$2:$B$69,2,0)</f>
        <v>TĐ012</v>
      </c>
      <c r="G129" s="20"/>
      <c r="H129" s="20" t="s">
        <v>62</v>
      </c>
      <c r="I129" s="68" t="s">
        <v>355</v>
      </c>
      <c r="J129" s="16" t="str">
        <f>VLOOKUP(I129,'[1]BẢNG MÃ'!$C$2:$D$69,2,0)</f>
        <v>KP007</v>
      </c>
      <c r="K129" s="16"/>
      <c r="L129" s="16"/>
      <c r="M129" s="23" t="s">
        <v>33</v>
      </c>
      <c r="N129" s="21">
        <f ca="1">VLOOKUP(A129,'[1]Bieu 1a'!$A$8:$AW$855,10,0)</f>
        <v>39</v>
      </c>
      <c r="O129" s="22">
        <f>VLOOKUP(A129,'[1]Bieu 1a'!$A$8:$AW$855,8,0)</f>
        <v>0</v>
      </c>
      <c r="P129" s="22">
        <f>VLOOKUP(A129,'[1]Bieu 1a'!$A$8:$AW$855,9,0)</f>
        <v>31919</v>
      </c>
      <c r="Q129" s="23" t="s">
        <v>356</v>
      </c>
      <c r="R129" s="24" t="str">
        <f>VLOOKUP(A129,'[1]Bieu 1a'!$A$8:$AW$855,23,0)</f>
        <v>16/3/2011</v>
      </c>
      <c r="S129" s="25" t="s">
        <v>696</v>
      </c>
      <c r="T129" s="26" t="s">
        <v>697</v>
      </c>
      <c r="U129" s="16"/>
      <c r="V129" s="16" t="str">
        <f>IFERROR(VLOOKUP(A129,'[2]19.6.2026'!$A$9:$L$1111,5,0),"")</f>
        <v>000817/LS-CCHN</v>
      </c>
      <c r="W129" s="16" t="str">
        <f>IFERROR(VLOOKUP(A129,'[2]19.6.2026'!$A$9:$L$1111,6,0),"")</f>
        <v>11/01/2023</v>
      </c>
      <c r="X129" s="16"/>
      <c r="Y129" s="21" t="str">
        <f>IFERROR(VLOOKUP(A129,'[2]19.6.2026'!$A$9:$L$1111,7,0),"")</f>
        <v>Thực hiện phạm vi hoạt động chuyên môn theo Thông tư số 26/2015/TTLT-BYT-BNV ngày 07/10/2015 quy định  mã số, tiêu chuẩn chức danh nghề nghiệp, điều dưỡng, hộ sinh, kỹ thuật y</v>
      </c>
      <c r="Z129" s="16"/>
      <c r="AA129" s="27" t="str">
        <f>IFERROR(VLOOKUP(A129,'[3]DS UPLOAD 2026 (2)'!$A$2:$P$1111,16,0),"")</f>
        <v/>
      </c>
      <c r="AB129" s="27">
        <v>918739116</v>
      </c>
      <c r="AC129" s="29" t="s">
        <v>698</v>
      </c>
    </row>
    <row r="130" spans="1:29" ht="18" customHeight="1" x14ac:dyDescent="0.3">
      <c r="A130" s="43" t="s">
        <v>699</v>
      </c>
      <c r="B130" s="44" t="s">
        <v>700</v>
      </c>
      <c r="C130" s="45" t="s">
        <v>699</v>
      </c>
      <c r="D130" s="23" t="s">
        <v>38</v>
      </c>
      <c r="E130" s="19" t="s">
        <v>61</v>
      </c>
      <c r="F130" s="16" t="str">
        <f>VLOOKUP(E130,'[1]BẢNG MÃ'!$A$2:$B$69,2,0)</f>
        <v>TĐ012</v>
      </c>
      <c r="G130" s="23"/>
      <c r="H130" s="20" t="s">
        <v>62</v>
      </c>
      <c r="I130" s="19" t="s">
        <v>355</v>
      </c>
      <c r="J130" s="16" t="str">
        <f>VLOOKUP(I130,'[1]BẢNG MÃ'!$C$2:$D$69,2,0)</f>
        <v>KP007</v>
      </c>
      <c r="K130" s="23"/>
      <c r="L130" s="23"/>
      <c r="M130" s="16" t="s">
        <v>33</v>
      </c>
      <c r="N130" s="21">
        <f ca="1">VLOOKUP(A130,'[1]Bieu 1a'!$A$8:$AW$855,10,0)</f>
        <v>32</v>
      </c>
      <c r="O130" s="22">
        <f>VLOOKUP(A130,'[1]Bieu 1a'!$A$8:$AW$855,8,0)</f>
        <v>0</v>
      </c>
      <c r="P130" s="22" t="str">
        <f>VLOOKUP(A130,'[1]Bieu 1a'!$A$8:$AW$855,9,0)</f>
        <v>01/01/1994</v>
      </c>
      <c r="Q130" s="23" t="s">
        <v>635</v>
      </c>
      <c r="R130" s="24">
        <f>VLOOKUP(A130,'[1]Bieu 1a'!$A$8:$AW$855,23,0)</f>
        <v>45323</v>
      </c>
      <c r="S130" s="25" t="s">
        <v>701</v>
      </c>
      <c r="T130" s="26" t="s">
        <v>702</v>
      </c>
      <c r="U130" s="49">
        <v>45689</v>
      </c>
      <c r="V130" s="16" t="str">
        <f>IFERROR(VLOOKUP(A130,'[2]19.6.2026'!$A$9:$L$1111,5,0),"")</f>
        <v>000292/LS-GPHN</v>
      </c>
      <c r="W130" s="16">
        <f>IFERROR(VLOOKUP(A130,'[2]19.6.2026'!$A$9:$L$1111,6,0),"")</f>
        <v>45849</v>
      </c>
      <c r="X130" s="16"/>
      <c r="Y130" s="21" t="str">
        <f>IFERROR(VLOOKUP(A130,'[2]19.6.2026'!$A$9:$L$1111,7,0),"")</f>
        <v>Điều dưỡng</v>
      </c>
      <c r="Z130" s="16"/>
      <c r="AA130" s="27" t="str">
        <f>IFERROR(VLOOKUP(A130,'[3]DS UPLOAD 2026 (2)'!$A$2:$P$1111,16,0),"")</f>
        <v/>
      </c>
      <c r="AB130" s="44" t="s">
        <v>703</v>
      </c>
      <c r="AC130" s="29" t="s">
        <v>704</v>
      </c>
    </row>
    <row r="131" spans="1:29" ht="18" customHeight="1" x14ac:dyDescent="0.3">
      <c r="A131" s="46" t="s">
        <v>705</v>
      </c>
      <c r="B131" s="28" t="s">
        <v>706</v>
      </c>
      <c r="C131" s="47" t="s">
        <v>705</v>
      </c>
      <c r="D131" s="23" t="s">
        <v>38</v>
      </c>
      <c r="E131" s="19" t="s">
        <v>61</v>
      </c>
      <c r="F131" s="16" t="str">
        <f>VLOOKUP(E131,'[1]BẢNG MÃ'!$A$2:$B$69,2,0)</f>
        <v>TĐ012</v>
      </c>
      <c r="G131" s="48"/>
      <c r="H131" s="20" t="s">
        <v>62</v>
      </c>
      <c r="I131" s="19" t="s">
        <v>355</v>
      </c>
      <c r="J131" s="16" t="str">
        <f>VLOOKUP(I131,'[1]BẢNG MÃ'!$C$2:$D$69,2,0)</f>
        <v>KP007</v>
      </c>
      <c r="K131" s="23"/>
      <c r="L131" s="23"/>
      <c r="M131" s="16" t="s">
        <v>33</v>
      </c>
      <c r="N131" s="21">
        <f ca="1">VLOOKUP(A131,'[1]Bieu 1a'!$A$8:$AW$855,10,0)</f>
        <v>24</v>
      </c>
      <c r="O131" s="22">
        <f>VLOOKUP(A131,'[1]Bieu 1a'!$A$8:$AW$855,8,0)</f>
        <v>0</v>
      </c>
      <c r="P131" s="22" t="str">
        <f>VLOOKUP(A131,'[1]Bieu 1a'!$A$8:$AW$855,9,0)</f>
        <v>03/11/2001</v>
      </c>
      <c r="Q131" s="23" t="s">
        <v>356</v>
      </c>
      <c r="R131" s="24">
        <f>VLOOKUP(A131,'[1]Bieu 1a'!$A$8:$AW$855,23,0)</f>
        <v>45597</v>
      </c>
      <c r="S131" s="25" t="s">
        <v>707</v>
      </c>
      <c r="T131" s="26" t="s">
        <v>708</v>
      </c>
      <c r="U131" s="23"/>
      <c r="V131" s="16" t="str">
        <f>IFERROR(VLOOKUP(A131,'[2]19.6.2026'!$A$9:$L$1111,5,0),"")</f>
        <v>000299/LS-GPHN</v>
      </c>
      <c r="W131" s="16">
        <f>IFERROR(VLOOKUP(A131,'[2]19.6.2026'!$A$9:$L$1111,6,0),"")</f>
        <v>45849</v>
      </c>
      <c r="X131" s="19"/>
      <c r="Y131" s="21" t="str">
        <f>IFERROR(VLOOKUP(A131,'[2]19.6.2026'!$A$9:$L$1111,7,0),"")</f>
        <v>Điều dưỡng</v>
      </c>
      <c r="Z131" s="16"/>
      <c r="AA131" s="27" t="str">
        <f>IFERROR(VLOOKUP(A131,'[3]DS UPLOAD 2026 (2)'!$A$2:$P$1111,16,0),"")</f>
        <v/>
      </c>
      <c r="AB131" s="23" t="s">
        <v>709</v>
      </c>
      <c r="AC131" s="29" t="s">
        <v>710</v>
      </c>
    </row>
    <row r="132" spans="1:29" ht="18" customHeight="1" x14ac:dyDescent="0.3">
      <c r="A132" s="17" t="s">
        <v>711</v>
      </c>
      <c r="B132" s="40" t="s">
        <v>712</v>
      </c>
      <c r="C132" s="17" t="s">
        <v>711</v>
      </c>
      <c r="D132" s="19" t="s">
        <v>38</v>
      </c>
      <c r="E132" s="19" t="s">
        <v>128</v>
      </c>
      <c r="F132" s="16" t="str">
        <f>VLOOKUP(E132,'[1]BẢNG MÃ'!$A$2:$B$69,2,0)</f>
        <v>TĐ047</v>
      </c>
      <c r="G132" s="20"/>
      <c r="H132" s="19" t="s">
        <v>128</v>
      </c>
      <c r="I132" s="16" t="s">
        <v>355</v>
      </c>
      <c r="J132" s="16" t="str">
        <f>VLOOKUP(I132,'[1]BẢNG MÃ'!$C$2:$D$69,2,0)</f>
        <v>KP007</v>
      </c>
      <c r="K132" s="16"/>
      <c r="L132" s="16"/>
      <c r="M132" s="16" t="s">
        <v>136</v>
      </c>
      <c r="N132" s="21">
        <f ca="1">VLOOKUP(A132,'[1]Bieu 1a'!$A$8:$AW$855,10,0)</f>
        <v>44</v>
      </c>
      <c r="O132" s="22">
        <f>VLOOKUP(A132,'[1]Bieu 1a'!$A$8:$AW$855,8,0)</f>
        <v>0</v>
      </c>
      <c r="P132" s="22" t="str">
        <f>VLOOKUP(A132,'[1]Bieu 1a'!$A$8:$AW$855,9,0)</f>
        <v>07/12/1981</v>
      </c>
      <c r="Q132" s="23" t="s">
        <v>713</v>
      </c>
      <c r="R132" s="24" t="str">
        <f>VLOOKUP(A132,'[1]Bieu 1a'!$A$8:$AW$855,23,0)</f>
        <v>12/4/2020</v>
      </c>
      <c r="S132" s="25" t="s">
        <v>714</v>
      </c>
      <c r="T132" s="26" t="s">
        <v>715</v>
      </c>
      <c r="U132" s="16"/>
      <c r="V132" s="16" t="str">
        <f>IFERROR(VLOOKUP(A132,'[2]19.6.2026'!$A$9:$L$1111,5,0),"")</f>
        <v/>
      </c>
      <c r="W132" s="16" t="str">
        <f>IFERROR(VLOOKUP(A132,'[2]19.6.2026'!$A$9:$L$1111,6,0),"")</f>
        <v/>
      </c>
      <c r="X132" s="16"/>
      <c r="Y132" s="21" t="str">
        <f>IFERROR(VLOOKUP(A132,'[2]19.6.2026'!$A$9:$L$1111,7,0),"")</f>
        <v/>
      </c>
      <c r="Z132" s="16"/>
      <c r="AA132" s="27" t="str">
        <f>IFERROR(VLOOKUP(A132,'[3]DS UPLOAD 2026 (2)'!$A$2:$P$1111,16,0),"")</f>
        <v/>
      </c>
      <c r="AB132" s="39" t="s">
        <v>716</v>
      </c>
      <c r="AC132" s="29" t="s">
        <v>303</v>
      </c>
    </row>
    <row r="133" spans="1:29" ht="18" customHeight="1" x14ac:dyDescent="0.3">
      <c r="A133" s="17" t="s">
        <v>717</v>
      </c>
      <c r="B133" s="40" t="s">
        <v>718</v>
      </c>
      <c r="C133" s="17" t="s">
        <v>717</v>
      </c>
      <c r="D133" s="19" t="s">
        <v>38</v>
      </c>
      <c r="E133" s="19" t="s">
        <v>128</v>
      </c>
      <c r="F133" s="16" t="str">
        <f>VLOOKUP(E133,'[1]BẢNG MÃ'!$A$2:$B$69,2,0)</f>
        <v>TĐ047</v>
      </c>
      <c r="G133" s="20"/>
      <c r="H133" s="19" t="s">
        <v>128</v>
      </c>
      <c r="I133" s="68" t="s">
        <v>355</v>
      </c>
      <c r="J133" s="16" t="str">
        <f>VLOOKUP(I133,'[1]BẢNG MÃ'!$C$2:$D$69,2,0)</f>
        <v>KP007</v>
      </c>
      <c r="K133" s="16"/>
      <c r="L133" s="16"/>
      <c r="M133" s="16" t="s">
        <v>136</v>
      </c>
      <c r="N133" s="21">
        <f ca="1">VLOOKUP(A133,'[1]Bieu 1a'!$A$8:$AW$855,10,0)</f>
        <v>37</v>
      </c>
      <c r="O133" s="22">
        <f>VLOOKUP(A133,'[1]Bieu 1a'!$A$8:$AW$855,8,0)</f>
        <v>0</v>
      </c>
      <c r="P133" s="22" t="str">
        <f>VLOOKUP(A133,'[1]Bieu 1a'!$A$8:$AW$855,9,0)</f>
        <v>18/3/1989</v>
      </c>
      <c r="Q133" s="23" t="s">
        <v>719</v>
      </c>
      <c r="R133" s="24" t="str">
        <f>VLOOKUP(A133,'[1]Bieu 1a'!$A$8:$AW$855,23,0)</f>
        <v>12/4/2020</v>
      </c>
      <c r="S133" s="25" t="s">
        <v>720</v>
      </c>
      <c r="T133" s="26" t="s">
        <v>721</v>
      </c>
      <c r="U133" s="16"/>
      <c r="V133" s="16" t="str">
        <f>IFERROR(VLOOKUP(A133,'[2]19.6.2026'!$A$9:$L$1111,5,0),"")</f>
        <v/>
      </c>
      <c r="W133" s="16" t="str">
        <f>IFERROR(VLOOKUP(A133,'[2]19.6.2026'!$A$9:$L$1111,6,0),"")</f>
        <v/>
      </c>
      <c r="X133" s="16"/>
      <c r="Y133" s="21" t="str">
        <f>IFERROR(VLOOKUP(A133,'[2]19.6.2026'!$A$9:$L$1111,7,0),"")</f>
        <v/>
      </c>
      <c r="Z133" s="16"/>
      <c r="AA133" s="27" t="str">
        <f>IFERROR(VLOOKUP(A133,'[3]DS UPLOAD 2026 (2)'!$A$2:$P$1111,16,0),"")</f>
        <v/>
      </c>
      <c r="AB133" s="39" t="s">
        <v>722</v>
      </c>
      <c r="AC133" s="29" t="s">
        <v>303</v>
      </c>
    </row>
    <row r="134" spans="1:29" ht="18" customHeight="1" x14ac:dyDescent="0.3">
      <c r="A134" s="17" t="s">
        <v>723</v>
      </c>
      <c r="B134" s="29" t="s">
        <v>724</v>
      </c>
      <c r="C134" s="17" t="s">
        <v>723</v>
      </c>
      <c r="D134" s="19"/>
      <c r="E134" s="19" t="s">
        <v>28</v>
      </c>
      <c r="F134" s="16" t="str">
        <f>VLOOKUP(E134,'[1]BẢNG MÃ'!$A$2:$B$69,2,0)</f>
        <v>TĐ001</v>
      </c>
      <c r="G134" s="20" t="s">
        <v>29</v>
      </c>
      <c r="H134" s="20" t="s">
        <v>29</v>
      </c>
      <c r="I134" s="34" t="s">
        <v>162</v>
      </c>
      <c r="J134" s="16" t="str">
        <f>VLOOKUP(I134,'[1]BẢNG MÃ'!$C$2:$D$69,2,0)</f>
        <v>KP008</v>
      </c>
      <c r="K134" s="16" t="s">
        <v>31</v>
      </c>
      <c r="L134" s="16" t="s">
        <v>148</v>
      </c>
      <c r="M134" s="16" t="s">
        <v>33</v>
      </c>
      <c r="N134" s="21">
        <f ca="1">VLOOKUP(A134,'[1]Bieu 1a'!$A$8:$AW$855,10,0)</f>
        <v>58</v>
      </c>
      <c r="O134" s="22">
        <f>VLOOKUP(A134,'[1]Bieu 1a'!$A$8:$AW$855,8,0)</f>
        <v>24924</v>
      </c>
      <c r="P134" s="22">
        <f>VLOOKUP(A134,'[1]Bieu 1a'!$A$8:$AW$855,9,0)</f>
        <v>0</v>
      </c>
      <c r="Q134" s="23" t="s">
        <v>44</v>
      </c>
      <c r="R134" s="24" t="str">
        <f>VLOOKUP(A134,'[1]Bieu 1a'!$A$8:$AW$855,23,0)</f>
        <v>26/4/1994</v>
      </c>
      <c r="S134" s="25" t="s">
        <v>725</v>
      </c>
      <c r="T134" s="26" t="s">
        <v>726</v>
      </c>
      <c r="U134" s="16"/>
      <c r="V134" s="16" t="str">
        <f>IFERROR(VLOOKUP(A134,'[2]19.6.2026'!$A$9:$L$1111,5,0),"")</f>
        <v>002911/LS-CCHN</v>
      </c>
      <c r="W134" s="16" t="str">
        <f>IFERROR(VLOOKUP(A134,'[2]19.6.2026'!$A$9:$L$1111,6,0),"")</f>
        <v>31/12/2014</v>
      </c>
      <c r="X134" s="16"/>
      <c r="Y134" s="21" t="str">
        <f>IFERROR(VLOOKUP(A134,'[2]19.6.2026'!$A$9:$L$1111,7,0),"")</f>
        <v>Khám bệnh chữa bệnh Nội khoa</v>
      </c>
      <c r="Z134" s="16"/>
      <c r="AA134" s="27" t="str">
        <f>IFERROR(VLOOKUP(A134,'[3]DS UPLOAD 2026 (2)'!$A$2:$P$1111,16,0),"")</f>
        <v/>
      </c>
      <c r="AB134" s="27">
        <v>919536626</v>
      </c>
      <c r="AC134" s="28"/>
    </row>
    <row r="135" spans="1:29" ht="18" customHeight="1" x14ac:dyDescent="0.3">
      <c r="A135" s="17" t="s">
        <v>727</v>
      </c>
      <c r="B135" s="18" t="s">
        <v>728</v>
      </c>
      <c r="C135" s="17" t="s">
        <v>727</v>
      </c>
      <c r="D135" s="19" t="s">
        <v>38</v>
      </c>
      <c r="E135" s="19" t="s">
        <v>173</v>
      </c>
      <c r="F135" s="16" t="str">
        <f>VLOOKUP(E135,'[1]BẢNG MÃ'!$A$2:$B$69,2,0)</f>
        <v>TĐ005</v>
      </c>
      <c r="G135" s="20"/>
      <c r="H135" s="20" t="s">
        <v>161</v>
      </c>
      <c r="I135" s="34" t="s">
        <v>162</v>
      </c>
      <c r="J135" s="16" t="str">
        <f>VLOOKUP(I135,'[1]BẢNG MÃ'!$C$2:$D$69,2,0)</f>
        <v>KP008</v>
      </c>
      <c r="K135" s="16"/>
      <c r="L135" s="16"/>
      <c r="M135" s="23" t="s">
        <v>33</v>
      </c>
      <c r="N135" s="21">
        <f ca="1">VLOOKUP(A135,'[1]Bieu 1a'!$A$8:$AW$855,10,0)</f>
        <v>31</v>
      </c>
      <c r="O135" s="22">
        <f>VLOOKUP(A135,'[1]Bieu 1a'!$A$8:$AW$855,8,0)</f>
        <v>0</v>
      </c>
      <c r="P135" s="22" t="str">
        <f>VLOOKUP(A135,'[1]Bieu 1a'!$A$8:$AW$855,9,0)</f>
        <v>12/5/1995</v>
      </c>
      <c r="Q135" s="23" t="s">
        <v>44</v>
      </c>
      <c r="R135" s="24" t="str">
        <f>VLOOKUP(A135,'[1]Bieu 1a'!$A$8:$AW$855,23,0)</f>
        <v>15/8/2019</v>
      </c>
      <c r="S135" s="25" t="s">
        <v>729</v>
      </c>
      <c r="T135" s="26" t="s">
        <v>730</v>
      </c>
      <c r="U135" s="16"/>
      <c r="V135" s="16" t="str">
        <f>IFERROR(VLOOKUP(A135,'[2]19.6.2026'!$A$9:$L$1111,5,0),"")</f>
        <v>004236/LS-CCHN</v>
      </c>
      <c r="W135" s="16" t="str">
        <f>IFERROR(VLOOKUP(A135,'[2]19.6.2026'!$A$9:$L$1111,6,0),"")</f>
        <v>10/06/2021</v>
      </c>
      <c r="X135" s="16"/>
      <c r="Y135" s="21" t="str">
        <f>IFERROR(VLOOKUP(A135,'[2]19.6.2026'!$A$9:$L$1111,7,0),"")</f>
        <v>Khám bệnh, chữa bệnh Nội khoa</v>
      </c>
      <c r="Z135" s="16"/>
      <c r="AA135" s="27" t="str">
        <f>IFERROR(VLOOKUP(A135,'[3]DS UPLOAD 2026 (2)'!$A$2:$P$1111,16,0),"")</f>
        <v/>
      </c>
      <c r="AB135" s="41" t="s">
        <v>731</v>
      </c>
      <c r="AC135" s="29" t="s">
        <v>732</v>
      </c>
    </row>
    <row r="136" spans="1:29" ht="18" customHeight="1" x14ac:dyDescent="0.3">
      <c r="A136" s="17" t="s">
        <v>733</v>
      </c>
      <c r="B136" s="38" t="s">
        <v>734</v>
      </c>
      <c r="C136" s="17" t="s">
        <v>733</v>
      </c>
      <c r="D136" s="19" t="s">
        <v>38</v>
      </c>
      <c r="E136" s="19" t="s">
        <v>160</v>
      </c>
      <c r="F136" s="16" t="str">
        <f>VLOOKUP(E136,'[1]BẢNG MÃ'!$A$2:$B$69,2,0)</f>
        <v>TĐ003</v>
      </c>
      <c r="G136" s="20" t="s">
        <v>161</v>
      </c>
      <c r="H136" s="20" t="s">
        <v>161</v>
      </c>
      <c r="I136" s="34" t="s">
        <v>162</v>
      </c>
      <c r="J136" s="16" t="str">
        <f>VLOOKUP(I136,'[1]BẢNG MÃ'!$C$2:$D$69,2,0)</f>
        <v>KP008</v>
      </c>
      <c r="K136" s="16" t="s">
        <v>43</v>
      </c>
      <c r="L136" s="16">
        <v>0</v>
      </c>
      <c r="M136" s="16" t="s">
        <v>33</v>
      </c>
      <c r="N136" s="21">
        <f ca="1">VLOOKUP(A136,'[1]Bieu 1a'!$A$8:$AW$855,10,0)</f>
        <v>32</v>
      </c>
      <c r="O136" s="22">
        <f>VLOOKUP(A136,'[1]Bieu 1a'!$A$8:$AW$855,8,0)</f>
        <v>0</v>
      </c>
      <c r="P136" s="22">
        <f>VLOOKUP(A136,'[1]Bieu 1a'!$A$8:$AW$855,9,0)</f>
        <v>34177</v>
      </c>
      <c r="Q136" s="23" t="s">
        <v>50</v>
      </c>
      <c r="R136" s="24" t="str">
        <f>VLOOKUP(A136,'[1]Bieu 1a'!$A$8:$AW$855,23,0)</f>
        <v>01/11/2018</v>
      </c>
      <c r="S136" s="25" t="s">
        <v>735</v>
      </c>
      <c r="T136" s="26" t="s">
        <v>726</v>
      </c>
      <c r="U136" s="16"/>
      <c r="V136" s="16" t="str">
        <f>IFERROR(VLOOKUP(A136,'[2]19.6.2026'!$A$9:$L$1111,5,0),"")</f>
        <v>003983/LS-CCHN</v>
      </c>
      <c r="W136" s="16" t="str">
        <f>IFERROR(VLOOKUP(A136,'[2]19.6.2026'!$A$9:$L$1111,6,0),"")</f>
        <v>21/10/2020</v>
      </c>
      <c r="X136" s="16"/>
      <c r="Y136" s="21" t="str">
        <f>IFERROR(VLOOKUP(A136,'[2]19.6.2026'!$A$9:$L$1111,7,0),"")</f>
        <v>Khám bệnh, chữa bệnh Nội khoa</v>
      </c>
      <c r="Z136" s="16"/>
      <c r="AA136" s="27" t="str">
        <f>IFERROR(VLOOKUP(A136,'[3]DS UPLOAD 2026 (2)'!$A$2:$P$1111,16,0),"")</f>
        <v/>
      </c>
      <c r="AB136" s="27">
        <v>978873584</v>
      </c>
      <c r="AC136" s="51" t="s">
        <v>736</v>
      </c>
    </row>
    <row r="137" spans="1:29" ht="18" customHeight="1" x14ac:dyDescent="0.3">
      <c r="A137" s="17" t="s">
        <v>737</v>
      </c>
      <c r="B137" s="40" t="s">
        <v>738</v>
      </c>
      <c r="C137" s="17" t="s">
        <v>737</v>
      </c>
      <c r="D137" s="53" t="s">
        <v>38</v>
      </c>
      <c r="E137" s="19" t="s">
        <v>173</v>
      </c>
      <c r="F137" s="16" t="str">
        <f>VLOOKUP(E137,'[1]BẢNG MÃ'!$A$2:$B$69,2,0)</f>
        <v>TĐ005</v>
      </c>
      <c r="G137" s="20"/>
      <c r="H137" s="20" t="s">
        <v>161</v>
      </c>
      <c r="I137" s="34" t="s">
        <v>162</v>
      </c>
      <c r="J137" s="16" t="str">
        <f>VLOOKUP(I137,'[1]BẢNG MÃ'!$C$2:$D$69,2,0)</f>
        <v>KP008</v>
      </c>
      <c r="K137" s="16"/>
      <c r="L137" s="16"/>
      <c r="M137" s="16" t="s">
        <v>33</v>
      </c>
      <c r="N137" s="21">
        <f ca="1">VLOOKUP(A137,'[1]Bieu 1a'!$A$8:$AW$855,10,0)</f>
        <v>30</v>
      </c>
      <c r="O137" s="22">
        <f>VLOOKUP(A137,'[1]Bieu 1a'!$A$8:$AW$855,8,0)</f>
        <v>0</v>
      </c>
      <c r="P137" s="22" t="str">
        <f>VLOOKUP(A137,'[1]Bieu 1a'!$A$8:$AW$855,9,0)</f>
        <v>08/9/1995</v>
      </c>
      <c r="Q137" s="23" t="s">
        <v>50</v>
      </c>
      <c r="R137" s="24" t="str">
        <f>VLOOKUP(A137,'[1]Bieu 1a'!$A$8:$AW$855,23,0)</f>
        <v>13/7/2020</v>
      </c>
      <c r="S137" s="25" t="s">
        <v>739</v>
      </c>
      <c r="T137" s="26">
        <v>0</v>
      </c>
      <c r="U137" s="16"/>
      <c r="V137" s="16" t="str">
        <f>IFERROR(VLOOKUP(A137,'[2]19.6.2026'!$A$9:$L$1111,5,0),"")</f>
        <v>004503/LS-CCHN</v>
      </c>
      <c r="W137" s="16" t="str">
        <f>IFERROR(VLOOKUP(A137,'[2]19.6.2026'!$A$9:$L$1111,6,0),"")</f>
        <v>06/04/2022</v>
      </c>
      <c r="X137" s="16"/>
      <c r="Y137" s="21" t="str">
        <f>IFERROR(VLOOKUP(A137,'[2]19.6.2026'!$A$9:$L$1111,7,0),"")</f>
        <v>Khám bệnh, chữa bệnh Nội khoa</v>
      </c>
      <c r="Z137" s="16"/>
      <c r="AA137" s="27" t="str">
        <f>IFERROR(VLOOKUP(A137,'[3]DS UPLOAD 2026 (2)'!$A$2:$P$1111,16,0),"")</f>
        <v/>
      </c>
      <c r="AB137" s="50" t="s">
        <v>740</v>
      </c>
      <c r="AC137" s="29" t="s">
        <v>244</v>
      </c>
    </row>
    <row r="138" spans="1:29" ht="18" customHeight="1" x14ac:dyDescent="0.3">
      <c r="A138" s="43" t="s">
        <v>741</v>
      </c>
      <c r="B138" s="44" t="s">
        <v>742</v>
      </c>
      <c r="C138" s="45" t="s">
        <v>741</v>
      </c>
      <c r="D138" s="23" t="s">
        <v>38</v>
      </c>
      <c r="E138" s="23" t="s">
        <v>173</v>
      </c>
      <c r="F138" s="16" t="str">
        <f>VLOOKUP(E138,'[1]BẢNG MÃ'!$A$2:$B$69,2,0)</f>
        <v>TĐ005</v>
      </c>
      <c r="G138" s="27"/>
      <c r="H138" s="23" t="s">
        <v>161</v>
      </c>
      <c r="I138" s="27" t="s">
        <v>162</v>
      </c>
      <c r="J138" s="16" t="str">
        <f>VLOOKUP(I138,'[1]BẢNG MÃ'!$C$2:$D$69,2,0)</f>
        <v>KP008</v>
      </c>
      <c r="K138" s="27"/>
      <c r="L138" s="27"/>
      <c r="M138" s="16" t="s">
        <v>33</v>
      </c>
      <c r="N138" s="21">
        <f ca="1">VLOOKUP(A138,'[1]Bieu 1a'!$A$8:$AW$855,10,0)</f>
        <v>32</v>
      </c>
      <c r="O138" s="22">
        <f>VLOOKUP(A138,'[1]Bieu 1a'!$A$8:$AW$855,8,0)</f>
        <v>0</v>
      </c>
      <c r="P138" s="22" t="str">
        <f>VLOOKUP(A138,'[1]Bieu 1a'!$A$8:$AW$855,9,0)</f>
        <v>24/10/1993</v>
      </c>
      <c r="Q138" s="23" t="s">
        <v>44</v>
      </c>
      <c r="R138" s="24">
        <f>VLOOKUP(A138,'[1]Bieu 1a'!$A$8:$AW$855,23,0)</f>
        <v>45260</v>
      </c>
      <c r="S138" s="25" t="s">
        <v>743</v>
      </c>
      <c r="T138" s="26" t="s">
        <v>744</v>
      </c>
      <c r="U138" s="67">
        <f>EDATE(R138,18)</f>
        <v>45807</v>
      </c>
      <c r="V138" s="16" t="str">
        <f>IFERROR(VLOOKUP(A138,'[2]19.6.2026'!$A$9:$L$1111,5,0),"")</f>
        <v>000347/LS-GPHN</v>
      </c>
      <c r="W138" s="16">
        <f>IFERROR(VLOOKUP(A138,'[2]19.6.2026'!$A$9:$L$1111,6,0),"")</f>
        <v>45908</v>
      </c>
      <c r="X138" s="16"/>
      <c r="Y138" s="21" t="str">
        <f>IFERROR(VLOOKUP(A138,'[2]19.6.2026'!$A$9:$L$1111,7,0),"")</f>
        <v>Chuyên khoa Nội khoa</v>
      </c>
      <c r="Z138" s="16"/>
      <c r="AA138" s="27" t="str">
        <f>IFERROR(VLOOKUP(A138,'[3]DS UPLOAD 2026 (2)'!$A$2:$P$1111,16,0),"")</f>
        <v/>
      </c>
      <c r="AB138" s="44" t="s">
        <v>745</v>
      </c>
      <c r="AC138" s="29" t="s">
        <v>191</v>
      </c>
    </row>
    <row r="139" spans="1:29" ht="18" customHeight="1" x14ac:dyDescent="0.3">
      <c r="A139" s="46" t="s">
        <v>746</v>
      </c>
      <c r="B139" s="28" t="s">
        <v>747</v>
      </c>
      <c r="C139" s="47" t="s">
        <v>746</v>
      </c>
      <c r="D139" s="23" t="s">
        <v>38</v>
      </c>
      <c r="E139" s="23" t="s">
        <v>173</v>
      </c>
      <c r="F139" s="16" t="str">
        <f>VLOOKUP(E139,'[1]BẢNG MÃ'!$A$2:$B$69,2,0)</f>
        <v>TĐ005</v>
      </c>
      <c r="G139" s="48" t="s">
        <v>161</v>
      </c>
      <c r="H139" s="48" t="s">
        <v>161</v>
      </c>
      <c r="I139" s="19" t="s">
        <v>748</v>
      </c>
      <c r="J139" s="16" t="str">
        <f>VLOOKUP(I139,'[1]BẢNG MÃ'!$C$2:$D$69,2,0)</f>
        <v>KP022</v>
      </c>
      <c r="K139" s="16" t="s">
        <v>43</v>
      </c>
      <c r="L139" s="23"/>
      <c r="M139" s="16" t="s">
        <v>33</v>
      </c>
      <c r="N139" s="21">
        <f ca="1">VLOOKUP(A139,'[1]Bieu 1a'!$A$8:$AW$855,10,0)</f>
        <v>31</v>
      </c>
      <c r="O139" s="22">
        <f>VLOOKUP(A139,'[1]Bieu 1a'!$A$8:$AW$855,8,0)</f>
        <v>0</v>
      </c>
      <c r="P139" s="22" t="str">
        <f>VLOOKUP(A139,'[1]Bieu 1a'!$A$8:$AW$855,9,0)</f>
        <v>23/4/1995</v>
      </c>
      <c r="Q139" s="23" t="s">
        <v>50</v>
      </c>
      <c r="R139" s="24">
        <f>VLOOKUP(A139,'[1]Bieu 1a'!$A$8:$AW$855,23,0)</f>
        <v>0</v>
      </c>
      <c r="S139" s="25" t="s">
        <v>749</v>
      </c>
      <c r="T139" s="26" t="s">
        <v>750</v>
      </c>
      <c r="U139" s="49">
        <v>45870</v>
      </c>
      <c r="V139" s="16" t="str">
        <f>IFERROR(VLOOKUP(A139,'[2]19.6.2026'!$A$9:$L$1111,5,0),"")</f>
        <v>000196/LS-GPHN</v>
      </c>
      <c r="W139" s="16">
        <f>IFERROR(VLOOKUP(A139,'[2]19.6.2026'!$A$9:$L$1111,6,0),"")</f>
        <v>45680</v>
      </c>
      <c r="X139" s="16"/>
      <c r="Y139" s="21" t="str">
        <f>IFERROR(VLOOKUP(A139,'[2]19.6.2026'!$A$9:$L$1111,7,0),"")</f>
        <v>Nội khoa</v>
      </c>
      <c r="Z139" s="16"/>
      <c r="AA139" s="27" t="str">
        <f>IFERROR(VLOOKUP(A139,'[3]DS UPLOAD 2026 (2)'!$A$2:$P$1111,16,0),"")</f>
        <v/>
      </c>
      <c r="AB139" s="23"/>
      <c r="AC139" s="51" t="s">
        <v>751</v>
      </c>
    </row>
    <row r="140" spans="1:29" ht="18" customHeight="1" x14ac:dyDescent="0.3">
      <c r="A140" s="17" t="s">
        <v>752</v>
      </c>
      <c r="B140" s="18" t="s">
        <v>753</v>
      </c>
      <c r="C140" s="17" t="s">
        <v>752</v>
      </c>
      <c r="D140" s="19" t="s">
        <v>38</v>
      </c>
      <c r="E140" s="19" t="s">
        <v>41</v>
      </c>
      <c r="F140" s="16" t="str">
        <f>VLOOKUP(E140,'[1]BẢNG MÃ'!$A$2:$B$69,2,0)</f>
        <v>TĐ011</v>
      </c>
      <c r="G140" s="20" t="s">
        <v>42</v>
      </c>
      <c r="H140" s="20" t="s">
        <v>42</v>
      </c>
      <c r="I140" s="16" t="s">
        <v>162</v>
      </c>
      <c r="J140" s="16" t="str">
        <f>VLOOKUP(I140,'[1]BẢNG MÃ'!$C$2:$D$69,2,0)</f>
        <v>KP008</v>
      </c>
      <c r="K140" s="16" t="s">
        <v>31</v>
      </c>
      <c r="L140" s="16" t="s">
        <v>201</v>
      </c>
      <c r="M140" s="16" t="s">
        <v>33</v>
      </c>
      <c r="N140" s="21">
        <f ca="1">VLOOKUP(A140,'[1]Bieu 1a'!$A$8:$AW$855,10,0)</f>
        <v>39</v>
      </c>
      <c r="O140" s="22">
        <f>VLOOKUP(A140,'[1]Bieu 1a'!$A$8:$AW$855,8,0)</f>
        <v>0</v>
      </c>
      <c r="P140" s="22">
        <f>VLOOKUP(A140,'[1]Bieu 1a'!$A$8:$AW$855,9,0)</f>
        <v>31610</v>
      </c>
      <c r="Q140" s="23" t="s">
        <v>34</v>
      </c>
      <c r="R140" s="24" t="str">
        <f>VLOOKUP(A140,'[1]Bieu 1a'!$A$8:$AW$855,23,0)</f>
        <v>01/01/2009</v>
      </c>
      <c r="S140" s="25" t="s">
        <v>754</v>
      </c>
      <c r="T140" s="26" t="s">
        <v>755</v>
      </c>
      <c r="U140" s="22"/>
      <c r="V140" s="16" t="str">
        <f>IFERROR(VLOOKUP(A140,'[2]19.6.2026'!$A$9:$L$1111,5,0),"")</f>
        <v>000747/LS-CCHN</v>
      </c>
      <c r="W140" s="16" t="str">
        <f>IFERROR(VLOOKUP(A140,'[2]19.6.2026'!$A$9:$L$1111,6,0),"")</f>
        <v>11/01/2023</v>
      </c>
      <c r="X140" s="16"/>
      <c r="Y140" s="21" t="str">
        <f>IFERROR(VLOOKUP(A140,'[2]19.6.2026'!$A$9:$L$1111,7,0),"")</f>
        <v>Thực hiện phạm vi hoạt động chuyên môn theo Thông tư số 26/2015/TTLT-BYT-BNV ngày 07/10/2015 quy định  mã số, tiêu chuẩn chức danh nghề nghiệp, điều dưỡng, hộ sinh, kỹ thuật y</v>
      </c>
      <c r="Z140" s="16"/>
      <c r="AA140" s="27" t="str">
        <f>IFERROR(VLOOKUP(A140,'[3]DS UPLOAD 2026 (2)'!$A$2:$P$1111,16,0),"")</f>
        <v/>
      </c>
      <c r="AB140" s="27" t="s">
        <v>756</v>
      </c>
      <c r="AC140" s="51"/>
    </row>
    <row r="141" spans="1:29" ht="18" customHeight="1" x14ac:dyDescent="0.3">
      <c r="A141" s="17" t="s">
        <v>757</v>
      </c>
      <c r="B141" s="18" t="s">
        <v>758</v>
      </c>
      <c r="C141" s="17" t="s">
        <v>757</v>
      </c>
      <c r="D141" s="19" t="s">
        <v>38</v>
      </c>
      <c r="E141" s="68" t="s">
        <v>41</v>
      </c>
      <c r="F141" s="16" t="str">
        <f>VLOOKUP(E141,'[1]BẢNG MÃ'!$A$2:$B$69,2,0)</f>
        <v>TĐ011</v>
      </c>
      <c r="G141" s="31" t="s">
        <v>42</v>
      </c>
      <c r="H141" s="31" t="s">
        <v>42</v>
      </c>
      <c r="I141" s="34" t="s">
        <v>162</v>
      </c>
      <c r="J141" s="16" t="str">
        <f>VLOOKUP(I141,'[1]BẢNG MÃ'!$C$2:$D$69,2,0)</f>
        <v>KP008</v>
      </c>
      <c r="K141" s="16" t="s">
        <v>43</v>
      </c>
      <c r="L141" s="16">
        <v>0</v>
      </c>
      <c r="M141" s="16" t="s">
        <v>33</v>
      </c>
      <c r="N141" s="21">
        <f ca="1">VLOOKUP(A141,'[1]Bieu 1a'!$A$8:$AW$855,10,0)</f>
        <v>41</v>
      </c>
      <c r="O141" s="22">
        <f>VLOOKUP(A141,'[1]Bieu 1a'!$A$8:$AW$855,8,0)</f>
        <v>0</v>
      </c>
      <c r="P141" s="22">
        <f>VLOOKUP(A141,'[1]Bieu 1a'!$A$8:$AW$855,9,0)</f>
        <v>30884</v>
      </c>
      <c r="Q141" s="23" t="s">
        <v>50</v>
      </c>
      <c r="R141" s="24" t="str">
        <f>VLOOKUP(A141,'[1]Bieu 1a'!$A$8:$AW$855,23,0)</f>
        <v>7/11/2006</v>
      </c>
      <c r="S141" s="25" t="s">
        <v>759</v>
      </c>
      <c r="T141" s="26" t="s">
        <v>755</v>
      </c>
      <c r="U141" s="22"/>
      <c r="V141" s="16" t="str">
        <f>IFERROR(VLOOKUP(A141,'[2]19.6.2026'!$A$9:$L$1111,5,0),"")</f>
        <v>000738/LS-CCHN</v>
      </c>
      <c r="W141" s="16" t="str">
        <f>IFERROR(VLOOKUP(A141,'[2]19.6.2026'!$A$9:$L$1111,6,0),"")</f>
        <v>11/01/2023</v>
      </c>
      <c r="X141" s="16"/>
      <c r="Y141" s="21" t="str">
        <f>IFERROR(VLOOKUP(A141,'[2]19.6.2026'!$A$9:$L$1111,7,0),"")</f>
        <v>Thực hiện phạm vi hoạt động chuyên môn theo Thông tư số 26/2015/TTLT-BYT-BNV ngày 07/10/2015 quy định  mã số, tiêu chuẩn chức danh nghề nghiệp, điều dưỡng, hộ sinh, kỹ thuật y</v>
      </c>
      <c r="Z141" s="16"/>
      <c r="AA141" s="27" t="str">
        <f>IFERROR(VLOOKUP(A141,'[3]DS UPLOAD 2026 (2)'!$A$2:$P$1111,16,0),"")</f>
        <v/>
      </c>
      <c r="AB141" s="27">
        <v>978980773</v>
      </c>
      <c r="AC141" s="28"/>
    </row>
    <row r="142" spans="1:29" ht="18" customHeight="1" x14ac:dyDescent="0.3">
      <c r="A142" s="17" t="s">
        <v>760</v>
      </c>
      <c r="B142" s="18" t="s">
        <v>761</v>
      </c>
      <c r="C142" s="17" t="s">
        <v>760</v>
      </c>
      <c r="D142" s="19" t="s">
        <v>38</v>
      </c>
      <c r="E142" s="30" t="s">
        <v>41</v>
      </c>
      <c r="F142" s="16" t="str">
        <f>VLOOKUP(E142,'[1]BẢNG MÃ'!$A$2:$B$69,2,0)</f>
        <v>TĐ011</v>
      </c>
      <c r="G142" s="31" t="s">
        <v>42</v>
      </c>
      <c r="H142" s="31" t="s">
        <v>42</v>
      </c>
      <c r="I142" s="34" t="s">
        <v>162</v>
      </c>
      <c r="J142" s="16" t="str">
        <f>VLOOKUP(I142,'[1]BẢNG MÃ'!$C$2:$D$69,2,0)</f>
        <v>KP008</v>
      </c>
      <c r="K142" s="16" t="s">
        <v>43</v>
      </c>
      <c r="L142" s="16">
        <v>0</v>
      </c>
      <c r="M142" s="16" t="s">
        <v>33</v>
      </c>
      <c r="N142" s="21">
        <f ca="1">VLOOKUP(A142,'[1]Bieu 1a'!$A$8:$AW$855,10,0)</f>
        <v>45</v>
      </c>
      <c r="O142" s="22">
        <f>VLOOKUP(A142,'[1]Bieu 1a'!$A$8:$AW$855,8,0)</f>
        <v>0</v>
      </c>
      <c r="P142" s="22">
        <f>VLOOKUP(A142,'[1]Bieu 1a'!$A$8:$AW$855,9,0)</f>
        <v>29621</v>
      </c>
      <c r="Q142" s="23" t="s">
        <v>44</v>
      </c>
      <c r="R142" s="24" t="str">
        <f>VLOOKUP(A142,'[1]Bieu 1a'!$A$8:$AW$855,23,0)</f>
        <v>6/11/2006</v>
      </c>
      <c r="S142" s="25" t="s">
        <v>762</v>
      </c>
      <c r="T142" s="26" t="s">
        <v>755</v>
      </c>
      <c r="U142" s="16"/>
      <c r="V142" s="16" t="str">
        <f>IFERROR(VLOOKUP(A142,'[2]19.6.2026'!$A$9:$L$1111,5,0),"")</f>
        <v>000826/LS-CCHN</v>
      </c>
      <c r="W142" s="16" t="str">
        <f>IFERROR(VLOOKUP(A142,'[2]19.6.2026'!$A$9:$L$1111,6,0),"")</f>
        <v>11/01/2023</v>
      </c>
      <c r="X142" s="16"/>
      <c r="Y142" s="21" t="str">
        <f>IFERROR(VLOOKUP(A142,'[2]19.6.2026'!$A$9:$L$1111,7,0),"")</f>
        <v>Thực hiện phạm vi hoạt động chuyên môn theo Thông tư số 26/2015/TTLT-BYT-BNV ngày 07/10/2015 quy định  mã số, tiêu chuẩn chức danh nghề nghiệp, điều dưỡng, hộ sinh, kỹ thuật y</v>
      </c>
      <c r="Z142" s="16"/>
      <c r="AA142" s="27" t="str">
        <f>IFERROR(VLOOKUP(A142,'[3]DS UPLOAD 2026 (2)'!$A$2:$P$1111,16,0),"")</f>
        <v/>
      </c>
      <c r="AB142" s="27">
        <v>362149223</v>
      </c>
      <c r="AC142" s="28"/>
    </row>
    <row r="143" spans="1:29" ht="18" customHeight="1" x14ac:dyDescent="0.3">
      <c r="A143" s="17" t="s">
        <v>763</v>
      </c>
      <c r="B143" s="18" t="s">
        <v>764</v>
      </c>
      <c r="C143" s="17" t="s">
        <v>763</v>
      </c>
      <c r="D143" s="19" t="s">
        <v>38</v>
      </c>
      <c r="E143" s="30" t="s">
        <v>41</v>
      </c>
      <c r="F143" s="16" t="str">
        <f>VLOOKUP(E143,'[1]BẢNG MÃ'!$A$2:$B$69,2,0)</f>
        <v>TĐ011</v>
      </c>
      <c r="G143" s="31" t="s">
        <v>42</v>
      </c>
      <c r="H143" s="31" t="s">
        <v>42</v>
      </c>
      <c r="I143" s="34" t="s">
        <v>162</v>
      </c>
      <c r="J143" s="16" t="str">
        <f>VLOOKUP(I143,'[1]BẢNG MÃ'!$C$2:$D$69,2,0)</f>
        <v>KP008</v>
      </c>
      <c r="K143" s="16" t="s">
        <v>43</v>
      </c>
      <c r="L143" s="16">
        <v>0</v>
      </c>
      <c r="M143" s="16" t="s">
        <v>33</v>
      </c>
      <c r="N143" s="21">
        <f ca="1">VLOOKUP(A143,'[1]Bieu 1a'!$A$8:$AW$855,10,0)</f>
        <v>40</v>
      </c>
      <c r="O143" s="22">
        <f>VLOOKUP(A143,'[1]Bieu 1a'!$A$8:$AW$855,8,0)</f>
        <v>0</v>
      </c>
      <c r="P143" s="22">
        <f>VLOOKUP(A143,'[1]Bieu 1a'!$A$8:$AW$855,9,0)</f>
        <v>31486</v>
      </c>
      <c r="Q143" s="23" t="s">
        <v>44</v>
      </c>
      <c r="R143" s="24" t="str">
        <f>VLOOKUP(A143,'[1]Bieu 1a'!$A$8:$AW$855,23,0)</f>
        <v>15/1/2010</v>
      </c>
      <c r="S143" s="25" t="s">
        <v>765</v>
      </c>
      <c r="T143" s="26" t="s">
        <v>766</v>
      </c>
      <c r="U143" s="16"/>
      <c r="V143" s="16" t="str">
        <f>IFERROR(VLOOKUP(A143,'[2]19.6.2026'!$A$9:$L$1111,5,0),"")</f>
        <v>000833/LS-CCHN</v>
      </c>
      <c r="W143" s="16" t="str">
        <f>IFERROR(VLOOKUP(A143,'[2]19.6.2026'!$A$9:$L$1111,6,0),"")</f>
        <v>11/01/2023</v>
      </c>
      <c r="X143" s="16"/>
      <c r="Y143" s="21" t="str">
        <f>IFERROR(VLOOKUP(A143,'[2]19.6.2026'!$A$9:$L$1111,7,0),"")</f>
        <v>Thực hiện phạm vi hoạt động chuyên môn theo Thông tư số 26/2015/TTLT-BYT-BNV ngày 07/10/2015 quy định  mã số, tiêu chuẩn chức danh nghề nghiệp, điều dưỡng, hộ sinh, kỹ thuật y</v>
      </c>
      <c r="Z143" s="16"/>
      <c r="AA143" s="27" t="str">
        <f>IFERROR(VLOOKUP(A143,'[3]DS UPLOAD 2026 (2)'!$A$2:$P$1111,16,0),"")</f>
        <v/>
      </c>
      <c r="AB143" s="27">
        <v>384861635</v>
      </c>
      <c r="AC143" s="28"/>
    </row>
    <row r="144" spans="1:29" ht="18" customHeight="1" x14ac:dyDescent="0.3">
      <c r="A144" s="17" t="s">
        <v>767</v>
      </c>
      <c r="B144" s="18" t="s">
        <v>768</v>
      </c>
      <c r="C144" s="17" t="s">
        <v>767</v>
      </c>
      <c r="D144" s="19" t="s">
        <v>38</v>
      </c>
      <c r="E144" s="19" t="s">
        <v>61</v>
      </c>
      <c r="F144" s="16" t="str">
        <f>VLOOKUP(E144,'[1]BẢNG MÃ'!$A$2:$B$69,2,0)</f>
        <v>TĐ012</v>
      </c>
      <c r="G144" s="20" t="s">
        <v>62</v>
      </c>
      <c r="H144" s="20" t="s">
        <v>62</v>
      </c>
      <c r="I144" s="34" t="s">
        <v>162</v>
      </c>
      <c r="J144" s="16" t="str">
        <f>VLOOKUP(I144,'[1]BẢNG MÃ'!$C$2:$D$69,2,0)</f>
        <v>KP008</v>
      </c>
      <c r="K144" s="16" t="s">
        <v>43</v>
      </c>
      <c r="L144" s="16">
        <v>0</v>
      </c>
      <c r="M144" s="16" t="s">
        <v>33</v>
      </c>
      <c r="N144" s="21">
        <f ca="1">VLOOKUP(A144,'[1]Bieu 1a'!$A$8:$AW$855,10,0)</f>
        <v>39</v>
      </c>
      <c r="O144" s="22">
        <f>VLOOKUP(A144,'[1]Bieu 1a'!$A$8:$AW$855,8,0)</f>
        <v>0</v>
      </c>
      <c r="P144" s="22">
        <f>VLOOKUP(A144,'[1]Bieu 1a'!$A$8:$AW$855,9,0)</f>
        <v>31713</v>
      </c>
      <c r="Q144" s="23" t="s">
        <v>44</v>
      </c>
      <c r="R144" s="24" t="str">
        <f>VLOOKUP(A144,'[1]Bieu 1a'!$A$8:$AW$855,23,0)</f>
        <v>8/12/2008</v>
      </c>
      <c r="S144" s="25" t="s">
        <v>769</v>
      </c>
      <c r="T144" s="26" t="s">
        <v>770</v>
      </c>
      <c r="U144" s="22"/>
      <c r="V144" s="16" t="str">
        <f>IFERROR(VLOOKUP(A144,'[2]19.6.2026'!$A$9:$L$1111,5,0),"")</f>
        <v>000895/LS-CCHN</v>
      </c>
      <c r="W144" s="16" t="str">
        <f>IFERROR(VLOOKUP(A144,'[2]19.6.2026'!$A$9:$L$1111,6,0),"")</f>
        <v>24/06/2013</v>
      </c>
      <c r="X144" s="16"/>
      <c r="Y144" s="21" t="str">
        <f>IFERROR(VLOOKUP(A144,'[2]19.6.2026'!$A$9:$L$1111,7,0),"")</f>
        <v>Theo quy định tại Quyết định số 41/2005/QĐ-BNV ngày 22/4/2005 của Bộ trưởng Bộ Nội vụ về việc ban hành tiêu chuẩn nghiệp vụ các ngạch viên chức y tế điều dưỡng</v>
      </c>
      <c r="Z144" s="16"/>
      <c r="AA144" s="27" t="str">
        <f>IFERROR(VLOOKUP(A144,'[3]DS UPLOAD 2026 (2)'!$A$2:$P$1111,16,0),"")</f>
        <v/>
      </c>
      <c r="AB144" s="27">
        <v>962329956</v>
      </c>
      <c r="AC144" s="28"/>
    </row>
    <row r="145" spans="1:29" ht="18" customHeight="1" x14ac:dyDescent="0.3">
      <c r="A145" s="17" t="s">
        <v>771</v>
      </c>
      <c r="B145" s="18" t="s">
        <v>772</v>
      </c>
      <c r="C145" s="17" t="s">
        <v>771</v>
      </c>
      <c r="D145" s="19" t="s">
        <v>38</v>
      </c>
      <c r="E145" s="19" t="s">
        <v>61</v>
      </c>
      <c r="F145" s="16" t="str">
        <f>VLOOKUP(E145,'[1]BẢNG MÃ'!$A$2:$B$69,2,0)</f>
        <v>TĐ012</v>
      </c>
      <c r="G145" s="20"/>
      <c r="H145" s="20" t="s">
        <v>62</v>
      </c>
      <c r="I145" s="34" t="s">
        <v>162</v>
      </c>
      <c r="J145" s="16" t="str">
        <f>VLOOKUP(I145,'[1]BẢNG MÃ'!$C$2:$D$69,2,0)</f>
        <v>KP008</v>
      </c>
      <c r="K145" s="16"/>
      <c r="L145" s="16"/>
      <c r="M145" s="23" t="s">
        <v>33</v>
      </c>
      <c r="N145" s="21">
        <f ca="1">VLOOKUP(A145,'[1]Bieu 1a'!$A$8:$AW$855,10,0)</f>
        <v>32</v>
      </c>
      <c r="O145" s="22">
        <f>VLOOKUP(A145,'[1]Bieu 1a'!$A$8:$AW$855,8,0)</f>
        <v>0</v>
      </c>
      <c r="P145" s="22" t="str">
        <f>VLOOKUP(A145,'[1]Bieu 1a'!$A$8:$AW$855,9,0)</f>
        <v>14/8/1993</v>
      </c>
      <c r="Q145" s="23" t="s">
        <v>44</v>
      </c>
      <c r="R145" s="24" t="str">
        <f>VLOOKUP(A145,'[1]Bieu 1a'!$A$8:$AW$855,23,0)</f>
        <v xml:space="preserve"> 29/8/2016</v>
      </c>
      <c r="S145" s="25" t="s">
        <v>773</v>
      </c>
      <c r="T145" s="26" t="s">
        <v>774</v>
      </c>
      <c r="U145" s="16"/>
      <c r="V145" s="16" t="str">
        <f>IFERROR(VLOOKUP(A145,'[2]19.6.2026'!$A$9:$L$1111,5,0),"")</f>
        <v>003303/LS-CCHN</v>
      </c>
      <c r="W145" s="16" t="str">
        <f>IFERROR(VLOOKUP(A145,'[2]19.6.2026'!$A$9:$L$1111,6,0),"")</f>
        <v>28/06/2018</v>
      </c>
      <c r="X145" s="16"/>
      <c r="Y145" s="21" t="str">
        <f>IFERROR(VLOOKUP(A145,'[2]19.6.2026'!$A$9:$L$1111,7,0),"")</f>
        <v>Thực hiện phạm vi hoạt động chuyên môn theo quy định tại Thông tư số 26/2015/TTLT-BYT-BNV ngày 07/10/2015 quy định mã số, tiêu chuẩn chức danh nghề nghiệp điều dưỡng, hộ sinh, kỹ thuật y</v>
      </c>
      <c r="Z145" s="16"/>
      <c r="AA145" s="27" t="str">
        <f>IFERROR(VLOOKUP(A145,'[3]DS UPLOAD 2026 (2)'!$A$2:$P$1111,16,0),"")</f>
        <v/>
      </c>
      <c r="AB145" s="27">
        <v>977716129</v>
      </c>
      <c r="AC145" s="29" t="s">
        <v>239</v>
      </c>
    </row>
    <row r="146" spans="1:29" ht="18" customHeight="1" x14ac:dyDescent="0.3">
      <c r="A146" s="17" t="s">
        <v>775</v>
      </c>
      <c r="B146" s="38" t="s">
        <v>776</v>
      </c>
      <c r="C146" s="17" t="s">
        <v>775</v>
      </c>
      <c r="D146" s="19" t="s">
        <v>38</v>
      </c>
      <c r="E146" s="19" t="s">
        <v>61</v>
      </c>
      <c r="F146" s="16" t="str">
        <f>VLOOKUP(E146,'[1]BẢNG MÃ'!$A$2:$B$69,2,0)</f>
        <v>TĐ012</v>
      </c>
      <c r="G146" s="38"/>
      <c r="H146" s="20" t="s">
        <v>62</v>
      </c>
      <c r="I146" s="34" t="s">
        <v>162</v>
      </c>
      <c r="J146" s="16" t="str">
        <f>VLOOKUP(I146,'[1]BẢNG MÃ'!$C$2:$D$69,2,0)</f>
        <v>KP008</v>
      </c>
      <c r="K146" s="16"/>
      <c r="L146" s="16"/>
      <c r="M146" s="23" t="s">
        <v>33</v>
      </c>
      <c r="N146" s="21">
        <f ca="1">VLOOKUP(A146,'[1]Bieu 1a'!$A$8:$AW$855,10,0)</f>
        <v>32</v>
      </c>
      <c r="O146" s="22">
        <f>VLOOKUP(A146,'[1]Bieu 1a'!$A$8:$AW$855,8,0)</f>
        <v>0</v>
      </c>
      <c r="P146" s="22" t="str">
        <f>VLOOKUP(A146,'[1]Bieu 1a'!$A$8:$AW$855,9,0)</f>
        <v>22/01/1994</v>
      </c>
      <c r="Q146" s="23" t="s">
        <v>50</v>
      </c>
      <c r="R146" s="24" t="str">
        <f>VLOOKUP(A146,'[1]Bieu 1a'!$A$8:$AW$855,23,0)</f>
        <v>17/4/2019</v>
      </c>
      <c r="S146" s="25" t="s">
        <v>777</v>
      </c>
      <c r="T146" s="26" t="s">
        <v>766</v>
      </c>
      <c r="U146" s="16"/>
      <c r="V146" s="16" t="str">
        <f>IFERROR(VLOOKUP(A146,'[2]19.6.2026'!$A$9:$L$1111,5,0),"")</f>
        <v>003712/LS-CCHN</v>
      </c>
      <c r="W146" s="16" t="str">
        <f>IFERROR(VLOOKUP(A146,'[2]19.6.2026'!$A$9:$L$1111,6,0),"")</f>
        <v>17/04/2020</v>
      </c>
      <c r="X146" s="16"/>
      <c r="Y146" s="21" t="str">
        <f>IFERROR(VLOOKUP(A146,'[2]19.6.2026'!$A$9:$L$1111,7,0),"")</f>
        <v>Thực hiện phạm vi hoạt động chuyên môn theo quy định tại Thông tư số 26/2015/TTLT-BYT-BNV ngày 07/10/2015 quy định mã số, tiêu chuẩn chức danh nghề nghiệp điều dưỡng, hộ sinh, kỹ thuật y</v>
      </c>
      <c r="Z146" s="16"/>
      <c r="AA146" s="27" t="str">
        <f>IFERROR(VLOOKUP(A146,'[3]DS UPLOAD 2026 (2)'!$A$2:$P$1111,16,0),"")</f>
        <v/>
      </c>
      <c r="AB146" s="27">
        <v>848678158</v>
      </c>
      <c r="AC146" s="29" t="s">
        <v>222</v>
      </c>
    </row>
    <row r="147" spans="1:29" ht="18" customHeight="1" x14ac:dyDescent="0.3">
      <c r="A147" s="17" t="s">
        <v>778</v>
      </c>
      <c r="B147" s="38" t="s">
        <v>779</v>
      </c>
      <c r="C147" s="17" t="s">
        <v>778</v>
      </c>
      <c r="D147" s="39"/>
      <c r="E147" s="19" t="s">
        <v>61</v>
      </c>
      <c r="F147" s="16" t="str">
        <f>VLOOKUP(E147,'[1]BẢNG MÃ'!$A$2:$B$69,2,0)</f>
        <v>TĐ012</v>
      </c>
      <c r="G147" s="38"/>
      <c r="H147" s="20" t="s">
        <v>62</v>
      </c>
      <c r="I147" s="34" t="s">
        <v>162</v>
      </c>
      <c r="J147" s="16" t="str">
        <f>VLOOKUP(I147,'[1]BẢNG MÃ'!$C$2:$D$69,2,0)</f>
        <v>KP008</v>
      </c>
      <c r="K147" s="16"/>
      <c r="L147" s="16"/>
      <c r="M147" s="23" t="s">
        <v>33</v>
      </c>
      <c r="N147" s="21">
        <f ca="1">VLOOKUP(A147,'[1]Bieu 1a'!$A$8:$AW$855,10,0)</f>
        <v>30</v>
      </c>
      <c r="O147" s="22" t="str">
        <f>VLOOKUP(A147,'[1]Bieu 1a'!$A$8:$AW$855,8,0)</f>
        <v>28/01/1996</v>
      </c>
      <c r="P147" s="22">
        <f>VLOOKUP(A147,'[1]Bieu 1a'!$A$8:$AW$855,9,0)</f>
        <v>0</v>
      </c>
      <c r="Q147" s="23" t="s">
        <v>44</v>
      </c>
      <c r="R147" s="24" t="str">
        <f>VLOOKUP(A147,'[1]Bieu 1a'!$A$8:$AW$855,23,0)</f>
        <v>17/4/2019</v>
      </c>
      <c r="S147" s="25" t="s">
        <v>780</v>
      </c>
      <c r="T147" s="26" t="s">
        <v>781</v>
      </c>
      <c r="U147" s="16"/>
      <c r="V147" s="16" t="str">
        <f>IFERROR(VLOOKUP(A147,'[2]19.6.2026'!$A$9:$L$1111,5,0),"")</f>
        <v>003802/LS-CCHN</v>
      </c>
      <c r="W147" s="16" t="str">
        <f>IFERROR(VLOOKUP(A147,'[2]19.6.2026'!$A$9:$L$1111,6,0),"")</f>
        <v>21/07/2020</v>
      </c>
      <c r="X147" s="16"/>
      <c r="Y147" s="21" t="str">
        <f>IFERROR(VLOOKUP(A147,'[2]19.6.2026'!$A$9:$L$1111,7,0),"")</f>
        <v>Thực hiện phạm vi hoạt động chuyên môn theo quy định tại Thông tư số 26/2015/TTLT-BYT-BNV ngày 07/10/2015 quy định mã số, tiêu chuẩn chức danh nghề nghiệp điều dưỡng, hộ sinh, kỹ thuật y</v>
      </c>
      <c r="Z147" s="16"/>
      <c r="AA147" s="27" t="str">
        <f>IFERROR(VLOOKUP(A147,'[3]DS UPLOAD 2026 (2)'!$A$2:$P$1111,16,0),"")</f>
        <v/>
      </c>
      <c r="AB147" s="27">
        <v>357256307</v>
      </c>
      <c r="AC147" s="29" t="s">
        <v>222</v>
      </c>
    </row>
    <row r="148" spans="1:29" ht="18" customHeight="1" x14ac:dyDescent="0.3">
      <c r="A148" s="17" t="s">
        <v>782</v>
      </c>
      <c r="B148" s="38" t="s">
        <v>783</v>
      </c>
      <c r="C148" s="17" t="s">
        <v>782</v>
      </c>
      <c r="D148" s="19" t="s">
        <v>38</v>
      </c>
      <c r="E148" s="19" t="s">
        <v>61</v>
      </c>
      <c r="F148" s="16" t="str">
        <f>VLOOKUP(E148,'[1]BẢNG MÃ'!$A$2:$B$69,2,0)</f>
        <v>TĐ012</v>
      </c>
      <c r="G148" s="38"/>
      <c r="H148" s="20" t="s">
        <v>62</v>
      </c>
      <c r="I148" s="34" t="s">
        <v>162</v>
      </c>
      <c r="J148" s="16" t="str">
        <f>VLOOKUP(I148,'[1]BẢNG MÃ'!$C$2:$D$69,2,0)</f>
        <v>KP008</v>
      </c>
      <c r="K148" s="16"/>
      <c r="L148" s="16"/>
      <c r="M148" s="23" t="s">
        <v>33</v>
      </c>
      <c r="N148" s="21">
        <f ca="1">VLOOKUP(A148,'[1]Bieu 1a'!$A$8:$AW$855,10,0)</f>
        <v>29</v>
      </c>
      <c r="O148" s="22">
        <f>VLOOKUP(A148,'[1]Bieu 1a'!$A$8:$AW$855,8,0)</f>
        <v>0</v>
      </c>
      <c r="P148" s="22" t="str">
        <f>VLOOKUP(A148,'[1]Bieu 1a'!$A$8:$AW$855,9,0)</f>
        <v>20/05/1997</v>
      </c>
      <c r="Q148" s="23" t="s">
        <v>50</v>
      </c>
      <c r="R148" s="24" t="str">
        <f>VLOOKUP(A148,'[1]Bieu 1a'!$A$8:$AW$855,23,0)</f>
        <v>17/4/2019</v>
      </c>
      <c r="S148" s="25" t="s">
        <v>784</v>
      </c>
      <c r="T148" s="26" t="s">
        <v>785</v>
      </c>
      <c r="U148" s="16"/>
      <c r="V148" s="16" t="str">
        <f>IFERROR(VLOOKUP(A148,'[2]19.6.2026'!$A$9:$L$1111,5,0),"")</f>
        <v>003713/LS-CCHN</v>
      </c>
      <c r="W148" s="16" t="str">
        <f>IFERROR(VLOOKUP(A148,'[2]19.6.2026'!$A$9:$L$1111,6,0),"")</f>
        <v>17/04/2020</v>
      </c>
      <c r="X148" s="16"/>
      <c r="Y148" s="21" t="str">
        <f>IFERROR(VLOOKUP(A148,'[2]19.6.2026'!$A$9:$L$1111,7,0),"")</f>
        <v>Thực hiện phạm vi hoạt động chuyên môn theo quy định tại Thông tư số 26/2015/TTLT-BYT-BNV ngày 07/10/2015 quy định mã số, tiêu chuẩn chức danh nghề nghiệp điều dưỡng, hộ sinh, kỹ thuật y</v>
      </c>
      <c r="Z148" s="16"/>
      <c r="AA148" s="27" t="str">
        <f>IFERROR(VLOOKUP(A148,'[3]DS UPLOAD 2026 (2)'!$A$2:$P$1111,16,0),"")</f>
        <v/>
      </c>
      <c r="AB148" s="27">
        <v>388630958</v>
      </c>
      <c r="AC148" s="29" t="s">
        <v>222</v>
      </c>
    </row>
    <row r="149" spans="1:29" ht="18" customHeight="1" x14ac:dyDescent="0.3">
      <c r="A149" s="17" t="s">
        <v>786</v>
      </c>
      <c r="B149" s="18" t="s">
        <v>787</v>
      </c>
      <c r="C149" s="17" t="s">
        <v>786</v>
      </c>
      <c r="D149" s="19" t="s">
        <v>38</v>
      </c>
      <c r="E149" s="19" t="s">
        <v>61</v>
      </c>
      <c r="F149" s="16" t="str">
        <f>VLOOKUP(E149,'[1]BẢNG MÃ'!$A$2:$B$69,2,0)</f>
        <v>TĐ012</v>
      </c>
      <c r="G149" s="20" t="s">
        <v>62</v>
      </c>
      <c r="H149" s="20" t="s">
        <v>62</v>
      </c>
      <c r="I149" s="34" t="s">
        <v>162</v>
      </c>
      <c r="J149" s="16" t="str">
        <f>VLOOKUP(I149,'[1]BẢNG MÃ'!$C$2:$D$69,2,0)</f>
        <v>KP008</v>
      </c>
      <c r="K149" s="16" t="s">
        <v>43</v>
      </c>
      <c r="L149" s="16">
        <v>0</v>
      </c>
      <c r="M149" s="16" t="s">
        <v>33</v>
      </c>
      <c r="N149" s="21">
        <f ca="1">VLOOKUP(A149,'[1]Bieu 1a'!$A$8:$AW$855,10,0)</f>
        <v>48</v>
      </c>
      <c r="O149" s="22">
        <f>VLOOKUP(A149,'[1]Bieu 1a'!$A$8:$AW$855,8,0)</f>
        <v>0</v>
      </c>
      <c r="P149" s="22">
        <f>VLOOKUP(A149,'[1]Bieu 1a'!$A$8:$AW$855,9,0)</f>
        <v>28432</v>
      </c>
      <c r="Q149" s="23" t="s">
        <v>44</v>
      </c>
      <c r="R149" s="24" t="str">
        <f>VLOOKUP(A149,'[1]Bieu 1a'!$A$8:$AW$855,23,0)</f>
        <v>16/2/2005</v>
      </c>
      <c r="S149" s="25" t="s">
        <v>788</v>
      </c>
      <c r="T149" s="26" t="s">
        <v>770</v>
      </c>
      <c r="U149" s="16"/>
      <c r="V149" s="16" t="str">
        <f>IFERROR(VLOOKUP(A149,'[2]19.6.2026'!$A$9:$L$1111,5,0),"")</f>
        <v>000881/LS-CCHN</v>
      </c>
      <c r="W149" s="16" t="str">
        <f>IFERROR(VLOOKUP(A149,'[2]19.6.2026'!$A$9:$L$1111,6,0),"")</f>
        <v>11/01/2023</v>
      </c>
      <c r="X149" s="16"/>
      <c r="Y149" s="21" t="str">
        <f>IFERROR(VLOOKUP(A149,'[2]19.6.2026'!$A$9:$L$1111,7,0),"")</f>
        <v>Thực hiện phạm vi hoạt động chuyên môn theo Thông tư số 26/2015/TTLT-BYT-BNV ngày 07/10/2015 quy định  mã số, tiêu chuẩn chức danh nghề nghiệp, điều dưỡng, hộ sinh, kỹ thuật y</v>
      </c>
      <c r="Z149" s="16"/>
      <c r="AA149" s="27" t="str">
        <f>IFERROR(VLOOKUP(A149,'[3]DS UPLOAD 2026 (2)'!$A$2:$P$1111,16,0),"")</f>
        <v/>
      </c>
      <c r="AB149" s="27">
        <v>979640396</v>
      </c>
      <c r="AC149" s="28"/>
    </row>
    <row r="150" spans="1:29" ht="18" customHeight="1" x14ac:dyDescent="0.3">
      <c r="A150" s="17" t="s">
        <v>789</v>
      </c>
      <c r="B150" s="36" t="s">
        <v>790</v>
      </c>
      <c r="C150" s="17" t="s">
        <v>789</v>
      </c>
      <c r="D150" s="19" t="s">
        <v>38</v>
      </c>
      <c r="E150" s="19" t="s">
        <v>61</v>
      </c>
      <c r="F150" s="16" t="str">
        <f>VLOOKUP(E150,'[1]BẢNG MÃ'!$A$2:$B$69,2,0)</f>
        <v>TĐ012</v>
      </c>
      <c r="G150" s="20"/>
      <c r="H150" s="20" t="s">
        <v>62</v>
      </c>
      <c r="I150" s="16" t="s">
        <v>162</v>
      </c>
      <c r="J150" s="16" t="str">
        <f>VLOOKUP(I150,'[1]BẢNG MÃ'!$C$2:$D$69,2,0)</f>
        <v>KP008</v>
      </c>
      <c r="K150" s="19"/>
      <c r="L150" s="16"/>
      <c r="M150" s="16" t="s">
        <v>33</v>
      </c>
      <c r="N150" s="21">
        <f ca="1">VLOOKUP(A150,'[1]Bieu 1a'!$A$8:$AW$855,10,0)</f>
        <v>31</v>
      </c>
      <c r="O150" s="22">
        <f>VLOOKUP(A150,'[1]Bieu 1a'!$A$8:$AW$855,8,0)</f>
        <v>0</v>
      </c>
      <c r="P150" s="22" t="str">
        <f>VLOOKUP(A150,'[1]Bieu 1a'!$A$8:$AW$855,9,0)</f>
        <v>09/3/1995</v>
      </c>
      <c r="Q150" s="23" t="s">
        <v>50</v>
      </c>
      <c r="R150" s="24" t="str">
        <f>VLOOKUP(A150,'[1]Bieu 1a'!$A$8:$AW$855,23,0)</f>
        <v>09/11/2020</v>
      </c>
      <c r="S150" s="25" t="s">
        <v>791</v>
      </c>
      <c r="T150" s="26" t="s">
        <v>755</v>
      </c>
      <c r="U150" s="16"/>
      <c r="V150" s="16" t="str">
        <f>IFERROR(VLOOKUP(A150,'[2]19.6.2026'!$A$9:$L$1111,5,0),"")</f>
        <v>004492/LS-CCHN</v>
      </c>
      <c r="W150" s="16" t="str">
        <f>IFERROR(VLOOKUP(A150,'[2]19.6.2026'!$A$9:$L$1111,6,0),"")</f>
        <v>06/04/2022</v>
      </c>
      <c r="X150" s="16"/>
      <c r="Y150" s="21" t="str">
        <f>IFERROR(VLOOKUP(A150,'[2]19.6.2026'!$A$9:$L$1111,7,0),"")</f>
        <v>Thực hiện phạm vi hoạt động chuyên môn theo quy định tại Thông tư số 26/2015/TTLT-BYT-BNV ngày 07/10/2015 quy định mã số, tiêu chuẩn chức danh nghề nghiệp điều dưỡng, hộ sinh, kỹ thuật y</v>
      </c>
      <c r="Z150" s="16"/>
      <c r="AA150" s="27" t="str">
        <f>IFERROR(VLOOKUP(A150,'[3]DS UPLOAD 2026 (2)'!$A$2:$P$1111,16,0),"")</f>
        <v/>
      </c>
      <c r="AB150" s="39" t="s">
        <v>792</v>
      </c>
      <c r="AC150" s="29" t="s">
        <v>97</v>
      </c>
    </row>
    <row r="151" spans="1:29" ht="18" customHeight="1" x14ac:dyDescent="0.3">
      <c r="A151" s="46" t="s">
        <v>793</v>
      </c>
      <c r="B151" s="28" t="s">
        <v>794</v>
      </c>
      <c r="C151" s="47" t="s">
        <v>793</v>
      </c>
      <c r="D151" s="23" t="s">
        <v>38</v>
      </c>
      <c r="E151" s="19" t="s">
        <v>61</v>
      </c>
      <c r="F151" s="16" t="str">
        <f>VLOOKUP(E151,'[1]BẢNG MÃ'!$A$2:$B$69,2,0)</f>
        <v>TĐ012</v>
      </c>
      <c r="G151" s="48"/>
      <c r="H151" s="20" t="s">
        <v>62</v>
      </c>
      <c r="I151" s="19" t="s">
        <v>162</v>
      </c>
      <c r="J151" s="16" t="str">
        <f>VLOOKUP(I151,'[1]BẢNG MÃ'!$C$2:$D$69,2,0)</f>
        <v>KP008</v>
      </c>
      <c r="K151" s="23"/>
      <c r="L151" s="23"/>
      <c r="M151" s="16" t="s">
        <v>33</v>
      </c>
      <c r="N151" s="21">
        <f ca="1">VLOOKUP(A151,'[1]Bieu 1a'!$A$8:$AW$855,10,0)</f>
        <v>34</v>
      </c>
      <c r="O151" s="22">
        <f>VLOOKUP(A151,'[1]Bieu 1a'!$A$8:$AW$855,8,0)</f>
        <v>0</v>
      </c>
      <c r="P151" s="22" t="str">
        <f>VLOOKUP(A151,'[1]Bieu 1a'!$A$8:$AW$855,9,0)</f>
        <v>07/10/1991</v>
      </c>
      <c r="Q151" s="23" t="s">
        <v>50</v>
      </c>
      <c r="R151" s="24">
        <f>VLOOKUP(A151,'[1]Bieu 1a'!$A$8:$AW$855,23,0)</f>
        <v>45597</v>
      </c>
      <c r="S151" s="25" t="s">
        <v>795</v>
      </c>
      <c r="T151" s="26" t="s">
        <v>796</v>
      </c>
      <c r="U151" s="23"/>
      <c r="V151" s="16" t="str">
        <f>IFERROR(VLOOKUP(A151,'[2]19.6.2026'!$A$9:$L$1111,5,0),"")</f>
        <v>000268/LS-GPHN</v>
      </c>
      <c r="W151" s="16">
        <f>IFERROR(VLOOKUP(A151,'[2]19.6.2026'!$A$9:$L$1111,6,0),"")</f>
        <v>45796</v>
      </c>
      <c r="X151" s="19"/>
      <c r="Y151" s="21" t="str">
        <f>IFERROR(VLOOKUP(A151,'[2]19.6.2026'!$A$9:$L$1111,7,0),"")</f>
        <v>Điều dưỡng</v>
      </c>
      <c r="Z151" s="16"/>
      <c r="AA151" s="27" t="str">
        <f>IFERROR(VLOOKUP(A151,'[3]DS UPLOAD 2026 (2)'!$A$2:$P$1111,16,0),"")</f>
        <v/>
      </c>
      <c r="AB151" s="23" t="s">
        <v>797</v>
      </c>
      <c r="AC151" s="29" t="s">
        <v>710</v>
      </c>
    </row>
    <row r="152" spans="1:29" ht="18.75" customHeight="1" x14ac:dyDescent="0.3">
      <c r="A152" s="56" t="s">
        <v>798</v>
      </c>
      <c r="B152" s="61" t="s">
        <v>799</v>
      </c>
      <c r="C152" s="23" t="s">
        <v>798</v>
      </c>
      <c r="D152" s="23" t="s">
        <v>38</v>
      </c>
      <c r="E152" s="27" t="s">
        <v>61</v>
      </c>
      <c r="F152" s="27" t="str">
        <f>VLOOKUP(E152,'[1]BẢNG MÃ'!$A$2:$B$69,2,0)</f>
        <v>TĐ012</v>
      </c>
      <c r="G152" s="48"/>
      <c r="H152" s="20" t="s">
        <v>62</v>
      </c>
      <c r="I152" s="27" t="s">
        <v>162</v>
      </c>
      <c r="J152" s="27" t="str">
        <f>VLOOKUP(I152,'[1]BẢNG MÃ'!$C$2:$D$69,2,0)</f>
        <v>KP008</v>
      </c>
      <c r="K152" s="23"/>
      <c r="L152" s="23"/>
      <c r="M152" s="16" t="s">
        <v>33</v>
      </c>
      <c r="N152" s="21">
        <f ca="1">VLOOKUP(A152,'[1]Bieu 1a'!$A$8:$AW$855,10,0)</f>
        <v>23</v>
      </c>
      <c r="O152" s="22">
        <f>VLOOKUP(A152,'[1]Bieu 1a'!$A$8:$AW$855,8,0)</f>
        <v>0</v>
      </c>
      <c r="P152" s="22" t="str">
        <f>VLOOKUP(A152,'[1]Bieu 1a'!$A$8:$AW$855,9,0)</f>
        <v>19/02/2003</v>
      </c>
      <c r="Q152" s="23" t="s">
        <v>50</v>
      </c>
      <c r="R152" s="24">
        <f>VLOOKUP(A152,'[1]Bieu 1a'!$A$8:$AW$855,23,0)</f>
        <v>45783</v>
      </c>
      <c r="S152" s="25" t="s">
        <v>800</v>
      </c>
      <c r="T152" s="26" t="s">
        <v>785</v>
      </c>
      <c r="U152" s="23"/>
      <c r="V152" s="16" t="str">
        <f>IFERROR(VLOOKUP(A152,'[2]19.6.2026'!$A$9:$L$1111,5,0),"")</f>
        <v>000461/LS-GPHN</v>
      </c>
      <c r="W152" s="16">
        <f>IFERROR(VLOOKUP(A152,'[2]19.6.2026'!$A$9:$L$1111,6,0),"")</f>
        <v>46044</v>
      </c>
      <c r="X152" s="23"/>
      <c r="Y152" s="21" t="str">
        <f>IFERROR(VLOOKUP(A152,'[2]19.6.2026'!$A$9:$L$1111,7,0),"")</f>
        <v>Điều dưỡng</v>
      </c>
      <c r="Z152" s="16"/>
      <c r="AA152" s="27" t="str">
        <f>IFERROR(VLOOKUP(A152,'[3]DS UPLOAD 2026 (2)'!$A$2:$P$1111,16,0),"")</f>
        <v/>
      </c>
      <c r="AB152" s="58" t="s">
        <v>801</v>
      </c>
      <c r="AC152" s="29" t="s">
        <v>802</v>
      </c>
    </row>
    <row r="153" spans="1:29" ht="18" customHeight="1" x14ac:dyDescent="0.3">
      <c r="A153" s="17" t="s">
        <v>803</v>
      </c>
      <c r="B153" s="69" t="s">
        <v>804</v>
      </c>
      <c r="C153" s="17" t="s">
        <v>803</v>
      </c>
      <c r="D153" s="19" t="s">
        <v>38</v>
      </c>
      <c r="E153" s="19" t="s">
        <v>128</v>
      </c>
      <c r="F153" s="16" t="str">
        <f>VLOOKUP(E153,'[1]BẢNG MÃ'!$A$2:$B$69,2,0)</f>
        <v>TĐ047</v>
      </c>
      <c r="G153" s="20"/>
      <c r="H153" s="19" t="s">
        <v>128</v>
      </c>
      <c r="I153" s="34" t="s">
        <v>162</v>
      </c>
      <c r="J153" s="16" t="str">
        <f>VLOOKUP(I153,'[1]BẢNG MÃ'!$C$2:$D$69,2,0)</f>
        <v>KP008</v>
      </c>
      <c r="K153" s="16"/>
      <c r="L153" s="16"/>
      <c r="M153" s="16" t="s">
        <v>136</v>
      </c>
      <c r="N153" s="70">
        <f ca="1">VLOOKUP(A153,'[1]Bieu 1a'!$A$8:$AW$855,10,0)</f>
        <v>36</v>
      </c>
      <c r="O153" s="22">
        <f>VLOOKUP(A153,'[1]Bieu 1a'!$A$8:$AW$855,8,0)</f>
        <v>0</v>
      </c>
      <c r="P153" s="22" t="str">
        <f>VLOOKUP(A153,'[1]Bieu 1a'!$A$8:$AW$855,9,0)</f>
        <v>24/11/1989</v>
      </c>
      <c r="Q153" s="23" t="s">
        <v>44</v>
      </c>
      <c r="R153" s="24" t="str">
        <f>VLOOKUP(A153,'[1]Bieu 1a'!$A$8:$AW$855,23,0)</f>
        <v>02/01/2019</v>
      </c>
      <c r="S153" s="25" t="s">
        <v>805</v>
      </c>
      <c r="T153" s="26" t="s">
        <v>755</v>
      </c>
      <c r="U153" s="16"/>
      <c r="V153" s="16" t="str">
        <f>IFERROR(VLOOKUP(A153,'[2]19.6.2026'!$A$9:$L$1111,5,0),"")</f>
        <v/>
      </c>
      <c r="W153" s="16" t="str">
        <f>IFERROR(VLOOKUP(A153,'[2]19.6.2026'!$A$9:$L$1111,6,0),"")</f>
        <v/>
      </c>
      <c r="X153" s="16"/>
      <c r="Y153" s="21" t="str">
        <f>IFERROR(VLOOKUP(A153,'[2]19.6.2026'!$A$9:$L$1111,7,0),"")</f>
        <v/>
      </c>
      <c r="Z153" s="16"/>
      <c r="AA153" s="27" t="str">
        <f>IFERROR(VLOOKUP(A153,'[3]DS UPLOAD 2026 (2)'!$A$2:$P$1111,16,0),"")</f>
        <v/>
      </c>
      <c r="AB153" s="27">
        <v>365003750</v>
      </c>
      <c r="AC153" s="28" t="s">
        <v>806</v>
      </c>
    </row>
    <row r="154" spans="1:29" ht="18" customHeight="1" x14ac:dyDescent="0.3">
      <c r="A154" s="17" t="s">
        <v>807</v>
      </c>
      <c r="B154" s="29" t="s">
        <v>808</v>
      </c>
      <c r="C154" s="17" t="s">
        <v>807</v>
      </c>
      <c r="D154" s="19"/>
      <c r="E154" s="19" t="s">
        <v>160</v>
      </c>
      <c r="F154" s="16" t="str">
        <f>VLOOKUP(E154,'[1]BẢNG MÃ'!$A$2:$B$69,2,0)</f>
        <v>TĐ003</v>
      </c>
      <c r="G154" s="20" t="s">
        <v>29</v>
      </c>
      <c r="H154" s="20" t="s">
        <v>29</v>
      </c>
      <c r="I154" s="16" t="s">
        <v>498</v>
      </c>
      <c r="J154" s="16" t="str">
        <f>VLOOKUP(I154,'[1]BẢNG MÃ'!$C$2:$D$69,2,0)</f>
        <v>KP009</v>
      </c>
      <c r="K154" s="16" t="s">
        <v>31</v>
      </c>
      <c r="L154" s="16" t="s">
        <v>148</v>
      </c>
      <c r="M154" s="16" t="s">
        <v>33</v>
      </c>
      <c r="N154" s="21">
        <f ca="1">VLOOKUP(A154,'[1]Bieu 1a'!$A$8:$AW$855,10,0)</f>
        <v>44</v>
      </c>
      <c r="O154" s="22">
        <f>VLOOKUP(A154,'[1]Bieu 1a'!$A$8:$AW$855,8,0)</f>
        <v>30015</v>
      </c>
      <c r="P154" s="22">
        <f>VLOOKUP(A154,'[1]Bieu 1a'!$A$8:$AW$855,9,0)</f>
        <v>0</v>
      </c>
      <c r="Q154" s="23" t="s">
        <v>809</v>
      </c>
      <c r="R154" s="24" t="str">
        <f>VLOOKUP(A154,'[1]Bieu 1a'!$A$8:$AW$855,23,0)</f>
        <v>01/12/2008</v>
      </c>
      <c r="S154" s="25" t="s">
        <v>810</v>
      </c>
      <c r="T154" s="26" t="s">
        <v>811</v>
      </c>
      <c r="U154" s="16"/>
      <c r="V154" s="16" t="str">
        <f>IFERROR(VLOOKUP(A154,'[2]19.6.2026'!$A$9:$L$1111,5,0),"")</f>
        <v>000840/LS-CCHN</v>
      </c>
      <c r="W154" s="16" t="str">
        <f>IFERROR(VLOOKUP(A154,'[2]19.6.2026'!$A$9:$L$1111,6,0),"")</f>
        <v>24/06/2013</v>
      </c>
      <c r="X154" s="16"/>
      <c r="Y154" s="21" t="str">
        <f>IFERROR(VLOOKUP(A154,'[2]19.6.2026'!$A$9:$L$1111,7,0),"")</f>
        <v>Khám bệnh chữa bệnh Nội khoa</v>
      </c>
      <c r="Z154" s="16"/>
      <c r="AA154" s="27" t="str">
        <f>IFERROR(VLOOKUP(A154,'[3]DS UPLOAD 2026 (2)'!$A$2:$P$1111,16,0),"")</f>
        <v>01C.1;01.0191;02.0226;01.0172;01.0349;01.0002</v>
      </c>
      <c r="AB154" s="27" t="s">
        <v>812</v>
      </c>
      <c r="AC154" s="28"/>
    </row>
    <row r="155" spans="1:29" ht="18" customHeight="1" x14ac:dyDescent="0.3">
      <c r="A155" s="17" t="s">
        <v>813</v>
      </c>
      <c r="B155" s="29" t="s">
        <v>814</v>
      </c>
      <c r="C155" s="17" t="s">
        <v>813</v>
      </c>
      <c r="D155" s="19"/>
      <c r="E155" s="19" t="s">
        <v>160</v>
      </c>
      <c r="F155" s="16" t="str">
        <f>VLOOKUP(E155,'[1]BẢNG MÃ'!$A$2:$B$69,2,0)</f>
        <v>TĐ003</v>
      </c>
      <c r="G155" s="20" t="s">
        <v>161</v>
      </c>
      <c r="H155" s="20" t="s">
        <v>161</v>
      </c>
      <c r="I155" s="16" t="s">
        <v>498</v>
      </c>
      <c r="J155" s="16" t="str">
        <f>VLOOKUP(I155,'[1]BẢNG MÃ'!$C$2:$D$69,2,0)</f>
        <v>KP009</v>
      </c>
      <c r="K155" s="16" t="s">
        <v>31</v>
      </c>
      <c r="L155" s="16" t="s">
        <v>154</v>
      </c>
      <c r="M155" s="16" t="s">
        <v>33</v>
      </c>
      <c r="N155" s="21">
        <f ca="1">VLOOKUP(A155,'[1]Bieu 1a'!$A$8:$AW$855,10,0)</f>
        <v>42</v>
      </c>
      <c r="O155" s="22">
        <f>VLOOKUP(A155,'[1]Bieu 1a'!$A$8:$AW$855,8,0)</f>
        <v>30519</v>
      </c>
      <c r="P155" s="22">
        <f>VLOOKUP(A155,'[1]Bieu 1a'!$A$8:$AW$855,9,0)</f>
        <v>0</v>
      </c>
      <c r="Q155" s="23" t="s">
        <v>50</v>
      </c>
      <c r="R155" s="24" t="str">
        <f>VLOOKUP(A155,'[1]Bieu 1a'!$A$8:$AW$855,23,0)</f>
        <v>15/1/2010</v>
      </c>
      <c r="S155" s="25" t="s">
        <v>815</v>
      </c>
      <c r="T155" s="26" t="s">
        <v>500</v>
      </c>
      <c r="U155" s="16"/>
      <c r="V155" s="16" t="str">
        <f>IFERROR(VLOOKUP(A155,'[2]19.6.2026'!$A$9:$L$1111,5,0),"")</f>
        <v>000732/LS-CCHN</v>
      </c>
      <c r="W155" s="16" t="str">
        <f>IFERROR(VLOOKUP(A155,'[2]19.6.2026'!$A$9:$L$1111,6,0),"")</f>
        <v>24/06/2013</v>
      </c>
      <c r="X155" s="16"/>
      <c r="Y155" s="21" t="str">
        <f>IFERROR(VLOOKUP(A155,'[2]19.6.2026'!$A$9:$L$1111,7,0),"")</f>
        <v>Khám bệnh chữa bệnh Nội khoa</v>
      </c>
      <c r="Z155" s="16"/>
      <c r="AA155" s="27" t="str">
        <f>IFERROR(VLOOKUP(A155,'[3]DS UPLOAD 2026 (2)'!$A$2:$P$1111,16,0),"")</f>
        <v>01C.1;01.0191;02.0226;01.0172;01.0349;03.0035</v>
      </c>
      <c r="AB155" s="27" t="s">
        <v>816</v>
      </c>
      <c r="AC155" s="28"/>
    </row>
    <row r="156" spans="1:29" ht="18" customHeight="1" x14ac:dyDescent="0.3">
      <c r="A156" s="17" t="s">
        <v>817</v>
      </c>
      <c r="B156" s="38" t="s">
        <v>818</v>
      </c>
      <c r="C156" s="17" t="s">
        <v>817</v>
      </c>
      <c r="D156" s="19" t="s">
        <v>38</v>
      </c>
      <c r="E156" s="19" t="s">
        <v>160</v>
      </c>
      <c r="F156" s="16" t="str">
        <f>VLOOKUP(E156,'[1]BẢNG MÃ'!$A$2:$B$69,2,0)</f>
        <v>TĐ003</v>
      </c>
      <c r="G156" s="20" t="s">
        <v>161</v>
      </c>
      <c r="H156" s="20" t="s">
        <v>161</v>
      </c>
      <c r="I156" s="16" t="s">
        <v>498</v>
      </c>
      <c r="J156" s="16" t="str">
        <f>VLOOKUP(I156,'[1]BẢNG MÃ'!$C$2:$D$69,2,0)</f>
        <v>KP009</v>
      </c>
      <c r="K156" s="16" t="s">
        <v>43</v>
      </c>
      <c r="L156" s="16">
        <v>0</v>
      </c>
      <c r="M156" s="16" t="s">
        <v>33</v>
      </c>
      <c r="N156" s="21">
        <f ca="1">VLOOKUP(A156,'[1]Bieu 1a'!$A$8:$AW$855,10,0)</f>
        <v>35</v>
      </c>
      <c r="O156" s="22">
        <f>VLOOKUP(A156,'[1]Bieu 1a'!$A$8:$AW$855,8,0)</f>
        <v>0</v>
      </c>
      <c r="P156" s="22" t="str">
        <f>VLOOKUP(A156,'[1]Bieu 1a'!$A$8:$AW$855,9,0)</f>
        <v>09/6/1991</v>
      </c>
      <c r="Q156" s="23" t="s">
        <v>50</v>
      </c>
      <c r="R156" s="24" t="str">
        <f>VLOOKUP(A156,'[1]Bieu 1a'!$A$8:$AW$855,23,0)</f>
        <v>01/02/2017</v>
      </c>
      <c r="S156" s="25" t="s">
        <v>819</v>
      </c>
      <c r="T156" s="26" t="s">
        <v>820</v>
      </c>
      <c r="U156" s="16"/>
      <c r="V156" s="16" t="str">
        <f>IFERROR(VLOOKUP(A156,'[2]19.6.2026'!$A$9:$L$1111,5,0),"")</f>
        <v>003678/LS-CCHN</v>
      </c>
      <c r="W156" s="16" t="str">
        <f>IFERROR(VLOOKUP(A156,'[2]19.6.2026'!$A$9:$L$1111,6,0),"")</f>
        <v>22/01/2020</v>
      </c>
      <c r="X156" s="16"/>
      <c r="Y156" s="21" t="str">
        <f>IFERROR(VLOOKUP(A156,'[2]19.6.2026'!$A$9:$L$1111,7,0),"")</f>
        <v>Khám bệnh chữa bệnh Nội khoa</v>
      </c>
      <c r="Z156" s="16"/>
      <c r="AA156" s="27" t="str">
        <f>IFERROR(VLOOKUP(A156,'[3]DS UPLOAD 2026 (2)'!$A$2:$P$1111,16,0),"")</f>
        <v>01C.1;01.0191;02.0226;01.0172;01.0349;03.0035</v>
      </c>
      <c r="AB156" s="27" t="s">
        <v>821</v>
      </c>
      <c r="AC156" s="28" t="s">
        <v>822</v>
      </c>
    </row>
    <row r="157" spans="1:29" ht="18" customHeight="1" x14ac:dyDescent="0.3">
      <c r="A157" s="17" t="s">
        <v>823</v>
      </c>
      <c r="B157" s="40" t="s">
        <v>462</v>
      </c>
      <c r="C157" s="17" t="s">
        <v>823</v>
      </c>
      <c r="D157" s="19" t="s">
        <v>38</v>
      </c>
      <c r="E157" s="19" t="s">
        <v>160</v>
      </c>
      <c r="F157" s="16" t="str">
        <f>VLOOKUP(E157,'[1]BẢNG MÃ'!$A$2:$B$69,2,0)</f>
        <v>TĐ003</v>
      </c>
      <c r="G157" s="20" t="s">
        <v>161</v>
      </c>
      <c r="H157" s="20" t="s">
        <v>161</v>
      </c>
      <c r="I157" s="16" t="s">
        <v>498</v>
      </c>
      <c r="J157" s="16" t="str">
        <f>VLOOKUP(I157,'[1]BẢNG MÃ'!$C$2:$D$69,2,0)</f>
        <v>KP009</v>
      </c>
      <c r="K157" s="16" t="s">
        <v>43</v>
      </c>
      <c r="L157" s="16">
        <v>0</v>
      </c>
      <c r="M157" s="16" t="s">
        <v>33</v>
      </c>
      <c r="N157" s="21">
        <f ca="1">VLOOKUP(A157,'[1]Bieu 1a'!$A$8:$AW$855,10,0)</f>
        <v>37</v>
      </c>
      <c r="O157" s="22">
        <f>VLOOKUP(A157,'[1]Bieu 1a'!$A$8:$AW$855,8,0)</f>
        <v>0</v>
      </c>
      <c r="P157" s="22" t="str">
        <f>VLOOKUP(A157,'[1]Bieu 1a'!$A$8:$AW$855,9,0)</f>
        <v>10/5/1989</v>
      </c>
      <c r="Q157" s="23" t="s">
        <v>44</v>
      </c>
      <c r="R157" s="24" t="str">
        <f>VLOOKUP(A157,'[1]Bieu 1a'!$A$8:$AW$855,23,0)</f>
        <v>10/01/2016</v>
      </c>
      <c r="S157" s="25" t="s">
        <v>824</v>
      </c>
      <c r="T157" s="26" t="s">
        <v>820</v>
      </c>
      <c r="U157" s="16"/>
      <c r="V157" s="16" t="str">
        <f>IFERROR(VLOOKUP(A157,'[2]19.6.2026'!$A$9:$L$1111,5,0),"")</f>
        <v>002149/LS-CCHN</v>
      </c>
      <c r="W157" s="16">
        <f>IFERROR(VLOOKUP(A157,'[2]19.6.2026'!$A$9:$L$1111,6,0),"")</f>
        <v>43070</v>
      </c>
      <c r="X157" s="16"/>
      <c r="Y157" s="21" t="str">
        <f>IFERROR(VLOOKUP(A157,'[2]19.6.2026'!$A$9:$L$1111,7,0),"")</f>
        <v>Khám bệnh chữa bệnh Nội khoa</v>
      </c>
      <c r="Z157" s="16"/>
      <c r="AA157" s="27" t="str">
        <f>IFERROR(VLOOKUP(A157,'[3]DS UPLOAD 2026 (2)'!$A$2:$P$1111,16,0),"")</f>
        <v>01C.1;01.0191;02.0226;01.0172;01.0349;03.0035</v>
      </c>
      <c r="AB157" s="27" t="s">
        <v>825</v>
      </c>
      <c r="AC157" s="28"/>
    </row>
    <row r="158" spans="1:29" ht="18" customHeight="1" x14ac:dyDescent="0.3">
      <c r="A158" s="17" t="s">
        <v>826</v>
      </c>
      <c r="B158" s="71" t="s">
        <v>827</v>
      </c>
      <c r="C158" s="17" t="s">
        <v>826</v>
      </c>
      <c r="D158" s="19" t="s">
        <v>38</v>
      </c>
      <c r="E158" s="19" t="s">
        <v>173</v>
      </c>
      <c r="F158" s="16" t="str">
        <f>VLOOKUP(E158,'[1]BẢNG MÃ'!$A$2:$B$69,2,0)</f>
        <v>TĐ005</v>
      </c>
      <c r="G158" s="20"/>
      <c r="H158" s="23" t="s">
        <v>161</v>
      </c>
      <c r="I158" s="16" t="s">
        <v>498</v>
      </c>
      <c r="J158" s="16" t="str">
        <f>VLOOKUP(I158,'[1]BẢNG MÃ'!$C$2:$D$69,2,0)</f>
        <v>KP009</v>
      </c>
      <c r="K158" s="16"/>
      <c r="L158" s="16"/>
      <c r="M158" s="23" t="s">
        <v>33</v>
      </c>
      <c r="N158" s="21">
        <f ca="1">VLOOKUP(A158,'[1]Bieu 1a'!$A$8:$AW$855,10,0)</f>
        <v>31</v>
      </c>
      <c r="O158" s="22">
        <f>VLOOKUP(A158,'[1]Bieu 1a'!$A$8:$AW$855,8,0)</f>
        <v>0</v>
      </c>
      <c r="P158" s="22" t="str">
        <f>VLOOKUP(A158,'[1]Bieu 1a'!$A$8:$AW$855,9,0)</f>
        <v>26/11/1994</v>
      </c>
      <c r="Q158" s="23" t="s">
        <v>50</v>
      </c>
      <c r="R158" s="24" t="str">
        <f>VLOOKUP(A158,'[1]Bieu 1a'!$A$8:$AW$855,23,0)</f>
        <v>15/8/2019</v>
      </c>
      <c r="S158" s="25" t="s">
        <v>828</v>
      </c>
      <c r="T158" s="26" t="s">
        <v>829</v>
      </c>
      <c r="U158" s="16"/>
      <c r="V158" s="16" t="str">
        <f>IFERROR(VLOOKUP(A158,'[2]19.6.2026'!$A$9:$L$1111,5,0),"")</f>
        <v>004178/LS-CCHN</v>
      </c>
      <c r="W158" s="16" t="str">
        <f>IFERROR(VLOOKUP(A158,'[2]19.6.2026'!$A$9:$L$1111,6,0),"")</f>
        <v>23/04/2021</v>
      </c>
      <c r="X158" s="16"/>
      <c r="Y158" s="21" t="str">
        <f>IFERROR(VLOOKUP(A158,'[2]19.6.2026'!$A$9:$L$1111,7,0),"")</f>
        <v>Khám bệnh chữa bệnh Nội khoa</v>
      </c>
      <c r="Z158" s="16"/>
      <c r="AA158" s="27" t="str">
        <f>IFERROR(VLOOKUP(A158,'[3]DS UPLOAD 2026 (2)'!$A$2:$P$1111,16,0),"")</f>
        <v>01C.1;01.0191;02.0226;01.0172;01.0349;03.0035</v>
      </c>
      <c r="AB158" s="41" t="s">
        <v>830</v>
      </c>
      <c r="AC158" s="29" t="s">
        <v>732</v>
      </c>
    </row>
    <row r="159" spans="1:29" ht="15.75" customHeight="1" x14ac:dyDescent="0.3">
      <c r="A159" s="17" t="s">
        <v>831</v>
      </c>
      <c r="B159" s="18" t="s">
        <v>832</v>
      </c>
      <c r="C159" s="17" t="s">
        <v>831</v>
      </c>
      <c r="D159" s="19" t="s">
        <v>38</v>
      </c>
      <c r="E159" s="19" t="s">
        <v>173</v>
      </c>
      <c r="F159" s="16" t="str">
        <f>VLOOKUP(E159,'[1]BẢNG MÃ'!$A$2:$B$69,2,0)</f>
        <v>TĐ005</v>
      </c>
      <c r="G159" s="60"/>
      <c r="H159" s="23" t="s">
        <v>161</v>
      </c>
      <c r="I159" s="16" t="s">
        <v>294</v>
      </c>
      <c r="J159" s="16" t="str">
        <f>VLOOKUP(I159,'[1]BẢNG MÃ'!$C$2:$D$69,2,0)</f>
        <v>KP002</v>
      </c>
      <c r="K159" s="16"/>
      <c r="L159" s="16"/>
      <c r="M159" s="16" t="s">
        <v>33</v>
      </c>
      <c r="N159" s="21">
        <f ca="1">VLOOKUP(A159,'[1]Bieu 1a'!$A$8:$AW$855,10,0)</f>
        <v>28</v>
      </c>
      <c r="O159" s="22">
        <f>VLOOKUP(A159,'[1]Bieu 1a'!$A$8:$AW$855,8,0)</f>
        <v>0</v>
      </c>
      <c r="P159" s="22" t="str">
        <f>VLOOKUP(A159,'[1]Bieu 1a'!$A$8:$AW$855,9,0)</f>
        <v>13/04/1998</v>
      </c>
      <c r="Q159" s="23" t="s">
        <v>50</v>
      </c>
      <c r="R159" s="24">
        <f>VLOOKUP(A159,'[1]Bieu 1a'!$A$8:$AW$855,23,0)</f>
        <v>45030</v>
      </c>
      <c r="S159" s="25" t="s">
        <v>833</v>
      </c>
      <c r="T159" s="26" t="s">
        <v>248</v>
      </c>
      <c r="U159" s="67">
        <f>EDATE(R159,18)</f>
        <v>45579</v>
      </c>
      <c r="V159" s="16" t="str">
        <f>IFERROR(VLOOKUP(A159,'[2]19.6.2026'!$A$9:$L$1111,5,0),"")</f>
        <v>000067/LS-GPHN</v>
      </c>
      <c r="W159" s="16">
        <f>IFERROR(VLOOKUP(A159,'[2]19.6.2026'!$A$9:$L$1111,6,0),"")</f>
        <v>45472</v>
      </c>
      <c r="X159" s="16"/>
      <c r="Y159" s="21" t="str">
        <f>IFERROR(VLOOKUP(A159,'[2]19.6.2026'!$A$9:$L$1111,7,0),"")</f>
        <v>Chuyên khoa Nội khoa</v>
      </c>
      <c r="Z159" s="16"/>
      <c r="AA159" s="27" t="str">
        <f>IFERROR(VLOOKUP(A159,'[3]DS UPLOAD 2026 (2)'!$A$2:$P$1111,16,0),"")</f>
        <v/>
      </c>
      <c r="AB159" s="27" t="s">
        <v>834</v>
      </c>
      <c r="AC159" s="29" t="s">
        <v>560</v>
      </c>
    </row>
    <row r="160" spans="1:29" ht="18" customHeight="1" x14ac:dyDescent="0.3">
      <c r="A160" s="43" t="s">
        <v>835</v>
      </c>
      <c r="B160" s="44" t="s">
        <v>836</v>
      </c>
      <c r="C160" s="45" t="s">
        <v>835</v>
      </c>
      <c r="D160" s="23" t="s">
        <v>38</v>
      </c>
      <c r="E160" s="23" t="s">
        <v>173</v>
      </c>
      <c r="F160" s="16" t="str">
        <f>VLOOKUP(E160,'[1]BẢNG MÃ'!$A$2:$B$69,2,0)</f>
        <v>TĐ005</v>
      </c>
      <c r="G160" s="27"/>
      <c r="H160" s="23" t="s">
        <v>161</v>
      </c>
      <c r="I160" s="27" t="s">
        <v>498</v>
      </c>
      <c r="J160" s="16" t="str">
        <f>VLOOKUP(I160,'[1]BẢNG MÃ'!$C$2:$D$69,2,0)</f>
        <v>KP009</v>
      </c>
      <c r="K160" s="27"/>
      <c r="L160" s="27"/>
      <c r="M160" s="16" t="s">
        <v>33</v>
      </c>
      <c r="N160" s="21">
        <f ca="1">VLOOKUP(A160,'[1]Bieu 1a'!$A$8:$AW$855,10,0)</f>
        <v>29</v>
      </c>
      <c r="O160" s="22">
        <f>VLOOKUP(A160,'[1]Bieu 1a'!$A$8:$AW$855,8,0)</f>
        <v>0</v>
      </c>
      <c r="P160" s="22" t="str">
        <f>VLOOKUP(A160,'[1]Bieu 1a'!$A$8:$AW$855,9,0)</f>
        <v>21/11/1996</v>
      </c>
      <c r="Q160" s="23" t="s">
        <v>50</v>
      </c>
      <c r="R160" s="24">
        <f>VLOOKUP(A160,'[1]Bieu 1a'!$A$8:$AW$855,23,0)</f>
        <v>45243</v>
      </c>
      <c r="S160" s="25" t="s">
        <v>837</v>
      </c>
      <c r="T160" s="26" t="s">
        <v>820</v>
      </c>
      <c r="U160" s="27"/>
      <c r="V160" s="16" t="str">
        <f>IFERROR(VLOOKUP(A160,'[2]19.6.2026'!$A$9:$L$1111,5,0),"")</f>
        <v>005596/LS-CCHN</v>
      </c>
      <c r="W160" s="16" t="str">
        <f>IFERROR(VLOOKUP(A160,'[2]19.6.2026'!$A$9:$L$1111,6,0),"")</f>
        <v>23/05/2023</v>
      </c>
      <c r="X160" s="16"/>
      <c r="Y160" s="21" t="str">
        <f>IFERROR(VLOOKUP(A160,'[2]19.6.2026'!$A$9:$L$1111,7,0),"")</f>
        <v>Khám bệnh, chữa bệnh chuyên khoa Nội</v>
      </c>
      <c r="Z160" s="16"/>
      <c r="AA160" s="27" t="str">
        <f>IFERROR(VLOOKUP(A160,'[3]DS UPLOAD 2026 (2)'!$A$2:$P$1111,16,0),"")</f>
        <v/>
      </c>
      <c r="AB160" s="44" t="s">
        <v>838</v>
      </c>
      <c r="AC160" s="29" t="s">
        <v>839</v>
      </c>
    </row>
    <row r="161" spans="1:29" ht="18" customHeight="1" x14ac:dyDescent="0.3">
      <c r="A161" s="43" t="s">
        <v>840</v>
      </c>
      <c r="B161" s="44" t="s">
        <v>841</v>
      </c>
      <c r="C161" s="45" t="s">
        <v>840</v>
      </c>
      <c r="D161" s="19" t="s">
        <v>38</v>
      </c>
      <c r="E161" s="19" t="s">
        <v>173</v>
      </c>
      <c r="F161" s="16" t="str">
        <f>VLOOKUP(E161,'[1]BẢNG MÃ'!$A$2:$B$69,2,0)</f>
        <v>TĐ005</v>
      </c>
      <c r="G161" s="16"/>
      <c r="H161" s="23" t="s">
        <v>161</v>
      </c>
      <c r="I161" s="16" t="s">
        <v>294</v>
      </c>
      <c r="J161" s="16" t="str">
        <f>VLOOKUP(I161,'[1]BẢNG MÃ'!$C$2:$D$69,2,0)</f>
        <v>KP002</v>
      </c>
      <c r="K161" s="16"/>
      <c r="L161" s="16"/>
      <c r="M161" s="16" t="s">
        <v>33</v>
      </c>
      <c r="N161" s="21">
        <f ca="1">VLOOKUP(A161,'[1]Bieu 1a'!$A$8:$AW$855,10,0)</f>
        <v>26</v>
      </c>
      <c r="O161" s="22">
        <f>VLOOKUP(A161,'[1]Bieu 1a'!$A$8:$AW$855,8,0)</f>
        <v>0</v>
      </c>
      <c r="P161" s="22" t="str">
        <f>VLOOKUP(A161,'[1]Bieu 1a'!$A$8:$AW$855,9,0)</f>
        <v>8/10/1999</v>
      </c>
      <c r="Q161" s="23" t="s">
        <v>44</v>
      </c>
      <c r="R161" s="24">
        <f>VLOOKUP(A161,'[1]Bieu 1a'!$A$8:$AW$855,23,0)</f>
        <v>45252</v>
      </c>
      <c r="S161" s="25" t="s">
        <v>842</v>
      </c>
      <c r="T161" s="26">
        <v>0</v>
      </c>
      <c r="U161" s="67">
        <f>EDATE(R161,18)</f>
        <v>45799</v>
      </c>
      <c r="V161" s="16" t="str">
        <f>IFERROR(VLOOKUP(A161,'[2]19.6.2026'!$A$9:$L$1111,5,0),"")</f>
        <v>000519/LS-GPHN</v>
      </c>
      <c r="W161" s="16">
        <f>IFERROR(VLOOKUP(A161,'[2]19.6.2026'!$A$9:$L$1111,6,0),"")</f>
        <v>46126</v>
      </c>
      <c r="X161" s="16"/>
      <c r="Y161" s="21" t="str">
        <f>IFERROR(VLOOKUP(A161,'[2]19.6.2026'!$A$9:$L$1111,7,0),"")</f>
        <v>Y khoa</v>
      </c>
      <c r="Z161" s="16"/>
      <c r="AA161" s="27" t="str">
        <f>IFERROR(VLOOKUP(A161,'[3]DS UPLOAD 2026 (2)'!$A$2:$P$1111,16,0),"")</f>
        <v/>
      </c>
      <c r="AB161" s="44" t="s">
        <v>843</v>
      </c>
      <c r="AC161" s="29" t="s">
        <v>213</v>
      </c>
    </row>
    <row r="162" spans="1:29" ht="18" customHeight="1" x14ac:dyDescent="0.3">
      <c r="A162" s="17" t="s">
        <v>844</v>
      </c>
      <c r="B162" s="18" t="s">
        <v>845</v>
      </c>
      <c r="C162" s="17" t="s">
        <v>844</v>
      </c>
      <c r="D162" s="19" t="s">
        <v>38</v>
      </c>
      <c r="E162" s="19" t="s">
        <v>41</v>
      </c>
      <c r="F162" s="16" t="str">
        <f>VLOOKUP(E162,'[1]BẢNG MÃ'!$A$2:$B$69,2,0)</f>
        <v>TĐ011</v>
      </c>
      <c r="G162" s="20" t="s">
        <v>42</v>
      </c>
      <c r="H162" s="20" t="s">
        <v>42</v>
      </c>
      <c r="I162" s="16" t="s">
        <v>498</v>
      </c>
      <c r="J162" s="16" t="str">
        <f>VLOOKUP(I162,'[1]BẢNG MÃ'!$C$2:$D$69,2,0)</f>
        <v>KP009</v>
      </c>
      <c r="K162" s="16" t="s">
        <v>43</v>
      </c>
      <c r="L162" s="16">
        <v>0</v>
      </c>
      <c r="M162" s="16" t="s">
        <v>33</v>
      </c>
      <c r="N162" s="21">
        <f ca="1">VLOOKUP(A162,'[1]Bieu 1a'!$A$8:$AW$855,10,0)</f>
        <v>36</v>
      </c>
      <c r="O162" s="22">
        <f>VLOOKUP(A162,'[1]Bieu 1a'!$A$8:$AW$855,8,0)</f>
        <v>0</v>
      </c>
      <c r="P162" s="22">
        <f>VLOOKUP(A162,'[1]Bieu 1a'!$A$8:$AW$855,9,0)</f>
        <v>32879</v>
      </c>
      <c r="Q162" s="23" t="s">
        <v>809</v>
      </c>
      <c r="R162" s="24" t="str">
        <f>VLOOKUP(A162,'[1]Bieu 1a'!$A$8:$AW$855,23,0)</f>
        <v>10/6/2013</v>
      </c>
      <c r="S162" s="25" t="s">
        <v>846</v>
      </c>
      <c r="T162" s="26" t="s">
        <v>500</v>
      </c>
      <c r="U162" s="16"/>
      <c r="V162" s="16" t="str">
        <f>IFERROR(VLOOKUP(A162,'[2]19.6.2026'!$A$9:$L$1111,5,0),"")</f>
        <v>000394/LS-CCHN</v>
      </c>
      <c r="W162" s="16" t="str">
        <f>IFERROR(VLOOKUP(A162,'[2]19.6.2026'!$A$9:$L$1111,6,0),"")</f>
        <v>01/06/2016</v>
      </c>
      <c r="X162" s="16"/>
      <c r="Y162" s="21" t="str">
        <f>IFERROR(VLOOKUP(A162,'[2]19.6.2026'!$A$9:$L$1111,7,0),"")</f>
        <v>Thực hiện phạm vi hoạt động chuyên môn theo quy định tại Thông tư số 26/2015/TTLT-BYT-BNV ngày 07/10/2015 quy định mã số, tiêu chuẩn chức danh nghề nghiệp điều dưỡng, hộ sinh, kỹ thuật y</v>
      </c>
      <c r="Z162" s="16"/>
      <c r="AA162" s="27" t="str">
        <f>IFERROR(VLOOKUP(A162,'[3]DS UPLOAD 2026 (2)'!$A$2:$P$1111,16,0),"")</f>
        <v/>
      </c>
      <c r="AB162" s="27" t="s">
        <v>847</v>
      </c>
      <c r="AC162" s="51"/>
    </row>
    <row r="163" spans="1:29" ht="18" customHeight="1" x14ac:dyDescent="0.3">
      <c r="A163" s="17" t="s">
        <v>848</v>
      </c>
      <c r="B163" s="72" t="s">
        <v>849</v>
      </c>
      <c r="C163" s="17" t="s">
        <v>848</v>
      </c>
      <c r="D163" s="19" t="s">
        <v>38</v>
      </c>
      <c r="E163" s="30" t="s">
        <v>41</v>
      </c>
      <c r="F163" s="16" t="str">
        <f>VLOOKUP(E163,'[1]BẢNG MÃ'!$A$2:$B$69,2,0)</f>
        <v>TĐ011</v>
      </c>
      <c r="G163" s="31" t="s">
        <v>42</v>
      </c>
      <c r="H163" s="31" t="s">
        <v>42</v>
      </c>
      <c r="I163" s="16" t="s">
        <v>850</v>
      </c>
      <c r="J163" s="16" t="str">
        <f>VLOOKUP(I163,'[1]BẢNG MÃ'!$C$2:$D$69,2,0)</f>
        <v>KP024</v>
      </c>
      <c r="K163" s="16" t="s">
        <v>43</v>
      </c>
      <c r="L163" s="16">
        <v>0</v>
      </c>
      <c r="M163" s="16" t="s">
        <v>33</v>
      </c>
      <c r="N163" s="21">
        <f ca="1">VLOOKUP(A163,'[1]Bieu 1a'!$A$8:$AW$855,10,0)</f>
        <v>43</v>
      </c>
      <c r="O163" s="22">
        <f>VLOOKUP(A163,'[1]Bieu 1a'!$A$8:$AW$855,8,0)</f>
        <v>0</v>
      </c>
      <c r="P163" s="22">
        <f>VLOOKUP(A163,'[1]Bieu 1a'!$A$8:$AW$855,9,0)</f>
        <v>30198</v>
      </c>
      <c r="Q163" s="23" t="s">
        <v>44</v>
      </c>
      <c r="R163" s="24" t="str">
        <f>VLOOKUP(A163,'[1]Bieu 1a'!$A$8:$AW$855,23,0)</f>
        <v>29/12/2008</v>
      </c>
      <c r="S163" s="25" t="s">
        <v>851</v>
      </c>
      <c r="T163" s="26" t="s">
        <v>852</v>
      </c>
      <c r="U163" s="16"/>
      <c r="V163" s="16" t="str">
        <f>IFERROR(VLOOKUP(A163,'[2]19.6.2026'!$A$9:$L$1111,5,0),"")</f>
        <v>000844/LS-CCHN</v>
      </c>
      <c r="W163" s="16" t="str">
        <f>IFERROR(VLOOKUP(A163,'[2]19.6.2026'!$A$9:$L$1111,6,0),"")</f>
        <v>11/01/2023</v>
      </c>
      <c r="X163" s="16"/>
      <c r="Y163" s="21" t="str">
        <f>IFERROR(VLOOKUP(A163,'[2]19.6.2026'!$A$9:$L$1111,7,0),"")</f>
        <v>Thực hiện phạm vi hoạt động chuyên môn theo Thông tư số 26/2015/TTLT-BYT-BNV ngày 07/10/2015 quy định  mã số, tiêu chuẩn chức danh nghề nghiệp, điều dưỡng, hộ sinh, kỹ thuật y</v>
      </c>
      <c r="Z163" s="16"/>
      <c r="AA163" s="27" t="str">
        <f>IFERROR(VLOOKUP(A163,'[3]DS UPLOAD 2026 (2)'!$A$2:$P$1111,16,0),"")</f>
        <v/>
      </c>
      <c r="AB163" s="27" t="s">
        <v>853</v>
      </c>
      <c r="AC163" s="28"/>
    </row>
    <row r="164" spans="1:29" ht="18" customHeight="1" x14ac:dyDescent="0.3">
      <c r="A164" s="17" t="s">
        <v>854</v>
      </c>
      <c r="B164" s="18" t="s">
        <v>855</v>
      </c>
      <c r="C164" s="17" t="s">
        <v>854</v>
      </c>
      <c r="D164" s="19"/>
      <c r="E164" s="30" t="s">
        <v>41</v>
      </c>
      <c r="F164" s="16" t="str">
        <f>VLOOKUP(E164,'[1]BẢNG MÃ'!$A$2:$B$69,2,0)</f>
        <v>TĐ011</v>
      </c>
      <c r="G164" s="31" t="s">
        <v>42</v>
      </c>
      <c r="H164" s="31" t="s">
        <v>42</v>
      </c>
      <c r="I164" s="16" t="s">
        <v>498</v>
      </c>
      <c r="J164" s="16" t="str">
        <f>VLOOKUP(I164,'[1]BẢNG MÃ'!$C$2:$D$69,2,0)</f>
        <v>KP009</v>
      </c>
      <c r="K164" s="16" t="s">
        <v>43</v>
      </c>
      <c r="L164" s="16">
        <v>0</v>
      </c>
      <c r="M164" s="16" t="s">
        <v>33</v>
      </c>
      <c r="N164" s="21">
        <f ca="1">VLOOKUP(A164,'[1]Bieu 1a'!$A$8:$AW$855,10,0)</f>
        <v>47</v>
      </c>
      <c r="O164" s="22">
        <f>VLOOKUP(A164,'[1]Bieu 1a'!$A$8:$AW$855,8,0)</f>
        <v>29028</v>
      </c>
      <c r="P164" s="22">
        <f>VLOOKUP(A164,'[1]Bieu 1a'!$A$8:$AW$855,9,0)</f>
        <v>0</v>
      </c>
      <c r="Q164" s="23" t="s">
        <v>50</v>
      </c>
      <c r="R164" s="24" t="str">
        <f>VLOOKUP(A164,'[1]Bieu 1a'!$A$8:$AW$855,23,0)</f>
        <v>7/11/2006</v>
      </c>
      <c r="S164" s="25" t="s">
        <v>856</v>
      </c>
      <c r="T164" s="26" t="s">
        <v>857</v>
      </c>
      <c r="U164" s="16"/>
      <c r="V164" s="16" t="str">
        <f>IFERROR(VLOOKUP(A164,'[2]19.6.2026'!$A$9:$L$1111,5,0),"")</f>
        <v>000397/LS-CCHN</v>
      </c>
      <c r="W164" s="16" t="str">
        <f>IFERROR(VLOOKUP(A164,'[2]19.6.2026'!$A$9:$L$1111,6,0),"")</f>
        <v>11/01/2023</v>
      </c>
      <c r="X164" s="16"/>
      <c r="Y164" s="21" t="str">
        <f>IFERROR(VLOOKUP(A164,'[2]19.6.2026'!$A$9:$L$1111,7,0),"")</f>
        <v>Thực hiện phạm vi hoạt động chuyên môn theo Thông tư số 26/2015/TTLT-BYT-BNV ngày 07/10/2015 quy định  mã số, tiêu chuẩn chức danh nghề nghiệp, điều dưỡng, hộ sinh, kỹ thuật y</v>
      </c>
      <c r="Z164" s="16"/>
      <c r="AA164" s="27" t="str">
        <f>IFERROR(VLOOKUP(A164,'[3]DS UPLOAD 2026 (2)'!$A$2:$P$1111,16,0),"")</f>
        <v/>
      </c>
      <c r="AB164" s="27" t="s">
        <v>858</v>
      </c>
      <c r="AC164" s="28"/>
    </row>
    <row r="165" spans="1:29" ht="18" customHeight="1" x14ac:dyDescent="0.3">
      <c r="A165" s="17" t="s">
        <v>859</v>
      </c>
      <c r="B165" s="18" t="s">
        <v>860</v>
      </c>
      <c r="C165" s="17" t="s">
        <v>859</v>
      </c>
      <c r="D165" s="19" t="s">
        <v>38</v>
      </c>
      <c r="E165" s="16" t="s">
        <v>41</v>
      </c>
      <c r="F165" s="16" t="str">
        <f>VLOOKUP(E165,'[1]BẢNG MÃ'!$A$2:$B$69,2,0)</f>
        <v>TĐ011</v>
      </c>
      <c r="G165" s="31" t="s">
        <v>42</v>
      </c>
      <c r="H165" s="31" t="s">
        <v>42</v>
      </c>
      <c r="I165" s="16" t="s">
        <v>498</v>
      </c>
      <c r="J165" s="16" t="str">
        <f>VLOOKUP(I165,'[1]BẢNG MÃ'!$C$2:$D$69,2,0)</f>
        <v>KP009</v>
      </c>
      <c r="K165" s="16" t="s">
        <v>31</v>
      </c>
      <c r="L165" s="16" t="s">
        <v>201</v>
      </c>
      <c r="M165" s="16" t="s">
        <v>33</v>
      </c>
      <c r="N165" s="21">
        <f ca="1">VLOOKUP(A165,'[1]Bieu 1a'!$A$8:$AW$855,10,0)</f>
        <v>39</v>
      </c>
      <c r="O165" s="22">
        <f>VLOOKUP(A165,'[1]Bieu 1a'!$A$8:$AW$855,8,0)</f>
        <v>0</v>
      </c>
      <c r="P165" s="22">
        <f>VLOOKUP(A165,'[1]Bieu 1a'!$A$8:$AW$855,9,0)</f>
        <v>31606</v>
      </c>
      <c r="Q165" s="23" t="s">
        <v>44</v>
      </c>
      <c r="R165" s="24" t="str">
        <f>VLOOKUP(A165,'[1]Bieu 1a'!$A$8:$AW$855,23,0)</f>
        <v>1/12/2008</v>
      </c>
      <c r="S165" s="25" t="s">
        <v>861</v>
      </c>
      <c r="T165" s="26" t="s">
        <v>500</v>
      </c>
      <c r="U165" s="16"/>
      <c r="V165" s="16" t="str">
        <f>IFERROR(VLOOKUP(A165,'[2]19.6.2026'!$A$9:$L$1111,5,0),"")</f>
        <v>000937/LS-CCHN</v>
      </c>
      <c r="W165" s="16" t="str">
        <f>IFERROR(VLOOKUP(A165,'[2]19.6.2026'!$A$9:$L$1111,6,0),"")</f>
        <v>11/01/2023</v>
      </c>
      <c r="X165" s="16"/>
      <c r="Y165" s="21" t="str">
        <f>IFERROR(VLOOKUP(A165,'[2]19.6.2026'!$A$9:$L$1111,7,0),"")</f>
        <v>Thực hiện phạm vi hoạt động chuyên môn theo Thông tư số 26/2015/TTLT-BYT-BNV ngày 07/10/2015 quy định  mã số, tiêu chuẩn chức danh nghề nghiệp, điều dưỡng, hộ sinh, kỹ thuật y</v>
      </c>
      <c r="Z165" s="16"/>
      <c r="AA165" s="27" t="str">
        <f>IFERROR(VLOOKUP(A165,'[3]DS UPLOAD 2026 (2)'!$A$2:$P$1111,16,0),"")</f>
        <v/>
      </c>
      <c r="AB165" s="27" t="s">
        <v>862</v>
      </c>
      <c r="AC165" s="28"/>
    </row>
    <row r="166" spans="1:29" ht="15.75" customHeight="1" x14ac:dyDescent="0.3">
      <c r="A166" s="17" t="s">
        <v>863</v>
      </c>
      <c r="B166" s="59" t="s">
        <v>864</v>
      </c>
      <c r="C166" s="17" t="s">
        <v>863</v>
      </c>
      <c r="D166" s="19" t="s">
        <v>38</v>
      </c>
      <c r="E166" s="19" t="s">
        <v>61</v>
      </c>
      <c r="F166" s="16" t="str">
        <f>VLOOKUP(E166,'[1]BẢNG MÃ'!$A$2:$B$69,2,0)</f>
        <v>TĐ012</v>
      </c>
      <c r="G166" s="20"/>
      <c r="H166" s="20" t="s">
        <v>62</v>
      </c>
      <c r="I166" s="16" t="s">
        <v>498</v>
      </c>
      <c r="J166" s="16" t="str">
        <f>VLOOKUP(I166,'[1]BẢNG MÃ'!$C$2:$D$69,2,0)</f>
        <v>KP009</v>
      </c>
      <c r="K166" s="16"/>
      <c r="L166" s="16"/>
      <c r="M166" s="23" t="s">
        <v>33</v>
      </c>
      <c r="N166" s="21">
        <f ca="1">VLOOKUP(A166,'[1]Bieu 1a'!$A$8:$AW$855,10,0)</f>
        <v>32</v>
      </c>
      <c r="O166" s="22">
        <f>VLOOKUP(A166,'[1]Bieu 1a'!$A$8:$AW$855,8,0)</f>
        <v>0</v>
      </c>
      <c r="P166" s="22" t="str">
        <f>VLOOKUP(A166,'[1]Bieu 1a'!$A$8:$AW$855,9,0)</f>
        <v>20/8/1993</v>
      </c>
      <c r="Q166" s="23" t="s">
        <v>809</v>
      </c>
      <c r="R166" s="24" t="str">
        <f>VLOOKUP(A166,'[1]Bieu 1a'!$A$8:$AW$855,23,0)</f>
        <v xml:space="preserve"> 02/10/2017</v>
      </c>
      <c r="S166" s="25" t="s">
        <v>865</v>
      </c>
      <c r="T166" s="26" t="s">
        <v>866</v>
      </c>
      <c r="U166" s="16"/>
      <c r="V166" s="16" t="str">
        <f>IFERROR(VLOOKUP(A166,'[2]19.6.2026'!$A$9:$L$1111,5,0),"")</f>
        <v>003335/LS-CCHN</v>
      </c>
      <c r="W166" s="16" t="str">
        <f>IFERROR(VLOOKUP(A166,'[2]19.6.2026'!$A$9:$L$1111,6,0),"")</f>
        <v>17/08/2018</v>
      </c>
      <c r="X166" s="16"/>
      <c r="Y166" s="21" t="str">
        <f>IFERROR(VLOOKUP(A166,'[2]19.6.2026'!$A$9:$L$1111,7,0),"")</f>
        <v>Thực hiện phạm vi hoạt động chuyên môn theo quy định tại Thông tư số 26/2015/TTLT-BYT-BNV ngày 07/10/2015 quy định mã số, tiêu chuẩn chức danh nghề nghiệp điều dưỡng, hộ sinh, kỹ thuật y</v>
      </c>
      <c r="Z166" s="16"/>
      <c r="AA166" s="27" t="str">
        <f>IFERROR(VLOOKUP(A166,'[3]DS UPLOAD 2026 (2)'!$A$2:$P$1111,16,0),"")</f>
        <v/>
      </c>
      <c r="AB166" s="27" t="s">
        <v>867</v>
      </c>
      <c r="AC166" s="29" t="s">
        <v>868</v>
      </c>
    </row>
    <row r="167" spans="1:29" ht="18" customHeight="1" x14ac:dyDescent="0.3">
      <c r="A167" s="17" t="s">
        <v>869</v>
      </c>
      <c r="B167" s="38" t="s">
        <v>870</v>
      </c>
      <c r="C167" s="17" t="s">
        <v>869</v>
      </c>
      <c r="D167" s="39"/>
      <c r="E167" s="19" t="s">
        <v>61</v>
      </c>
      <c r="F167" s="16" t="str">
        <f>VLOOKUP(E167,'[1]BẢNG MÃ'!$A$2:$B$69,2,0)</f>
        <v>TĐ012</v>
      </c>
      <c r="G167" s="38"/>
      <c r="H167" s="20" t="s">
        <v>62</v>
      </c>
      <c r="I167" s="16" t="s">
        <v>498</v>
      </c>
      <c r="J167" s="16" t="str">
        <f>VLOOKUP(I167,'[1]BẢNG MÃ'!$C$2:$D$69,2,0)</f>
        <v>KP009</v>
      </c>
      <c r="K167" s="16"/>
      <c r="L167" s="16"/>
      <c r="M167" s="16" t="s">
        <v>136</v>
      </c>
      <c r="N167" s="21">
        <f ca="1">VLOOKUP(A167,'[1]Bieu 1a'!$A$8:$AW$855,10,0)</f>
        <v>33</v>
      </c>
      <c r="O167" s="22" t="str">
        <f>VLOOKUP(A167,'[1]Bieu 1a'!$A$8:$AW$855,8,0)</f>
        <v>07/04/1993</v>
      </c>
      <c r="P167" s="22">
        <f>VLOOKUP(A167,'[1]Bieu 1a'!$A$8:$AW$855,9,0)</f>
        <v>0</v>
      </c>
      <c r="Q167" s="23" t="s">
        <v>435</v>
      </c>
      <c r="R167" s="24" t="str">
        <f>VLOOKUP(A167,'[1]Bieu 1a'!$A$8:$AW$855,23,0)</f>
        <v>17/4/2019</v>
      </c>
      <c r="S167" s="25" t="s">
        <v>871</v>
      </c>
      <c r="T167" s="26" t="s">
        <v>500</v>
      </c>
      <c r="U167" s="16"/>
      <c r="V167" s="16" t="str">
        <f>IFERROR(VLOOKUP(A167,'[2]19.6.2026'!$A$9:$L$1111,5,0),"")</f>
        <v>005574/LS-CCHN</v>
      </c>
      <c r="W167" s="16" t="str">
        <f>IFERROR(VLOOKUP(A167,'[2]19.6.2026'!$A$9:$L$1111,6,0),"")</f>
        <v>27/04/2023</v>
      </c>
      <c r="X167" s="16"/>
      <c r="Y167" s="21" t="str">
        <f>IFERROR(VLOOKUP(A167,'[2]19.6.2026'!$A$9:$L$1111,7,0),"")</f>
        <v>Thực hiện phạm vi hoạt động chuyên môn theo Thông tư số 26/2015/TTLT-BYT-BNV ngày 07/10/2015 quy định  mã số, tiêu chuẩn chức danh nghề nghiệp, điều dưỡng, hộ sinh, kỹ thuật y</v>
      </c>
      <c r="Z167" s="16"/>
      <c r="AA167" s="27" t="str">
        <f>IFERROR(VLOOKUP(A167,'[3]DS UPLOAD 2026 (2)'!$A$2:$P$1111,16,0),"")</f>
        <v/>
      </c>
      <c r="AB167" s="27" t="s">
        <v>872</v>
      </c>
      <c r="AC167" s="28" t="s">
        <v>873</v>
      </c>
    </row>
    <row r="168" spans="1:29" ht="18" customHeight="1" x14ac:dyDescent="0.3">
      <c r="A168" s="17" t="s">
        <v>874</v>
      </c>
      <c r="B168" s="38" t="s">
        <v>875</v>
      </c>
      <c r="C168" s="17" t="s">
        <v>874</v>
      </c>
      <c r="D168" s="39"/>
      <c r="E168" s="19" t="s">
        <v>61</v>
      </c>
      <c r="F168" s="16" t="str">
        <f>VLOOKUP(E168,'[1]BẢNG MÃ'!$A$2:$B$69,2,0)</f>
        <v>TĐ012</v>
      </c>
      <c r="G168" s="38"/>
      <c r="H168" s="20" t="s">
        <v>62</v>
      </c>
      <c r="I168" s="16" t="s">
        <v>498</v>
      </c>
      <c r="J168" s="16" t="str">
        <f>VLOOKUP(I168,'[1]BẢNG MÃ'!$C$2:$D$69,2,0)</f>
        <v>KP009</v>
      </c>
      <c r="K168" s="16"/>
      <c r="L168" s="16"/>
      <c r="M168" s="23" t="s">
        <v>33</v>
      </c>
      <c r="N168" s="21">
        <f ca="1">VLOOKUP(A168,'[1]Bieu 1a'!$A$8:$AW$855,10,0)</f>
        <v>31</v>
      </c>
      <c r="O168" s="22" t="str">
        <f>VLOOKUP(A168,'[1]Bieu 1a'!$A$8:$AW$855,8,0)</f>
        <v>15/11/1994</v>
      </c>
      <c r="P168" s="22">
        <f>VLOOKUP(A168,'[1]Bieu 1a'!$A$8:$AW$855,9,0)</f>
        <v>0</v>
      </c>
      <c r="Q168" s="23" t="s">
        <v>50</v>
      </c>
      <c r="R168" s="24" t="str">
        <f>VLOOKUP(A168,'[1]Bieu 1a'!$A$8:$AW$855,23,0)</f>
        <v>17/4/2019</v>
      </c>
      <c r="S168" s="25" t="s">
        <v>876</v>
      </c>
      <c r="T168" s="26" t="s">
        <v>877</v>
      </c>
      <c r="U168" s="16"/>
      <c r="V168" s="16" t="str">
        <f>IFERROR(VLOOKUP(A168,'[2]19.6.2026'!$A$9:$L$1111,5,0),"")</f>
        <v>003726/LS-CCHN</v>
      </c>
      <c r="W168" s="16" t="str">
        <f>IFERROR(VLOOKUP(A168,'[2]19.6.2026'!$A$9:$L$1111,6,0),"")</f>
        <v>22/05/2020</v>
      </c>
      <c r="X168" s="16"/>
      <c r="Y168" s="21" t="str">
        <f>IFERROR(VLOOKUP(A168,'[2]19.6.2026'!$A$9:$L$1111,7,0),"")</f>
        <v>Thực hiện phạm vi hoạt động chuyên môn theo quy định tại Thông tư số 26/2015/TTLT-BYT-BNV ngày 07/10/2015 quy định mã số, tiêu chuẩn chức danh nghề nghiệp điều dưỡng, hộ sinh, kỹ thuật y</v>
      </c>
      <c r="Z168" s="16"/>
      <c r="AA168" s="27" t="str">
        <f>IFERROR(VLOOKUP(A168,'[3]DS UPLOAD 2026 (2)'!$A$2:$P$1111,16,0),"")</f>
        <v/>
      </c>
      <c r="AB168" s="27" t="s">
        <v>878</v>
      </c>
      <c r="AC168" s="29" t="s">
        <v>222</v>
      </c>
    </row>
    <row r="169" spans="1:29" ht="18" customHeight="1" x14ac:dyDescent="0.3">
      <c r="A169" s="29" t="s">
        <v>879</v>
      </c>
      <c r="B169" s="18" t="s">
        <v>880</v>
      </c>
      <c r="C169" s="29" t="s">
        <v>879</v>
      </c>
      <c r="D169" s="19" t="s">
        <v>38</v>
      </c>
      <c r="E169" s="19" t="s">
        <v>61</v>
      </c>
      <c r="F169" s="16" t="str">
        <f>VLOOKUP(E169,'[1]BẢNG MÃ'!$A$2:$B$69,2,0)</f>
        <v>TĐ012</v>
      </c>
      <c r="G169" s="20"/>
      <c r="H169" s="20" t="s">
        <v>62</v>
      </c>
      <c r="I169" s="16" t="s">
        <v>498</v>
      </c>
      <c r="J169" s="16" t="str">
        <f>VLOOKUP(I169,'[1]BẢNG MÃ'!$C$2:$D$69,2,0)</f>
        <v>KP009</v>
      </c>
      <c r="K169" s="16"/>
      <c r="L169" s="16"/>
      <c r="M169" s="16" t="s">
        <v>136</v>
      </c>
      <c r="N169" s="21">
        <f ca="1">VLOOKUP(A169,'[1]Bieu 1a'!$A$8:$AW$855,10,0)</f>
        <v>28</v>
      </c>
      <c r="O169" s="22">
        <f>VLOOKUP(A169,'[1]Bieu 1a'!$A$8:$AW$855,8,0)</f>
        <v>0</v>
      </c>
      <c r="P169" s="22" t="str">
        <f>VLOOKUP(A169,'[1]Bieu 1a'!$A$8:$AW$855,9,0)</f>
        <v>16/11/1997</v>
      </c>
      <c r="Q169" s="23" t="s">
        <v>44</v>
      </c>
      <c r="R169" s="24" t="str">
        <f>VLOOKUP(A169,'[1]Bieu 1a'!$A$8:$AW$855,23,0)</f>
        <v>02/12/2019</v>
      </c>
      <c r="S169" s="25" t="s">
        <v>881</v>
      </c>
      <c r="T169" s="26" t="s">
        <v>882</v>
      </c>
      <c r="U169" s="16"/>
      <c r="V169" s="16" t="str">
        <f>IFERROR(VLOOKUP(A169,'[2]19.6.2026'!$A$9:$L$1111,5,0),"")</f>
        <v>004330/LS-CCHN</v>
      </c>
      <c r="W169" s="16" t="str">
        <f>IFERROR(VLOOKUP(A169,'[2]19.6.2026'!$A$9:$L$1111,6,0),"")</f>
        <v>20/07/2021</v>
      </c>
      <c r="X169" s="16"/>
      <c r="Y169" s="21" t="str">
        <f>IFERROR(VLOOKUP(A169,'[2]19.6.2026'!$A$9:$L$1111,7,0),"")</f>
        <v>Thực hiện phạm vi hoạt động chuyên môn theo quy định tại Thông tư số 26/2015/TTLT-BYT-BNV ngày 07/10/2015 quy định mã số, tiêu chuẩn chức danh nghề nghiệp điều dưỡng, hộ sinh, kỹ thuật y</v>
      </c>
      <c r="Z169" s="16"/>
      <c r="AA169" s="27" t="str">
        <f>IFERROR(VLOOKUP(A169,'[3]DS UPLOAD 2026 (2)'!$A$2:$P$1111,16,0),"")</f>
        <v/>
      </c>
      <c r="AB169" s="27"/>
      <c r="AC169" s="28" t="s">
        <v>671</v>
      </c>
    </row>
    <row r="170" spans="1:29" ht="18" customHeight="1" x14ac:dyDescent="0.3">
      <c r="A170" s="17" t="s">
        <v>883</v>
      </c>
      <c r="B170" s="18" t="s">
        <v>884</v>
      </c>
      <c r="C170" s="17" t="s">
        <v>883</v>
      </c>
      <c r="D170" s="19" t="s">
        <v>38</v>
      </c>
      <c r="E170" s="19" t="s">
        <v>61</v>
      </c>
      <c r="F170" s="16" t="str">
        <f>VLOOKUP(E170,'[1]BẢNG MÃ'!$A$2:$B$69,2,0)</f>
        <v>TĐ012</v>
      </c>
      <c r="G170" s="20" t="s">
        <v>62</v>
      </c>
      <c r="H170" s="20" t="s">
        <v>62</v>
      </c>
      <c r="I170" s="16" t="s">
        <v>498</v>
      </c>
      <c r="J170" s="16" t="str">
        <f>VLOOKUP(I170,'[1]BẢNG MÃ'!$C$2:$D$69,2,0)</f>
        <v>KP009</v>
      </c>
      <c r="K170" s="16" t="s">
        <v>43</v>
      </c>
      <c r="L170" s="16">
        <v>0</v>
      </c>
      <c r="M170" s="16" t="s">
        <v>33</v>
      </c>
      <c r="N170" s="21">
        <f ca="1">VLOOKUP(A170,'[1]Bieu 1a'!$A$8:$AW$855,10,0)</f>
        <v>41</v>
      </c>
      <c r="O170" s="22">
        <f>VLOOKUP(A170,'[1]Bieu 1a'!$A$8:$AW$855,8,0)</f>
        <v>0</v>
      </c>
      <c r="P170" s="22">
        <f>VLOOKUP(A170,'[1]Bieu 1a'!$A$8:$AW$855,9,0)</f>
        <v>31186</v>
      </c>
      <c r="Q170" s="23" t="s">
        <v>44</v>
      </c>
      <c r="R170" s="24" t="str">
        <f>VLOOKUP(A170,'[1]Bieu 1a'!$A$8:$AW$855,23,0)</f>
        <v>8/12/2008</v>
      </c>
      <c r="S170" s="25" t="s">
        <v>885</v>
      </c>
      <c r="T170" s="26" t="s">
        <v>886</v>
      </c>
      <c r="U170" s="16"/>
      <c r="V170" s="16" t="str">
        <f>IFERROR(VLOOKUP(A170,'[2]19.6.2026'!$A$9:$L$1111,5,0),"")</f>
        <v>000842/LS-CCHN</v>
      </c>
      <c r="W170" s="16" t="str">
        <f>IFERROR(VLOOKUP(A170,'[2]19.6.2026'!$A$9:$L$1111,6,0),"")</f>
        <v>11/01/2023</v>
      </c>
      <c r="X170" s="16"/>
      <c r="Y170" s="21" t="str">
        <f>IFERROR(VLOOKUP(A170,'[2]19.6.2026'!$A$9:$L$1111,7,0),"")</f>
        <v>Thực hiện phạm vi hoạt động chuyên môn theo Thông tư số 26/2015/TTLT-BYT-BNV ngày 07/10/2015 quy định  mã số, tiêu chuẩn chức danh nghề nghiệp, điều dưỡng, hộ sinh, kỹ thuật y</v>
      </c>
      <c r="Z170" s="16"/>
      <c r="AA170" s="27" t="str">
        <f>IFERROR(VLOOKUP(A170,'[3]DS UPLOAD 2026 (2)'!$A$2:$P$1111,16,0),"")</f>
        <v/>
      </c>
      <c r="AB170" s="27" t="s">
        <v>887</v>
      </c>
      <c r="AC170" s="28"/>
    </row>
    <row r="171" spans="1:29" ht="18" customHeight="1" x14ac:dyDescent="0.3">
      <c r="A171" s="17" t="s">
        <v>888</v>
      </c>
      <c r="B171" s="29" t="s">
        <v>889</v>
      </c>
      <c r="C171" s="17" t="s">
        <v>888</v>
      </c>
      <c r="D171" s="53" t="s">
        <v>38</v>
      </c>
      <c r="E171" s="19" t="s">
        <v>61</v>
      </c>
      <c r="F171" s="16" t="str">
        <f>VLOOKUP(E171,'[1]BẢNG MÃ'!$A$2:$B$69,2,0)</f>
        <v>TĐ012</v>
      </c>
      <c r="G171" s="20"/>
      <c r="H171" s="20" t="s">
        <v>62</v>
      </c>
      <c r="I171" s="16" t="s">
        <v>498</v>
      </c>
      <c r="J171" s="16" t="str">
        <f>VLOOKUP(I171,'[1]BẢNG MÃ'!$C$2:$D$69,2,0)</f>
        <v>KP009</v>
      </c>
      <c r="K171" s="16"/>
      <c r="L171" s="16"/>
      <c r="M171" s="16" t="s">
        <v>136</v>
      </c>
      <c r="N171" s="21">
        <f ca="1">VLOOKUP(A171,'[1]Bieu 1a'!$A$8:$AW$855,10,0)</f>
        <v>30</v>
      </c>
      <c r="O171" s="22">
        <f>VLOOKUP(A171,'[1]Bieu 1a'!$A$8:$AW$855,8,0)</f>
        <v>0</v>
      </c>
      <c r="P171" s="22" t="str">
        <f>VLOOKUP(A171,'[1]Bieu 1a'!$A$8:$AW$855,9,0)</f>
        <v>01/6/1996</v>
      </c>
      <c r="Q171" s="23" t="s">
        <v>44</v>
      </c>
      <c r="R171" s="24" t="str">
        <f>VLOOKUP(A171,'[1]Bieu 1a'!$A$8:$AW$855,23,0)</f>
        <v>13/7/2020</v>
      </c>
      <c r="S171" s="25" t="s">
        <v>890</v>
      </c>
      <c r="T171" s="26" t="s">
        <v>891</v>
      </c>
      <c r="U171" s="16"/>
      <c r="V171" s="16" t="str">
        <f>IFERROR(VLOOKUP(A171,'[2]19.6.2026'!$A$9:$L$1111,5,0),"")</f>
        <v>005497/LS-CCHN</v>
      </c>
      <c r="W171" s="16" t="str">
        <f>IFERROR(VLOOKUP(A171,'[2]19.6.2026'!$A$9:$L$1111,6,0),"")</f>
        <v>16/11/2022</v>
      </c>
      <c r="X171" s="16"/>
      <c r="Y171" s="21" t="str">
        <f>IFERROR(VLOOKUP(A171,'[2]19.6.2026'!$A$9:$L$1111,7,0),"")</f>
        <v>Thực hiện phạm vi hoạt động chuyên môn theo quy định tại Thông tư số 26/2015/TTLT-BYT-BNV ngày 07/10/2015 quy định mã số, tiêu chuẩn chức danh nghề nghiệp điều dưỡng, hộ sinh, kỹ thuật y</v>
      </c>
      <c r="Z171" s="16"/>
      <c r="AA171" s="27" t="str">
        <f>IFERROR(VLOOKUP(A171,'[3]DS UPLOAD 2026 (2)'!$A$2:$P$1111,16,0),"")</f>
        <v/>
      </c>
      <c r="AB171" s="50" t="s">
        <v>892</v>
      </c>
      <c r="AC171" s="29" t="s">
        <v>893</v>
      </c>
    </row>
    <row r="172" spans="1:29" ht="18" customHeight="1" x14ac:dyDescent="0.3">
      <c r="A172" s="17" t="s">
        <v>894</v>
      </c>
      <c r="B172" s="36" t="s">
        <v>895</v>
      </c>
      <c r="C172" s="17" t="s">
        <v>894</v>
      </c>
      <c r="D172" s="19" t="s">
        <v>38</v>
      </c>
      <c r="E172" s="19" t="s">
        <v>61</v>
      </c>
      <c r="F172" s="16" t="str">
        <f>VLOOKUP(E172,'[1]BẢNG MÃ'!$A$2:$B$69,2,0)</f>
        <v>TĐ012</v>
      </c>
      <c r="G172" s="20"/>
      <c r="H172" s="20" t="s">
        <v>62</v>
      </c>
      <c r="I172" s="16" t="s">
        <v>498</v>
      </c>
      <c r="J172" s="16" t="str">
        <f>VLOOKUP(I172,'[1]BẢNG MÃ'!$C$2:$D$69,2,0)</f>
        <v>KP009</v>
      </c>
      <c r="K172" s="19"/>
      <c r="L172" s="16"/>
      <c r="M172" s="16" t="s">
        <v>33</v>
      </c>
      <c r="N172" s="21">
        <f ca="1">VLOOKUP(A172,'[1]Bieu 1a'!$A$8:$AW$855,10,0)</f>
        <v>33</v>
      </c>
      <c r="O172" s="22">
        <f>VLOOKUP(A172,'[1]Bieu 1a'!$A$8:$AW$855,8,0)</f>
        <v>0</v>
      </c>
      <c r="P172" s="22" t="str">
        <f>VLOOKUP(A172,'[1]Bieu 1a'!$A$8:$AW$855,9,0)</f>
        <v>08/01/1993</v>
      </c>
      <c r="Q172" s="23" t="s">
        <v>44</v>
      </c>
      <c r="R172" s="24" t="str">
        <f>VLOOKUP(A172,'[1]Bieu 1a'!$A$8:$AW$855,23,0)</f>
        <v>03/11/2020</v>
      </c>
      <c r="S172" s="25" t="s">
        <v>896</v>
      </c>
      <c r="T172" s="26" t="s">
        <v>796</v>
      </c>
      <c r="U172" s="16"/>
      <c r="V172" s="16" t="str">
        <f>IFERROR(VLOOKUP(A172,'[2]19.6.2026'!$A$9:$L$1111,5,0),"")</f>
        <v>004487/LS-CCHN</v>
      </c>
      <c r="W172" s="16" t="str">
        <f>IFERROR(VLOOKUP(A172,'[2]19.6.2026'!$A$9:$L$1111,6,0),"")</f>
        <v>14/03/2022</v>
      </c>
      <c r="X172" s="16"/>
      <c r="Y172" s="21" t="str">
        <f>IFERROR(VLOOKUP(A172,'[2]19.6.2026'!$A$9:$L$1111,7,0),"")</f>
        <v>Thực hiện phạm vi hoạt động chuyên môn theo quy định tại Thông tư số 26/2015/TTLT-BYT-BNV ngày 07/10/2015 quy định mã số, tiêu chuẩn chức danh nghề nghiệp điều dưỡng, hộ sinh, kỹ thuật y</v>
      </c>
      <c r="Z172" s="16"/>
      <c r="AA172" s="27" t="str">
        <f>IFERROR(VLOOKUP(A172,'[3]DS UPLOAD 2026 (2)'!$A$2:$P$1111,16,0),"")</f>
        <v/>
      </c>
      <c r="AB172" s="39" t="s">
        <v>897</v>
      </c>
      <c r="AC172" s="29" t="s">
        <v>97</v>
      </c>
    </row>
    <row r="173" spans="1:29" ht="18" customHeight="1" x14ac:dyDescent="0.3">
      <c r="A173" s="17" t="s">
        <v>898</v>
      </c>
      <c r="B173" s="18" t="s">
        <v>899</v>
      </c>
      <c r="C173" s="17" t="s">
        <v>898</v>
      </c>
      <c r="D173" s="19" t="s">
        <v>38</v>
      </c>
      <c r="E173" s="19" t="s">
        <v>61</v>
      </c>
      <c r="F173" s="16" t="str">
        <f>VLOOKUP(E173,'[1]BẢNG MÃ'!$A$2:$B$69,2,0)</f>
        <v>TĐ012</v>
      </c>
      <c r="G173" s="20" t="s">
        <v>62</v>
      </c>
      <c r="H173" s="20" t="s">
        <v>62</v>
      </c>
      <c r="I173" s="16" t="s">
        <v>498</v>
      </c>
      <c r="J173" s="16" t="str">
        <f>VLOOKUP(I173,'[1]BẢNG MÃ'!$C$2:$D$69,2,0)</f>
        <v>KP009</v>
      </c>
      <c r="K173" s="16" t="s">
        <v>43</v>
      </c>
      <c r="L173" s="16">
        <v>0</v>
      </c>
      <c r="M173" s="16" t="s">
        <v>33</v>
      </c>
      <c r="N173" s="21">
        <f ca="1">VLOOKUP(A173,'[1]Bieu 1a'!$A$8:$AW$855,10,0)</f>
        <v>40</v>
      </c>
      <c r="O173" s="22">
        <f>VLOOKUP(A173,'[1]Bieu 1a'!$A$8:$AW$855,8,0)</f>
        <v>0</v>
      </c>
      <c r="P173" s="22">
        <f>VLOOKUP(A173,'[1]Bieu 1a'!$A$8:$AW$855,9,0)</f>
        <v>31493</v>
      </c>
      <c r="Q173" s="23" t="s">
        <v>50</v>
      </c>
      <c r="R173" s="24" t="str">
        <f>VLOOKUP(A173,'[1]Bieu 1a'!$A$8:$AW$855,23,0)</f>
        <v>15/1/2010</v>
      </c>
      <c r="S173" s="25" t="s">
        <v>900</v>
      </c>
      <c r="T173" s="26" t="s">
        <v>886</v>
      </c>
      <c r="U173" s="16"/>
      <c r="V173" s="16" t="str">
        <f>IFERROR(VLOOKUP(A173,'[2]19.6.2026'!$A$9:$L$1111,5,0),"")</f>
        <v>000843/LS-CCHN</v>
      </c>
      <c r="W173" s="16" t="str">
        <f>IFERROR(VLOOKUP(A173,'[2]19.6.2026'!$A$9:$L$1111,6,0),"")</f>
        <v>11/01/2023</v>
      </c>
      <c r="X173" s="16"/>
      <c r="Y173" s="21" t="str">
        <f>IFERROR(VLOOKUP(A173,'[2]19.6.2026'!$A$9:$L$1111,7,0),"")</f>
        <v>Thực hiện phạm vi hoạt động chuyên môn theo Thông tư số 26/2015/TTLT-BYT-BNV ngày 07/10/2015 quy định  mã số, tiêu chuẩn chức danh nghề nghiệp, điều dưỡng, hộ sinh, kỹ thuật y</v>
      </c>
      <c r="Z173" s="16"/>
      <c r="AA173" s="27" t="str">
        <f>IFERROR(VLOOKUP(A173,'[3]DS UPLOAD 2026 (2)'!$A$2:$P$1111,16,0),"")</f>
        <v/>
      </c>
      <c r="AB173" s="27" t="s">
        <v>901</v>
      </c>
      <c r="AC173" s="28"/>
    </row>
    <row r="174" spans="1:29" ht="18" customHeight="1" x14ac:dyDescent="0.3">
      <c r="A174" s="17" t="s">
        <v>902</v>
      </c>
      <c r="B174" s="18" t="s">
        <v>903</v>
      </c>
      <c r="C174" s="17" t="s">
        <v>902</v>
      </c>
      <c r="D174" s="19"/>
      <c r="E174" s="19" t="s">
        <v>61</v>
      </c>
      <c r="F174" s="16" t="str">
        <f>VLOOKUP(E174,'[1]BẢNG MÃ'!$A$2:$B$69,2,0)</f>
        <v>TĐ012</v>
      </c>
      <c r="G174" s="20" t="s">
        <v>62</v>
      </c>
      <c r="H174" s="20" t="s">
        <v>62</v>
      </c>
      <c r="I174" s="16" t="s">
        <v>498</v>
      </c>
      <c r="J174" s="16" t="str">
        <f>VLOOKUP(I174,'[1]BẢNG MÃ'!$C$2:$D$69,2,0)</f>
        <v>KP009</v>
      </c>
      <c r="K174" s="16" t="s">
        <v>43</v>
      </c>
      <c r="L174" s="16">
        <v>0</v>
      </c>
      <c r="M174" s="16" t="s">
        <v>33</v>
      </c>
      <c r="N174" s="21">
        <f ca="1">VLOOKUP(A174,'[1]Bieu 1a'!$A$8:$AW$855,10,0)</f>
        <v>42</v>
      </c>
      <c r="O174" s="22">
        <f>VLOOKUP(A174,'[1]Bieu 1a'!$A$8:$AW$855,8,0)</f>
        <v>30829</v>
      </c>
      <c r="P174" s="22">
        <f>VLOOKUP(A174,'[1]Bieu 1a'!$A$8:$AW$855,9,0)</f>
        <v>0</v>
      </c>
      <c r="Q174" s="23" t="s">
        <v>50</v>
      </c>
      <c r="R174" s="24" t="str">
        <f>VLOOKUP(A174,'[1]Bieu 1a'!$A$8:$AW$855,23,0)</f>
        <v>1/12/2010</v>
      </c>
      <c r="S174" s="25" t="s">
        <v>904</v>
      </c>
      <c r="T174" s="26" t="s">
        <v>905</v>
      </c>
      <c r="U174" s="16"/>
      <c r="V174" s="16" t="str">
        <f>IFERROR(VLOOKUP(A174,'[2]19.6.2026'!$A$9:$L$1111,5,0),"")</f>
        <v>000847/LS-CCHN</v>
      </c>
      <c r="W174" s="16" t="str">
        <f>IFERROR(VLOOKUP(A174,'[2]19.6.2026'!$A$9:$L$1111,6,0),"")</f>
        <v>11/01/2023</v>
      </c>
      <c r="X174" s="16"/>
      <c r="Y174" s="21" t="str">
        <f>IFERROR(VLOOKUP(A174,'[2]19.6.2026'!$A$9:$L$1111,7,0),"")</f>
        <v>Thực hiện phạm vi hoạt động chuyên môn theo Thông tư số 26/2015/TTLT-BYT-BNV ngày 07/10/2015 quy định  mã số, tiêu chuẩn chức danh nghề nghiệp, điều dưỡng, hộ sinh, kỹ thuật y</v>
      </c>
      <c r="Z174" s="16"/>
      <c r="AA174" s="27" t="str">
        <f>IFERROR(VLOOKUP(A174,'[3]DS UPLOAD 2026 (2)'!$A$2:$P$1111,16,0),"")</f>
        <v/>
      </c>
      <c r="AB174" s="27" t="s">
        <v>906</v>
      </c>
      <c r="AC174" s="28"/>
    </row>
    <row r="175" spans="1:29" ht="18" customHeight="1" x14ac:dyDescent="0.3">
      <c r="A175" s="17" t="s">
        <v>907</v>
      </c>
      <c r="B175" s="36" t="s">
        <v>908</v>
      </c>
      <c r="C175" s="17" t="s">
        <v>907</v>
      </c>
      <c r="D175" s="53" t="s">
        <v>38</v>
      </c>
      <c r="E175" s="19" t="s">
        <v>61</v>
      </c>
      <c r="F175" s="16" t="str">
        <f>VLOOKUP(E175,'[1]BẢNG MÃ'!$A$2:$B$69,2,0)</f>
        <v>TĐ012</v>
      </c>
      <c r="G175" s="20"/>
      <c r="H175" s="20" t="s">
        <v>62</v>
      </c>
      <c r="I175" s="16" t="s">
        <v>498</v>
      </c>
      <c r="J175" s="16" t="str">
        <f>VLOOKUP(I175,'[1]BẢNG MÃ'!$C$2:$D$69,2,0)</f>
        <v>KP009</v>
      </c>
      <c r="K175" s="16"/>
      <c r="L175" s="16"/>
      <c r="M175" s="16" t="s">
        <v>33</v>
      </c>
      <c r="N175" s="21">
        <f ca="1">VLOOKUP(A175,'[1]Bieu 1a'!$A$8:$AW$855,10,0)</f>
        <v>33</v>
      </c>
      <c r="O175" s="22">
        <f>VLOOKUP(A175,'[1]Bieu 1a'!$A$8:$AW$855,8,0)</f>
        <v>0</v>
      </c>
      <c r="P175" s="22" t="str">
        <f>VLOOKUP(A175,'[1]Bieu 1a'!$A$8:$AW$855,9,0)</f>
        <v>26/9/1992</v>
      </c>
      <c r="Q175" s="23" t="s">
        <v>50</v>
      </c>
      <c r="R175" s="24" t="str">
        <f>VLOOKUP(A175,'[1]Bieu 1a'!$A$8:$AW$855,23,0)</f>
        <v>23/8/2021</v>
      </c>
      <c r="S175" s="25" t="s">
        <v>909</v>
      </c>
      <c r="T175" s="26" t="s">
        <v>886</v>
      </c>
      <c r="U175" s="16"/>
      <c r="V175" s="16" t="str">
        <f>IFERROR(VLOOKUP(A175,'[2]19.6.2026'!$A$9:$L$1111,5,0),"")</f>
        <v>000342/LS-CCHN</v>
      </c>
      <c r="W175" s="16" t="str">
        <f>IFERROR(VLOOKUP(A175,'[2]19.6.2026'!$A$9:$L$1111,6,0),"")</f>
        <v>11/01/2023</v>
      </c>
      <c r="X175" s="16"/>
      <c r="Y175" s="21" t="str">
        <f>IFERROR(VLOOKUP(A175,'[2]19.6.2026'!$A$9:$L$1111,7,0),"")</f>
        <v>Thực hiện phạm vi hoạt động chuyên môn theo Thông tư số 26/2015/TTLT-BYT-BNV ngày 07/10/2015 quy định  mã số, tiêu chuẩn chức danh nghề nghiệp, điều dưỡng, hộ sinh, kỹ thuật y</v>
      </c>
      <c r="Z175" s="16"/>
      <c r="AA175" s="27" t="str">
        <f>IFERROR(VLOOKUP(A175,'[3]DS UPLOAD 2026 (2)'!$A$2:$P$1111,16,0),"")</f>
        <v/>
      </c>
      <c r="AB175" s="39" t="s">
        <v>910</v>
      </c>
      <c r="AC175" s="29" t="s">
        <v>612</v>
      </c>
    </row>
    <row r="176" spans="1:29" ht="18" customHeight="1" x14ac:dyDescent="0.3">
      <c r="A176" s="17" t="s">
        <v>911</v>
      </c>
      <c r="B176" s="18" t="s">
        <v>912</v>
      </c>
      <c r="C176" s="17" t="s">
        <v>911</v>
      </c>
      <c r="D176" s="19" t="s">
        <v>38</v>
      </c>
      <c r="E176" s="19" t="s">
        <v>61</v>
      </c>
      <c r="F176" s="16" t="str">
        <f>VLOOKUP(E176,'[1]BẢNG MÃ'!$A$2:$B$69,2,0)</f>
        <v>TĐ012</v>
      </c>
      <c r="G176" s="20" t="s">
        <v>62</v>
      </c>
      <c r="H176" s="20" t="s">
        <v>62</v>
      </c>
      <c r="I176" s="16" t="s">
        <v>498</v>
      </c>
      <c r="J176" s="16" t="str">
        <f>VLOOKUP(I176,'[1]BẢNG MÃ'!$C$2:$D$69,2,0)</f>
        <v>KP009</v>
      </c>
      <c r="K176" s="16" t="s">
        <v>43</v>
      </c>
      <c r="L176" s="16">
        <v>0</v>
      </c>
      <c r="M176" s="16" t="s">
        <v>33</v>
      </c>
      <c r="N176" s="21">
        <f ca="1">VLOOKUP(A176,'[1]Bieu 1a'!$A$8:$AW$855,10,0)</f>
        <v>40</v>
      </c>
      <c r="O176" s="22">
        <f>VLOOKUP(A176,'[1]Bieu 1a'!$A$8:$AW$855,8,0)</f>
        <v>0</v>
      </c>
      <c r="P176" s="22">
        <f>VLOOKUP(A176,'[1]Bieu 1a'!$A$8:$AW$855,9,0)</f>
        <v>31315</v>
      </c>
      <c r="Q176" s="23" t="s">
        <v>44</v>
      </c>
      <c r="R176" s="24" t="str">
        <f>VLOOKUP(A176,'[1]Bieu 1a'!$A$8:$AW$855,23,0)</f>
        <v>1/12/2008</v>
      </c>
      <c r="S176" s="25" t="s">
        <v>913</v>
      </c>
      <c r="T176" s="26" t="s">
        <v>886</v>
      </c>
      <c r="U176" s="16"/>
      <c r="V176" s="16" t="str">
        <f>IFERROR(VLOOKUP(A176,'[2]19.6.2026'!$A$9:$L$1111,5,0),"")</f>
        <v>000807/LS-CCHN</v>
      </c>
      <c r="W176" s="16" t="str">
        <f>IFERROR(VLOOKUP(A176,'[2]19.6.2026'!$A$9:$L$1111,6,0),"")</f>
        <v>11/01/2023</v>
      </c>
      <c r="X176" s="16"/>
      <c r="Y176" s="21" t="str">
        <f>IFERROR(VLOOKUP(A176,'[2]19.6.2026'!$A$9:$L$1111,7,0),"")</f>
        <v>Thực hiện phạm vi hoạt động chuyên môn theo Thông tư số 26/2015/TTLT-BYT-BNV ngày 07/10/2015 quy định  mã số, tiêu chuẩn chức danh nghề nghiệp, điều dưỡng, hộ sinh, kỹ thuật y</v>
      </c>
      <c r="Z176" s="16"/>
      <c r="AA176" s="27" t="str">
        <f>IFERROR(VLOOKUP(A176,'[3]DS UPLOAD 2026 (2)'!$A$2:$P$1111,16,0),"")</f>
        <v/>
      </c>
      <c r="AB176" s="27" t="s">
        <v>914</v>
      </c>
      <c r="AC176" s="28"/>
    </row>
    <row r="177" spans="1:29" ht="18" customHeight="1" x14ac:dyDescent="0.3">
      <c r="A177" s="17" t="s">
        <v>915</v>
      </c>
      <c r="B177" s="29" t="s">
        <v>916</v>
      </c>
      <c r="C177" s="17" t="s">
        <v>915</v>
      </c>
      <c r="D177" s="19" t="s">
        <v>38</v>
      </c>
      <c r="E177" s="19" t="s">
        <v>61</v>
      </c>
      <c r="F177" s="16" t="str">
        <f>VLOOKUP(E177,'[1]BẢNG MÃ'!$A$2:$B$69,2,0)</f>
        <v>TĐ012</v>
      </c>
      <c r="G177" s="20" t="s">
        <v>62</v>
      </c>
      <c r="H177" s="20" t="s">
        <v>62</v>
      </c>
      <c r="I177" s="16" t="s">
        <v>498</v>
      </c>
      <c r="J177" s="16" t="str">
        <f>VLOOKUP(I177,'[1]BẢNG MÃ'!$C$2:$D$69,2,0)</f>
        <v>KP009</v>
      </c>
      <c r="K177" s="16" t="s">
        <v>43</v>
      </c>
      <c r="L177" s="16">
        <v>0</v>
      </c>
      <c r="M177" s="16" t="s">
        <v>33</v>
      </c>
      <c r="N177" s="21">
        <f ca="1">VLOOKUP(A177,'[1]Bieu 1a'!$A$8:$AW$855,10,0)</f>
        <v>41</v>
      </c>
      <c r="O177" s="22">
        <f>VLOOKUP(A177,'[1]Bieu 1a'!$A$8:$AW$855,8,0)</f>
        <v>0</v>
      </c>
      <c r="P177" s="22">
        <f>VLOOKUP(A177,'[1]Bieu 1a'!$A$8:$AW$855,9,0)</f>
        <v>31128</v>
      </c>
      <c r="Q177" s="23" t="s">
        <v>917</v>
      </c>
      <c r="R177" s="24" t="str">
        <f>VLOOKUP(A177,'[1]Bieu 1a'!$A$8:$AW$855,23,0)</f>
        <v>15/01/2010</v>
      </c>
      <c r="S177" s="25" t="s">
        <v>918</v>
      </c>
      <c r="T177" s="26" t="s">
        <v>886</v>
      </c>
      <c r="U177" s="16"/>
      <c r="V177" s="16" t="str">
        <f>IFERROR(VLOOKUP(A177,'[2]19.6.2026'!$A$9:$L$1111,5,0),"")</f>
        <v>000271/LS-GPHN</v>
      </c>
      <c r="W177" s="16" t="str">
        <f>IFERROR(VLOOKUP(A177,'[2]19.6.2026'!$A$9:$L$1111,6,0),"")</f>
        <v>19/5/2025</v>
      </c>
      <c r="X177" s="16"/>
      <c r="Y177" s="21" t="str">
        <f>IFERROR(VLOOKUP(A177,'[2]19.6.2026'!$A$9:$L$1111,7,0),"")</f>
        <v>Theo quy định tại Quyết định số 41/2005/QĐ-BNV ngày 22/4/2005 của Bộ trưởng Bộ Nội vụ về việc ban hành tiêu chuẩn nghiệp vụ các ngạch viên chức y tế điều dưỡng</v>
      </c>
      <c r="Z177" s="16"/>
      <c r="AA177" s="27" t="str">
        <f>IFERROR(VLOOKUP(A177,'[3]DS UPLOAD 2026 (2)'!$A$2:$P$1111,16,0),"")</f>
        <v/>
      </c>
      <c r="AB177" s="27" t="s">
        <v>919</v>
      </c>
      <c r="AC177" s="28"/>
    </row>
    <row r="178" spans="1:29" ht="18" customHeight="1" x14ac:dyDescent="0.3">
      <c r="A178" s="17" t="s">
        <v>920</v>
      </c>
      <c r="B178" s="18" t="s">
        <v>921</v>
      </c>
      <c r="C178" s="17" t="s">
        <v>920</v>
      </c>
      <c r="D178" s="19" t="s">
        <v>38</v>
      </c>
      <c r="E178" s="19" t="s">
        <v>61</v>
      </c>
      <c r="F178" s="16" t="str">
        <f>VLOOKUP(E178,'[1]BẢNG MÃ'!$A$2:$B$69,2,0)</f>
        <v>TĐ012</v>
      </c>
      <c r="G178" s="20" t="s">
        <v>62</v>
      </c>
      <c r="H178" s="20" t="s">
        <v>62</v>
      </c>
      <c r="I178" s="16" t="s">
        <v>498</v>
      </c>
      <c r="J178" s="16" t="str">
        <f>VLOOKUP(I178,'[1]BẢNG MÃ'!$C$2:$D$69,2,0)</f>
        <v>KP009</v>
      </c>
      <c r="K178" s="16" t="s">
        <v>43</v>
      </c>
      <c r="L178" s="16">
        <v>0</v>
      </c>
      <c r="M178" s="16" t="s">
        <v>33</v>
      </c>
      <c r="N178" s="21">
        <f ca="1">VLOOKUP(A178,'[1]Bieu 1a'!$A$8:$AW$855,10,0)</f>
        <v>39</v>
      </c>
      <c r="O178" s="22">
        <f>VLOOKUP(A178,'[1]Bieu 1a'!$A$8:$AW$855,8,0)</f>
        <v>0</v>
      </c>
      <c r="P178" s="22">
        <f>VLOOKUP(A178,'[1]Bieu 1a'!$A$8:$AW$855,9,0)</f>
        <v>31619</v>
      </c>
      <c r="Q178" s="23" t="s">
        <v>44</v>
      </c>
      <c r="R178" s="24" t="str">
        <f>VLOOKUP(A178,'[1]Bieu 1a'!$A$8:$AW$855,23,0)</f>
        <v>25/12/2008</v>
      </c>
      <c r="S178" s="25" t="s">
        <v>922</v>
      </c>
      <c r="T178" s="26" t="s">
        <v>866</v>
      </c>
      <c r="U178" s="16"/>
      <c r="V178" s="16" t="str">
        <f>IFERROR(VLOOKUP(A178,'[2]19.6.2026'!$A$9:$L$1111,5,0),"")</f>
        <v>000849/LS-CCHN</v>
      </c>
      <c r="W178" s="16" t="str">
        <f>IFERROR(VLOOKUP(A178,'[2]19.6.2026'!$A$9:$L$1111,6,0),"")</f>
        <v>24/06/2013</v>
      </c>
      <c r="X178" s="16"/>
      <c r="Y178" s="21" t="str">
        <f>IFERROR(VLOOKUP(A178,'[2]19.6.2026'!$A$9:$L$1111,7,0),"")</f>
        <v>Theo quy định tại Quyết định số 41/2005/QĐ-BNV ngày 22/4/2005 của Bộ trưởng Bộ Nội vụ về việc ban hành tiêu chuẩn nghiệp vụ các ngạch viên chức y tế điều dưỡng</v>
      </c>
      <c r="Z178" s="16"/>
      <c r="AA178" s="27" t="str">
        <f>IFERROR(VLOOKUP(A178,'[3]DS UPLOAD 2026 (2)'!$A$2:$P$1111,16,0),"")</f>
        <v/>
      </c>
      <c r="AB178" s="27" t="s">
        <v>923</v>
      </c>
      <c r="AC178" s="28"/>
    </row>
    <row r="179" spans="1:29" ht="18" customHeight="1" x14ac:dyDescent="0.3">
      <c r="A179" s="17" t="s">
        <v>924</v>
      </c>
      <c r="B179" s="18" t="s">
        <v>925</v>
      </c>
      <c r="C179" s="17" t="s">
        <v>924</v>
      </c>
      <c r="D179" s="19" t="s">
        <v>38</v>
      </c>
      <c r="E179" s="19" t="s">
        <v>61</v>
      </c>
      <c r="F179" s="16" t="str">
        <f>VLOOKUP(E179,'[1]BẢNG MÃ'!$A$2:$B$69,2,0)</f>
        <v>TĐ012</v>
      </c>
      <c r="G179" s="20" t="s">
        <v>62</v>
      </c>
      <c r="H179" s="20" t="s">
        <v>62</v>
      </c>
      <c r="I179" s="16" t="s">
        <v>498</v>
      </c>
      <c r="J179" s="16" t="str">
        <f>VLOOKUP(I179,'[1]BẢNG MÃ'!$C$2:$D$69,2,0)</f>
        <v>KP009</v>
      </c>
      <c r="K179" s="16" t="s">
        <v>43</v>
      </c>
      <c r="L179" s="16">
        <v>0</v>
      </c>
      <c r="M179" s="16" t="s">
        <v>33</v>
      </c>
      <c r="N179" s="21">
        <f ca="1">VLOOKUP(A179,'[1]Bieu 1a'!$A$8:$AW$855,10,0)</f>
        <v>43</v>
      </c>
      <c r="O179" s="22">
        <f>VLOOKUP(A179,'[1]Bieu 1a'!$A$8:$AW$855,8,0)</f>
        <v>0</v>
      </c>
      <c r="P179" s="22">
        <f>VLOOKUP(A179,'[1]Bieu 1a'!$A$8:$AW$855,9,0)</f>
        <v>30494</v>
      </c>
      <c r="Q179" s="23" t="s">
        <v>809</v>
      </c>
      <c r="R179" s="24" t="str">
        <f>VLOOKUP(A179,'[1]Bieu 1a'!$A$8:$AW$855,23,0)</f>
        <v>05/6/2013</v>
      </c>
      <c r="S179" s="25" t="s">
        <v>926</v>
      </c>
      <c r="T179" s="26" t="s">
        <v>886</v>
      </c>
      <c r="U179" s="16"/>
      <c r="V179" s="16" t="str">
        <f>IFERROR(VLOOKUP(A179,'[2]19.6.2026'!$A$9:$L$1111,5,0),"")</f>
        <v>000925/LS-CCHN</v>
      </c>
      <c r="W179" s="16" t="str">
        <f>IFERROR(VLOOKUP(A179,'[2]19.6.2026'!$A$9:$L$1111,6,0),"")</f>
        <v>11/01/2023</v>
      </c>
      <c r="X179" s="16"/>
      <c r="Y179" s="21" t="str">
        <f>IFERROR(VLOOKUP(A179,'[2]19.6.2026'!$A$9:$L$1111,7,0),"")</f>
        <v>Thực hiện phạm vi hoạt động chuyên môn theo Thông tư số 26/2015/TTLT-BYT-BNV ngày 07/10/2015 quy định  mã số, tiêu chuẩn chức danh nghề nghiệp, điều dưỡng, hộ sinh, kỹ thuật y</v>
      </c>
      <c r="Z179" s="16"/>
      <c r="AA179" s="27" t="str">
        <f>IFERROR(VLOOKUP(A179,'[3]DS UPLOAD 2026 (2)'!$A$2:$P$1111,16,0),"")</f>
        <v/>
      </c>
      <c r="AB179" s="27" t="s">
        <v>927</v>
      </c>
      <c r="AC179" s="28"/>
    </row>
    <row r="180" spans="1:29" ht="18" customHeight="1" x14ac:dyDescent="0.3">
      <c r="A180" s="17" t="s">
        <v>928</v>
      </c>
      <c r="B180" s="29" t="s">
        <v>929</v>
      </c>
      <c r="C180" s="17" t="s">
        <v>928</v>
      </c>
      <c r="D180" s="53" t="s">
        <v>38</v>
      </c>
      <c r="E180" s="19" t="s">
        <v>128</v>
      </c>
      <c r="F180" s="16" t="str">
        <f>VLOOKUP(E180,'[1]BẢNG MÃ'!$A$2:$B$69,2,0)</f>
        <v>TĐ047</v>
      </c>
      <c r="G180" s="20"/>
      <c r="H180" s="19" t="s">
        <v>128</v>
      </c>
      <c r="I180" s="16" t="s">
        <v>498</v>
      </c>
      <c r="J180" s="16" t="str">
        <f>VLOOKUP(I180,'[1]BẢNG MÃ'!$C$2:$D$69,2,0)</f>
        <v>KP009</v>
      </c>
      <c r="K180" s="16"/>
      <c r="L180" s="16"/>
      <c r="M180" s="16" t="s">
        <v>136</v>
      </c>
      <c r="N180" s="21">
        <f ca="1">VLOOKUP(A180,'[1]Bieu 1a'!$A$8:$AW$855,10,0)</f>
        <v>44</v>
      </c>
      <c r="O180" s="22">
        <f>VLOOKUP(A180,'[1]Bieu 1a'!$A$8:$AW$855,8,0)</f>
        <v>0</v>
      </c>
      <c r="P180" s="22" t="str">
        <f>VLOOKUP(A180,'[1]Bieu 1a'!$A$8:$AW$855,9,0)</f>
        <v>01/02/1982</v>
      </c>
      <c r="Q180" s="23" t="s">
        <v>50</v>
      </c>
      <c r="R180" s="24" t="str">
        <f>VLOOKUP(A180,'[1]Bieu 1a'!$A$8:$AW$855,23,0)</f>
        <v>13/7/2020</v>
      </c>
      <c r="S180" s="25"/>
      <c r="T180" s="26" t="s">
        <v>500</v>
      </c>
      <c r="U180" s="16"/>
      <c r="V180" s="16" t="str">
        <f>IFERROR(VLOOKUP(A180,'[2]19.6.2026'!$A$9:$L$1111,5,0),"")</f>
        <v/>
      </c>
      <c r="W180" s="16" t="str">
        <f>IFERROR(VLOOKUP(A180,'[2]19.6.2026'!$A$9:$L$1111,6,0),"")</f>
        <v/>
      </c>
      <c r="X180" s="16"/>
      <c r="Y180" s="21" t="str">
        <f>IFERROR(VLOOKUP(A180,'[2]19.6.2026'!$A$9:$L$1111,7,0),"")</f>
        <v/>
      </c>
      <c r="Z180" s="16"/>
      <c r="AA180" s="27" t="str">
        <f>IFERROR(VLOOKUP(A180,'[3]DS UPLOAD 2026 (2)'!$A$2:$P$1111,16,0),"")</f>
        <v/>
      </c>
      <c r="AB180" s="50" t="s">
        <v>930</v>
      </c>
      <c r="AC180" s="29" t="s">
        <v>893</v>
      </c>
    </row>
    <row r="181" spans="1:29" ht="18" customHeight="1" x14ac:dyDescent="0.3">
      <c r="A181" s="17" t="s">
        <v>931</v>
      </c>
      <c r="B181" s="18" t="s">
        <v>932</v>
      </c>
      <c r="C181" s="17" t="s">
        <v>931</v>
      </c>
      <c r="D181" s="19"/>
      <c r="E181" s="16" t="s">
        <v>160</v>
      </c>
      <c r="F181" s="16" t="str">
        <f>VLOOKUP(E181,'[1]BẢNG MÃ'!$A$2:$B$69,2,0)</f>
        <v>TĐ003</v>
      </c>
      <c r="G181" s="20" t="s">
        <v>29</v>
      </c>
      <c r="H181" s="20" t="s">
        <v>29</v>
      </c>
      <c r="I181" s="16" t="s">
        <v>933</v>
      </c>
      <c r="J181" s="16" t="str">
        <f>VLOOKUP(I181,'[1]BẢNG MÃ'!$C$2:$D$69,2,0)</f>
        <v>KP010</v>
      </c>
      <c r="K181" s="16" t="s">
        <v>31</v>
      </c>
      <c r="L181" s="16" t="s">
        <v>148</v>
      </c>
      <c r="M181" s="16" t="s">
        <v>33</v>
      </c>
      <c r="N181" s="21">
        <f ca="1">VLOOKUP(A181,'[1]Bieu 1a'!$A$8:$AW$855,10,0)</f>
        <v>51</v>
      </c>
      <c r="O181" s="22">
        <f>VLOOKUP(A181,'[1]Bieu 1a'!$A$8:$AW$855,8,0)</f>
        <v>27225</v>
      </c>
      <c r="P181" s="22">
        <f>VLOOKUP(A181,'[1]Bieu 1a'!$A$8:$AW$855,9,0)</f>
        <v>0</v>
      </c>
      <c r="Q181" s="23" t="s">
        <v>44</v>
      </c>
      <c r="R181" s="24" t="str">
        <f>VLOOKUP(A181,'[1]Bieu 1a'!$A$8:$AW$855,23,0)</f>
        <v>19/01/2005</v>
      </c>
      <c r="S181" s="25" t="s">
        <v>934</v>
      </c>
      <c r="T181" s="26" t="s">
        <v>935</v>
      </c>
      <c r="U181" s="22"/>
      <c r="V181" s="16" t="str">
        <f>IFERROR(VLOOKUP(A181,'[2]19.6.2026'!$A$9:$L$1111,5,0),"")</f>
        <v>001782/LS-CCHN</v>
      </c>
      <c r="W181" s="16" t="str">
        <f>IFERROR(VLOOKUP(A181,'[2]19.6.2026'!$A$9:$L$1111,6,0),"")</f>
        <v>26/12/2013</v>
      </c>
      <c r="X181" s="16"/>
      <c r="Y181" s="21" t="str">
        <f>IFERROR(VLOOKUP(A181,'[2]19.6.2026'!$A$9:$L$1111,7,0),"")</f>
        <v>Khám bệnh chữa bệnh Nội khoa</v>
      </c>
      <c r="Z181" s="16"/>
      <c r="AA181" s="27" t="str">
        <f>IFERROR(VLOOKUP(A181,'[3]DS UPLOAD 2026 (2)'!$A$2:$P$1111,16,0),"")</f>
        <v>01.0019;01.0002;02.0077;02.0085;02.0095;02.0101;02.0109;02.0112;02.0113;02.0315;02.0316;02.0437;02.0452;02.0453;03.0019;03.0043;03.0044;03.2266;03.2290;03.4248;03.4249;18.0023;18.0024;18.0029;18.0045;18.0046;18.0047;18.0049;18.0050;18.0052;18.0669;18.0670;21.0007;21.0008;21.0012;21.0014</v>
      </c>
      <c r="AB181" s="27" t="s">
        <v>936</v>
      </c>
      <c r="AC181" s="28"/>
    </row>
    <row r="182" spans="1:29" ht="18" customHeight="1" x14ac:dyDescent="0.3">
      <c r="A182" s="17" t="s">
        <v>937</v>
      </c>
      <c r="B182" s="29" t="s">
        <v>938</v>
      </c>
      <c r="C182" s="17" t="s">
        <v>937</v>
      </c>
      <c r="D182" s="19"/>
      <c r="E182" s="16" t="s">
        <v>160</v>
      </c>
      <c r="F182" s="16" t="str">
        <f>VLOOKUP(E182,'[1]BẢNG MÃ'!$A$2:$B$69,2,0)</f>
        <v>TĐ003</v>
      </c>
      <c r="G182" s="20" t="s">
        <v>29</v>
      </c>
      <c r="H182" s="20" t="s">
        <v>29</v>
      </c>
      <c r="I182" s="16" t="s">
        <v>933</v>
      </c>
      <c r="J182" s="16" t="str">
        <f>VLOOKUP(I182,'[1]BẢNG MÃ'!$C$2:$D$69,2,0)</f>
        <v>KP010</v>
      </c>
      <c r="K182" s="16" t="s">
        <v>31</v>
      </c>
      <c r="L182" s="16" t="s">
        <v>154</v>
      </c>
      <c r="M182" s="16" t="s">
        <v>33</v>
      </c>
      <c r="N182" s="21">
        <f ca="1">VLOOKUP(A182,'[1]Bieu 1a'!$A$8:$AW$855,10,0)</f>
        <v>38</v>
      </c>
      <c r="O182" s="22">
        <f>VLOOKUP(A182,'[1]Bieu 1a'!$A$8:$AW$855,8,0)</f>
        <v>32260</v>
      </c>
      <c r="P182" s="22">
        <f>VLOOKUP(A182,'[1]Bieu 1a'!$A$8:$AW$855,9,0)</f>
        <v>0</v>
      </c>
      <c r="Q182" s="23" t="s">
        <v>34</v>
      </c>
      <c r="R182" s="24" t="str">
        <f>VLOOKUP(A182,'[1]Bieu 1a'!$A$8:$AW$855,23,0)</f>
        <v>01/11/2014</v>
      </c>
      <c r="S182" s="25" t="s">
        <v>939</v>
      </c>
      <c r="T182" s="26" t="s">
        <v>940</v>
      </c>
      <c r="U182" s="22"/>
      <c r="V182" s="16" t="str">
        <f>IFERROR(VLOOKUP(A182,'[2]19.6.2026'!$A$9:$L$1111,5,0),"")</f>
        <v>000403/LS-CCHN</v>
      </c>
      <c r="W182" s="16" t="str">
        <f>IFERROR(VLOOKUP(A182,'[2]19.6.2026'!$A$9:$L$1111,6,0),"")</f>
        <v>06/01/2016</v>
      </c>
      <c r="X182" s="16"/>
      <c r="Y182" s="21" t="str">
        <f>IFERROR(VLOOKUP(A182,'[2]19.6.2026'!$A$9:$L$1111,7,0),"")</f>
        <v>Khám bệnh, chữa bệnh chuyên khoa Nội</v>
      </c>
      <c r="Z182" s="16"/>
      <c r="AA182" s="27" t="str">
        <f>IFERROR(VLOOKUP(A182,'[3]DS UPLOAD 2026 (2)'!$A$2:$P$1111,16,0),"")</f>
        <v>02.0101</v>
      </c>
      <c r="AB182" s="58" t="s">
        <v>941</v>
      </c>
      <c r="AC182" s="28"/>
    </row>
    <row r="183" spans="1:29" ht="18" customHeight="1" x14ac:dyDescent="0.3">
      <c r="A183" s="17" t="s">
        <v>942</v>
      </c>
      <c r="B183" s="18" t="s">
        <v>943</v>
      </c>
      <c r="C183" s="17" t="s">
        <v>942</v>
      </c>
      <c r="D183" s="19" t="s">
        <v>38</v>
      </c>
      <c r="E183" s="19" t="s">
        <v>160</v>
      </c>
      <c r="F183" s="16" t="str">
        <f>VLOOKUP(E183,'[1]BẢNG MÃ'!$A$2:$B$69,2,0)</f>
        <v>TĐ003</v>
      </c>
      <c r="G183" s="20" t="s">
        <v>161</v>
      </c>
      <c r="H183" s="20" t="s">
        <v>161</v>
      </c>
      <c r="I183" s="16" t="s">
        <v>933</v>
      </c>
      <c r="J183" s="16" t="str">
        <f>VLOOKUP(I183,'[1]BẢNG MÃ'!$C$2:$D$69,2,0)</f>
        <v>KP010</v>
      </c>
      <c r="K183" s="16" t="s">
        <v>43</v>
      </c>
      <c r="L183" s="16">
        <v>0</v>
      </c>
      <c r="M183" s="16" t="s">
        <v>33</v>
      </c>
      <c r="N183" s="21">
        <f ca="1">VLOOKUP(A183,'[1]Bieu 1a'!$A$8:$AW$855,10,0)</f>
        <v>38</v>
      </c>
      <c r="O183" s="22">
        <f>VLOOKUP(A183,'[1]Bieu 1a'!$A$8:$AW$855,8,0)</f>
        <v>0</v>
      </c>
      <c r="P183" s="22">
        <f>VLOOKUP(A183,'[1]Bieu 1a'!$A$8:$AW$855,9,0)</f>
        <v>32233</v>
      </c>
      <c r="Q183" s="23" t="s">
        <v>50</v>
      </c>
      <c r="R183" s="24" t="str">
        <f>VLOOKUP(A183,'[1]Bieu 1a'!$A$8:$AW$855,23,0)</f>
        <v>01/11/2014</v>
      </c>
      <c r="S183" s="25" t="s">
        <v>944</v>
      </c>
      <c r="T183" s="26" t="s">
        <v>945</v>
      </c>
      <c r="U183" s="22"/>
      <c r="V183" s="16" t="str">
        <f>IFERROR(VLOOKUP(A183,'[2]19.6.2026'!$A$9:$L$1111,5,0),"")</f>
        <v>000503/LS-CCHN</v>
      </c>
      <c r="W183" s="16" t="str">
        <f>IFERROR(VLOOKUP(A183,'[2]19.6.2026'!$A$9:$L$1111,6,0),"")</f>
        <v>24/08/2016</v>
      </c>
      <c r="X183" s="16"/>
      <c r="Y183" s="21" t="str">
        <f>IFERROR(VLOOKUP(A183,'[2]19.6.2026'!$A$9:$L$1111,7,0),"")</f>
        <v>Khám bệnh chữa bệnh Nội khoa</v>
      </c>
      <c r="Z183" s="16"/>
      <c r="AA183" s="27" t="str">
        <f>IFERROR(VLOOKUP(A183,'[3]DS UPLOAD 2026 (2)'!$A$2:$P$1111,16,0),"")</f>
        <v>01.0002</v>
      </c>
      <c r="AB183" s="27">
        <v>389203898</v>
      </c>
      <c r="AC183" s="28"/>
    </row>
    <row r="184" spans="1:29" ht="18" customHeight="1" x14ac:dyDescent="0.3">
      <c r="A184" s="17" t="s">
        <v>946</v>
      </c>
      <c r="B184" s="36" t="s">
        <v>947</v>
      </c>
      <c r="C184" s="17" t="s">
        <v>946</v>
      </c>
      <c r="D184" s="19" t="s">
        <v>38</v>
      </c>
      <c r="E184" s="19" t="s">
        <v>160</v>
      </c>
      <c r="F184" s="16" t="str">
        <f>VLOOKUP(E184,'[1]BẢNG MÃ'!$A$2:$B$69,2,0)</f>
        <v>TĐ003</v>
      </c>
      <c r="G184" s="20" t="s">
        <v>161</v>
      </c>
      <c r="H184" s="20" t="s">
        <v>161</v>
      </c>
      <c r="I184" s="16" t="s">
        <v>933</v>
      </c>
      <c r="J184" s="16" t="str">
        <f>VLOOKUP(I184,'[1]BẢNG MÃ'!$C$2:$D$69,2,0)</f>
        <v>KP010</v>
      </c>
      <c r="K184" s="16" t="s">
        <v>43</v>
      </c>
      <c r="L184" s="16">
        <v>0</v>
      </c>
      <c r="M184" s="16" t="s">
        <v>33</v>
      </c>
      <c r="N184" s="21">
        <f ca="1">VLOOKUP(A184,'[1]Bieu 1a'!$A$8:$AW$855,10,0)</f>
        <v>35</v>
      </c>
      <c r="O184" s="22">
        <f>VLOOKUP(A184,'[1]Bieu 1a'!$A$8:$AW$855,8,0)</f>
        <v>0</v>
      </c>
      <c r="P184" s="22">
        <f>VLOOKUP(A184,'[1]Bieu 1a'!$A$8:$AW$855,9,0)</f>
        <v>33330</v>
      </c>
      <c r="Q184" s="23" t="s">
        <v>948</v>
      </c>
      <c r="R184" s="24" t="str">
        <f>VLOOKUP(A184,'[1]Bieu 1a'!$A$8:$AW$855,23,0)</f>
        <v>20/3/2018</v>
      </c>
      <c r="S184" s="25" t="s">
        <v>949</v>
      </c>
      <c r="T184" s="26" t="s">
        <v>950</v>
      </c>
      <c r="U184" s="22"/>
      <c r="V184" s="16" t="str">
        <f>IFERROR(VLOOKUP(A184,'[2]19.6.2026'!$A$9:$L$1111,5,0),"")</f>
        <v>003355/LS-CCHN</v>
      </c>
      <c r="W184" s="16" t="str">
        <f>IFERROR(VLOOKUP(A184,'[2]19.6.2026'!$A$9:$L$1111,6,0),"")</f>
        <v>17/09/2018</v>
      </c>
      <c r="X184" s="16"/>
      <c r="Y184" s="21" t="str">
        <f>IFERROR(VLOOKUP(A184,'[2]19.6.2026'!$A$9:$L$1111,7,0),"")</f>
        <v>Khám bệnh, chữa bệnh Nội khoa</v>
      </c>
      <c r="Z184" s="16"/>
      <c r="AA184" s="27" t="str">
        <f>IFERROR(VLOOKUP(A184,'[3]DS UPLOAD 2026 (2)'!$A$2:$P$1111,16,0),"")</f>
        <v>01.0002;02.0113;18.0052;02.0095;21.0012;02.0085;21.0014</v>
      </c>
      <c r="AB184" s="27" t="s">
        <v>951</v>
      </c>
      <c r="AC184" s="28" t="s">
        <v>374</v>
      </c>
    </row>
    <row r="185" spans="1:29" ht="18" customHeight="1" x14ac:dyDescent="0.3">
      <c r="A185" s="17" t="s">
        <v>952</v>
      </c>
      <c r="B185" s="38" t="s">
        <v>953</v>
      </c>
      <c r="C185" s="17" t="s">
        <v>952</v>
      </c>
      <c r="D185" s="53"/>
      <c r="E185" s="19" t="s">
        <v>173</v>
      </c>
      <c r="F185" s="16" t="str">
        <f>VLOOKUP(E185,'[1]BẢNG MÃ'!$A$2:$B$69,2,0)</f>
        <v>TĐ005</v>
      </c>
      <c r="G185" s="20"/>
      <c r="H185" s="23" t="s">
        <v>161</v>
      </c>
      <c r="I185" s="16" t="s">
        <v>933</v>
      </c>
      <c r="J185" s="16" t="str">
        <f>VLOOKUP(I185,'[1]BẢNG MÃ'!$C$2:$D$69,2,0)</f>
        <v>KP010</v>
      </c>
      <c r="K185" s="16"/>
      <c r="L185" s="16"/>
      <c r="M185" s="16" t="s">
        <v>136</v>
      </c>
      <c r="N185" s="21">
        <f ca="1">VLOOKUP(A185,'[1]Bieu 1a'!$A$8:$AW$855,10,0)</f>
        <v>32</v>
      </c>
      <c r="O185" s="22" t="str">
        <f>VLOOKUP(A185,'[1]Bieu 1a'!$A$8:$AW$855,8,0)</f>
        <v>04/8/1993</v>
      </c>
      <c r="P185" s="22">
        <f>VLOOKUP(A185,'[1]Bieu 1a'!$A$8:$AW$855,9,0)</f>
        <v>0</v>
      </c>
      <c r="Q185" s="23" t="s">
        <v>954</v>
      </c>
      <c r="R185" s="24" t="str">
        <f>VLOOKUP(A185,'[1]Bieu 1a'!$A$8:$AW$855,23,0)</f>
        <v>04/5/2020</v>
      </c>
      <c r="S185" s="25" t="s">
        <v>955</v>
      </c>
      <c r="T185" s="26" t="s">
        <v>950</v>
      </c>
      <c r="U185" s="16"/>
      <c r="V185" s="16" t="str">
        <f>IFERROR(VLOOKUP(A185,'[2]19.6.2026'!$A$9:$L$1111,5,0),"")</f>
        <v>004480/LS-CCHN</v>
      </c>
      <c r="W185" s="16" t="str">
        <f>IFERROR(VLOOKUP(A185,'[2]19.6.2026'!$A$9:$L$1111,6,0),"")</f>
        <v>14/03/2022</v>
      </c>
      <c r="X185" s="16"/>
      <c r="Y185" s="21" t="str">
        <f>IFERROR(VLOOKUP(A185,'[2]19.6.2026'!$A$9:$L$1111,7,0),"")</f>
        <v>Khám bệnh, chữa bệnh Nội khoa</v>
      </c>
      <c r="Z185" s="16"/>
      <c r="AA185" s="27" t="str">
        <f>IFERROR(VLOOKUP(A185,'[3]DS UPLOAD 2026 (2)'!$A$2:$P$1111,16,0),"")</f>
        <v/>
      </c>
      <c r="AB185" s="50"/>
      <c r="AC185" s="29" t="s">
        <v>956</v>
      </c>
    </row>
    <row r="186" spans="1:29" ht="18" customHeight="1" x14ac:dyDescent="0.3">
      <c r="A186" s="17" t="s">
        <v>957</v>
      </c>
      <c r="B186" s="38" t="s">
        <v>958</v>
      </c>
      <c r="C186" s="17" t="s">
        <v>957</v>
      </c>
      <c r="D186" s="53" t="s">
        <v>38</v>
      </c>
      <c r="E186" s="19" t="s">
        <v>173</v>
      </c>
      <c r="F186" s="16" t="str">
        <f>VLOOKUP(E186,'[1]BẢNG MÃ'!$A$2:$B$69,2,0)</f>
        <v>TĐ005</v>
      </c>
      <c r="G186" s="20" t="s">
        <v>161</v>
      </c>
      <c r="H186" s="20" t="s">
        <v>161</v>
      </c>
      <c r="I186" s="16" t="s">
        <v>933</v>
      </c>
      <c r="J186" s="16" t="str">
        <f>VLOOKUP(I186,'[1]BẢNG MÃ'!$C$2:$D$69,2,0)</f>
        <v>KP010</v>
      </c>
      <c r="K186" s="16" t="s">
        <v>43</v>
      </c>
      <c r="L186" s="16">
        <v>0</v>
      </c>
      <c r="M186" s="16" t="s">
        <v>33</v>
      </c>
      <c r="N186" s="21">
        <f ca="1">VLOOKUP(A186,'[1]Bieu 1a'!$A$8:$AW$855,10,0)</f>
        <v>37</v>
      </c>
      <c r="O186" s="22">
        <f>VLOOKUP(A186,'[1]Bieu 1a'!$A$8:$AW$855,8,0)</f>
        <v>0</v>
      </c>
      <c r="P186" s="22">
        <f>VLOOKUP(A186,'[1]Bieu 1a'!$A$8:$AW$855,9,0)</f>
        <v>32473</v>
      </c>
      <c r="Q186" s="23" t="s">
        <v>34</v>
      </c>
      <c r="R186" s="24" t="str">
        <f>VLOOKUP(A186,'[1]Bieu 1a'!$A$8:$AW$855,23,0)</f>
        <v>20/3/2018</v>
      </c>
      <c r="S186" s="25" t="s">
        <v>959</v>
      </c>
      <c r="T186" s="26" t="s">
        <v>950</v>
      </c>
      <c r="U186" s="16"/>
      <c r="V186" s="16" t="str">
        <f>IFERROR(VLOOKUP(A186,'[2]19.6.2026'!$A$9:$L$1111,5,0),"")</f>
        <v>003569/LS-CCHN</v>
      </c>
      <c r="W186" s="16" t="str">
        <f>IFERROR(VLOOKUP(A186,'[2]19.6.2026'!$A$9:$L$1111,6,0),"")</f>
        <v>20/09/2019</v>
      </c>
      <c r="X186" s="16"/>
      <c r="Y186" s="21" t="str">
        <f>IFERROR(VLOOKUP(A186,'[2]19.6.2026'!$A$9:$L$1111,7,0),"")</f>
        <v>Khám bệnh, chữa bệnh Nội khoa</v>
      </c>
      <c r="Z186" s="16"/>
      <c r="AA186" s="27" t="str">
        <f>IFERROR(VLOOKUP(A186,'[3]DS UPLOAD 2026 (2)'!$A$2:$P$1111,16,0),"")</f>
        <v/>
      </c>
      <c r="AB186" s="50"/>
      <c r="AC186" s="73" t="s">
        <v>960</v>
      </c>
    </row>
    <row r="187" spans="1:29" ht="18" customHeight="1" x14ac:dyDescent="0.3">
      <c r="A187" s="17" t="s">
        <v>961</v>
      </c>
      <c r="B187" s="18" t="s">
        <v>962</v>
      </c>
      <c r="C187" s="17" t="s">
        <v>961</v>
      </c>
      <c r="D187" s="19" t="s">
        <v>38</v>
      </c>
      <c r="E187" s="19" t="s">
        <v>173</v>
      </c>
      <c r="F187" s="16" t="str">
        <f>VLOOKUP(E187,'[1]BẢNG MÃ'!$A$2:$B$69,2,0)</f>
        <v>TĐ005</v>
      </c>
      <c r="G187" s="20"/>
      <c r="H187" s="23" t="s">
        <v>161</v>
      </c>
      <c r="I187" s="16" t="s">
        <v>933</v>
      </c>
      <c r="J187" s="16" t="str">
        <f>VLOOKUP(I187,'[1]BẢNG MÃ'!$C$2:$D$69,2,0)</f>
        <v>KP010</v>
      </c>
      <c r="K187" s="16"/>
      <c r="L187" s="16"/>
      <c r="M187" s="23" t="s">
        <v>33</v>
      </c>
      <c r="N187" s="21">
        <f ca="1">VLOOKUP(A187,'[1]Bieu 1a'!$A$8:$AW$855,10,0)</f>
        <v>30</v>
      </c>
      <c r="O187" s="22">
        <f>VLOOKUP(A187,'[1]Bieu 1a'!$A$8:$AW$855,8,0)</f>
        <v>0</v>
      </c>
      <c r="P187" s="22" t="str">
        <f>VLOOKUP(A187,'[1]Bieu 1a'!$A$8:$AW$855,9,0)</f>
        <v>02/8/1995</v>
      </c>
      <c r="Q187" s="23" t="s">
        <v>44</v>
      </c>
      <c r="R187" s="24" t="str">
        <f>VLOOKUP(A187,'[1]Bieu 1a'!$A$8:$AW$855,23,0)</f>
        <v>19/8/2019</v>
      </c>
      <c r="S187" s="25" t="s">
        <v>963</v>
      </c>
      <c r="T187" s="26" t="s">
        <v>950</v>
      </c>
      <c r="U187" s="16"/>
      <c r="V187" s="16" t="str">
        <f>IFERROR(VLOOKUP(A187,'[2]19.6.2026'!$A$9:$L$1111,5,0),"")</f>
        <v>004213/LS-CCHN</v>
      </c>
      <c r="W187" s="16" t="str">
        <f>IFERROR(VLOOKUP(A187,'[2]19.6.2026'!$A$9:$L$1111,6,0),"")</f>
        <v>12/05/2021</v>
      </c>
      <c r="X187" s="16"/>
      <c r="Y187" s="21" t="str">
        <f>IFERROR(VLOOKUP(A187,'[2]19.6.2026'!$A$9:$L$1111,7,0),"")</f>
        <v>Khám bệnh chữa bệnh Nội khoa</v>
      </c>
      <c r="Z187" s="16"/>
      <c r="AA187" s="27" t="str">
        <f>IFERROR(VLOOKUP(A187,'[3]DS UPLOAD 2026 (2)'!$A$2:$P$1111,16,0),"")</f>
        <v>01.0002</v>
      </c>
      <c r="AB187" s="74" t="s">
        <v>964</v>
      </c>
      <c r="AC187" s="29" t="s">
        <v>177</v>
      </c>
    </row>
    <row r="188" spans="1:29" ht="18" customHeight="1" x14ac:dyDescent="0.3">
      <c r="A188" s="16" t="s">
        <v>965</v>
      </c>
      <c r="B188" s="36" t="s">
        <v>966</v>
      </c>
      <c r="C188" s="16" t="s">
        <v>965</v>
      </c>
      <c r="D188" s="53"/>
      <c r="E188" s="19" t="s">
        <v>173</v>
      </c>
      <c r="F188" s="16" t="str">
        <f>VLOOKUP(E188,'[1]BẢNG MÃ'!$A$2:$B$69,2,0)</f>
        <v>TĐ005</v>
      </c>
      <c r="G188" s="20"/>
      <c r="H188" s="23" t="s">
        <v>161</v>
      </c>
      <c r="I188" s="16" t="s">
        <v>933</v>
      </c>
      <c r="J188" s="16" t="str">
        <f>VLOOKUP(I188,'[1]BẢNG MÃ'!$C$2:$D$69,2,0)</f>
        <v>KP010</v>
      </c>
      <c r="K188" s="16"/>
      <c r="L188" s="16"/>
      <c r="M188" s="16" t="s">
        <v>33</v>
      </c>
      <c r="N188" s="21">
        <f ca="1">VLOOKUP(A188,'[1]Bieu 1a'!$A$8:$AW$855,10,0)</f>
        <v>31</v>
      </c>
      <c r="O188" s="22">
        <f>VLOOKUP(A188,'[1]Bieu 1a'!$A$8:$AW$855,8,0)</f>
        <v>0</v>
      </c>
      <c r="P188" s="22" t="str">
        <f>VLOOKUP(A188,'[1]Bieu 1a'!$A$8:$AW$855,9,0)</f>
        <v>14/5/1995</v>
      </c>
      <c r="Q188" s="23" t="s">
        <v>44</v>
      </c>
      <c r="R188" s="24">
        <f>VLOOKUP(A188,'[1]Bieu 1a'!$A$8:$AW$855,23,0)</f>
        <v>44445</v>
      </c>
      <c r="S188" s="25" t="s">
        <v>967</v>
      </c>
      <c r="T188" s="26" t="s">
        <v>950</v>
      </c>
      <c r="U188" s="16"/>
      <c r="V188" s="16" t="str">
        <f>IFERROR(VLOOKUP(A188,'[2]19.6.2026'!$A$9:$L$1111,5,0),"")</f>
        <v>005652/LS-CCHN</v>
      </c>
      <c r="W188" s="16" t="str">
        <f>IFERROR(VLOOKUP(A188,'[2]19.6.2026'!$A$9:$L$1111,6,0),"")</f>
        <v>27/07/2023</v>
      </c>
      <c r="X188" s="16"/>
      <c r="Y188" s="21" t="str">
        <f>IFERROR(VLOOKUP(A188,'[2]19.6.2026'!$A$9:$L$1111,7,0),"")</f>
        <v>Khám bệnh, chữa bệnh chuyên khoa Nội</v>
      </c>
      <c r="Z188" s="16"/>
      <c r="AA188" s="27" t="str">
        <f>IFERROR(VLOOKUP(A188,'[3]DS UPLOAD 2026 (2)'!$A$2:$P$1111,16,0),"")</f>
        <v/>
      </c>
      <c r="AB188" s="39" t="s">
        <v>968</v>
      </c>
      <c r="AC188" s="29" t="s">
        <v>554</v>
      </c>
    </row>
    <row r="189" spans="1:29" ht="18" customHeight="1" x14ac:dyDescent="0.3">
      <c r="A189" s="17" t="s">
        <v>969</v>
      </c>
      <c r="B189" s="18" t="s">
        <v>970</v>
      </c>
      <c r="C189" s="17" t="s">
        <v>969</v>
      </c>
      <c r="D189" s="19"/>
      <c r="E189" s="19" t="s">
        <v>41</v>
      </c>
      <c r="F189" s="16" t="str">
        <f>VLOOKUP(E189,'[1]BẢNG MÃ'!$A$2:$B$69,2,0)</f>
        <v>TĐ011</v>
      </c>
      <c r="G189" s="20" t="s">
        <v>42</v>
      </c>
      <c r="H189" s="20" t="s">
        <v>42</v>
      </c>
      <c r="I189" s="16" t="s">
        <v>933</v>
      </c>
      <c r="J189" s="16" t="str">
        <f>VLOOKUP(I189,'[1]BẢNG MÃ'!$C$2:$D$69,2,0)</f>
        <v>KP010</v>
      </c>
      <c r="K189" s="16" t="s">
        <v>43</v>
      </c>
      <c r="L189" s="16">
        <v>0</v>
      </c>
      <c r="M189" s="16" t="s">
        <v>33</v>
      </c>
      <c r="N189" s="21">
        <f ca="1">VLOOKUP(A189,'[1]Bieu 1a'!$A$8:$AW$855,10,0)</f>
        <v>43</v>
      </c>
      <c r="O189" s="22">
        <f>VLOOKUP(A189,'[1]Bieu 1a'!$A$8:$AW$855,8,0)</f>
        <v>30423</v>
      </c>
      <c r="P189" s="22">
        <f>VLOOKUP(A189,'[1]Bieu 1a'!$A$8:$AW$855,9,0)</f>
        <v>0</v>
      </c>
      <c r="Q189" s="23" t="s">
        <v>50</v>
      </c>
      <c r="R189" s="24" t="str">
        <f>VLOOKUP(A189,'[1]Bieu 1a'!$A$8:$AW$855,23,0)</f>
        <v>05/6/2013</v>
      </c>
      <c r="S189" s="25" t="s">
        <v>971</v>
      </c>
      <c r="T189" s="26" t="s">
        <v>972</v>
      </c>
      <c r="U189" s="22"/>
      <c r="V189" s="16" t="str">
        <f>IFERROR(VLOOKUP(A189,'[2]19.6.2026'!$A$9:$L$1111,5,0),"")</f>
        <v>004375/LS-CCHN</v>
      </c>
      <c r="W189" s="16" t="str">
        <f>IFERROR(VLOOKUP(A189,'[2]19.6.2026'!$A$9:$L$1111,6,0),"")</f>
        <v>05/11/2021</v>
      </c>
      <c r="X189" s="16"/>
      <c r="Y189" s="21" t="str">
        <f>IFERROR(VLOOKUP(A189,'[2]19.6.2026'!$A$9:$L$1111,7,0),"")</f>
        <v>Thực hiện phạm vi hoạt động chuyên môn theo quy định tại Thông tư số 26/2015/TTLT-BYT-BNV ngày 07/10/2015 quy định mã số, tiêu chuẩn chức danh nghề nghiệp điều dưỡng, hộ sinh, kỹ thuật y</v>
      </c>
      <c r="Z189" s="16"/>
      <c r="AA189" s="27" t="str">
        <f>IFERROR(VLOOKUP(A189,'[3]DS UPLOAD 2026 (2)'!$A$2:$P$1111,16,0),"")</f>
        <v/>
      </c>
      <c r="AB189" s="27" t="s">
        <v>973</v>
      </c>
      <c r="AC189" s="51"/>
    </row>
    <row r="190" spans="1:29" ht="18" customHeight="1" x14ac:dyDescent="0.3">
      <c r="A190" s="17" t="s">
        <v>974</v>
      </c>
      <c r="B190" s="18" t="s">
        <v>975</v>
      </c>
      <c r="C190" s="17" t="s">
        <v>974</v>
      </c>
      <c r="D190" s="19" t="s">
        <v>38</v>
      </c>
      <c r="E190" s="19" t="s">
        <v>41</v>
      </c>
      <c r="F190" s="16" t="str">
        <f>VLOOKUP(E190,'[1]BẢNG MÃ'!$A$2:$B$69,2,0)</f>
        <v>TĐ011</v>
      </c>
      <c r="G190" s="20" t="s">
        <v>42</v>
      </c>
      <c r="H190" s="20" t="s">
        <v>42</v>
      </c>
      <c r="I190" s="16" t="s">
        <v>933</v>
      </c>
      <c r="J190" s="16" t="str">
        <f>VLOOKUP(I190,'[1]BẢNG MÃ'!$C$2:$D$69,2,0)</f>
        <v>KP010</v>
      </c>
      <c r="K190" s="16" t="s">
        <v>31</v>
      </c>
      <c r="L190" s="16" t="s">
        <v>201</v>
      </c>
      <c r="M190" s="16" t="s">
        <v>33</v>
      </c>
      <c r="N190" s="21">
        <f ca="1">VLOOKUP(A190,'[1]Bieu 1a'!$A$8:$AW$855,10,0)</f>
        <v>42</v>
      </c>
      <c r="O190" s="22">
        <f>VLOOKUP(A190,'[1]Bieu 1a'!$A$8:$AW$855,8,0)</f>
        <v>0</v>
      </c>
      <c r="P190" s="22">
        <f>VLOOKUP(A190,'[1]Bieu 1a'!$A$8:$AW$855,9,0)</f>
        <v>30519</v>
      </c>
      <c r="Q190" s="23" t="s">
        <v>44</v>
      </c>
      <c r="R190" s="24" t="str">
        <f>VLOOKUP(A190,'[1]Bieu 1a'!$A$8:$AW$855,23,0)</f>
        <v>7/11/2006</v>
      </c>
      <c r="S190" s="25" t="s">
        <v>976</v>
      </c>
      <c r="T190" s="26" t="s">
        <v>945</v>
      </c>
      <c r="U190" s="16"/>
      <c r="V190" s="16" t="str">
        <f>IFERROR(VLOOKUP(A190,'[2]19.6.2026'!$A$9:$L$1111,5,0),"")</f>
        <v>000856/LS-CCHN</v>
      </c>
      <c r="W190" s="16" t="str">
        <f>IFERROR(VLOOKUP(A190,'[2]19.6.2026'!$A$9:$L$1111,6,0),"")</f>
        <v>11/01/2023</v>
      </c>
      <c r="X190" s="16"/>
      <c r="Y190" s="21" t="str">
        <f>IFERROR(VLOOKUP(A190,'[2]19.6.2026'!$A$9:$L$1111,7,0),"")</f>
        <v>Thực hiện phạm vi hoạt động chuyên môn theo Thông tư số 26/2015/TTLT-BYT-BNV ngày 07/10/2015 quy định  mã số, tiêu chuẩn chức danh nghề nghiệp, điều dưỡng, hộ sinh, kỹ thuật y</v>
      </c>
      <c r="Z190" s="16"/>
      <c r="AA190" s="27" t="str">
        <f>IFERROR(VLOOKUP(A190,'[3]DS UPLOAD 2026 (2)'!$A$2:$P$1111,16,0),"")</f>
        <v/>
      </c>
      <c r="AB190" s="27">
        <v>986678676</v>
      </c>
      <c r="AC190" s="28"/>
    </row>
    <row r="191" spans="1:29" ht="18" customHeight="1" x14ac:dyDescent="0.3">
      <c r="A191" s="17" t="s">
        <v>977</v>
      </c>
      <c r="B191" s="18" t="s">
        <v>978</v>
      </c>
      <c r="C191" s="17" t="s">
        <v>977</v>
      </c>
      <c r="D191" s="19" t="s">
        <v>38</v>
      </c>
      <c r="E191" s="30" t="s">
        <v>41</v>
      </c>
      <c r="F191" s="16" t="str">
        <f>VLOOKUP(E191,'[1]BẢNG MÃ'!$A$2:$B$69,2,0)</f>
        <v>TĐ011</v>
      </c>
      <c r="G191" s="31" t="s">
        <v>42</v>
      </c>
      <c r="H191" s="31" t="s">
        <v>42</v>
      </c>
      <c r="I191" s="16" t="s">
        <v>933</v>
      </c>
      <c r="J191" s="16" t="str">
        <f>VLOOKUP(I191,'[1]BẢNG MÃ'!$C$2:$D$69,2,0)</f>
        <v>KP010</v>
      </c>
      <c r="K191" s="16" t="s">
        <v>43</v>
      </c>
      <c r="L191" s="16">
        <v>0</v>
      </c>
      <c r="M191" s="16" t="s">
        <v>33</v>
      </c>
      <c r="N191" s="21">
        <f ca="1">VLOOKUP(A191,'[1]Bieu 1a'!$A$8:$AW$855,10,0)</f>
        <v>37</v>
      </c>
      <c r="O191" s="22">
        <f>VLOOKUP(A191,'[1]Bieu 1a'!$A$8:$AW$855,8,0)</f>
        <v>0</v>
      </c>
      <c r="P191" s="22">
        <f>VLOOKUP(A191,'[1]Bieu 1a'!$A$8:$AW$855,9,0)</f>
        <v>32522</v>
      </c>
      <c r="Q191" s="23" t="s">
        <v>44</v>
      </c>
      <c r="R191" s="24" t="str">
        <f>VLOOKUP(A191,'[1]Bieu 1a'!$A$8:$AW$855,23,0)</f>
        <v>10/6/2013</v>
      </c>
      <c r="S191" s="25" t="s">
        <v>979</v>
      </c>
      <c r="T191" s="26" t="s">
        <v>972</v>
      </c>
      <c r="U191" s="22"/>
      <c r="V191" s="16" t="str">
        <f>IFERROR(VLOOKUP(A191,'[2]19.6.2026'!$A$9:$L$1111,5,0),"")</f>
        <v>000762/LS-CCHN</v>
      </c>
      <c r="W191" s="16" t="str">
        <f>IFERROR(VLOOKUP(A191,'[2]19.6.2026'!$A$9:$L$1111,6,0),"")</f>
        <v>11/01/2023</v>
      </c>
      <c r="X191" s="16"/>
      <c r="Y191" s="21" t="str">
        <f>IFERROR(VLOOKUP(A191,'[2]19.6.2026'!$A$9:$L$1111,7,0),"")</f>
        <v>Thực hiện phạm vi hoạt động chuyên môn theo Thông tư số 26/2015/TTLT-BYT-BNV ngày 07/10/2015 quy định  mã số, tiêu chuẩn chức danh nghề nghiệp, điều dưỡng, hộ sinh, kỹ thuật y</v>
      </c>
      <c r="Z191" s="16"/>
      <c r="AA191" s="27" t="str">
        <f>IFERROR(VLOOKUP(A191,'[3]DS UPLOAD 2026 (2)'!$A$2:$P$1111,16,0),"")</f>
        <v/>
      </c>
      <c r="AB191" s="27" t="s">
        <v>980</v>
      </c>
      <c r="AC191" s="28"/>
    </row>
    <row r="192" spans="1:29" ht="18" customHeight="1" x14ac:dyDescent="0.3">
      <c r="A192" s="17" t="s">
        <v>981</v>
      </c>
      <c r="B192" s="59" t="s">
        <v>982</v>
      </c>
      <c r="C192" s="17" t="s">
        <v>981</v>
      </c>
      <c r="D192" s="19" t="s">
        <v>38</v>
      </c>
      <c r="E192" s="19" t="s">
        <v>61</v>
      </c>
      <c r="F192" s="16" t="str">
        <f>VLOOKUP(E192,'[1]BẢNG MÃ'!$A$2:$B$69,2,0)</f>
        <v>TĐ012</v>
      </c>
      <c r="G192" s="20"/>
      <c r="H192" s="20" t="s">
        <v>62</v>
      </c>
      <c r="I192" s="16" t="s">
        <v>933</v>
      </c>
      <c r="J192" s="16" t="str">
        <f>VLOOKUP(I192,'[1]BẢNG MÃ'!$C$2:$D$69,2,0)</f>
        <v>KP010</v>
      </c>
      <c r="K192" s="16"/>
      <c r="L192" s="16"/>
      <c r="M192" s="23" t="s">
        <v>33</v>
      </c>
      <c r="N192" s="21">
        <f ca="1">VLOOKUP(A192,'[1]Bieu 1a'!$A$8:$AW$855,10,0)</f>
        <v>32</v>
      </c>
      <c r="O192" s="22">
        <f>VLOOKUP(A192,'[1]Bieu 1a'!$A$8:$AW$855,8,0)</f>
        <v>0</v>
      </c>
      <c r="P192" s="22" t="str">
        <f>VLOOKUP(A192,'[1]Bieu 1a'!$A$8:$AW$855,9,0)</f>
        <v>28/8/1993</v>
      </c>
      <c r="Q192" s="23" t="s">
        <v>34</v>
      </c>
      <c r="R192" s="24" t="str">
        <f>VLOOKUP(A192,'[1]Bieu 1a'!$A$8:$AW$855,23,0)</f>
        <v xml:space="preserve"> 02/10/2017</v>
      </c>
      <c r="S192" s="25" t="s">
        <v>983</v>
      </c>
      <c r="T192" s="26" t="s">
        <v>984</v>
      </c>
      <c r="U192" s="22"/>
      <c r="V192" s="16" t="str">
        <f>IFERROR(VLOOKUP(A192,'[2]19.6.2026'!$A$9:$L$1111,5,0),"")</f>
        <v>003387/LS-CCHN</v>
      </c>
      <c r="W192" s="16" t="str">
        <f>IFERROR(VLOOKUP(A192,'[2]19.6.2026'!$A$9:$L$1111,6,0),"")</f>
        <v>21/11/2018</v>
      </c>
      <c r="X192" s="16"/>
      <c r="Y192" s="21" t="str">
        <f>IFERROR(VLOOKUP(A192,'[2]19.6.2026'!$A$9:$L$1111,7,0),"")</f>
        <v>Thực hiện phạm vi hoạt động chuyên môn theo quy định tại Thông tư số 26/2015/TTLT-BYT-BNV ngày 07/10/2015 quy định mã số, tiêu chuẩn chức danh nghề nghiệp điều dưỡng, hộ sinh, kỹ thuật y</v>
      </c>
      <c r="Z192" s="16"/>
      <c r="AA192" s="27" t="str">
        <f>IFERROR(VLOOKUP(A192,'[3]DS UPLOAD 2026 (2)'!$A$2:$P$1111,16,0),"")</f>
        <v/>
      </c>
      <c r="AB192" s="27" t="s">
        <v>985</v>
      </c>
      <c r="AC192" s="29" t="s">
        <v>681</v>
      </c>
    </row>
    <row r="193" spans="1:29" ht="18" customHeight="1" x14ac:dyDescent="0.3">
      <c r="A193" s="17" t="s">
        <v>986</v>
      </c>
      <c r="B193" s="36" t="s">
        <v>987</v>
      </c>
      <c r="C193" s="17" t="s">
        <v>986</v>
      </c>
      <c r="D193" s="19" t="s">
        <v>38</v>
      </c>
      <c r="E193" s="19" t="s">
        <v>61</v>
      </c>
      <c r="F193" s="16" t="str">
        <f>VLOOKUP(E193,'[1]BẢNG MÃ'!$A$2:$B$69,2,0)</f>
        <v>TĐ012</v>
      </c>
      <c r="G193" s="20"/>
      <c r="H193" s="20" t="s">
        <v>62</v>
      </c>
      <c r="I193" s="16" t="s">
        <v>933</v>
      </c>
      <c r="J193" s="16" t="str">
        <f>VLOOKUP(I193,'[1]BẢNG MÃ'!$C$2:$D$69,2,0)</f>
        <v>KP010</v>
      </c>
      <c r="K193" s="37"/>
      <c r="L193" s="16"/>
      <c r="M193" s="23" t="s">
        <v>33</v>
      </c>
      <c r="N193" s="21">
        <f ca="1">VLOOKUP(A193,'[1]Bieu 1a'!$A$8:$AW$855,10,0)</f>
        <v>28</v>
      </c>
      <c r="O193" s="22">
        <f>VLOOKUP(A193,'[1]Bieu 1a'!$A$8:$AW$855,8,0)</f>
        <v>0</v>
      </c>
      <c r="P193" s="22">
        <f>VLOOKUP(A193,'[1]Bieu 1a'!$A$8:$AW$855,9,0)</f>
        <v>35765</v>
      </c>
      <c r="Q193" s="23" t="s">
        <v>283</v>
      </c>
      <c r="R193" s="24" t="str">
        <f>VLOOKUP(A193,'[1]Bieu 1a'!$A$8:$AW$855,23,0)</f>
        <v>01/11/2018</v>
      </c>
      <c r="S193" s="25" t="s">
        <v>988</v>
      </c>
      <c r="T193" s="26" t="s">
        <v>984</v>
      </c>
      <c r="U193" s="22"/>
      <c r="V193" s="16" t="str">
        <f>IFERROR(VLOOKUP(A193,'[2]19.6.2026'!$A$9:$L$1111,5,0),"")</f>
        <v>003714/LS-CCHN</v>
      </c>
      <c r="W193" s="16" t="str">
        <f>IFERROR(VLOOKUP(A193,'[2]19.6.2026'!$A$9:$L$1111,6,0),"")</f>
        <v>22/05/2020</v>
      </c>
      <c r="X193" s="16"/>
      <c r="Y193" s="21" t="str">
        <f>IFERROR(VLOOKUP(A193,'[2]19.6.2026'!$A$9:$L$1111,7,0),"")</f>
        <v>Thực hiện phạm vi hoạt động chuyên môn theo quy định tại Thông tư số 26/2015/TTLT-BYT-BNV ngày 07/10/2015 quy định mã số, tiêu chuẩn chức danh nghề nghiệp điều dưỡng, hộ sinh, kỹ thuật y</v>
      </c>
      <c r="Z193" s="16"/>
      <c r="AA193" s="27" t="str">
        <f>IFERROR(VLOOKUP(A193,'[3]DS UPLOAD 2026 (2)'!$A$2:$P$1111,16,0),"")</f>
        <v/>
      </c>
      <c r="AB193" s="27" t="s">
        <v>989</v>
      </c>
      <c r="AC193" s="29" t="s">
        <v>85</v>
      </c>
    </row>
    <row r="194" spans="1:29" ht="18" customHeight="1" x14ac:dyDescent="0.3">
      <c r="A194" s="17" t="s">
        <v>990</v>
      </c>
      <c r="B194" s="38" t="s">
        <v>991</v>
      </c>
      <c r="C194" s="17" t="s">
        <v>990</v>
      </c>
      <c r="D194" s="19" t="s">
        <v>38</v>
      </c>
      <c r="E194" s="19" t="s">
        <v>61</v>
      </c>
      <c r="F194" s="16" t="str">
        <f>VLOOKUP(E194,'[1]BẢNG MÃ'!$A$2:$B$69,2,0)</f>
        <v>TĐ012</v>
      </c>
      <c r="G194" s="38"/>
      <c r="H194" s="20" t="s">
        <v>62</v>
      </c>
      <c r="I194" s="16" t="s">
        <v>933</v>
      </c>
      <c r="J194" s="16" t="str">
        <f>VLOOKUP(I194,'[1]BẢNG MÃ'!$C$2:$D$69,2,0)</f>
        <v>KP010</v>
      </c>
      <c r="K194" s="16"/>
      <c r="L194" s="16"/>
      <c r="M194" s="23" t="s">
        <v>33</v>
      </c>
      <c r="N194" s="21">
        <f ca="1">VLOOKUP(A194,'[1]Bieu 1a'!$A$8:$AW$855,10,0)</f>
        <v>29</v>
      </c>
      <c r="O194" s="22">
        <f>VLOOKUP(A194,'[1]Bieu 1a'!$A$8:$AW$855,8,0)</f>
        <v>0</v>
      </c>
      <c r="P194" s="22" t="str">
        <f>VLOOKUP(A194,'[1]Bieu 1a'!$A$8:$AW$855,9,0)</f>
        <v>18/10/1996</v>
      </c>
      <c r="Q194" s="23" t="s">
        <v>948</v>
      </c>
      <c r="R194" s="24" t="str">
        <f>VLOOKUP(A194,'[1]Bieu 1a'!$A$8:$AW$855,23,0)</f>
        <v>17/4/2019</v>
      </c>
      <c r="S194" s="25" t="s">
        <v>992</v>
      </c>
      <c r="T194" s="26" t="s">
        <v>993</v>
      </c>
      <c r="U194" s="22"/>
      <c r="V194" s="16" t="str">
        <f>IFERROR(VLOOKUP(A194,'[2]19.6.2026'!$A$9:$L$1111,5,0),"")</f>
        <v>003715/LS-CCHN</v>
      </c>
      <c r="W194" s="16" t="str">
        <f>IFERROR(VLOOKUP(A194,'[2]19.6.2026'!$A$9:$L$1111,6,0),"")</f>
        <v>22/05/2020</v>
      </c>
      <c r="X194" s="16"/>
      <c r="Y194" s="21" t="str">
        <f>IFERROR(VLOOKUP(A194,'[2]19.6.2026'!$A$9:$L$1111,7,0),"")</f>
        <v>Thực hiện phạm vi hoạt động chuyên môn theo quy định tại Thông tư số 26/2015/TTLT-BYT-BNV ngày 07/10/2015 quy định mã số, tiêu chuẩn chức danh nghề nghiệp điều dưỡng, hộ sinh, kỹ thuật y</v>
      </c>
      <c r="Z194" s="16"/>
      <c r="AA194" s="27" t="str">
        <f>IFERROR(VLOOKUP(A194,'[3]DS UPLOAD 2026 (2)'!$A$2:$P$1111,16,0),"")</f>
        <v/>
      </c>
      <c r="AB194" s="27" t="s">
        <v>994</v>
      </c>
      <c r="AC194" s="29" t="s">
        <v>222</v>
      </c>
    </row>
    <row r="195" spans="1:29" ht="18" customHeight="1" x14ac:dyDescent="0.3">
      <c r="A195" s="29" t="s">
        <v>995</v>
      </c>
      <c r="B195" s="18" t="s">
        <v>996</v>
      </c>
      <c r="C195" s="29" t="s">
        <v>995</v>
      </c>
      <c r="D195" s="19" t="s">
        <v>38</v>
      </c>
      <c r="E195" s="19" t="s">
        <v>61</v>
      </c>
      <c r="F195" s="16" t="str">
        <f>VLOOKUP(E195,'[1]BẢNG MÃ'!$A$2:$B$69,2,0)</f>
        <v>TĐ012</v>
      </c>
      <c r="G195" s="20"/>
      <c r="H195" s="20" t="s">
        <v>62</v>
      </c>
      <c r="I195" s="16" t="s">
        <v>933</v>
      </c>
      <c r="J195" s="16" t="str">
        <f>VLOOKUP(I195,'[1]BẢNG MÃ'!$C$2:$D$69,2,0)</f>
        <v>KP010</v>
      </c>
      <c r="K195" s="16"/>
      <c r="L195" s="16"/>
      <c r="M195" s="16" t="s">
        <v>33</v>
      </c>
      <c r="N195" s="21">
        <f ca="1">VLOOKUP(A195,'[1]Bieu 1a'!$A$8:$AW$855,10,0)</f>
        <v>27</v>
      </c>
      <c r="O195" s="22">
        <f>VLOOKUP(A195,'[1]Bieu 1a'!$A$8:$AW$855,8,0)</f>
        <v>0</v>
      </c>
      <c r="P195" s="22" t="str">
        <f>VLOOKUP(A195,'[1]Bieu 1a'!$A$8:$AW$855,9,0)</f>
        <v>18/9/1998</v>
      </c>
      <c r="Q195" s="23" t="s">
        <v>50</v>
      </c>
      <c r="R195" s="24" t="str">
        <f>VLOOKUP(A195,'[1]Bieu 1a'!$A$8:$AW$855,23,0)</f>
        <v>02/12/2019</v>
      </c>
      <c r="S195" s="25" t="s">
        <v>997</v>
      </c>
      <c r="T195" s="26" t="s">
        <v>972</v>
      </c>
      <c r="U195" s="22"/>
      <c r="V195" s="16" t="str">
        <f>IFERROR(VLOOKUP(A195,'[2]19.6.2026'!$A$9:$L$1111,5,0),"")</f>
        <v>004340/LS-CCHN</v>
      </c>
      <c r="W195" s="16" t="str">
        <f>IFERROR(VLOOKUP(A195,'[2]19.6.2026'!$A$9:$L$1111,6,0),"")</f>
        <v>17/08/2021</v>
      </c>
      <c r="X195" s="16"/>
      <c r="Y195" s="21" t="str">
        <f>IFERROR(VLOOKUP(A195,'[2]19.6.2026'!$A$9:$L$1111,7,0),"")</f>
        <v>Thực hiện phạm vi hoạt động chuyên môn theo quy định tại Thông tư số 26/2015/TTLT-BYT-BNV ngày 07/10/2015 quy định mã số, tiêu chuẩn chức danh nghề nghiệp điều dưỡng, hộ sinh, kỹ thuật y</v>
      </c>
      <c r="Z195" s="16"/>
      <c r="AA195" s="27" t="str">
        <f>IFERROR(VLOOKUP(A195,'[3]DS UPLOAD 2026 (2)'!$A$2:$P$1111,16,0),"")</f>
        <v/>
      </c>
      <c r="AB195" s="27"/>
      <c r="AC195" s="29" t="s">
        <v>591</v>
      </c>
    </row>
    <row r="196" spans="1:29" ht="18" customHeight="1" x14ac:dyDescent="0.3">
      <c r="A196" s="17" t="s">
        <v>998</v>
      </c>
      <c r="B196" s="38" t="s">
        <v>999</v>
      </c>
      <c r="C196" s="17" t="s">
        <v>998</v>
      </c>
      <c r="D196" s="39"/>
      <c r="E196" s="19" t="s">
        <v>61</v>
      </c>
      <c r="F196" s="16" t="str">
        <f>VLOOKUP(E196,'[1]BẢNG MÃ'!$A$2:$B$69,2,0)</f>
        <v>TĐ012</v>
      </c>
      <c r="G196" s="38"/>
      <c r="H196" s="20" t="s">
        <v>62</v>
      </c>
      <c r="I196" s="16" t="s">
        <v>933</v>
      </c>
      <c r="J196" s="16" t="str">
        <f>VLOOKUP(I196,'[1]BẢNG MÃ'!$C$2:$D$69,2,0)</f>
        <v>KP010</v>
      </c>
      <c r="K196" s="16"/>
      <c r="L196" s="16"/>
      <c r="M196" s="23" t="s">
        <v>33</v>
      </c>
      <c r="N196" s="21">
        <f ca="1">VLOOKUP(A196,'[1]Bieu 1a'!$A$8:$AW$855,10,0)</f>
        <v>33</v>
      </c>
      <c r="O196" s="22" t="str">
        <f>VLOOKUP(A196,'[1]Bieu 1a'!$A$8:$AW$855,8,0)</f>
        <v>09/07/1992</v>
      </c>
      <c r="P196" s="22">
        <f>VLOOKUP(A196,'[1]Bieu 1a'!$A$8:$AW$855,9,0)</f>
        <v>0</v>
      </c>
      <c r="Q196" s="23" t="s">
        <v>948</v>
      </c>
      <c r="R196" s="24" t="str">
        <f>VLOOKUP(A196,'[1]Bieu 1a'!$A$8:$AW$855,23,0)</f>
        <v>17/4/2019</v>
      </c>
      <c r="S196" s="25" t="s">
        <v>1000</v>
      </c>
      <c r="T196" s="26" t="s">
        <v>1001</v>
      </c>
      <c r="U196" s="16"/>
      <c r="V196" s="16" t="str">
        <f>IFERROR(VLOOKUP(A196,'[2]19.6.2026'!$A$9:$L$1111,5,0),"")</f>
        <v>005685/LS-CCHN</v>
      </c>
      <c r="W196" s="16" t="str">
        <f>IFERROR(VLOOKUP(A196,'[2]19.6.2026'!$A$9:$L$1111,6,0),"")</f>
        <v>18/09/2023</v>
      </c>
      <c r="X196" s="16"/>
      <c r="Y196" s="21" t="str">
        <f>IFERROR(VLOOKUP(A196,'[2]19.6.2026'!$A$9:$L$1111,7,0),"")</f>
        <v>Thực hiện phạm vi hoạt động chuyên môn theo Thông tư số 26/2015/TTLT-BYT-BNV ngày 07/10/2015 quy định  mã số, tiêu chuẩn chức danh nghề nghiệp, điều dưỡng, hộ sinh, kỹ thuật y</v>
      </c>
      <c r="Z196" s="16"/>
      <c r="AA196" s="27" t="str">
        <f>IFERROR(VLOOKUP(A196,'[3]DS UPLOAD 2026 (2)'!$A$2:$P$1111,16,0),"")</f>
        <v/>
      </c>
      <c r="AB196" s="27" t="s">
        <v>1002</v>
      </c>
      <c r="AC196" s="29" t="s">
        <v>222</v>
      </c>
    </row>
    <row r="197" spans="1:29" ht="18" customHeight="1" x14ac:dyDescent="0.3">
      <c r="A197" s="17" t="s">
        <v>1003</v>
      </c>
      <c r="B197" s="18" t="s">
        <v>1004</v>
      </c>
      <c r="C197" s="17" t="s">
        <v>1003</v>
      </c>
      <c r="D197" s="19" t="s">
        <v>38</v>
      </c>
      <c r="E197" s="19" t="s">
        <v>61</v>
      </c>
      <c r="F197" s="16" t="str">
        <f>VLOOKUP(E197,'[1]BẢNG MÃ'!$A$2:$B$69,2,0)</f>
        <v>TĐ012</v>
      </c>
      <c r="G197" s="20"/>
      <c r="H197" s="20" t="s">
        <v>62</v>
      </c>
      <c r="I197" s="16" t="s">
        <v>933</v>
      </c>
      <c r="J197" s="16" t="str">
        <f>VLOOKUP(I197,'[1]BẢNG MÃ'!$C$2:$D$69,2,0)</f>
        <v>KP010</v>
      </c>
      <c r="K197" s="16"/>
      <c r="L197" s="16"/>
      <c r="M197" s="23" t="s">
        <v>33</v>
      </c>
      <c r="N197" s="21">
        <f ca="1">VLOOKUP(A197,'[1]Bieu 1a'!$A$8:$AW$855,10,0)</f>
        <v>33</v>
      </c>
      <c r="O197" s="22">
        <f>VLOOKUP(A197,'[1]Bieu 1a'!$A$8:$AW$855,8,0)</f>
        <v>0</v>
      </c>
      <c r="P197" s="22" t="str">
        <f>VLOOKUP(A197,'[1]Bieu 1a'!$A$8:$AW$855,9,0)</f>
        <v>16/3/1993</v>
      </c>
      <c r="Q197" s="23" t="s">
        <v>44</v>
      </c>
      <c r="R197" s="24" t="str">
        <f>VLOOKUP(A197,'[1]Bieu 1a'!$A$8:$AW$855,23,0)</f>
        <v xml:space="preserve"> 29/8/2016</v>
      </c>
      <c r="S197" s="25" t="s">
        <v>1005</v>
      </c>
      <c r="T197" s="26" t="s">
        <v>984</v>
      </c>
      <c r="U197" s="16"/>
      <c r="V197" s="16" t="str">
        <f>IFERROR(VLOOKUP(A197,'[2]19.6.2026'!$A$9:$L$1111,5,0),"")</f>
        <v>002165/LS-CCHN</v>
      </c>
      <c r="W197" s="16" t="str">
        <f>IFERROR(VLOOKUP(A197,'[2]19.6.2026'!$A$9:$L$1111,6,0),"")</f>
        <v>17/07/2019</v>
      </c>
      <c r="X197" s="16"/>
      <c r="Y197" s="21" t="str">
        <f>IFERROR(VLOOKUP(A197,'[2]19.6.2026'!$A$9:$L$1111,7,0),"")</f>
        <v>Thực hiện phạm vi hoạt động chuyên môn theo quy định tại Thông tư số 26/2015/TTLT-BYT-BNV ngày 07/10/2015 quy định mã số, tiêu chuẩn chức danh nghề nghiệp điều dưỡng, hộ sinh, kỹ thuật y</v>
      </c>
      <c r="Z197" s="16"/>
      <c r="AA197" s="27" t="str">
        <f>IFERROR(VLOOKUP(A197,'[3]DS UPLOAD 2026 (2)'!$A$2:$P$1111,16,0),"")</f>
        <v/>
      </c>
      <c r="AB197" s="27" t="s">
        <v>1006</v>
      </c>
      <c r="AC197" s="29" t="s">
        <v>239</v>
      </c>
    </row>
    <row r="198" spans="1:29" ht="18" customHeight="1" x14ac:dyDescent="0.3">
      <c r="A198" s="17" t="s">
        <v>1007</v>
      </c>
      <c r="B198" s="36" t="s">
        <v>1008</v>
      </c>
      <c r="C198" s="17" t="s">
        <v>1007</v>
      </c>
      <c r="D198" s="19" t="s">
        <v>38</v>
      </c>
      <c r="E198" s="19" t="s">
        <v>61</v>
      </c>
      <c r="F198" s="16" t="str">
        <f>VLOOKUP(E198,'[1]BẢNG MÃ'!$A$2:$B$69,2,0)</f>
        <v>TĐ012</v>
      </c>
      <c r="G198" s="20"/>
      <c r="H198" s="20" t="s">
        <v>62</v>
      </c>
      <c r="I198" s="16" t="s">
        <v>933</v>
      </c>
      <c r="J198" s="16" t="str">
        <f>VLOOKUP(I198,'[1]BẢNG MÃ'!$C$2:$D$69,2,0)</f>
        <v>KP010</v>
      </c>
      <c r="K198" s="19"/>
      <c r="L198" s="16"/>
      <c r="M198" s="16" t="s">
        <v>33</v>
      </c>
      <c r="N198" s="21">
        <f ca="1">VLOOKUP(A198,'[1]Bieu 1a'!$A$8:$AW$855,10,0)</f>
        <v>34</v>
      </c>
      <c r="O198" s="22">
        <f>VLOOKUP(A198,'[1]Bieu 1a'!$A$8:$AW$855,8,0)</f>
        <v>0</v>
      </c>
      <c r="P198" s="22" t="str">
        <f>VLOOKUP(A198,'[1]Bieu 1a'!$A$8:$AW$855,9,0)</f>
        <v>15/5/1992</v>
      </c>
      <c r="Q198" s="23" t="s">
        <v>44</v>
      </c>
      <c r="R198" s="24" t="str">
        <f>VLOOKUP(A198,'[1]Bieu 1a'!$A$8:$AW$855,23,0)</f>
        <v>03/11/2020</v>
      </c>
      <c r="S198" s="25" t="s">
        <v>1009</v>
      </c>
      <c r="T198" s="26" t="s">
        <v>984</v>
      </c>
      <c r="U198" s="16"/>
      <c r="V198" s="16" t="str">
        <f>IFERROR(VLOOKUP(A198,'[2]19.6.2026'!$A$9:$L$1111,5,0),"")</f>
        <v>004535/LS-CCHN</v>
      </c>
      <c r="W198" s="16" t="str">
        <f>IFERROR(VLOOKUP(A198,'[2]19.6.2026'!$A$9:$L$1111,6,0),"")</f>
        <v>26/05/2022</v>
      </c>
      <c r="X198" s="16"/>
      <c r="Y198" s="21" t="str">
        <f>IFERROR(VLOOKUP(A198,'[2]19.6.2026'!$A$9:$L$1111,7,0),"")</f>
        <v>Thực hiện phạm vi hoạt động chuyên môn theo quy định tại Thông tư số 26/2015/TTLT-BYT-BNV ngày 07/10/2015 quy định mã số, tiêu chuẩn chức danh nghề nghiệp điều dưỡng, hộ sinh, kỹ thuật y</v>
      </c>
      <c r="Z198" s="16"/>
      <c r="AA198" s="27" t="str">
        <f>IFERROR(VLOOKUP(A198,'[3]DS UPLOAD 2026 (2)'!$A$2:$P$1111,16,0),"")</f>
        <v/>
      </c>
      <c r="AB198" s="39" t="s">
        <v>1010</v>
      </c>
      <c r="AC198" s="29" t="s">
        <v>97</v>
      </c>
    </row>
    <row r="199" spans="1:29" ht="18" customHeight="1" x14ac:dyDescent="0.3">
      <c r="A199" s="17" t="s">
        <v>1011</v>
      </c>
      <c r="B199" s="18" t="s">
        <v>1012</v>
      </c>
      <c r="C199" s="17" t="s">
        <v>1011</v>
      </c>
      <c r="D199" s="19" t="s">
        <v>38</v>
      </c>
      <c r="E199" s="19" t="s">
        <v>61</v>
      </c>
      <c r="F199" s="16" t="str">
        <f>VLOOKUP(E199,'[1]BẢNG MÃ'!$A$2:$B$69,2,0)</f>
        <v>TĐ012</v>
      </c>
      <c r="G199" s="20" t="s">
        <v>62</v>
      </c>
      <c r="H199" s="20" t="s">
        <v>62</v>
      </c>
      <c r="I199" s="16" t="s">
        <v>933</v>
      </c>
      <c r="J199" s="16" t="str">
        <f>VLOOKUP(I199,'[1]BẢNG MÃ'!$C$2:$D$69,2,0)</f>
        <v>KP010</v>
      </c>
      <c r="K199" s="16" t="s">
        <v>43</v>
      </c>
      <c r="L199" s="16">
        <v>0</v>
      </c>
      <c r="M199" s="16" t="s">
        <v>33</v>
      </c>
      <c r="N199" s="21">
        <f ca="1">VLOOKUP(A199,'[1]Bieu 1a'!$A$8:$AW$855,10,0)</f>
        <v>35</v>
      </c>
      <c r="O199" s="22">
        <f>VLOOKUP(A199,'[1]Bieu 1a'!$A$8:$AW$855,8,0)</f>
        <v>0</v>
      </c>
      <c r="P199" s="22">
        <f>VLOOKUP(A199,'[1]Bieu 1a'!$A$8:$AW$855,9,0)</f>
        <v>33260</v>
      </c>
      <c r="Q199" s="23" t="s">
        <v>34</v>
      </c>
      <c r="R199" s="24" t="str">
        <f>VLOOKUP(A199,'[1]Bieu 1a'!$A$8:$AW$855,23,0)</f>
        <v>05/6/2013</v>
      </c>
      <c r="S199" s="25" t="s">
        <v>1013</v>
      </c>
      <c r="T199" s="26" t="s">
        <v>945</v>
      </c>
      <c r="U199" s="16"/>
      <c r="V199" s="16" t="str">
        <f>IFERROR(VLOOKUP(A199,'[2]19.6.2026'!$A$9:$L$1111,5,0),"")</f>
        <v>000391/LS-CCHN</v>
      </c>
      <c r="W199" s="16" t="str">
        <f>IFERROR(VLOOKUP(A199,'[2]19.6.2026'!$A$9:$L$1111,6,0),"")</f>
        <v>01/06/2016</v>
      </c>
      <c r="X199" s="16"/>
      <c r="Y199" s="21" t="str">
        <f>IFERROR(VLOOKUP(A199,'[2]19.6.2026'!$A$9:$L$1111,7,0),"")</f>
        <v>Thực hiện phạm vi hoạt động chuyên môn theo quy định tại Thông tư số 26/2015/TTLT-BYT-BNV ngày 07/10/2015 quy định mã số, tiêu chuẩn chức danh nghề nghiệp điều dưỡng, hộ sinh, kỹ thuật y</v>
      </c>
      <c r="Z199" s="16"/>
      <c r="AA199" s="27" t="str">
        <f>IFERROR(VLOOKUP(A199,'[3]DS UPLOAD 2026 (2)'!$A$2:$P$1111,16,0),"")</f>
        <v/>
      </c>
      <c r="AB199" s="27" t="s">
        <v>1014</v>
      </c>
      <c r="AC199" s="28"/>
    </row>
    <row r="200" spans="1:29" ht="18" customHeight="1" x14ac:dyDescent="0.3">
      <c r="A200" s="17" t="s">
        <v>1015</v>
      </c>
      <c r="B200" s="18" t="s">
        <v>1016</v>
      </c>
      <c r="C200" s="17" t="s">
        <v>1015</v>
      </c>
      <c r="D200" s="19" t="s">
        <v>38</v>
      </c>
      <c r="E200" s="19" t="s">
        <v>61</v>
      </c>
      <c r="F200" s="16" t="str">
        <f>VLOOKUP(E200,'[1]BẢNG MÃ'!$A$2:$B$69,2,0)</f>
        <v>TĐ012</v>
      </c>
      <c r="G200" s="20" t="s">
        <v>62</v>
      </c>
      <c r="H200" s="20" t="s">
        <v>62</v>
      </c>
      <c r="I200" s="16" t="s">
        <v>933</v>
      </c>
      <c r="J200" s="16" t="str">
        <f>VLOOKUP(I200,'[1]BẢNG MÃ'!$C$2:$D$69,2,0)</f>
        <v>KP010</v>
      </c>
      <c r="K200" s="16" t="s">
        <v>43</v>
      </c>
      <c r="L200" s="16">
        <v>0</v>
      </c>
      <c r="M200" s="16" t="s">
        <v>33</v>
      </c>
      <c r="N200" s="21">
        <f ca="1">VLOOKUP(A200,'[1]Bieu 1a'!$A$8:$AW$855,10,0)</f>
        <v>40</v>
      </c>
      <c r="O200" s="22">
        <f>VLOOKUP(A200,'[1]Bieu 1a'!$A$8:$AW$855,8,0)</f>
        <v>0</v>
      </c>
      <c r="P200" s="22">
        <f>VLOOKUP(A200,'[1]Bieu 1a'!$A$8:$AW$855,9,0)</f>
        <v>31451</v>
      </c>
      <c r="Q200" s="23" t="s">
        <v>44</v>
      </c>
      <c r="R200" s="24" t="str">
        <f>VLOOKUP(A200,'[1]Bieu 1a'!$A$8:$AW$855,23,0)</f>
        <v>01/12/2008</v>
      </c>
      <c r="S200" s="25" t="s">
        <v>1017</v>
      </c>
      <c r="T200" s="26" t="s">
        <v>1018</v>
      </c>
      <c r="U200" s="22"/>
      <c r="V200" s="16" t="str">
        <f>IFERROR(VLOOKUP(A200,'[2]19.6.2026'!$A$9:$L$1111,5,0),"")</f>
        <v>001501/LS-CCHN</v>
      </c>
      <c r="W200" s="16" t="str">
        <f>IFERROR(VLOOKUP(A200,'[2]19.6.2026'!$A$9:$L$1111,6,0),"")</f>
        <v>11/01/2023</v>
      </c>
      <c r="X200" s="16"/>
      <c r="Y200" s="21" t="str">
        <f>IFERROR(VLOOKUP(A200,'[2]19.6.2026'!$A$9:$L$1111,7,0),"")</f>
        <v>Thực hiện phạm vi hoạt động chuyên môn theo Thông tư số 26/2015/TTLT-BYT-BNV ngày 07/10/2015 quy định  mã số, tiêu chuẩn chức danh nghề nghiệp, điều dưỡng, hộ sinh, kỹ thuật y</v>
      </c>
      <c r="Z200" s="16"/>
      <c r="AA200" s="27" t="str">
        <f>IFERROR(VLOOKUP(A200,'[3]DS UPLOAD 2026 (2)'!$A$2:$P$1111,16,0),"")</f>
        <v/>
      </c>
      <c r="AB200" s="27" t="s">
        <v>1019</v>
      </c>
      <c r="AC200" s="28"/>
    </row>
    <row r="201" spans="1:29" ht="18" customHeight="1" x14ac:dyDescent="0.3">
      <c r="A201" s="17" t="s">
        <v>1020</v>
      </c>
      <c r="B201" s="38" t="s">
        <v>1021</v>
      </c>
      <c r="C201" s="17" t="s">
        <v>1020</v>
      </c>
      <c r="D201" s="53" t="s">
        <v>38</v>
      </c>
      <c r="E201" s="19" t="s">
        <v>128</v>
      </c>
      <c r="F201" s="16" t="str">
        <f>VLOOKUP(E201,'[1]BẢNG MÃ'!$A$2:$B$69,2,0)</f>
        <v>TĐ047</v>
      </c>
      <c r="G201" s="20"/>
      <c r="H201" s="19" t="s">
        <v>128</v>
      </c>
      <c r="I201" s="16" t="s">
        <v>933</v>
      </c>
      <c r="J201" s="16" t="str">
        <f>VLOOKUP(I201,'[1]BẢNG MÃ'!$C$2:$D$69,2,0)</f>
        <v>KP010</v>
      </c>
      <c r="K201" s="16"/>
      <c r="L201" s="16"/>
      <c r="M201" s="16" t="s">
        <v>136</v>
      </c>
      <c r="N201" s="21">
        <f ca="1">VLOOKUP(A201,'[1]Bieu 1a'!$A$8:$AW$855,10,0)</f>
        <v>45</v>
      </c>
      <c r="O201" s="22">
        <f>VLOOKUP(A201,'[1]Bieu 1a'!$A$8:$AW$855,8,0)</f>
        <v>0</v>
      </c>
      <c r="P201" s="22" t="str">
        <f>VLOOKUP(A201,'[1]Bieu 1a'!$A$8:$AW$855,9,0)</f>
        <v>21/12/1980</v>
      </c>
      <c r="Q201" s="23" t="s">
        <v>34</v>
      </c>
      <c r="R201" s="24" t="str">
        <f>VLOOKUP(A201,'[1]Bieu 1a'!$A$8:$AW$855,23,0)</f>
        <v>11/5/2020</v>
      </c>
      <c r="S201" s="25" t="s">
        <v>1022</v>
      </c>
      <c r="T201" s="26" t="s">
        <v>1023</v>
      </c>
      <c r="U201" s="16"/>
      <c r="V201" s="16" t="str">
        <f>IFERROR(VLOOKUP(A201,'[2]19.6.2026'!$A$9:$L$1111,5,0),"")</f>
        <v/>
      </c>
      <c r="W201" s="16" t="str">
        <f>IFERROR(VLOOKUP(A201,'[2]19.6.2026'!$A$9:$L$1111,6,0),"")</f>
        <v/>
      </c>
      <c r="X201" s="16"/>
      <c r="Y201" s="21" t="str">
        <f>IFERROR(VLOOKUP(A201,'[2]19.6.2026'!$A$9:$L$1111,7,0),"")</f>
        <v/>
      </c>
      <c r="Z201" s="16"/>
      <c r="AA201" s="27" t="str">
        <f>IFERROR(VLOOKUP(A201,'[3]DS UPLOAD 2026 (2)'!$A$2:$P$1111,16,0),"")</f>
        <v/>
      </c>
      <c r="AB201" s="50"/>
      <c r="AC201" s="29" t="s">
        <v>1024</v>
      </c>
    </row>
    <row r="202" spans="1:29" ht="18" customHeight="1" x14ac:dyDescent="0.3">
      <c r="A202" s="17" t="s">
        <v>1025</v>
      </c>
      <c r="B202" s="36" t="s">
        <v>1026</v>
      </c>
      <c r="C202" s="17" t="s">
        <v>1025</v>
      </c>
      <c r="D202" s="16"/>
      <c r="E202" s="16" t="s">
        <v>160</v>
      </c>
      <c r="F202" s="16" t="str">
        <f>VLOOKUP(E202,'[1]BẢNG MÃ'!$A$2:$B$69,2,0)</f>
        <v>TĐ003</v>
      </c>
      <c r="G202" s="20" t="s">
        <v>29</v>
      </c>
      <c r="H202" s="20" t="s">
        <v>29</v>
      </c>
      <c r="I202" s="16" t="s">
        <v>351</v>
      </c>
      <c r="J202" s="16" t="str">
        <f>VLOOKUP(I202,'[1]BẢNG MÃ'!$C$2:$D$69,2,0)</f>
        <v>KP011</v>
      </c>
      <c r="K202" s="16" t="s">
        <v>31</v>
      </c>
      <c r="L202" s="16" t="s">
        <v>148</v>
      </c>
      <c r="M202" s="16" t="s">
        <v>33</v>
      </c>
      <c r="N202" s="21">
        <f ca="1">VLOOKUP(A202,'[1]Bieu 1a'!$A$8:$AW$855,10,0)</f>
        <v>58</v>
      </c>
      <c r="O202" s="22">
        <f>VLOOKUP(A202,'[1]Bieu 1a'!$A$8:$AW$855,8,0)</f>
        <v>24816</v>
      </c>
      <c r="P202" s="22">
        <f>VLOOKUP(A202,'[1]Bieu 1a'!$A$8:$AW$855,9,0)</f>
        <v>0</v>
      </c>
      <c r="Q202" s="23" t="s">
        <v>44</v>
      </c>
      <c r="R202" s="24" t="str">
        <f>VLOOKUP(A202,'[1]Bieu 1a'!$A$8:$AW$855,23,0)</f>
        <v>1/2/1996</v>
      </c>
      <c r="S202" s="25" t="s">
        <v>1027</v>
      </c>
      <c r="T202" s="26" t="s">
        <v>1028</v>
      </c>
      <c r="U202" s="16"/>
      <c r="V202" s="16" t="str">
        <f>IFERROR(VLOOKUP(A202,'[2]19.6.2026'!$A$9:$L$1111,5,0),"")</f>
        <v>001047/LS-CCHN</v>
      </c>
      <c r="W202" s="16" t="str">
        <f>IFERROR(VLOOKUP(A202,'[2]19.6.2026'!$A$9:$L$1111,6,0),"")</f>
        <v>24/06/2013</v>
      </c>
      <c r="X202" s="16"/>
      <c r="Y202" s="21" t="str">
        <f>IFERROR(VLOOKUP(A202,'[2]19.6.2026'!$A$9:$L$1111,7,0),"")</f>
        <v>Khám bệnh, chữa bệnh chuyên khoa Ung bướu; Khám bệnh, chữa bệnh nội khoa</v>
      </c>
      <c r="Z202" s="16"/>
      <c r="AA202" s="27" t="str">
        <f>IFERROR(VLOOKUP(A202,'[3]DS UPLOAD 2026 (2)'!$A$2:$P$1111,16,0),"")</f>
        <v/>
      </c>
      <c r="AB202" s="27" t="s">
        <v>1029</v>
      </c>
      <c r="AC202" s="28"/>
    </row>
    <row r="203" spans="1:29" ht="18" customHeight="1" x14ac:dyDescent="0.3">
      <c r="A203" s="17" t="s">
        <v>1030</v>
      </c>
      <c r="B203" s="18" t="s">
        <v>1031</v>
      </c>
      <c r="C203" s="17" t="s">
        <v>1030</v>
      </c>
      <c r="D203" s="19" t="s">
        <v>38</v>
      </c>
      <c r="E203" s="19" t="s">
        <v>160</v>
      </c>
      <c r="F203" s="16" t="str">
        <f>VLOOKUP(E203,'[1]BẢNG MÃ'!$A$2:$B$69,2,0)</f>
        <v>TĐ003</v>
      </c>
      <c r="G203" s="20" t="s">
        <v>161</v>
      </c>
      <c r="H203" s="20" t="s">
        <v>161</v>
      </c>
      <c r="I203" s="16" t="s">
        <v>351</v>
      </c>
      <c r="J203" s="16" t="str">
        <f>VLOOKUP(I203,'[1]BẢNG MÃ'!$C$2:$D$69,2,0)</f>
        <v>KP011</v>
      </c>
      <c r="K203" s="16" t="s">
        <v>43</v>
      </c>
      <c r="L203" s="16">
        <v>0</v>
      </c>
      <c r="M203" s="16" t="s">
        <v>33</v>
      </c>
      <c r="N203" s="21">
        <f ca="1">VLOOKUP(A203,'[1]Bieu 1a'!$A$8:$AW$855,10,0)</f>
        <v>36</v>
      </c>
      <c r="O203" s="22">
        <f>VLOOKUP(A203,'[1]Bieu 1a'!$A$8:$AW$855,8,0)</f>
        <v>0</v>
      </c>
      <c r="P203" s="22" t="str">
        <f>VLOOKUP(A203,'[1]Bieu 1a'!$A$8:$AW$855,9,0)</f>
        <v>03/08/1989</v>
      </c>
      <c r="Q203" s="23" t="s">
        <v>283</v>
      </c>
      <c r="R203" s="24" t="str">
        <f>VLOOKUP(A203,'[1]Bieu 1a'!$A$8:$AW$855,23,0)</f>
        <v>01/11/2014</v>
      </c>
      <c r="S203" s="25" t="s">
        <v>1032</v>
      </c>
      <c r="T203" s="26">
        <v>0</v>
      </c>
      <c r="U203" s="16"/>
      <c r="V203" s="16" t="str">
        <f>IFERROR(VLOOKUP(A203,'[2]19.6.2026'!$A$9:$L$1111,5,0),"")</f>
        <v>002073/LS-CCHN</v>
      </c>
      <c r="W203" s="16" t="str">
        <f>IFERROR(VLOOKUP(A203,'[2]19.6.2026'!$A$9:$L$1111,6,0),"")</f>
        <v>29/08/2017</v>
      </c>
      <c r="X203" s="16"/>
      <c r="Y203" s="21" t="str">
        <f>IFERROR(VLOOKUP(A203,'[2]19.6.2026'!$A$9:$L$1111,7,0),"")</f>
        <v>Khám bệnh, chữa bệnh đa khoa, Ung thư</v>
      </c>
      <c r="Z203" s="16"/>
      <c r="AA203" s="27" t="str">
        <f>IFERROR(VLOOKUP(A203,'[3]DS UPLOAD 2026 (2)'!$A$2:$P$1111,16,0),"")</f>
        <v/>
      </c>
      <c r="AB203" s="41">
        <v>943018168</v>
      </c>
      <c r="AC203" s="75" t="s">
        <v>1033</v>
      </c>
    </row>
    <row r="204" spans="1:29" ht="18" customHeight="1" x14ac:dyDescent="0.3">
      <c r="A204" s="17" t="s">
        <v>1034</v>
      </c>
      <c r="B204" s="40" t="s">
        <v>1035</v>
      </c>
      <c r="C204" s="17" t="s">
        <v>1034</v>
      </c>
      <c r="D204" s="19" t="s">
        <v>38</v>
      </c>
      <c r="E204" s="19" t="s">
        <v>173</v>
      </c>
      <c r="F204" s="16" t="str">
        <f>VLOOKUP(E204,'[1]BẢNG MÃ'!$A$2:$B$69,2,0)</f>
        <v>TĐ005</v>
      </c>
      <c r="G204" s="20" t="s">
        <v>161</v>
      </c>
      <c r="H204" s="20" t="s">
        <v>161</v>
      </c>
      <c r="I204" s="16" t="s">
        <v>351</v>
      </c>
      <c r="J204" s="16" t="str">
        <f>VLOOKUP(I204,'[1]BẢNG MÃ'!$C$2:$D$69,2,0)</f>
        <v>KP011</v>
      </c>
      <c r="K204" s="16" t="s">
        <v>43</v>
      </c>
      <c r="L204" s="16">
        <v>0</v>
      </c>
      <c r="M204" s="16" t="s">
        <v>33</v>
      </c>
      <c r="N204" s="21">
        <f ca="1">VLOOKUP(A204,'[1]Bieu 1a'!$A$8:$AW$855,10,0)</f>
        <v>36</v>
      </c>
      <c r="O204" s="22">
        <f>VLOOKUP(A204,'[1]Bieu 1a'!$A$8:$AW$855,8,0)</f>
        <v>0</v>
      </c>
      <c r="P204" s="22" t="str">
        <f>VLOOKUP(A204,'[1]Bieu 1a'!$A$8:$AW$855,9,0)</f>
        <v>06/01/1990</v>
      </c>
      <c r="Q204" s="23" t="s">
        <v>44</v>
      </c>
      <c r="R204" s="24" t="str">
        <f>VLOOKUP(A204,'[1]Bieu 1a'!$A$8:$AW$855,23,0)</f>
        <v>10/01/2016</v>
      </c>
      <c r="S204" s="25" t="s">
        <v>1036</v>
      </c>
      <c r="T204" s="26">
        <v>0</v>
      </c>
      <c r="U204" s="22"/>
      <c r="V204" s="16" t="str">
        <f>IFERROR(VLOOKUP(A204,'[2]19.6.2026'!$A$9:$L$1111,5,0),"")</f>
        <v>002174/LS-CCHN</v>
      </c>
      <c r="W204" s="16" t="str">
        <f>IFERROR(VLOOKUP(A204,'[2]19.6.2026'!$A$9:$L$1111,6,0),"")</f>
        <v>29/12/2017</v>
      </c>
      <c r="X204" s="16"/>
      <c r="Y204" s="21" t="str">
        <f>IFERROR(VLOOKUP(A204,'[2]19.6.2026'!$A$9:$L$1111,7,0),"")</f>
        <v>Khám bệnh chữa bệnh Nội khoa; Khám bệnh chữa bệnh chuyên khoa Ung thư.</v>
      </c>
      <c r="Z204" s="16"/>
      <c r="AA204" s="27" t="str">
        <f>IFERROR(VLOOKUP(A204,'[3]DS UPLOAD 2026 (2)'!$A$2:$P$1111,16,0),"")</f>
        <v/>
      </c>
      <c r="AB204" s="27" t="s">
        <v>1037</v>
      </c>
      <c r="AC204" s="29"/>
    </row>
    <row r="205" spans="1:29" ht="18" customHeight="1" x14ac:dyDescent="0.3">
      <c r="A205" s="17" t="s">
        <v>1038</v>
      </c>
      <c r="B205" s="18" t="s">
        <v>1039</v>
      </c>
      <c r="C205" s="17" t="s">
        <v>1038</v>
      </c>
      <c r="D205" s="19" t="s">
        <v>38</v>
      </c>
      <c r="E205" s="19" t="s">
        <v>160</v>
      </c>
      <c r="F205" s="16" t="str">
        <f>VLOOKUP(E205,'[1]BẢNG MÃ'!$A$2:$B$69,2,0)</f>
        <v>TĐ003</v>
      </c>
      <c r="G205" s="20" t="s">
        <v>161</v>
      </c>
      <c r="H205" s="20" t="s">
        <v>161</v>
      </c>
      <c r="I205" s="16" t="s">
        <v>351</v>
      </c>
      <c r="J205" s="16" t="str">
        <f>VLOOKUP(I205,'[1]BẢNG MÃ'!$C$2:$D$69,2,0)</f>
        <v>KP011</v>
      </c>
      <c r="K205" s="16" t="s">
        <v>43</v>
      </c>
      <c r="L205" s="16">
        <v>0</v>
      </c>
      <c r="M205" s="16" t="s">
        <v>33</v>
      </c>
      <c r="N205" s="21">
        <f ca="1">VLOOKUP(A205,'[1]Bieu 1a'!$A$8:$AW$855,10,0)</f>
        <v>41</v>
      </c>
      <c r="O205" s="22">
        <f>VLOOKUP(A205,'[1]Bieu 1a'!$A$8:$AW$855,8,0)</f>
        <v>0</v>
      </c>
      <c r="P205" s="22">
        <f>VLOOKUP(A205,'[1]Bieu 1a'!$A$8:$AW$855,9,0)</f>
        <v>31105</v>
      </c>
      <c r="Q205" s="23" t="s">
        <v>50</v>
      </c>
      <c r="R205" s="24" t="str">
        <f>VLOOKUP(A205,'[1]Bieu 1a'!$A$8:$AW$855,23,0)</f>
        <v>1/12/2008</v>
      </c>
      <c r="S205" s="25" t="s">
        <v>1040</v>
      </c>
      <c r="T205" s="26">
        <v>0</v>
      </c>
      <c r="U205" s="16"/>
      <c r="V205" s="16" t="str">
        <f>IFERROR(VLOOKUP(A205,'[2]19.6.2026'!$A$9:$L$1111,5,0),"")</f>
        <v>001090/LS-CCHN</v>
      </c>
      <c r="W205" s="16" t="str">
        <f>IFERROR(VLOOKUP(A205,'[2]19.6.2026'!$A$9:$L$1111,6,0),"")</f>
        <v>24/06/2013</v>
      </c>
      <c r="X205" s="16"/>
      <c r="Y205" s="21" t="str">
        <f>IFERROR(VLOOKUP(A205,'[2]19.6.2026'!$A$9:$L$1111,7,0),"")</f>
        <v>Khám bệnh chữa bệnh Nội khoa; Ung thư</v>
      </c>
      <c r="Z205" s="16"/>
      <c r="AA205" s="27" t="str">
        <f>IFERROR(VLOOKUP(A205,'[3]DS UPLOAD 2026 (2)'!$A$2:$P$1111,16,0),"")</f>
        <v/>
      </c>
      <c r="AB205" s="27">
        <v>912199066</v>
      </c>
      <c r="AC205" s="29"/>
    </row>
    <row r="206" spans="1:29" ht="18" customHeight="1" x14ac:dyDescent="0.3">
      <c r="A206" s="17" t="s">
        <v>1041</v>
      </c>
      <c r="B206" s="38" t="s">
        <v>1042</v>
      </c>
      <c r="C206" s="17" t="s">
        <v>1041</v>
      </c>
      <c r="D206" s="19"/>
      <c r="E206" s="19" t="s">
        <v>173</v>
      </c>
      <c r="F206" s="16" t="str">
        <f>VLOOKUP(E206,'[1]BẢNG MÃ'!$A$2:$B$69,2,0)</f>
        <v>TĐ005</v>
      </c>
      <c r="G206" s="20" t="s">
        <v>161</v>
      </c>
      <c r="H206" s="20" t="s">
        <v>161</v>
      </c>
      <c r="I206" s="16" t="s">
        <v>351</v>
      </c>
      <c r="J206" s="16" t="str">
        <f>VLOOKUP(I206,'[1]BẢNG MÃ'!$C$2:$D$69,2,0)</f>
        <v>KP011</v>
      </c>
      <c r="K206" s="16" t="s">
        <v>43</v>
      </c>
      <c r="L206" s="16">
        <v>0</v>
      </c>
      <c r="M206" s="16" t="s">
        <v>33</v>
      </c>
      <c r="N206" s="21">
        <f ca="1">VLOOKUP(A206,'[1]Bieu 1a'!$A$8:$AW$855,10,0)</f>
        <v>37</v>
      </c>
      <c r="O206" s="22" t="str">
        <f>VLOOKUP(A206,'[1]Bieu 1a'!$A$8:$AW$855,8,0)</f>
        <v>30/01/1989</v>
      </c>
      <c r="P206" s="22">
        <f>VLOOKUP(A206,'[1]Bieu 1a'!$A$8:$AW$855,9,0)</f>
        <v>0</v>
      </c>
      <c r="Q206" s="23" t="s">
        <v>50</v>
      </c>
      <c r="R206" s="24" t="str">
        <f>VLOOKUP(A206,'[1]Bieu 1a'!$A$8:$AW$855,23,0)</f>
        <v>01/11/2014</v>
      </c>
      <c r="S206" s="25" t="s">
        <v>1043</v>
      </c>
      <c r="T206" s="26">
        <v>0</v>
      </c>
      <c r="U206" s="16"/>
      <c r="V206" s="16" t="str">
        <f>IFERROR(VLOOKUP(A206,'[2]19.6.2026'!$A$9:$L$1111,5,0),"")</f>
        <v>003656/LS-CCHN</v>
      </c>
      <c r="W206" s="16" t="str">
        <f>IFERROR(VLOOKUP(A206,'[2]19.6.2026'!$A$9:$L$1111,6,0),"")</f>
        <v>27/12/2019</v>
      </c>
      <c r="X206" s="16"/>
      <c r="Y206" s="21" t="str">
        <f>IFERROR(VLOOKUP(A206,'[2]19.6.2026'!$A$9:$L$1111,7,0),"")</f>
        <v>Khám bệnh, chữa bệnh Nội khoa</v>
      </c>
      <c r="Z206" s="16"/>
      <c r="AA206" s="27" t="str">
        <f>IFERROR(VLOOKUP(A206,'[3]DS UPLOAD 2026 (2)'!$A$2:$P$1111,16,0),"")</f>
        <v/>
      </c>
      <c r="AB206" s="27" t="s">
        <v>1044</v>
      </c>
      <c r="AC206" s="28" t="s">
        <v>1045</v>
      </c>
    </row>
    <row r="207" spans="1:29" ht="18" customHeight="1" x14ac:dyDescent="0.3">
      <c r="A207" s="17" t="s">
        <v>1046</v>
      </c>
      <c r="B207" s="18" t="s">
        <v>1047</v>
      </c>
      <c r="C207" s="17" t="s">
        <v>1046</v>
      </c>
      <c r="D207" s="19" t="s">
        <v>38</v>
      </c>
      <c r="E207" s="19" t="s">
        <v>173</v>
      </c>
      <c r="F207" s="16" t="str">
        <f>VLOOKUP(E207,'[1]BẢNG MÃ'!$A$2:$B$69,2,0)</f>
        <v>TĐ005</v>
      </c>
      <c r="G207" s="60" t="s">
        <v>161</v>
      </c>
      <c r="H207" s="60" t="s">
        <v>161</v>
      </c>
      <c r="I207" s="16" t="s">
        <v>351</v>
      </c>
      <c r="J207" s="16" t="str">
        <f>VLOOKUP(I207,'[1]BẢNG MÃ'!$C$2:$D$69,2,0)</f>
        <v>KP011</v>
      </c>
      <c r="K207" s="16" t="s">
        <v>43</v>
      </c>
      <c r="L207" s="16"/>
      <c r="M207" s="16" t="s">
        <v>33</v>
      </c>
      <c r="N207" s="70">
        <f>VLOOKUP(A207,'[1]Bieu 1a'!$A$8:$AW$855,10,0)</f>
        <v>0</v>
      </c>
      <c r="O207" s="22">
        <f>VLOOKUP(A207,'[1]Bieu 1a'!$A$8:$AW$855,8,0)</f>
        <v>0</v>
      </c>
      <c r="P207" s="22">
        <f>VLOOKUP(A207,'[1]Bieu 1a'!$A$8:$AW$855,9,0)</f>
        <v>35783</v>
      </c>
      <c r="Q207" s="23" t="s">
        <v>50</v>
      </c>
      <c r="R207" s="24">
        <f>VLOOKUP(A207,'[1]Bieu 1a'!$A$8:$AW$855,23,0)</f>
        <v>44562</v>
      </c>
      <c r="S207" s="25" t="s">
        <v>1048</v>
      </c>
      <c r="T207" s="26">
        <v>0</v>
      </c>
      <c r="U207" s="67">
        <v>45566</v>
      </c>
      <c r="V207" s="16" t="str">
        <f>IFERROR(VLOOKUP(A207,'[2]19.6.2026'!$A$9:$L$1111,5,0),"")</f>
        <v>000180/LS-GPHN</v>
      </c>
      <c r="W207" s="16">
        <f>IFERROR(VLOOKUP(A207,'[2]19.6.2026'!$A$9:$L$1111,6,0),"")</f>
        <v>45633</v>
      </c>
      <c r="X207" s="16"/>
      <c r="Y207" s="21" t="str">
        <f>IFERROR(VLOOKUP(A207,'[2]19.6.2026'!$A$9:$L$1111,7,0),"")</f>
        <v>Chuyên khoa Nội khoa</v>
      </c>
      <c r="Z207" s="16"/>
      <c r="AA207" s="27" t="str">
        <f>IFERROR(VLOOKUP(A207,'[3]DS UPLOAD 2026 (2)'!$A$2:$P$1111,16,0),"")</f>
        <v/>
      </c>
      <c r="AB207" s="58" t="s">
        <v>1049</v>
      </c>
      <c r="AC207" s="28" t="s">
        <v>1050</v>
      </c>
    </row>
    <row r="208" spans="1:29" ht="18" customHeight="1" x14ac:dyDescent="0.3">
      <c r="A208" s="17" t="s">
        <v>1051</v>
      </c>
      <c r="B208" s="29" t="s">
        <v>1052</v>
      </c>
      <c r="C208" s="17" t="s">
        <v>1051</v>
      </c>
      <c r="D208" s="19"/>
      <c r="E208" s="30" t="s">
        <v>41</v>
      </c>
      <c r="F208" s="16" t="str">
        <f>VLOOKUP(E208,'[1]BẢNG MÃ'!$A$2:$B$69,2,0)</f>
        <v>TĐ011</v>
      </c>
      <c r="G208" s="31" t="s">
        <v>42</v>
      </c>
      <c r="H208" s="31" t="s">
        <v>42</v>
      </c>
      <c r="I208" s="16" t="s">
        <v>351</v>
      </c>
      <c r="J208" s="16" t="str">
        <f>VLOOKUP(I208,'[1]BẢNG MÃ'!$C$2:$D$69,2,0)</f>
        <v>KP011</v>
      </c>
      <c r="K208" s="16" t="s">
        <v>43</v>
      </c>
      <c r="L208" s="16" t="s">
        <v>1053</v>
      </c>
      <c r="M208" s="16" t="s">
        <v>33</v>
      </c>
      <c r="N208" s="21">
        <f ca="1">VLOOKUP(A208,'[1]Bieu 1a'!$A$8:$AW$855,10,0)</f>
        <v>40</v>
      </c>
      <c r="O208" s="22">
        <f>VLOOKUP(A208,'[1]Bieu 1a'!$A$8:$AW$855,8,0)</f>
        <v>31391</v>
      </c>
      <c r="P208" s="22">
        <f>VLOOKUP(A208,'[1]Bieu 1a'!$A$8:$AW$855,9,0)</f>
        <v>0</v>
      </c>
      <c r="Q208" s="23" t="s">
        <v>44</v>
      </c>
      <c r="R208" s="24" t="str">
        <f>VLOOKUP(A208,'[1]Bieu 1a'!$A$8:$AW$855,23,0)</f>
        <v>15/1/2010</v>
      </c>
      <c r="S208" s="25" t="s">
        <v>1054</v>
      </c>
      <c r="T208" s="26">
        <v>0</v>
      </c>
      <c r="U208" s="16"/>
      <c r="V208" s="16" t="str">
        <f>IFERROR(VLOOKUP(A208,'[2]19.6.2026'!$A$9:$L$1111,5,0),"")</f>
        <v>000785/LS-CCHN</v>
      </c>
      <c r="W208" s="16" t="str">
        <f>IFERROR(VLOOKUP(A208,'[2]19.6.2026'!$A$9:$L$1111,6,0),"")</f>
        <v>11/01/2023</v>
      </c>
      <c r="X208" s="16"/>
      <c r="Y208" s="21" t="str">
        <f>IFERROR(VLOOKUP(A208,'[2]19.6.2026'!$A$9:$L$1111,7,0),"")</f>
        <v>Thực hiện phạm vi hoạt động chuyên môn theo Thông tư số 26/2015/TTLT-BYT-BNV ngày 07/10/2015 quy định  mã số, tiêu chuẩn chức danh nghề nghiệp, điều dưỡng, hộ sinh, kỹ thuật y</v>
      </c>
      <c r="Z208" s="16"/>
      <c r="AA208" s="27" t="str">
        <f>IFERROR(VLOOKUP(A208,'[3]DS UPLOAD 2026 (2)'!$A$2:$P$1111,16,0),"")</f>
        <v/>
      </c>
      <c r="AB208" s="27">
        <v>976389965</v>
      </c>
      <c r="AC208" s="28"/>
    </row>
    <row r="209" spans="1:29" ht="18" customHeight="1" x14ac:dyDescent="0.3">
      <c r="A209" s="17" t="s">
        <v>1055</v>
      </c>
      <c r="B209" s="29" t="s">
        <v>1056</v>
      </c>
      <c r="C209" s="17" t="s">
        <v>1055</v>
      </c>
      <c r="D209" s="19" t="s">
        <v>38</v>
      </c>
      <c r="E209" s="19" t="s">
        <v>41</v>
      </c>
      <c r="F209" s="16" t="str">
        <f>VLOOKUP(E209,'[1]BẢNG MÃ'!$A$2:$B$69,2,0)</f>
        <v>TĐ011</v>
      </c>
      <c r="G209" s="20" t="s">
        <v>42</v>
      </c>
      <c r="H209" s="20" t="s">
        <v>42</v>
      </c>
      <c r="I209" s="16" t="s">
        <v>351</v>
      </c>
      <c r="J209" s="16" t="str">
        <f>VLOOKUP(I209,'[1]BẢNG MÃ'!$C$2:$D$69,2,0)</f>
        <v>KP011</v>
      </c>
      <c r="K209" s="16" t="s">
        <v>43</v>
      </c>
      <c r="L209" s="16"/>
      <c r="M209" s="16" t="s">
        <v>33</v>
      </c>
      <c r="N209" s="21">
        <f ca="1">VLOOKUP(A209,'[1]Bieu 1a'!$A$8:$AW$855,10,0)</f>
        <v>41</v>
      </c>
      <c r="O209" s="22">
        <f>VLOOKUP(A209,'[1]Bieu 1a'!$A$8:$AW$855,8,0)</f>
        <v>0</v>
      </c>
      <c r="P209" s="22">
        <f>VLOOKUP(A209,'[1]Bieu 1a'!$A$8:$AW$855,9,0)</f>
        <v>31042</v>
      </c>
      <c r="Q209" s="23" t="s">
        <v>44</v>
      </c>
      <c r="R209" s="24" t="str">
        <f>VLOOKUP(A209,'[1]Bieu 1a'!$A$8:$AW$855,23,0)</f>
        <v>1/12/2008</v>
      </c>
      <c r="S209" s="25" t="s">
        <v>1057</v>
      </c>
      <c r="T209" s="26">
        <v>0</v>
      </c>
      <c r="U209" s="16"/>
      <c r="V209" s="16" t="str">
        <f>IFERROR(VLOOKUP(A209,'[2]19.6.2026'!$A$9:$L$1111,5,0),"")</f>
        <v>001051/LS-CCHN</v>
      </c>
      <c r="W209" s="16" t="str">
        <f>IFERROR(VLOOKUP(A209,'[2]19.6.2026'!$A$9:$L$1111,6,0),"")</f>
        <v>11/01/2023</v>
      </c>
      <c r="X209" s="16"/>
      <c r="Y209" s="21" t="str">
        <f>IFERROR(VLOOKUP(A209,'[2]19.6.2026'!$A$9:$L$1111,7,0),"")</f>
        <v>Thực hiện phạm vi hoạt động chuyên môn theo Thông tư số 26/2015/TTLT-BYT-BNV ngày 07/10/2015 quy định  mã số, tiêu chuẩn chức danh nghề nghiệp, điều dưỡng, hộ sinh, kỹ thuật y</v>
      </c>
      <c r="Z209" s="16"/>
      <c r="AA209" s="27" t="str">
        <f>IFERROR(VLOOKUP(A209,'[3]DS UPLOAD 2026 (2)'!$A$2:$P$1111,16,0),"")</f>
        <v/>
      </c>
      <c r="AB209" s="27" t="s">
        <v>1058</v>
      </c>
      <c r="AC209" s="29"/>
    </row>
    <row r="210" spans="1:29" ht="18" customHeight="1" x14ac:dyDescent="0.3">
      <c r="A210" s="17" t="s">
        <v>1059</v>
      </c>
      <c r="B210" s="18" t="s">
        <v>1060</v>
      </c>
      <c r="C210" s="17" t="s">
        <v>1059</v>
      </c>
      <c r="D210" s="19" t="s">
        <v>38</v>
      </c>
      <c r="E210" s="19" t="s">
        <v>41</v>
      </c>
      <c r="F210" s="16" t="str">
        <f>VLOOKUP(E210,'[1]BẢNG MÃ'!$A$2:$B$69,2,0)</f>
        <v>TĐ011</v>
      </c>
      <c r="G210" s="20" t="s">
        <v>42</v>
      </c>
      <c r="H210" s="20" t="s">
        <v>42</v>
      </c>
      <c r="I210" s="16" t="s">
        <v>351</v>
      </c>
      <c r="J210" s="16" t="str">
        <f>VLOOKUP(I210,'[1]BẢNG MÃ'!$C$2:$D$69,2,0)</f>
        <v>KP011</v>
      </c>
      <c r="K210" s="16" t="s">
        <v>43</v>
      </c>
      <c r="L210" s="16">
        <v>0</v>
      </c>
      <c r="M210" s="16" t="s">
        <v>33</v>
      </c>
      <c r="N210" s="21">
        <f ca="1">VLOOKUP(A210,'[1]Bieu 1a'!$A$8:$AW$855,10,0)</f>
        <v>51</v>
      </c>
      <c r="O210" s="22">
        <f>VLOOKUP(A210,'[1]Bieu 1a'!$A$8:$AW$855,8,0)</f>
        <v>0</v>
      </c>
      <c r="P210" s="22">
        <f>VLOOKUP(A210,'[1]Bieu 1a'!$A$8:$AW$855,9,0)</f>
        <v>27397</v>
      </c>
      <c r="Q210" s="23" t="s">
        <v>50</v>
      </c>
      <c r="R210" s="24" t="str">
        <f>VLOOKUP(A210,'[1]Bieu 1a'!$A$8:$AW$855,23,0)</f>
        <v>1/1/2003</v>
      </c>
      <c r="S210" s="25" t="s">
        <v>1061</v>
      </c>
      <c r="T210" s="26">
        <v>0</v>
      </c>
      <c r="U210" s="16"/>
      <c r="V210" s="16" t="str">
        <f>IFERROR(VLOOKUP(A210,'[2]19.6.2026'!$A$9:$L$1111,5,0),"")</f>
        <v>000770/LS-CCHN</v>
      </c>
      <c r="W210" s="16" t="str">
        <f>IFERROR(VLOOKUP(A210,'[2]19.6.2026'!$A$9:$L$1111,6,0),"")</f>
        <v>11/01/2023</v>
      </c>
      <c r="X210" s="16"/>
      <c r="Y210" s="21" t="str">
        <f>IFERROR(VLOOKUP(A210,'[2]19.6.2026'!$A$9:$L$1111,7,0),"")</f>
        <v>Thực hiện phạm vi hoạt động chuyên môn theo Thông tư số 26/2015/TTLT-BYT-BNV ngày 07/10/2015 quy định  mã số, tiêu chuẩn chức danh nghề nghiệp, điều dưỡng, hộ sinh, kỹ thuật y</v>
      </c>
      <c r="Z210" s="16"/>
      <c r="AA210" s="27" t="str">
        <f>IFERROR(VLOOKUP(A210,'[3]DS UPLOAD 2026 (2)'!$A$2:$P$1111,16,0),"")</f>
        <v/>
      </c>
      <c r="AB210" s="27" t="s">
        <v>1062</v>
      </c>
      <c r="AC210" s="76"/>
    </row>
    <row r="211" spans="1:29" ht="18" customHeight="1" x14ac:dyDescent="0.3">
      <c r="A211" s="17" t="s">
        <v>1063</v>
      </c>
      <c r="B211" s="18" t="s">
        <v>1064</v>
      </c>
      <c r="C211" s="17" t="s">
        <v>1063</v>
      </c>
      <c r="D211" s="19" t="s">
        <v>38</v>
      </c>
      <c r="E211" s="19" t="s">
        <v>61</v>
      </c>
      <c r="F211" s="16" t="str">
        <f>VLOOKUP(E211,'[1]BẢNG MÃ'!$A$2:$B$69,2,0)</f>
        <v>TĐ012</v>
      </c>
      <c r="G211" s="20" t="s">
        <v>62</v>
      </c>
      <c r="H211" s="20" t="s">
        <v>62</v>
      </c>
      <c r="I211" s="16" t="s">
        <v>351</v>
      </c>
      <c r="J211" s="16" t="str">
        <f>VLOOKUP(I211,'[1]BẢNG MÃ'!$C$2:$D$69,2,0)</f>
        <v>KP011</v>
      </c>
      <c r="K211" s="16" t="s">
        <v>43</v>
      </c>
      <c r="L211" s="16">
        <v>0</v>
      </c>
      <c r="M211" s="16" t="s">
        <v>33</v>
      </c>
      <c r="N211" s="21">
        <f ca="1">VLOOKUP(A211,'[1]Bieu 1a'!$A$8:$AW$855,10,0)</f>
        <v>52</v>
      </c>
      <c r="O211" s="22">
        <f>VLOOKUP(A211,'[1]Bieu 1a'!$A$8:$AW$855,8,0)</f>
        <v>0</v>
      </c>
      <c r="P211" s="22">
        <f>VLOOKUP(A211,'[1]Bieu 1a'!$A$8:$AW$855,9,0)</f>
        <v>26976</v>
      </c>
      <c r="Q211" s="23" t="s">
        <v>50</v>
      </c>
      <c r="R211" s="24" t="str">
        <f>VLOOKUP(A211,'[1]Bieu 1a'!$A$8:$AW$855,23,0)</f>
        <v>21/4/1997</v>
      </c>
      <c r="S211" s="25" t="s">
        <v>1065</v>
      </c>
      <c r="T211" s="26">
        <v>0</v>
      </c>
      <c r="U211" s="16"/>
      <c r="V211" s="16" t="str">
        <f>IFERROR(VLOOKUP(A211,'[2]19.6.2026'!$A$9:$L$1111,5,0),"")</f>
        <v>000810/LS-CCHN</v>
      </c>
      <c r="W211" s="16" t="str">
        <f>IFERROR(VLOOKUP(A211,'[2]19.6.2026'!$A$9:$L$1111,6,0),"")</f>
        <v>11/01/2023</v>
      </c>
      <c r="X211" s="16"/>
      <c r="Y211" s="21" t="str">
        <f>IFERROR(VLOOKUP(A211,'[2]19.6.2026'!$A$9:$L$1111,7,0),"")</f>
        <v>Thực hiện phạm vi hoạt động chuyên môn theo Thông tư số 26/2015/TTLT-BYT-BNV ngày 07/10/2015 quy định  mã số, tiêu chuẩn chức danh nghề nghiệp, điều dưỡng, hộ sinh, kỹ thuật y</v>
      </c>
      <c r="Z211" s="16"/>
      <c r="AA211" s="27" t="str">
        <f>IFERROR(VLOOKUP(A211,'[3]DS UPLOAD 2026 (2)'!$A$2:$P$1111,16,0),"")</f>
        <v/>
      </c>
      <c r="AB211" s="27" t="s">
        <v>1066</v>
      </c>
      <c r="AC211" s="28"/>
    </row>
    <row r="212" spans="1:29" ht="18" customHeight="1" x14ac:dyDescent="0.3">
      <c r="A212" s="17" t="s">
        <v>1067</v>
      </c>
      <c r="B212" s="36" t="s">
        <v>1068</v>
      </c>
      <c r="C212" s="17" t="s">
        <v>1067</v>
      </c>
      <c r="D212" s="19" t="s">
        <v>38</v>
      </c>
      <c r="E212" s="19" t="s">
        <v>61</v>
      </c>
      <c r="F212" s="16" t="str">
        <f>VLOOKUP(E212,'[1]BẢNG MÃ'!$A$2:$B$69,2,0)</f>
        <v>TĐ012</v>
      </c>
      <c r="G212" s="20"/>
      <c r="H212" s="20" t="s">
        <v>62</v>
      </c>
      <c r="I212" s="16" t="s">
        <v>351</v>
      </c>
      <c r="J212" s="16" t="str">
        <f>VLOOKUP(I212,'[1]BẢNG MÃ'!$C$2:$D$69,2,0)</f>
        <v>KP011</v>
      </c>
      <c r="K212" s="37"/>
      <c r="L212" s="16"/>
      <c r="M212" s="23" t="s">
        <v>33</v>
      </c>
      <c r="N212" s="21">
        <f ca="1">VLOOKUP(A212,'[1]Bieu 1a'!$A$8:$AW$855,10,0)</f>
        <v>29</v>
      </c>
      <c r="O212" s="22">
        <f>VLOOKUP(A212,'[1]Bieu 1a'!$A$8:$AW$855,8,0)</f>
        <v>0</v>
      </c>
      <c r="P212" s="22" t="str">
        <f>VLOOKUP(A212,'[1]Bieu 1a'!$A$8:$AW$855,9,0)</f>
        <v>04/12/1996</v>
      </c>
      <c r="Q212" s="23" t="s">
        <v>50</v>
      </c>
      <c r="R212" s="24" t="str">
        <f>VLOOKUP(A212,'[1]Bieu 1a'!$A$8:$AW$855,23,0)</f>
        <v>01/11/2018</v>
      </c>
      <c r="S212" s="25" t="s">
        <v>1069</v>
      </c>
      <c r="T212" s="26">
        <v>0</v>
      </c>
      <c r="U212" s="16"/>
      <c r="V212" s="16" t="str">
        <f>IFERROR(VLOOKUP(A212,'[2]19.6.2026'!$A$9:$L$1111,5,0),"")</f>
        <v>004326/LS-CCHN</v>
      </c>
      <c r="W212" s="16" t="str">
        <f>IFERROR(VLOOKUP(A212,'[2]19.6.2026'!$A$9:$L$1111,6,0),"")</f>
        <v>21/07/2020</v>
      </c>
      <c r="X212" s="16"/>
      <c r="Y212" s="21" t="str">
        <f>IFERROR(VLOOKUP(A212,'[2]19.6.2026'!$A$9:$L$1111,7,0),"")</f>
        <v>Thực hiện phạm vi hoạt động chuyên môn theo quy định tại Thông tư số 26/2015/TTLT-BYT-BNV ngày 07/10/2015 quy định mã số, tiêu chuẩn chức danh nghề nghiệp điều dưỡng, hộ sinh, kỹ thuật y</v>
      </c>
      <c r="Z212" s="16"/>
      <c r="AA212" s="27" t="str">
        <f>IFERROR(VLOOKUP(A212,'[3]DS UPLOAD 2026 (2)'!$A$2:$P$1111,16,0),"")</f>
        <v/>
      </c>
      <c r="AB212" s="27" t="s">
        <v>1070</v>
      </c>
      <c r="AC212" s="29" t="s">
        <v>85</v>
      </c>
    </row>
    <row r="213" spans="1:29" ht="18" customHeight="1" x14ac:dyDescent="0.3">
      <c r="A213" s="17" t="s">
        <v>1071</v>
      </c>
      <c r="B213" s="18" t="s">
        <v>1072</v>
      </c>
      <c r="C213" s="17" t="s">
        <v>1071</v>
      </c>
      <c r="D213" s="19" t="s">
        <v>38</v>
      </c>
      <c r="E213" s="19" t="s">
        <v>61</v>
      </c>
      <c r="F213" s="16" t="str">
        <f>VLOOKUP(E213,'[1]BẢNG MÃ'!$A$2:$B$69,2,0)</f>
        <v>TĐ012</v>
      </c>
      <c r="G213" s="20" t="s">
        <v>62</v>
      </c>
      <c r="H213" s="20" t="s">
        <v>62</v>
      </c>
      <c r="I213" s="16" t="s">
        <v>351</v>
      </c>
      <c r="J213" s="16" t="str">
        <f>VLOOKUP(I213,'[1]BẢNG MÃ'!$C$2:$D$69,2,0)</f>
        <v>KP011</v>
      </c>
      <c r="K213" s="16" t="s">
        <v>43</v>
      </c>
      <c r="L213" s="16">
        <v>0</v>
      </c>
      <c r="M213" s="16" t="s">
        <v>33</v>
      </c>
      <c r="N213" s="21">
        <f ca="1">VLOOKUP(A213,'[1]Bieu 1a'!$A$8:$AW$855,10,0)</f>
        <v>38</v>
      </c>
      <c r="O213" s="22">
        <f>VLOOKUP(A213,'[1]Bieu 1a'!$A$8:$AW$855,8,0)</f>
        <v>0</v>
      </c>
      <c r="P213" s="22">
        <f>VLOOKUP(A213,'[1]Bieu 1a'!$A$8:$AW$855,9,0)</f>
        <v>32162</v>
      </c>
      <c r="Q213" s="23" t="s">
        <v>50</v>
      </c>
      <c r="R213" s="24" t="str">
        <f>VLOOKUP(A213,'[1]Bieu 1a'!$A$8:$AW$855,23,0)</f>
        <v>15/01/2010</v>
      </c>
      <c r="S213" s="25" t="s">
        <v>1073</v>
      </c>
      <c r="T213" s="26">
        <v>0</v>
      </c>
      <c r="U213" s="22"/>
      <c r="V213" s="16" t="str">
        <f>IFERROR(VLOOKUP(A213,'[2]19.6.2026'!$A$9:$L$1111,5,0),"")</f>
        <v>000752/LS-CCHN</v>
      </c>
      <c r="W213" s="16" t="str">
        <f>IFERROR(VLOOKUP(A213,'[2]19.6.2026'!$A$9:$L$1111,6,0),"")</f>
        <v>11/01/2023</v>
      </c>
      <c r="X213" s="16"/>
      <c r="Y213" s="21" t="str">
        <f>IFERROR(VLOOKUP(A213,'[2]19.6.2026'!$A$9:$L$1111,7,0),"")</f>
        <v>Thực hiện phạm vi hoạt động chuyên môn theo Thông tư số 26/2015/TTLT-BYT-BNV ngày 07/10/2015 quy định  mã số, tiêu chuẩn chức danh nghề nghiệp, điều dưỡng, hộ sinh, kỹ thuật y</v>
      </c>
      <c r="Z213" s="16"/>
      <c r="AA213" s="27" t="str">
        <f>IFERROR(VLOOKUP(A213,'[3]DS UPLOAD 2026 (2)'!$A$2:$P$1111,16,0),"")</f>
        <v/>
      </c>
      <c r="AB213" s="27" t="s">
        <v>1074</v>
      </c>
      <c r="AC213" s="28"/>
    </row>
    <row r="214" spans="1:29" ht="18" customHeight="1" x14ac:dyDescent="0.3">
      <c r="A214" s="17" t="s">
        <v>1075</v>
      </c>
      <c r="B214" s="29" t="s">
        <v>1076</v>
      </c>
      <c r="C214" s="17" t="s">
        <v>1075</v>
      </c>
      <c r="D214" s="19"/>
      <c r="E214" s="19" t="s">
        <v>61</v>
      </c>
      <c r="F214" s="16" t="str">
        <f>VLOOKUP(E214,'[1]BẢNG MÃ'!$A$2:$B$69,2,0)</f>
        <v>TĐ012</v>
      </c>
      <c r="G214" s="20" t="s">
        <v>62</v>
      </c>
      <c r="H214" s="20" t="s">
        <v>62</v>
      </c>
      <c r="I214" s="16" t="s">
        <v>351</v>
      </c>
      <c r="J214" s="16" t="str">
        <f>VLOOKUP(I214,'[1]BẢNG MÃ'!$C$2:$D$69,2,0)</f>
        <v>KP011</v>
      </c>
      <c r="K214" s="16" t="s">
        <v>43</v>
      </c>
      <c r="L214" s="16">
        <v>0</v>
      </c>
      <c r="M214" s="16" t="s">
        <v>33</v>
      </c>
      <c r="N214" s="21">
        <f ca="1">VLOOKUP(A214,'[1]Bieu 1a'!$A$8:$AW$855,10,0)</f>
        <v>41</v>
      </c>
      <c r="O214" s="22">
        <f>VLOOKUP(A214,'[1]Bieu 1a'!$A$8:$AW$855,8,0)</f>
        <v>30942</v>
      </c>
      <c r="P214" s="22">
        <f>VLOOKUP(A214,'[1]Bieu 1a'!$A$8:$AW$855,9,0)</f>
        <v>0</v>
      </c>
      <c r="Q214" s="23" t="s">
        <v>44</v>
      </c>
      <c r="R214" s="24" t="str">
        <f>VLOOKUP(A214,'[1]Bieu 1a'!$A$8:$AW$855,23,0)</f>
        <v>1/12/2008</v>
      </c>
      <c r="S214" s="25" t="s">
        <v>1077</v>
      </c>
      <c r="T214" s="26">
        <v>0</v>
      </c>
      <c r="U214" s="16"/>
      <c r="V214" s="16" t="str">
        <f>IFERROR(VLOOKUP(A214,'[2]19.6.2026'!$A$9:$L$1111,5,0),"")</f>
        <v>001049/LS-CCHN</v>
      </c>
      <c r="W214" s="16" t="str">
        <f>IFERROR(VLOOKUP(A214,'[2]19.6.2026'!$A$9:$L$1111,6,0),"")</f>
        <v>11/01/2023</v>
      </c>
      <c r="X214" s="16"/>
      <c r="Y214" s="21" t="str">
        <f>IFERROR(VLOOKUP(A214,'[2]19.6.2026'!$A$9:$L$1111,7,0),"")</f>
        <v>Thực hiện phạm vi hoạt động chuyên môn theo Thông tư số 26/2015/TTLT-BYT-BNV ngày 07/10/2015 quy định  mã số, tiêu chuẩn chức danh nghề nghiệp, điều dưỡng, hộ sinh, kỹ thuật y</v>
      </c>
      <c r="Z214" s="16"/>
      <c r="AA214" s="27" t="str">
        <f>IFERROR(VLOOKUP(A214,'[3]DS UPLOAD 2026 (2)'!$A$2:$P$1111,16,0),"")</f>
        <v/>
      </c>
      <c r="AB214" s="27" t="s">
        <v>1078</v>
      </c>
      <c r="AC214" s="28"/>
    </row>
    <row r="215" spans="1:29" ht="18" customHeight="1" x14ac:dyDescent="0.3">
      <c r="A215" s="17" t="s">
        <v>1079</v>
      </c>
      <c r="B215" s="18" t="s">
        <v>1080</v>
      </c>
      <c r="C215" s="17" t="s">
        <v>1079</v>
      </c>
      <c r="D215" s="19" t="s">
        <v>38</v>
      </c>
      <c r="E215" s="19" t="s">
        <v>61</v>
      </c>
      <c r="F215" s="16" t="str">
        <f>VLOOKUP(E215,'[1]BẢNG MÃ'!$A$2:$B$69,2,0)</f>
        <v>TĐ012</v>
      </c>
      <c r="G215" s="20" t="s">
        <v>62</v>
      </c>
      <c r="H215" s="20" t="s">
        <v>62</v>
      </c>
      <c r="I215" s="16" t="s">
        <v>351</v>
      </c>
      <c r="J215" s="16" t="str">
        <f>VLOOKUP(I215,'[1]BẢNG MÃ'!$C$2:$D$69,2,0)</f>
        <v>KP011</v>
      </c>
      <c r="K215" s="16" t="s">
        <v>43</v>
      </c>
      <c r="L215" s="16">
        <v>0</v>
      </c>
      <c r="M215" s="16" t="s">
        <v>33</v>
      </c>
      <c r="N215" s="21">
        <f ca="1">VLOOKUP(A215,'[1]Bieu 1a'!$A$8:$AW$855,10,0)</f>
        <v>42</v>
      </c>
      <c r="O215" s="22">
        <f>VLOOKUP(A215,'[1]Bieu 1a'!$A$8:$AW$855,8,0)</f>
        <v>0</v>
      </c>
      <c r="P215" s="22">
        <f>VLOOKUP(A215,'[1]Bieu 1a'!$A$8:$AW$855,9,0)</f>
        <v>30768</v>
      </c>
      <c r="Q215" s="23" t="s">
        <v>44</v>
      </c>
      <c r="R215" s="24" t="str">
        <f>VLOOKUP(A215,'[1]Bieu 1a'!$A$8:$AW$855,23,0)</f>
        <v>15/1/2010</v>
      </c>
      <c r="S215" s="25" t="s">
        <v>1081</v>
      </c>
      <c r="T215" s="26">
        <v>0</v>
      </c>
      <c r="U215" s="16"/>
      <c r="V215" s="16" t="str">
        <f>IFERROR(VLOOKUP(A215,'[2]19.6.2026'!$A$9:$L$1111,5,0),"")</f>
        <v>000917/LS-CCHN</v>
      </c>
      <c r="W215" s="16" t="str">
        <f>IFERROR(VLOOKUP(A215,'[2]19.6.2026'!$A$9:$L$1111,6,0),"")</f>
        <v>11/01/2023</v>
      </c>
      <c r="X215" s="16"/>
      <c r="Y215" s="21" t="str">
        <f>IFERROR(VLOOKUP(A215,'[2]19.6.2026'!$A$9:$L$1111,7,0),"")</f>
        <v>Thực hiện phạm vi hoạt động chuyên môn theo Thông tư số 26/2015/TTLT-BYT-BNV ngày 07/10/2015 quy định  mã số, tiêu chuẩn chức danh nghề nghiệp, điều dưỡng, hộ sinh, kỹ thuật y</v>
      </c>
      <c r="Z215" s="16"/>
      <c r="AA215" s="27" t="str">
        <f>IFERROR(VLOOKUP(A215,'[3]DS UPLOAD 2026 (2)'!$A$2:$P$1111,16,0),"")</f>
        <v/>
      </c>
      <c r="AB215" s="27" t="s">
        <v>1082</v>
      </c>
      <c r="AC215" s="28"/>
    </row>
    <row r="216" spans="1:29" ht="18" customHeight="1" x14ac:dyDescent="0.3">
      <c r="A216" s="17" t="s">
        <v>1083</v>
      </c>
      <c r="B216" s="18" t="s">
        <v>1084</v>
      </c>
      <c r="C216" s="17" t="s">
        <v>1083</v>
      </c>
      <c r="D216" s="19"/>
      <c r="E216" s="19" t="s">
        <v>61</v>
      </c>
      <c r="F216" s="16" t="str">
        <f>VLOOKUP(E216,'[1]BẢNG MÃ'!$A$2:$B$69,2,0)</f>
        <v>TĐ012</v>
      </c>
      <c r="G216" s="20" t="s">
        <v>62</v>
      </c>
      <c r="H216" s="20" t="s">
        <v>62</v>
      </c>
      <c r="I216" s="16" t="s">
        <v>351</v>
      </c>
      <c r="J216" s="16" t="str">
        <f>VLOOKUP(I216,'[1]BẢNG MÃ'!$C$2:$D$69,2,0)</f>
        <v>KP011</v>
      </c>
      <c r="K216" s="16" t="s">
        <v>43</v>
      </c>
      <c r="L216" s="16">
        <v>0</v>
      </c>
      <c r="M216" s="16" t="s">
        <v>33</v>
      </c>
      <c r="N216" s="21">
        <f ca="1">VLOOKUP(A216,'[1]Bieu 1a'!$A$8:$AW$855,10,0)</f>
        <v>47</v>
      </c>
      <c r="O216" s="22">
        <f>VLOOKUP(A216,'[1]Bieu 1a'!$A$8:$AW$855,8,0)</f>
        <v>28728</v>
      </c>
      <c r="P216" s="22">
        <f>VLOOKUP(A216,'[1]Bieu 1a'!$A$8:$AW$855,9,0)</f>
        <v>0</v>
      </c>
      <c r="Q216" s="23" t="s">
        <v>50</v>
      </c>
      <c r="R216" s="24" t="str">
        <f>VLOOKUP(A216,'[1]Bieu 1a'!$A$8:$AW$855,23,0)</f>
        <v>1/12/2010</v>
      </c>
      <c r="S216" s="25" t="s">
        <v>1085</v>
      </c>
      <c r="T216" s="26" t="s">
        <v>1086</v>
      </c>
      <c r="U216" s="22"/>
      <c r="V216" s="16" t="str">
        <f>IFERROR(VLOOKUP(A216,'[2]19.6.2026'!$A$9:$L$1111,5,0),"")</f>
        <v>000944/LS-CCHN</v>
      </c>
      <c r="W216" s="16" t="str">
        <f>IFERROR(VLOOKUP(A216,'[2]19.6.2026'!$A$9:$L$1111,6,0),"")</f>
        <v>24/06/2013</v>
      </c>
      <c r="X216" s="16"/>
      <c r="Y216" s="21" t="str">
        <f>IFERROR(VLOOKUP(A216,'[2]19.6.2026'!$A$9:$L$1111,7,0),"")</f>
        <v>Theo quy định tại Quyết định số 41/2005/QĐ-BNV ngày 22/4/2005 của Bộ trưởng Bộ Nội vụ về việc ban hành tiêu chuẩn nghiệp vụ các ngạch viên chức y tế điều dưỡng</v>
      </c>
      <c r="Z216" s="16"/>
      <c r="AA216" s="27" t="str">
        <f>IFERROR(VLOOKUP(A216,'[3]DS UPLOAD 2026 (2)'!$A$2:$P$1111,16,0),"")</f>
        <v/>
      </c>
      <c r="AB216" s="27" t="s">
        <v>1087</v>
      </c>
      <c r="AC216" s="28"/>
    </row>
    <row r="217" spans="1:29" ht="18" customHeight="1" x14ac:dyDescent="0.3">
      <c r="A217" s="17" t="s">
        <v>1088</v>
      </c>
      <c r="B217" s="18" t="s">
        <v>1089</v>
      </c>
      <c r="C217" s="17" t="s">
        <v>1088</v>
      </c>
      <c r="D217" s="19" t="s">
        <v>38</v>
      </c>
      <c r="E217" s="19" t="s">
        <v>61</v>
      </c>
      <c r="F217" s="16" t="str">
        <f>VLOOKUP(E217,'[1]BẢNG MÃ'!$A$2:$B$69,2,0)</f>
        <v>TĐ012</v>
      </c>
      <c r="G217" s="20"/>
      <c r="H217" s="20" t="s">
        <v>62</v>
      </c>
      <c r="I217" s="16" t="s">
        <v>1090</v>
      </c>
      <c r="J217" s="16" t="str">
        <f>VLOOKUP(I217,'[1]BẢNG MÃ'!$C$2:$D$69,2,0)</f>
        <v>KP034</v>
      </c>
      <c r="K217" s="16"/>
      <c r="L217" s="16"/>
      <c r="M217" s="23" t="s">
        <v>33</v>
      </c>
      <c r="N217" s="21">
        <f ca="1">VLOOKUP(A217,'[1]Bieu 1a'!$A$8:$AW$855,10,0)</f>
        <v>35</v>
      </c>
      <c r="O217" s="22">
        <f>VLOOKUP(A217,'[1]Bieu 1a'!$A$8:$AW$855,8,0)</f>
        <v>0</v>
      </c>
      <c r="P217" s="22" t="str">
        <f>VLOOKUP(A217,'[1]Bieu 1a'!$A$8:$AW$855,9,0)</f>
        <v>09/03/1991</v>
      </c>
      <c r="Q217" s="23" t="s">
        <v>34</v>
      </c>
      <c r="R217" s="24" t="str">
        <f>VLOOKUP(A217,'[1]Bieu 1a'!$A$8:$AW$855,23,0)</f>
        <v>01/01/2017</v>
      </c>
      <c r="S217" s="25" t="s">
        <v>1091</v>
      </c>
      <c r="T217" s="26">
        <v>0</v>
      </c>
      <c r="U217" s="52"/>
      <c r="V217" s="16" t="str">
        <f>IFERROR(VLOOKUP(A217,'[2]19.6.2026'!$A$9:$L$1111,5,0),"")</f>
        <v xml:space="preserve">003406/LS-CCHN </v>
      </c>
      <c r="W217" s="16" t="str">
        <f>IFERROR(VLOOKUP(A217,'[2]19.6.2026'!$A$9:$L$1111,6,0),"")</f>
        <v/>
      </c>
      <c r="X217" s="16"/>
      <c r="Y217" s="21" t="str">
        <f>IFERROR(VLOOKUP(A217,'[2]19.6.2026'!$A$9:$L$1111,7,0),"")</f>
        <v>Thực hiện phạm vi hoạt động chuyên môn theo quy định tại Thông tư số 26/2015/TTLT-BYT-BNV ngày 07/10/2015 quy định mã số, tiêu chuẩn chức danh nghề nghiệp điều dưỡng, hộ sinh, kỹ thuật y</v>
      </c>
      <c r="Z217" s="16"/>
      <c r="AA217" s="27" t="str">
        <f>IFERROR(VLOOKUP(A217,'[3]DS UPLOAD 2026 (2)'!$A$2:$P$1111,16,0),"")</f>
        <v/>
      </c>
      <c r="AB217" s="27" t="s">
        <v>1092</v>
      </c>
      <c r="AC217" s="29" t="s">
        <v>1093</v>
      </c>
    </row>
    <row r="218" spans="1:29" ht="18" customHeight="1" x14ac:dyDescent="0.3">
      <c r="A218" s="17" t="s">
        <v>1094</v>
      </c>
      <c r="B218" s="59" t="s">
        <v>1095</v>
      </c>
      <c r="C218" s="17" t="s">
        <v>1094</v>
      </c>
      <c r="D218" s="19" t="s">
        <v>38</v>
      </c>
      <c r="E218" s="77" t="s">
        <v>128</v>
      </c>
      <c r="F218" s="16" t="str">
        <f>VLOOKUP(E218,'[1]BẢNG MÃ'!$A$2:$B$69,2,0)</f>
        <v>TĐ047</v>
      </c>
      <c r="G218" s="20"/>
      <c r="H218" s="77" t="s">
        <v>128</v>
      </c>
      <c r="I218" s="16" t="s">
        <v>351</v>
      </c>
      <c r="J218" s="16" t="str">
        <f>VLOOKUP(I218,'[1]BẢNG MÃ'!$C$2:$D$69,2,0)</f>
        <v>KP011</v>
      </c>
      <c r="K218" s="16"/>
      <c r="L218" s="16"/>
      <c r="M218" s="16" t="s">
        <v>136</v>
      </c>
      <c r="N218" s="21">
        <f ca="1">VLOOKUP(A218,'[1]Bieu 1a'!$A$8:$AW$855,10,0)</f>
        <v>43</v>
      </c>
      <c r="O218" s="22">
        <f>VLOOKUP(A218,'[1]Bieu 1a'!$A$8:$AW$855,8,0)</f>
        <v>0</v>
      </c>
      <c r="P218" s="22">
        <f>VLOOKUP(A218,'[1]Bieu 1a'!$A$8:$AW$855,9,0)</f>
        <v>30233</v>
      </c>
      <c r="Q218" s="23" t="s">
        <v>50</v>
      </c>
      <c r="R218" s="24" t="str">
        <f>VLOOKUP(A218,'[1]Bieu 1a'!$A$8:$AW$855,23,0)</f>
        <v>01/02/2016</v>
      </c>
      <c r="S218" s="25" t="s">
        <v>1096</v>
      </c>
      <c r="T218" s="26" t="s">
        <v>1097</v>
      </c>
      <c r="U218" s="16"/>
      <c r="V218" s="16" t="str">
        <f>IFERROR(VLOOKUP(A218,'[2]19.6.2026'!$A$9:$L$1111,5,0),"")</f>
        <v/>
      </c>
      <c r="W218" s="16" t="str">
        <f>IFERROR(VLOOKUP(A218,'[2]19.6.2026'!$A$9:$L$1111,6,0),"")</f>
        <v/>
      </c>
      <c r="X218" s="16"/>
      <c r="Y218" s="21" t="str">
        <f>IFERROR(VLOOKUP(A218,'[2]19.6.2026'!$A$9:$L$1111,7,0),"")</f>
        <v/>
      </c>
      <c r="Z218" s="16"/>
      <c r="AA218" s="27" t="str">
        <f>IFERROR(VLOOKUP(A218,'[3]DS UPLOAD 2026 (2)'!$A$2:$P$1111,16,0),"")</f>
        <v/>
      </c>
      <c r="AB218" s="27" t="s">
        <v>1098</v>
      </c>
      <c r="AC218" s="29"/>
    </row>
    <row r="219" spans="1:29" ht="18" customHeight="1" x14ac:dyDescent="0.3">
      <c r="A219" s="17" t="s">
        <v>1099</v>
      </c>
      <c r="B219" s="18" t="s">
        <v>1100</v>
      </c>
      <c r="C219" s="17" t="s">
        <v>1099</v>
      </c>
      <c r="D219" s="19"/>
      <c r="E219" s="19" t="s">
        <v>28</v>
      </c>
      <c r="F219" s="16" t="str">
        <f>VLOOKUP(E219,'[1]BẢNG MÃ'!$A$2:$B$69,2,0)</f>
        <v>TĐ001</v>
      </c>
      <c r="G219" s="20" t="s">
        <v>29</v>
      </c>
      <c r="H219" s="20" t="s">
        <v>29</v>
      </c>
      <c r="I219" s="16" t="s">
        <v>153</v>
      </c>
      <c r="J219" s="16" t="str">
        <f>VLOOKUP(I219,'[1]BẢNG MÃ'!$C$2:$D$69,2,0)</f>
        <v>KP012</v>
      </c>
      <c r="K219" s="16" t="s">
        <v>31</v>
      </c>
      <c r="L219" s="16" t="s">
        <v>148</v>
      </c>
      <c r="M219" s="16" t="s">
        <v>33</v>
      </c>
      <c r="N219" s="21">
        <f ca="1">VLOOKUP(A219,'[1]Bieu 1a'!$A$8:$AW$855,10,0)</f>
        <v>58</v>
      </c>
      <c r="O219" s="22">
        <f>VLOOKUP(A219,'[1]Bieu 1a'!$A$8:$AW$855,8,0)</f>
        <v>25024</v>
      </c>
      <c r="P219" s="22">
        <f>VLOOKUP(A219,'[1]Bieu 1a'!$A$8:$AW$855,9,0)</f>
        <v>0</v>
      </c>
      <c r="Q219" s="23" t="s">
        <v>34</v>
      </c>
      <c r="R219" s="24" t="str">
        <f>VLOOKUP(A219,'[1]Bieu 1a'!$A$8:$AW$855,23,0)</f>
        <v>1/11/1994</v>
      </c>
      <c r="S219" s="25" t="s">
        <v>1101</v>
      </c>
      <c r="T219" s="26" t="s">
        <v>1102</v>
      </c>
      <c r="U219" s="16"/>
      <c r="V219" s="16" t="str">
        <f>IFERROR(VLOOKUP(A219,'[2]19.6.2026'!$A$9:$L$1111,5,0),"")</f>
        <v>000429/LS-CCHN</v>
      </c>
      <c r="W219" s="16">
        <f>IFERROR(VLOOKUP(A219,'[2]19.6.2026'!$A$9:$L$1111,6,0),"")</f>
        <v>42569</v>
      </c>
      <c r="X219" s="16"/>
      <c r="Y219" s="21" t="str">
        <f>IFERROR(VLOOKUP(A219,'[2]19.6.2026'!$A$9:$L$1111,7,0),"")</f>
        <v>Khám bệnh, chữa bệnh Ngoại khoa</v>
      </c>
      <c r="Z219" s="16"/>
      <c r="AA219" s="27" t="str">
        <f>IFERROR(VLOOKUP(A219,'[3]DS UPLOAD 2026 (2)'!$A$2:$P$1111,16,0),"")</f>
        <v/>
      </c>
      <c r="AB219" s="27" t="s">
        <v>1103</v>
      </c>
      <c r="AC219" s="28"/>
    </row>
    <row r="220" spans="1:29" ht="18" customHeight="1" x14ac:dyDescent="0.3">
      <c r="A220" s="17" t="s">
        <v>1104</v>
      </c>
      <c r="B220" s="18" t="s">
        <v>1105</v>
      </c>
      <c r="C220" s="17" t="s">
        <v>1104</v>
      </c>
      <c r="D220" s="19"/>
      <c r="E220" s="19" t="s">
        <v>160</v>
      </c>
      <c r="F220" s="16" t="str">
        <f>VLOOKUP(E220,'[1]BẢNG MÃ'!$A$2:$B$69,2,0)</f>
        <v>TĐ003</v>
      </c>
      <c r="G220" s="20" t="s">
        <v>29</v>
      </c>
      <c r="H220" s="20" t="s">
        <v>29</v>
      </c>
      <c r="I220" s="16" t="s">
        <v>153</v>
      </c>
      <c r="J220" s="16" t="str">
        <f>VLOOKUP(I220,'[1]BẢNG MÃ'!$C$2:$D$69,2,0)</f>
        <v>KP012</v>
      </c>
      <c r="K220" s="16" t="s">
        <v>31</v>
      </c>
      <c r="L220" s="16" t="s">
        <v>154</v>
      </c>
      <c r="M220" s="16" t="s">
        <v>33</v>
      </c>
      <c r="N220" s="21">
        <f ca="1">VLOOKUP(A220,'[1]Bieu 1a'!$A$8:$AW$855,10,0)</f>
        <v>43</v>
      </c>
      <c r="O220" s="22">
        <f>VLOOKUP(A220,'[1]Bieu 1a'!$A$8:$AW$855,8,0)</f>
        <v>30360</v>
      </c>
      <c r="P220" s="22">
        <f>VLOOKUP(A220,'[1]Bieu 1a'!$A$8:$AW$855,9,0)</f>
        <v>0</v>
      </c>
      <c r="Q220" s="23" t="s">
        <v>34</v>
      </c>
      <c r="R220" s="24" t="str">
        <f>VLOOKUP(A220,'[1]Bieu 1a'!$A$8:$AW$855,23,0)</f>
        <v>1/1/2008</v>
      </c>
      <c r="S220" s="25" t="s">
        <v>1106</v>
      </c>
      <c r="T220" s="26">
        <v>0</v>
      </c>
      <c r="U220" s="16"/>
      <c r="V220" s="16" t="str">
        <f>IFERROR(VLOOKUP(A220,'[2]19.6.2026'!$A$9:$L$1111,5,0),"")</f>
        <v>000905/LS-CCHN</v>
      </c>
      <c r="W220" s="16" t="str">
        <f>IFERROR(VLOOKUP(A220,'[2]19.6.2026'!$A$9:$L$1111,6,0),"")</f>
        <v>24/06/2013</v>
      </c>
      <c r="X220" s="16"/>
      <c r="Y220" s="21" t="str">
        <f>IFERROR(VLOOKUP(A220,'[2]19.6.2026'!$A$9:$L$1111,7,0),"")</f>
        <v>Khám bệnh, chữa bệnh Ngoại khoa</v>
      </c>
      <c r="Z220" s="16"/>
      <c r="AA220" s="27" t="str">
        <f>IFERROR(VLOOKUP(A220,'[3]DS UPLOAD 2026 (2)'!$A$2:$P$1111,16,0),"")</f>
        <v/>
      </c>
      <c r="AB220" s="27">
        <v>985138438</v>
      </c>
      <c r="AC220" s="28"/>
    </row>
    <row r="221" spans="1:29" ht="18" customHeight="1" x14ac:dyDescent="0.3">
      <c r="A221" s="17" t="s">
        <v>1107</v>
      </c>
      <c r="B221" s="18" t="s">
        <v>1108</v>
      </c>
      <c r="C221" s="17" t="s">
        <v>1107</v>
      </c>
      <c r="D221" s="19"/>
      <c r="E221" s="16" t="s">
        <v>160</v>
      </c>
      <c r="F221" s="16" t="str">
        <f>VLOOKUP(E221,'[1]BẢNG MÃ'!$A$2:$B$69,2,0)</f>
        <v>TĐ003</v>
      </c>
      <c r="G221" s="20" t="s">
        <v>161</v>
      </c>
      <c r="H221" s="20" t="s">
        <v>161</v>
      </c>
      <c r="I221" s="16" t="s">
        <v>153</v>
      </c>
      <c r="J221" s="16" t="str">
        <f>VLOOKUP(I221,'[1]BẢNG MÃ'!$C$2:$D$69,2,0)</f>
        <v>KP012</v>
      </c>
      <c r="K221" s="16" t="s">
        <v>43</v>
      </c>
      <c r="L221" s="16">
        <v>0</v>
      </c>
      <c r="M221" s="16" t="s">
        <v>33</v>
      </c>
      <c r="N221" s="21">
        <f ca="1">VLOOKUP(A221,'[1]Bieu 1a'!$A$8:$AW$855,10,0)</f>
        <v>39</v>
      </c>
      <c r="O221" s="22">
        <f>VLOOKUP(A221,'[1]Bieu 1a'!$A$8:$AW$855,8,0)</f>
        <v>31936</v>
      </c>
      <c r="P221" s="22">
        <f>VLOOKUP(A221,'[1]Bieu 1a'!$A$8:$AW$855,9,0)</f>
        <v>0</v>
      </c>
      <c r="Q221" s="23" t="s">
        <v>34</v>
      </c>
      <c r="R221" s="24" t="str">
        <f>VLOOKUP(A221,'[1]Bieu 1a'!$A$8:$AW$855,23,0)</f>
        <v>1/6/2012</v>
      </c>
      <c r="S221" s="25" t="s">
        <v>1109</v>
      </c>
      <c r="T221" s="26" t="s">
        <v>1110</v>
      </c>
      <c r="U221" s="16"/>
      <c r="V221" s="16" t="str">
        <f>IFERROR(VLOOKUP(A221,'[2]19.6.2026'!$A$9:$L$1111,5,0),"")</f>
        <v>000498/LS-CCHN</v>
      </c>
      <c r="W221" s="16" t="str">
        <f>IFERROR(VLOOKUP(A221,'[2]19.6.2026'!$A$9:$L$1111,6,0),"")</f>
        <v>24/08/2016</v>
      </c>
      <c r="X221" s="16"/>
      <c r="Y221" s="21" t="str">
        <f>IFERROR(VLOOKUP(A221,'[2]19.6.2026'!$A$9:$L$1111,7,0),"")</f>
        <v>Khám bệnh, chữa bệnh Ngoại khoa</v>
      </c>
      <c r="Z221" s="16"/>
      <c r="AA221" s="27" t="str">
        <f>IFERROR(VLOOKUP(A221,'[3]DS UPLOAD 2026 (2)'!$A$2:$P$1111,16,0),"")</f>
        <v/>
      </c>
      <c r="AB221" s="27">
        <v>915705666</v>
      </c>
      <c r="AC221" s="28" t="s">
        <v>1111</v>
      </c>
    </row>
    <row r="222" spans="1:29" ht="18" customHeight="1" x14ac:dyDescent="0.3">
      <c r="A222" s="17" t="s">
        <v>1112</v>
      </c>
      <c r="B222" s="18" t="s">
        <v>1113</v>
      </c>
      <c r="C222" s="17" t="s">
        <v>1112</v>
      </c>
      <c r="D222" s="19" t="s">
        <v>38</v>
      </c>
      <c r="E222" s="19" t="s">
        <v>173</v>
      </c>
      <c r="F222" s="16" t="str">
        <f>VLOOKUP(E222,'[1]BẢNG MÃ'!$A$2:$B$69,2,0)</f>
        <v>TĐ005</v>
      </c>
      <c r="G222" s="20"/>
      <c r="H222" s="23" t="s">
        <v>161</v>
      </c>
      <c r="I222" s="16" t="s">
        <v>153</v>
      </c>
      <c r="J222" s="16" t="str">
        <f>VLOOKUP(I222,'[1]BẢNG MÃ'!$C$2:$D$69,2,0)</f>
        <v>KP012</v>
      </c>
      <c r="K222" s="16"/>
      <c r="L222" s="16"/>
      <c r="M222" s="23" t="s">
        <v>33</v>
      </c>
      <c r="N222" s="21">
        <f ca="1">VLOOKUP(A222,'[1]Bieu 1a'!$A$8:$AW$855,10,0)</f>
        <v>30</v>
      </c>
      <c r="O222" s="22">
        <f>VLOOKUP(A222,'[1]Bieu 1a'!$A$8:$AW$855,8,0)</f>
        <v>0</v>
      </c>
      <c r="P222" s="22" t="str">
        <f>VLOOKUP(A222,'[1]Bieu 1a'!$A$8:$AW$855,9,0)</f>
        <v>27/8/1995</v>
      </c>
      <c r="Q222" s="23" t="s">
        <v>44</v>
      </c>
      <c r="R222" s="24" t="str">
        <f>VLOOKUP(A222,'[1]Bieu 1a'!$A$8:$AW$855,23,0)</f>
        <v>15/8/2019</v>
      </c>
      <c r="S222" s="25" t="s">
        <v>1114</v>
      </c>
      <c r="T222" s="26">
        <v>0</v>
      </c>
      <c r="U222" s="16"/>
      <c r="V222" s="16" t="str">
        <f>IFERROR(VLOOKUP(A222,'[2]19.6.2026'!$A$9:$L$1111,5,0),"")</f>
        <v>004292/LS-CCHN</v>
      </c>
      <c r="W222" s="16" t="str">
        <f>IFERROR(VLOOKUP(A222,'[2]19.6.2026'!$A$9:$L$1111,6,0),"")</f>
        <v>02/07/2021</v>
      </c>
      <c r="X222" s="16"/>
      <c r="Y222" s="21" t="str">
        <f>IFERROR(VLOOKUP(A222,'[2]19.6.2026'!$A$9:$L$1111,7,0),"")</f>
        <v>Khám bệnh chữa bệnh Ngoại khoa</v>
      </c>
      <c r="Z222" s="16"/>
      <c r="AA222" s="27" t="str">
        <f>IFERROR(VLOOKUP(A222,'[3]DS UPLOAD 2026 (2)'!$A$2:$P$1111,16,0),"")</f>
        <v/>
      </c>
      <c r="AB222" s="41" t="s">
        <v>1115</v>
      </c>
      <c r="AC222" s="29" t="s">
        <v>732</v>
      </c>
    </row>
    <row r="223" spans="1:29" ht="18" customHeight="1" x14ac:dyDescent="0.3">
      <c r="A223" s="16" t="s">
        <v>1116</v>
      </c>
      <c r="B223" s="38" t="s">
        <v>1117</v>
      </c>
      <c r="C223" s="16" t="s">
        <v>1116</v>
      </c>
      <c r="D223" s="53"/>
      <c r="E223" s="19" t="s">
        <v>173</v>
      </c>
      <c r="F223" s="16" t="str">
        <f>VLOOKUP(E223,'[1]BẢNG MÃ'!$A$2:$B$69,2,0)</f>
        <v>TĐ005</v>
      </c>
      <c r="G223" s="48" t="s">
        <v>161</v>
      </c>
      <c r="H223" s="23" t="s">
        <v>161</v>
      </c>
      <c r="I223" s="16" t="s">
        <v>153</v>
      </c>
      <c r="J223" s="16" t="str">
        <f>VLOOKUP(I223,'[1]BẢNG MÃ'!$C$2:$D$69,2,0)</f>
        <v>KP012</v>
      </c>
      <c r="K223" s="16" t="s">
        <v>43</v>
      </c>
      <c r="L223" s="16"/>
      <c r="M223" s="16" t="s">
        <v>33</v>
      </c>
      <c r="N223" s="21">
        <f ca="1">VLOOKUP(A223,'[1]Bieu 1a'!$A$8:$AW$855,10,0)</f>
        <v>29</v>
      </c>
      <c r="O223" s="22">
        <f>VLOOKUP(A223,'[1]Bieu 1a'!$A$8:$AW$855,8,0)</f>
        <v>35592</v>
      </c>
      <c r="P223" s="22">
        <f>VLOOKUP(A223,'[1]Bieu 1a'!$A$8:$AW$855,9,0)</f>
        <v>0</v>
      </c>
      <c r="Q223" s="23" t="s">
        <v>50</v>
      </c>
      <c r="R223" s="24" t="str">
        <f>VLOOKUP(A223,'[1]Bieu 1a'!$A$8:$AW$855,23,0)</f>
        <v>15/11/2021</v>
      </c>
      <c r="S223" s="25" t="s">
        <v>1118</v>
      </c>
      <c r="T223" s="26" t="s">
        <v>1119</v>
      </c>
      <c r="U223" s="16"/>
      <c r="V223" s="16" t="str">
        <f>IFERROR(VLOOKUP(A223,'[2]19.6.2026'!$A$9:$L$1111,5,0),"")</f>
        <v>005639/LS-CCHN</v>
      </c>
      <c r="W223" s="16" t="str">
        <f>IFERROR(VLOOKUP(A223,'[2]19.6.2026'!$A$9:$L$1111,6,0),"")</f>
        <v>14/07/2023</v>
      </c>
      <c r="X223" s="16"/>
      <c r="Y223" s="21" t="str">
        <f>IFERROR(VLOOKUP(A223,'[2]19.6.2026'!$A$9:$L$1111,7,0),"")</f>
        <v>Khám bệnh, chữa bệnh chuyên khoa Ngoại</v>
      </c>
      <c r="Z223" s="16"/>
      <c r="AA223" s="27" t="str">
        <f>IFERROR(VLOOKUP(A223,'[3]DS UPLOAD 2026 (2)'!$A$2:$P$1111,16,0),"")</f>
        <v/>
      </c>
      <c r="AB223" s="27">
        <v>333206321</v>
      </c>
      <c r="AC223" s="28" t="s">
        <v>1120</v>
      </c>
    </row>
    <row r="224" spans="1:29" ht="18" customHeight="1" x14ac:dyDescent="0.3">
      <c r="A224" s="17" t="s">
        <v>1121</v>
      </c>
      <c r="B224" s="18" t="s">
        <v>1122</v>
      </c>
      <c r="C224" s="17" t="s">
        <v>1121</v>
      </c>
      <c r="D224" s="19" t="s">
        <v>38</v>
      </c>
      <c r="E224" s="30" t="s">
        <v>41</v>
      </c>
      <c r="F224" s="16" t="str">
        <f>VLOOKUP(E224,'[1]BẢNG MÃ'!$A$2:$B$69,2,0)</f>
        <v>TĐ011</v>
      </c>
      <c r="G224" s="31" t="s">
        <v>42</v>
      </c>
      <c r="H224" s="31" t="s">
        <v>42</v>
      </c>
      <c r="I224" s="16" t="s">
        <v>153</v>
      </c>
      <c r="J224" s="16" t="str">
        <f>VLOOKUP(I224,'[1]BẢNG MÃ'!$C$2:$D$69,2,0)</f>
        <v>KP012</v>
      </c>
      <c r="K224" s="16" t="s">
        <v>31</v>
      </c>
      <c r="L224" s="16" t="s">
        <v>201</v>
      </c>
      <c r="M224" s="16" t="s">
        <v>33</v>
      </c>
      <c r="N224" s="21">
        <f ca="1">VLOOKUP(A224,'[1]Bieu 1a'!$A$8:$AW$855,10,0)</f>
        <v>38</v>
      </c>
      <c r="O224" s="22">
        <f>VLOOKUP(A224,'[1]Bieu 1a'!$A$8:$AW$855,8,0)</f>
        <v>0</v>
      </c>
      <c r="P224" s="22">
        <f>VLOOKUP(A224,'[1]Bieu 1a'!$A$8:$AW$855,9,0)</f>
        <v>32278</v>
      </c>
      <c r="Q224" s="23" t="s">
        <v>34</v>
      </c>
      <c r="R224" s="24" t="str">
        <f>VLOOKUP(A224,'[1]Bieu 1a'!$A$8:$AW$855,23,0)</f>
        <v>15/1/2010</v>
      </c>
      <c r="S224" s="25" t="s">
        <v>1123</v>
      </c>
      <c r="T224" s="26" t="s">
        <v>1124</v>
      </c>
      <c r="U224" s="16"/>
      <c r="V224" s="16" t="str">
        <f>IFERROR(VLOOKUP(A224,'[2]19.6.2026'!$A$9:$L$1111,5,0),"")</f>
        <v>000815/LS-CCHN</v>
      </c>
      <c r="W224" s="16">
        <f>IFERROR(VLOOKUP(A224,'[2]19.6.2026'!$A$9:$L$1111,6,0),"")</f>
        <v>44937</v>
      </c>
      <c r="X224" s="16"/>
      <c r="Y224" s="21" t="str">
        <f>IFERROR(VLOOKUP(A224,'[2]19.6.2026'!$A$9:$L$1111,7,0),"")</f>
        <v>Thực hiện phạm vi hoạt động chuyên môn theo Thông tư số 26/2015/TTLT-BYT-BNV ngày 07/10/2015 quy định  mã số, tiêu chuẩn chức danh nghề nghiệp, điều dưỡng, hộ sinh, kỹ thuật y</v>
      </c>
      <c r="Z224" s="16"/>
      <c r="AA224" s="27" t="str">
        <f>IFERROR(VLOOKUP(A224,'[3]DS UPLOAD 2026 (2)'!$A$2:$P$1111,16,0),"")</f>
        <v/>
      </c>
      <c r="AB224" s="27" t="s">
        <v>1125</v>
      </c>
      <c r="AC224" s="28"/>
    </row>
    <row r="225" spans="1:29" ht="18" customHeight="1" x14ac:dyDescent="0.3">
      <c r="A225" s="46" t="s">
        <v>1126</v>
      </c>
      <c r="B225" s="28" t="s">
        <v>1127</v>
      </c>
      <c r="C225" s="47" t="s">
        <v>1126</v>
      </c>
      <c r="D225" s="23" t="s">
        <v>38</v>
      </c>
      <c r="E225" s="23" t="s">
        <v>41</v>
      </c>
      <c r="F225" s="16" t="str">
        <f>VLOOKUP(E225,'[1]BẢNG MÃ'!$A$2:$B$69,2,0)</f>
        <v>TĐ011</v>
      </c>
      <c r="G225" s="48"/>
      <c r="H225" s="20" t="s">
        <v>42</v>
      </c>
      <c r="I225" s="19" t="s">
        <v>153</v>
      </c>
      <c r="J225" s="16" t="str">
        <f>VLOOKUP(I225,'[1]BẢNG MÃ'!$C$2:$D$69,2,0)</f>
        <v>KP012</v>
      </c>
      <c r="K225" s="23"/>
      <c r="L225" s="23"/>
      <c r="M225" s="16" t="s">
        <v>33</v>
      </c>
      <c r="N225" s="21">
        <f ca="1">VLOOKUP(A225,'[1]Bieu 1a'!$A$8:$AW$855,10,0)</f>
        <v>25</v>
      </c>
      <c r="O225" s="22">
        <f>VLOOKUP(A225,'[1]Bieu 1a'!$A$8:$AW$855,8,0)</f>
        <v>0</v>
      </c>
      <c r="P225" s="22" t="str">
        <f>VLOOKUP(A225,'[1]Bieu 1a'!$A$8:$AW$855,9,0)</f>
        <v>26/10/2000</v>
      </c>
      <c r="Q225" s="23" t="s">
        <v>50</v>
      </c>
      <c r="R225" s="24">
        <f>VLOOKUP(A225,'[1]Bieu 1a'!$A$8:$AW$855,23,0)</f>
        <v>45540</v>
      </c>
      <c r="S225" s="25" t="s">
        <v>1128</v>
      </c>
      <c r="T225" s="26" t="s">
        <v>1129</v>
      </c>
      <c r="U225" s="23"/>
      <c r="V225" s="16" t="str">
        <f>IFERROR(VLOOKUP(A225,'[2]19.6.2026'!$A$9:$L$1111,5,0),"")</f>
        <v>000039/LS-CPHN</v>
      </c>
      <c r="W225" s="16">
        <f>IFERROR(VLOOKUP(A225,'[2]19.6.2026'!$A$9:$L$1111,6,0),"")</f>
        <v>45457</v>
      </c>
      <c r="X225" s="19"/>
      <c r="Y225" s="21" t="str">
        <f>IFERROR(VLOOKUP(A225,'[2]19.6.2026'!$A$9:$L$1111,7,0),"")</f>
        <v>Điều dưỡng</v>
      </c>
      <c r="Z225" s="16"/>
      <c r="AA225" s="27" t="str">
        <f>IFERROR(VLOOKUP(A225,'[3]DS UPLOAD 2026 (2)'!$A$2:$P$1111,16,0),"")</f>
        <v/>
      </c>
      <c r="AB225" s="23"/>
      <c r="AC225" s="29" t="s">
        <v>1130</v>
      </c>
    </row>
    <row r="226" spans="1:29" ht="18" customHeight="1" x14ac:dyDescent="0.3">
      <c r="A226" s="17" t="s">
        <v>1131</v>
      </c>
      <c r="B226" s="18" t="s">
        <v>1132</v>
      </c>
      <c r="C226" s="17" t="s">
        <v>1131</v>
      </c>
      <c r="D226" s="19"/>
      <c r="E226" s="19" t="s">
        <v>61</v>
      </c>
      <c r="F226" s="16" t="str">
        <f>VLOOKUP(E226,'[1]BẢNG MÃ'!$A$2:$B$69,2,0)</f>
        <v>TĐ012</v>
      </c>
      <c r="G226" s="20" t="s">
        <v>62</v>
      </c>
      <c r="H226" s="20" t="s">
        <v>62</v>
      </c>
      <c r="I226" s="16" t="s">
        <v>153</v>
      </c>
      <c r="J226" s="16" t="str">
        <f>VLOOKUP(I226,'[1]BẢNG MÃ'!$C$2:$D$69,2,0)</f>
        <v>KP012</v>
      </c>
      <c r="K226" s="16" t="s">
        <v>43</v>
      </c>
      <c r="L226" s="16">
        <v>0</v>
      </c>
      <c r="M226" s="16" t="s">
        <v>33</v>
      </c>
      <c r="N226" s="21">
        <f ca="1">VLOOKUP(A226,'[1]Bieu 1a'!$A$8:$AW$855,10,0)</f>
        <v>43</v>
      </c>
      <c r="O226" s="22">
        <f>VLOOKUP(A226,'[1]Bieu 1a'!$A$8:$AW$855,8,0)</f>
        <v>30447</v>
      </c>
      <c r="P226" s="22">
        <f>VLOOKUP(A226,'[1]Bieu 1a'!$A$8:$AW$855,9,0)</f>
        <v>0</v>
      </c>
      <c r="Q226" s="23" t="s">
        <v>44</v>
      </c>
      <c r="R226" s="24" t="str">
        <f>VLOOKUP(A226,'[1]Bieu 1a'!$A$8:$AW$855,23,0)</f>
        <v>1/12/2010</v>
      </c>
      <c r="S226" s="25" t="s">
        <v>1133</v>
      </c>
      <c r="T226" s="26" t="s">
        <v>1134</v>
      </c>
      <c r="U226" s="16"/>
      <c r="V226" s="16" t="str">
        <f>IFERROR(VLOOKUP(A226,'[2]19.6.2026'!$A$9:$L$1111,5,0),"")</f>
        <v>000758/LS-CCHN</v>
      </c>
      <c r="W226" s="16" t="str">
        <f>IFERROR(VLOOKUP(A226,'[2]19.6.2026'!$A$9:$L$1111,6,0),"")</f>
        <v>11/12/2022</v>
      </c>
      <c r="X226" s="16"/>
      <c r="Y226" s="21" t="str">
        <f>IFERROR(VLOOKUP(A226,'[2]19.6.2026'!$A$9:$L$1111,7,0),"")</f>
        <v>Thực hiện phạm vi hoạt động chuyên môn theo quy định tại Thông tư số 26/2015/TTLT-BYT-BNV ngày 07/10/2015 quy định mã số, tiêu chuẩn chức danh nghề nghiệp điều dưỡng, hộ sinh, kỹ thuật y</v>
      </c>
      <c r="Z226" s="16"/>
      <c r="AA226" s="27" t="str">
        <f>IFERROR(VLOOKUP(A226,'[3]DS UPLOAD 2026 (2)'!$A$2:$P$1111,16,0),"")</f>
        <v/>
      </c>
      <c r="AB226" s="27" t="s">
        <v>1135</v>
      </c>
      <c r="AC226" s="28"/>
    </row>
    <row r="227" spans="1:29" ht="18" customHeight="1" x14ac:dyDescent="0.3">
      <c r="A227" s="17" t="s">
        <v>1136</v>
      </c>
      <c r="B227" s="18" t="s">
        <v>1137</v>
      </c>
      <c r="C227" s="17" t="s">
        <v>1136</v>
      </c>
      <c r="D227" s="19"/>
      <c r="E227" s="19" t="s">
        <v>61</v>
      </c>
      <c r="F227" s="16" t="str">
        <f>VLOOKUP(E227,'[1]BẢNG MÃ'!$A$2:$B$69,2,0)</f>
        <v>TĐ012</v>
      </c>
      <c r="G227" s="20" t="s">
        <v>62</v>
      </c>
      <c r="H227" s="20" t="s">
        <v>62</v>
      </c>
      <c r="I227" s="16" t="s">
        <v>153</v>
      </c>
      <c r="J227" s="16" t="str">
        <f>VLOOKUP(I227,'[1]BẢNG MÃ'!$C$2:$D$69,2,0)</f>
        <v>KP012</v>
      </c>
      <c r="K227" s="16" t="s">
        <v>43</v>
      </c>
      <c r="L227" s="16">
        <v>0</v>
      </c>
      <c r="M227" s="16" t="s">
        <v>33</v>
      </c>
      <c r="N227" s="21">
        <f ca="1">VLOOKUP(A227,'[1]Bieu 1a'!$A$8:$AW$855,10,0)</f>
        <v>44</v>
      </c>
      <c r="O227" s="22">
        <f>VLOOKUP(A227,'[1]Bieu 1a'!$A$8:$AW$855,8,0)</f>
        <v>29967</v>
      </c>
      <c r="P227" s="22">
        <f>VLOOKUP(A227,'[1]Bieu 1a'!$A$8:$AW$855,9,0)</f>
        <v>0</v>
      </c>
      <c r="Q227" s="23">
        <v>0</v>
      </c>
      <c r="R227" s="24" t="str">
        <f>VLOOKUP(A227,'[1]Bieu 1a'!$A$8:$AW$855,23,0)</f>
        <v>1/12/2010</v>
      </c>
      <c r="S227" s="25" t="s">
        <v>1138</v>
      </c>
      <c r="T227" s="26">
        <v>0</v>
      </c>
      <c r="U227" s="16"/>
      <c r="V227" s="16" t="str">
        <f>IFERROR(VLOOKUP(A227,'[2]19.6.2026'!$A$9:$L$1111,5,0),"")</f>
        <v>000878/LS-CCHN</v>
      </c>
      <c r="W227" s="16" t="str">
        <f>IFERROR(VLOOKUP(A227,'[2]19.6.2026'!$A$9:$L$1111,6,0),"")</f>
        <v>11/01/2023</v>
      </c>
      <c r="X227" s="16"/>
      <c r="Y227" s="21" t="str">
        <f>IFERROR(VLOOKUP(A227,'[2]19.6.2026'!$A$9:$L$1111,7,0),"")</f>
        <v>Thực hiện phạm vi hoạt động chuyên môn theo Thông tư số 26/2015/TTLT-BYT-BNV ngày 07/10/2015 quy định  mã số, tiêu chuẩn chức danh nghề nghiệp, điều dưỡng, hộ sinh, kỹ thuật y</v>
      </c>
      <c r="Z227" s="16"/>
      <c r="AA227" s="27" t="str">
        <f>IFERROR(VLOOKUP(A227,'[3]DS UPLOAD 2026 (2)'!$A$2:$P$1111,16,0),"")</f>
        <v/>
      </c>
      <c r="AB227" s="27">
        <v>972120288</v>
      </c>
      <c r="AC227" s="28"/>
    </row>
    <row r="228" spans="1:29" ht="18" customHeight="1" x14ac:dyDescent="0.3">
      <c r="A228" s="17" t="s">
        <v>1139</v>
      </c>
      <c r="B228" s="36" t="s">
        <v>1140</v>
      </c>
      <c r="C228" s="17" t="s">
        <v>1139</v>
      </c>
      <c r="D228" s="19" t="s">
        <v>38</v>
      </c>
      <c r="E228" s="19" t="s">
        <v>61</v>
      </c>
      <c r="F228" s="16" t="str">
        <f>VLOOKUP(E228,'[1]BẢNG MÃ'!$A$2:$B$69,2,0)</f>
        <v>TĐ012</v>
      </c>
      <c r="G228" s="20"/>
      <c r="H228" s="20" t="s">
        <v>62</v>
      </c>
      <c r="I228" s="16" t="s">
        <v>153</v>
      </c>
      <c r="J228" s="16" t="str">
        <f>VLOOKUP(I228,'[1]BẢNG MÃ'!$C$2:$D$69,2,0)</f>
        <v>KP012</v>
      </c>
      <c r="K228" s="19"/>
      <c r="L228" s="16"/>
      <c r="M228" s="16" t="s">
        <v>33</v>
      </c>
      <c r="N228" s="21">
        <f ca="1">VLOOKUP(A228,'[1]Bieu 1a'!$A$8:$AW$855,10,0)</f>
        <v>26</v>
      </c>
      <c r="O228" s="22">
        <f>VLOOKUP(A228,'[1]Bieu 1a'!$A$8:$AW$855,8,0)</f>
        <v>0</v>
      </c>
      <c r="P228" s="22" t="str">
        <f>VLOOKUP(A228,'[1]Bieu 1a'!$A$8:$AW$855,9,0)</f>
        <v>09/10/1999</v>
      </c>
      <c r="Q228" s="23" t="s">
        <v>34</v>
      </c>
      <c r="R228" s="24" t="str">
        <f>VLOOKUP(A228,'[1]Bieu 1a'!$A$8:$AW$855,23,0)</f>
        <v>03/11/2020</v>
      </c>
      <c r="S228" s="25" t="s">
        <v>1141</v>
      </c>
      <c r="T228" s="26">
        <v>0</v>
      </c>
      <c r="U228" s="16"/>
      <c r="V228" s="16" t="str">
        <f>IFERROR(VLOOKUP(A228,'[2]19.6.2026'!$A$9:$L$1111,5,0),"")</f>
        <v>004568/LS-CCHN</v>
      </c>
      <c r="W228" s="16" t="str">
        <f>IFERROR(VLOOKUP(A228,'[2]19.6.2026'!$A$9:$L$1111,6,0),"")</f>
        <v>29/08/2022</v>
      </c>
      <c r="X228" s="16"/>
      <c r="Y228" s="21" t="str">
        <f>IFERROR(VLOOKUP(A228,'[2]19.6.2026'!$A$9:$L$1111,7,0),"")</f>
        <v>Thực hiện phạm vi hoạt động chuyên môn theo quy định tại Thông tư số 26/2015/TTLT-BYT-BNV ngày 07/10/2015 quy định mã số, tiêu chuẩn chức danh nghề nghiệp điều dưỡng, hộ sinh, kỹ thuật y</v>
      </c>
      <c r="Z228" s="16"/>
      <c r="AA228" s="27" t="str">
        <f>IFERROR(VLOOKUP(A228,'[3]DS UPLOAD 2026 (2)'!$A$2:$P$1111,16,0),"")</f>
        <v/>
      </c>
      <c r="AB228" s="39" t="s">
        <v>1142</v>
      </c>
      <c r="AC228" s="29" t="s">
        <v>97</v>
      </c>
    </row>
    <row r="229" spans="1:29" ht="18" customHeight="1" x14ac:dyDescent="0.3">
      <c r="A229" s="17" t="s">
        <v>1143</v>
      </c>
      <c r="B229" s="38" t="s">
        <v>1144</v>
      </c>
      <c r="C229" s="17" t="s">
        <v>1143</v>
      </c>
      <c r="D229" s="19" t="s">
        <v>38</v>
      </c>
      <c r="E229" s="19" t="s">
        <v>61</v>
      </c>
      <c r="F229" s="16" t="str">
        <f>VLOOKUP(E229,'[1]BẢNG MÃ'!$A$2:$B$69,2,0)</f>
        <v>TĐ012</v>
      </c>
      <c r="G229" s="38"/>
      <c r="H229" s="20" t="s">
        <v>62</v>
      </c>
      <c r="I229" s="16" t="s">
        <v>153</v>
      </c>
      <c r="J229" s="16" t="str">
        <f>VLOOKUP(I229,'[1]BẢNG MÃ'!$C$2:$D$69,2,0)</f>
        <v>KP012</v>
      </c>
      <c r="K229" s="16"/>
      <c r="L229" s="16"/>
      <c r="M229" s="23" t="s">
        <v>33</v>
      </c>
      <c r="N229" s="21">
        <f ca="1">VLOOKUP(A229,'[1]Bieu 1a'!$A$8:$AW$855,10,0)</f>
        <v>31</v>
      </c>
      <c r="O229" s="22">
        <f>VLOOKUP(A229,'[1]Bieu 1a'!$A$8:$AW$855,8,0)</f>
        <v>0</v>
      </c>
      <c r="P229" s="22" t="str">
        <f>VLOOKUP(A229,'[1]Bieu 1a'!$A$8:$AW$855,9,0)</f>
        <v>07/05/1995</v>
      </c>
      <c r="Q229" s="23" t="s">
        <v>44</v>
      </c>
      <c r="R229" s="24" t="str">
        <f>VLOOKUP(A229,'[1]Bieu 1a'!$A$8:$AW$855,23,0)</f>
        <v>17/4/2019</v>
      </c>
      <c r="S229" s="25" t="s">
        <v>1145</v>
      </c>
      <c r="T229" s="26" t="s">
        <v>1146</v>
      </c>
      <c r="U229" s="16"/>
      <c r="V229" s="16" t="str">
        <f>IFERROR(VLOOKUP(A229,'[2]19.6.2026'!$A$9:$L$1111,5,0),"")</f>
        <v>003799/LS-CCHN</v>
      </c>
      <c r="W229" s="16" t="str">
        <f>IFERROR(VLOOKUP(A229,'[2]19.6.2026'!$A$9:$L$1111,6,0),"")</f>
        <v>21/07/2020</v>
      </c>
      <c r="X229" s="16"/>
      <c r="Y229" s="21" t="str">
        <f>IFERROR(VLOOKUP(A229,'[2]19.6.2026'!$A$9:$L$1111,7,0),"")</f>
        <v>Thực hiện phạm vi hoạt động chuyên môn theo quy định tại Thông tư số 26/2015/TTLT-BYT-BNV ngày 07/10/2015 quy định mã số, tiêu chuẩn chức danh nghề nghiệp điều dưỡng, hộ sinh, kỹ thuật y</v>
      </c>
      <c r="Z229" s="16"/>
      <c r="AA229" s="27" t="str">
        <f>IFERROR(VLOOKUP(A229,'[3]DS UPLOAD 2026 (2)'!$A$2:$P$1111,16,0),"")</f>
        <v/>
      </c>
      <c r="AB229" s="27">
        <v>977736483</v>
      </c>
      <c r="AC229" s="29" t="s">
        <v>222</v>
      </c>
    </row>
    <row r="230" spans="1:29" ht="18" customHeight="1" x14ac:dyDescent="0.3">
      <c r="A230" s="43" t="s">
        <v>1147</v>
      </c>
      <c r="B230" s="44" t="s">
        <v>1148</v>
      </c>
      <c r="C230" s="45" t="s">
        <v>1147</v>
      </c>
      <c r="D230" s="19" t="s">
        <v>38</v>
      </c>
      <c r="E230" s="19" t="s">
        <v>61</v>
      </c>
      <c r="F230" s="16" t="str">
        <f>VLOOKUP(E230,'[1]BẢNG MÃ'!$A$2:$B$69,2,0)</f>
        <v>TĐ012</v>
      </c>
      <c r="G230" s="20"/>
      <c r="H230" s="20" t="s">
        <v>62</v>
      </c>
      <c r="I230" s="55" t="s">
        <v>153</v>
      </c>
      <c r="J230" s="16" t="str">
        <f>VLOOKUP(I230,'[1]BẢNG MÃ'!$C$2:$D$69,2,0)</f>
        <v>KP012</v>
      </c>
      <c r="K230" s="16"/>
      <c r="L230" s="16"/>
      <c r="M230" s="16" t="s">
        <v>33</v>
      </c>
      <c r="N230" s="21">
        <f ca="1">VLOOKUP(A230,'[1]Bieu 1a'!$A$8:$AW$855,10,0)</f>
        <v>35</v>
      </c>
      <c r="O230" s="22">
        <f>VLOOKUP(A230,'[1]Bieu 1a'!$A$8:$AW$855,8,0)</f>
        <v>0</v>
      </c>
      <c r="P230" s="22" t="str">
        <f>VLOOKUP(A230,'[1]Bieu 1a'!$A$8:$AW$855,9,0)</f>
        <v>18/10/1990</v>
      </c>
      <c r="Q230" s="23">
        <v>0</v>
      </c>
      <c r="R230" s="24">
        <f>VLOOKUP(A230,'[1]Bieu 1a'!$A$8:$AW$855,23,0)</f>
        <v>44837</v>
      </c>
      <c r="S230" s="25" t="s">
        <v>1149</v>
      </c>
      <c r="T230" s="26">
        <v>0</v>
      </c>
      <c r="U230" s="16"/>
      <c r="V230" s="16" t="str">
        <f>IFERROR(VLOOKUP(A230,'[2]19.6.2026'!$A$9:$L$1111,5,0),"")</f>
        <v>004350/LS-CCHN</v>
      </c>
      <c r="W230" s="16" t="str">
        <f>IFERROR(VLOOKUP(A230,'[2]19.6.2026'!$A$9:$L$1111,6,0),"")</f>
        <v>10/09/2021</v>
      </c>
      <c r="X230" s="16"/>
      <c r="Y230" s="21" t="str">
        <f>IFERROR(VLOOKUP(A230,'[2]19.6.2026'!$A$9:$L$1111,7,0),"")</f>
        <v>Thực hiện phạm vi hoạt động chuyên môn theo quy định tại Thông tư số 26/2015/TTLT-BYT-BNV ngày 07/10/2015 quy định mã số, tiêu chuẩn chức danh nghề nghiệp điều dưỡng, hộ sinh, kỹ thuật y</v>
      </c>
      <c r="Z230" s="16"/>
      <c r="AA230" s="27" t="str">
        <f>IFERROR(VLOOKUP(A230,'[3]DS UPLOAD 2026 (2)'!$A$2:$P$1111,16,0),"")</f>
        <v/>
      </c>
      <c r="AB230" s="27" t="s">
        <v>1150</v>
      </c>
      <c r="AC230" s="29" t="s">
        <v>439</v>
      </c>
    </row>
    <row r="231" spans="1:29" ht="18" customHeight="1" x14ac:dyDescent="0.3">
      <c r="A231" s="43" t="s">
        <v>1151</v>
      </c>
      <c r="B231" s="44" t="s">
        <v>1152</v>
      </c>
      <c r="C231" s="45" t="s">
        <v>1151</v>
      </c>
      <c r="D231" s="19" t="s">
        <v>38</v>
      </c>
      <c r="E231" s="19" t="s">
        <v>61</v>
      </c>
      <c r="F231" s="16" t="str">
        <f>VLOOKUP(E231,'[1]BẢNG MÃ'!$A$2:$B$69,2,0)</f>
        <v>TĐ012</v>
      </c>
      <c r="G231" s="20"/>
      <c r="H231" s="20" t="s">
        <v>62</v>
      </c>
      <c r="I231" s="55" t="s">
        <v>153</v>
      </c>
      <c r="J231" s="16" t="str">
        <f>VLOOKUP(I231,'[1]BẢNG MÃ'!$C$2:$D$69,2,0)</f>
        <v>KP012</v>
      </c>
      <c r="K231" s="16"/>
      <c r="L231" s="16"/>
      <c r="M231" s="16" t="s">
        <v>33</v>
      </c>
      <c r="N231" s="21">
        <f ca="1">VLOOKUP(A231,'[1]Bieu 1a'!$A$8:$AW$855,10,0)</f>
        <v>25</v>
      </c>
      <c r="O231" s="22">
        <f>VLOOKUP(A231,'[1]Bieu 1a'!$A$8:$AW$855,8,0)</f>
        <v>0</v>
      </c>
      <c r="P231" s="22" t="str">
        <f>VLOOKUP(A231,'[1]Bieu 1a'!$A$8:$AW$855,9,0)</f>
        <v>24/6/2001</v>
      </c>
      <c r="Q231" s="23" t="s">
        <v>50</v>
      </c>
      <c r="R231" s="24">
        <f>VLOOKUP(A231,'[1]Bieu 1a'!$A$8:$AW$855,23,0)</f>
        <v>44837</v>
      </c>
      <c r="S231" s="25" t="s">
        <v>1153</v>
      </c>
      <c r="T231" s="26">
        <v>0</v>
      </c>
      <c r="U231" s="78">
        <f>EDATE(R231,9)</f>
        <v>45110</v>
      </c>
      <c r="V231" s="16" t="str">
        <f>IFERROR(VLOOKUP(A231,'[2]19.6.2026'!$A$9:$L$1111,5,0),"")</f>
        <v>000163/LS-GPHN</v>
      </c>
      <c r="W231" s="16">
        <f>IFERROR(VLOOKUP(A231,'[2]19.6.2026'!$A$9:$L$1111,6,0),"")</f>
        <v>45581</v>
      </c>
      <c r="X231" s="16"/>
      <c r="Y231" s="21" t="str">
        <f>IFERROR(VLOOKUP(A231,'[2]19.6.2026'!$A$9:$L$1111,7,0),"")</f>
        <v>Điều dưỡng</v>
      </c>
      <c r="Z231" s="16"/>
      <c r="AA231" s="27" t="str">
        <f>IFERROR(VLOOKUP(A231,'[3]DS UPLOAD 2026 (2)'!$A$2:$P$1111,16,0),"")</f>
        <v/>
      </c>
      <c r="AB231" s="27" t="s">
        <v>1154</v>
      </c>
      <c r="AC231" s="29" t="s">
        <v>439</v>
      </c>
    </row>
    <row r="232" spans="1:29" ht="18" customHeight="1" x14ac:dyDescent="0.3">
      <c r="A232" s="17" t="s">
        <v>1155</v>
      </c>
      <c r="B232" s="18" t="s">
        <v>1156</v>
      </c>
      <c r="C232" s="17" t="s">
        <v>1155</v>
      </c>
      <c r="D232" s="19"/>
      <c r="E232" s="19" t="s">
        <v>61</v>
      </c>
      <c r="F232" s="16" t="str">
        <f>VLOOKUP(E232,'[1]BẢNG MÃ'!$A$2:$B$69,2,0)</f>
        <v>TĐ012</v>
      </c>
      <c r="G232" s="20" t="s">
        <v>62</v>
      </c>
      <c r="H232" s="20" t="s">
        <v>62</v>
      </c>
      <c r="I232" s="16" t="s">
        <v>153</v>
      </c>
      <c r="J232" s="16" t="str">
        <f>VLOOKUP(I232,'[1]BẢNG MÃ'!$C$2:$D$69,2,0)</f>
        <v>KP012</v>
      </c>
      <c r="K232" s="16" t="s">
        <v>43</v>
      </c>
      <c r="L232" s="16">
        <v>0</v>
      </c>
      <c r="M232" s="16" t="s">
        <v>33</v>
      </c>
      <c r="N232" s="21">
        <f ca="1">VLOOKUP(A232,'[1]Bieu 1a'!$A$8:$AW$855,10,0)</f>
        <v>43</v>
      </c>
      <c r="O232" s="22">
        <f>VLOOKUP(A232,'[1]Bieu 1a'!$A$8:$AW$855,8,0)</f>
        <v>30456</v>
      </c>
      <c r="P232" s="22">
        <f>VLOOKUP(A232,'[1]Bieu 1a'!$A$8:$AW$855,9,0)</f>
        <v>0</v>
      </c>
      <c r="Q232" s="23" t="s">
        <v>50</v>
      </c>
      <c r="R232" s="24" t="str">
        <f>VLOOKUP(A232,'[1]Bieu 1a'!$A$8:$AW$855,23,0)</f>
        <v>19/01/2005</v>
      </c>
      <c r="S232" s="25" t="s">
        <v>1157</v>
      </c>
      <c r="T232" s="26">
        <v>0</v>
      </c>
      <c r="U232" s="22"/>
      <c r="V232" s="16" t="str">
        <f>IFERROR(VLOOKUP(A232,'[2]19.6.2026'!$A$9:$L$1111,5,0),"")</f>
        <v>003332/LS-CCHN</v>
      </c>
      <c r="W232" s="16" t="str">
        <f>IFERROR(VLOOKUP(A232,'[2]19.6.2026'!$A$9:$L$1111,6,0),"")</f>
        <v>11/01/2023</v>
      </c>
      <c r="X232" s="16"/>
      <c r="Y232" s="21" t="str">
        <f>IFERROR(VLOOKUP(A232,'[2]19.6.2026'!$A$9:$L$1111,7,0),"")</f>
        <v>Thực hiện phạm vi hoạt động chuyên môn theo Thông tư số 26/2015/TTLT-BYT-BNV ngày 07/10/2015 quy định  mã số, tiêu chuẩn chức danh nghề nghiệp, điều dưỡng, hộ sinh, kỹ thuật y</v>
      </c>
      <c r="Z232" s="16"/>
      <c r="AA232" s="27" t="str">
        <f>IFERROR(VLOOKUP(A232,'[3]DS UPLOAD 2026 (2)'!$A$2:$P$1111,16,0),"")</f>
        <v/>
      </c>
      <c r="AB232" s="27" t="s">
        <v>1158</v>
      </c>
      <c r="AC232" s="28"/>
    </row>
    <row r="233" spans="1:29" ht="18" customHeight="1" x14ac:dyDescent="0.3">
      <c r="A233" s="17" t="s">
        <v>1159</v>
      </c>
      <c r="B233" s="18" t="s">
        <v>1160</v>
      </c>
      <c r="C233" s="17" t="s">
        <v>1159</v>
      </c>
      <c r="D233" s="19" t="s">
        <v>38</v>
      </c>
      <c r="E233" s="19" t="s">
        <v>61</v>
      </c>
      <c r="F233" s="16" t="str">
        <f>VLOOKUP(E233,'[1]BẢNG MÃ'!$A$2:$B$69,2,0)</f>
        <v>TĐ012</v>
      </c>
      <c r="G233" s="20" t="s">
        <v>62</v>
      </c>
      <c r="H233" s="20" t="s">
        <v>62</v>
      </c>
      <c r="I233" s="16" t="s">
        <v>153</v>
      </c>
      <c r="J233" s="16" t="str">
        <f>VLOOKUP(I233,'[1]BẢNG MÃ'!$C$2:$D$69,2,0)</f>
        <v>KP012</v>
      </c>
      <c r="K233" s="16" t="s">
        <v>43</v>
      </c>
      <c r="L233" s="16">
        <v>0</v>
      </c>
      <c r="M233" s="16" t="s">
        <v>33</v>
      </c>
      <c r="N233" s="21">
        <f ca="1">VLOOKUP(A233,'[1]Bieu 1a'!$A$8:$AW$855,10,0)</f>
        <v>51</v>
      </c>
      <c r="O233" s="22">
        <f>VLOOKUP(A233,'[1]Bieu 1a'!$A$8:$AW$855,8,0)</f>
        <v>0</v>
      </c>
      <c r="P233" s="22">
        <f>VLOOKUP(A233,'[1]Bieu 1a'!$A$8:$AW$855,9,0)</f>
        <v>27280</v>
      </c>
      <c r="Q233" s="23">
        <v>0</v>
      </c>
      <c r="R233" s="24" t="str">
        <f>VLOOKUP(A233,'[1]Bieu 1a'!$A$8:$AW$855,23,0)</f>
        <v>6/11/2006</v>
      </c>
      <c r="S233" s="25" t="s">
        <v>1161</v>
      </c>
      <c r="T233" s="26" t="s">
        <v>1162</v>
      </c>
      <c r="U233" s="16"/>
      <c r="V233" s="16" t="str">
        <f>IFERROR(VLOOKUP(A233,'[2]19.6.2026'!$A$9:$L$1111,5,0),"")</f>
        <v>001008/LS-CCHN</v>
      </c>
      <c r="W233" s="16" t="str">
        <f>IFERROR(VLOOKUP(A233,'[2]19.6.2026'!$A$9:$L$1111,6,0),"")</f>
        <v>11/01/2023</v>
      </c>
      <c r="X233" s="16"/>
      <c r="Y233" s="21" t="str">
        <f>IFERROR(VLOOKUP(A233,'[2]19.6.2026'!$A$9:$L$1111,7,0),"")</f>
        <v>Thực hiện phạm vi hoạt động chuyên môn theo Thông tư số 26/2015/TTLT-BYT-BNV ngày 07/10/2015 quy định  mã số, tiêu chuẩn chức danh nghề nghiệp, điều dưỡng, hộ sinh, kỹ thuật y</v>
      </c>
      <c r="Z233" s="16"/>
      <c r="AA233" s="27" t="str">
        <f>IFERROR(VLOOKUP(A233,'[3]DS UPLOAD 2026 (2)'!$A$2:$P$1111,16,0),"")</f>
        <v/>
      </c>
      <c r="AB233" s="27" t="s">
        <v>1163</v>
      </c>
      <c r="AC233" s="28"/>
    </row>
    <row r="234" spans="1:29" ht="18" customHeight="1" x14ac:dyDescent="0.3">
      <c r="A234" s="17" t="s">
        <v>1164</v>
      </c>
      <c r="B234" s="79" t="s">
        <v>1165</v>
      </c>
      <c r="C234" s="17" t="s">
        <v>1164</v>
      </c>
      <c r="D234" s="80" t="s">
        <v>38</v>
      </c>
      <c r="E234" s="19" t="s">
        <v>61</v>
      </c>
      <c r="F234" s="16" t="str">
        <f>VLOOKUP(E234,'[1]BẢNG MÃ'!$A$2:$B$69,2,0)</f>
        <v>TĐ012</v>
      </c>
      <c r="G234" s="20" t="s">
        <v>62</v>
      </c>
      <c r="H234" s="20" t="s">
        <v>62</v>
      </c>
      <c r="I234" s="80" t="s">
        <v>153</v>
      </c>
      <c r="J234" s="16" t="str">
        <f>VLOOKUP(I234,'[1]BẢNG MÃ'!$C$2:$D$69,2,0)</f>
        <v>KP012</v>
      </c>
      <c r="K234" s="16" t="s">
        <v>43</v>
      </c>
      <c r="L234" s="16"/>
      <c r="M234" s="16" t="s">
        <v>33</v>
      </c>
      <c r="N234" s="21">
        <f ca="1">VLOOKUP(A234,'[1]Bieu 1a'!$A$8:$AW$855,10,0)</f>
        <v>35</v>
      </c>
      <c r="O234" s="22">
        <f>VLOOKUP(A234,'[1]Bieu 1a'!$A$8:$AW$855,8,0)</f>
        <v>0</v>
      </c>
      <c r="P234" s="22">
        <f>VLOOKUP(A234,'[1]Bieu 1a'!$A$8:$AW$855,9,0)</f>
        <v>33425</v>
      </c>
      <c r="Q234" s="23" t="s">
        <v>50</v>
      </c>
      <c r="R234" s="24" t="str">
        <f>VLOOKUP(A234,'[1]Bieu 1a'!$A$8:$AW$855,23,0)</f>
        <v>29/8/2016</v>
      </c>
      <c r="S234" s="25" t="s">
        <v>1166</v>
      </c>
      <c r="T234" s="26" t="s">
        <v>1167</v>
      </c>
      <c r="U234" s="16"/>
      <c r="V234" s="16" t="str">
        <f>IFERROR(VLOOKUP(A234,'[2]19.6.2026'!$A$9:$L$1111,5,0),"")</f>
        <v>003233/LS-CCHN</v>
      </c>
      <c r="W234" s="16" t="str">
        <f>IFERROR(VLOOKUP(A234,'[2]19.6.2026'!$A$9:$L$1111,6,0),"")</f>
        <v>09/05/2018</v>
      </c>
      <c r="X234" s="16"/>
      <c r="Y234" s="21" t="str">
        <f>IFERROR(VLOOKUP(A234,'[2]19.6.2026'!$A$9:$L$1111,7,0),"")</f>
        <v>Thực hiện phạm vi hoạt động chuyên môn theo Thông tư số 26/2015/TTLT-BYT-BNV ngày 07/10/2015 quy định  mã số, tiêu chuẩn chức danh nghề nghiệp, điều dưỡng, hộ sinh, kỹ thuật y</v>
      </c>
      <c r="Z234" s="16"/>
      <c r="AA234" s="27" t="str">
        <f>IFERROR(VLOOKUP(A234,'[3]DS UPLOAD 2026 (2)'!$A$2:$P$1111,16,0),"")</f>
        <v/>
      </c>
      <c r="AB234" s="16" t="s">
        <v>1168</v>
      </c>
      <c r="AC234" s="29" t="s">
        <v>1169</v>
      </c>
    </row>
    <row r="235" spans="1:29" ht="18" customHeight="1" x14ac:dyDescent="0.3">
      <c r="A235" s="43" t="s">
        <v>1170</v>
      </c>
      <c r="B235" s="62" t="s">
        <v>1171</v>
      </c>
      <c r="C235" s="45" t="s">
        <v>1170</v>
      </c>
      <c r="D235" s="19" t="s">
        <v>38</v>
      </c>
      <c r="E235" s="19" t="s">
        <v>61</v>
      </c>
      <c r="F235" s="16" t="str">
        <f>VLOOKUP(E235,'[1]BẢNG MÃ'!$A$2:$B$69,2,0)</f>
        <v>TĐ012</v>
      </c>
      <c r="G235" s="16"/>
      <c r="H235" s="20" t="s">
        <v>62</v>
      </c>
      <c r="I235" s="16" t="s">
        <v>153</v>
      </c>
      <c r="J235" s="16" t="str">
        <f>VLOOKUP(I235,'[1]BẢNG MÃ'!$C$2:$D$69,2,0)</f>
        <v>KP012</v>
      </c>
      <c r="K235" s="16"/>
      <c r="L235" s="16"/>
      <c r="M235" s="16" t="s">
        <v>136</v>
      </c>
      <c r="N235" s="21">
        <f ca="1">VLOOKUP(A235,'[1]Bieu 1a'!$A$8:$AW$855,10,0)</f>
        <v>23</v>
      </c>
      <c r="O235" s="22">
        <f>VLOOKUP(A235,'[1]Bieu 1a'!$A$8:$AW$855,8,0)</f>
        <v>0</v>
      </c>
      <c r="P235" s="22" t="str">
        <f>VLOOKUP(A235,'[1]Bieu 1a'!$A$8:$AW$855,9,0)</f>
        <v>01/11/2002</v>
      </c>
      <c r="Q235" s="23" t="s">
        <v>50</v>
      </c>
      <c r="R235" s="24">
        <f>VLOOKUP(A235,'[1]Bieu 1a'!$A$8:$AW$855,23,0)</f>
        <v>45250</v>
      </c>
      <c r="S235" s="25" t="s">
        <v>1172</v>
      </c>
      <c r="T235" s="26">
        <v>0</v>
      </c>
      <c r="U235" s="52">
        <f>EDATE(R235,9)</f>
        <v>45524</v>
      </c>
      <c r="V235" s="16" t="str">
        <f>IFERROR(VLOOKUP(A235,'[2]19.6.2026'!$A$9:$L$1111,5,0),"")</f>
        <v>000239/LS-GPHN</v>
      </c>
      <c r="W235" s="16">
        <f>IFERROR(VLOOKUP(A235,'[2]19.6.2026'!$A$9:$L$1111,6,0),"")</f>
        <v>45747</v>
      </c>
      <c r="X235" s="16"/>
      <c r="Y235" s="21" t="str">
        <f>IFERROR(VLOOKUP(A235,'[2]19.6.2026'!$A$9:$L$1111,7,0),"")</f>
        <v>Điều dưỡng</v>
      </c>
      <c r="Z235" s="16"/>
      <c r="AA235" s="27" t="str">
        <f>IFERROR(VLOOKUP(A235,'[3]DS UPLOAD 2026 (2)'!$A$2:$P$1111,16,0),"")</f>
        <v/>
      </c>
      <c r="AB235" s="62" t="s">
        <v>1173</v>
      </c>
      <c r="AC235" s="81" t="s">
        <v>1174</v>
      </c>
    </row>
    <row r="236" spans="1:29" ht="18" customHeight="1" x14ac:dyDescent="0.3">
      <c r="A236" s="46" t="s">
        <v>1175</v>
      </c>
      <c r="B236" s="28" t="s">
        <v>1176</v>
      </c>
      <c r="C236" s="47" t="s">
        <v>1175</v>
      </c>
      <c r="D236" s="23" t="s">
        <v>38</v>
      </c>
      <c r="E236" s="19" t="s">
        <v>61</v>
      </c>
      <c r="F236" s="16" t="str">
        <f>VLOOKUP(E236,'[1]BẢNG MÃ'!$A$2:$B$69,2,0)</f>
        <v>TĐ012</v>
      </c>
      <c r="G236" s="48"/>
      <c r="H236" s="20" t="s">
        <v>62</v>
      </c>
      <c r="I236" s="16" t="s">
        <v>468</v>
      </c>
      <c r="J236" s="16" t="str">
        <f>VLOOKUP(I236,'[1]BẢNG MÃ'!$C$2:$D$69,2,0)</f>
        <v>KP004</v>
      </c>
      <c r="K236" s="23"/>
      <c r="L236" s="23"/>
      <c r="M236" s="16" t="s">
        <v>33</v>
      </c>
      <c r="N236" s="21">
        <f ca="1">VLOOKUP(A236,'[1]Bieu 1a'!$A$8:$AW$855,10,0)</f>
        <v>23</v>
      </c>
      <c r="O236" s="22">
        <f>VLOOKUP(A236,'[1]Bieu 1a'!$A$8:$AW$855,8,0)</f>
        <v>0</v>
      </c>
      <c r="P236" s="22" t="str">
        <f>VLOOKUP(A236,'[1]Bieu 1a'!$A$8:$AW$855,9,0)</f>
        <v>28/8/2002</v>
      </c>
      <c r="Q236" s="23" t="s">
        <v>50</v>
      </c>
      <c r="R236" s="24">
        <f>VLOOKUP(A236,'[1]Bieu 1a'!$A$8:$AW$855,23,0)</f>
        <v>45580</v>
      </c>
      <c r="S236" s="25" t="s">
        <v>1177</v>
      </c>
      <c r="T236" s="26" t="s">
        <v>1178</v>
      </c>
      <c r="U236" s="23"/>
      <c r="V236" s="16" t="str">
        <f>IFERROR(VLOOKUP(A236,'[2]19.6.2026'!$A$9:$L$1111,5,0),"")</f>
        <v>000263/LS-GPHN</v>
      </c>
      <c r="W236" s="16">
        <f>IFERROR(VLOOKUP(A236,'[2]19.6.2026'!$A$9:$L$1111,6,0),"")</f>
        <v>45796</v>
      </c>
      <c r="X236" s="19"/>
      <c r="Y236" s="21" t="str">
        <f>IFERROR(VLOOKUP(A236,'[2]19.6.2026'!$A$9:$L$1111,7,0),"")</f>
        <v>Điều dưỡng</v>
      </c>
      <c r="Z236" s="16"/>
      <c r="AA236" s="27" t="str">
        <f>IFERROR(VLOOKUP(A236,'[3]DS UPLOAD 2026 (2)'!$A$2:$P$1111,16,0),"")</f>
        <v/>
      </c>
      <c r="AB236" s="23">
        <v>332808422</v>
      </c>
      <c r="AC236" s="29" t="s">
        <v>1179</v>
      </c>
    </row>
    <row r="237" spans="1:29" ht="18" customHeight="1" x14ac:dyDescent="0.3">
      <c r="A237" s="56" t="s">
        <v>1180</v>
      </c>
      <c r="B237" s="61" t="s">
        <v>1181</v>
      </c>
      <c r="C237" s="23" t="s">
        <v>1180</v>
      </c>
      <c r="D237" s="23" t="s">
        <v>38</v>
      </c>
      <c r="E237" s="27" t="s">
        <v>61</v>
      </c>
      <c r="F237" s="27" t="str">
        <f>VLOOKUP(E237,'[1]BẢNG MÃ'!$A$2:$B$69,2,0)</f>
        <v>TĐ012</v>
      </c>
      <c r="G237" s="48"/>
      <c r="H237" s="20" t="s">
        <v>62</v>
      </c>
      <c r="I237" s="27" t="s">
        <v>153</v>
      </c>
      <c r="J237" s="27" t="str">
        <f>VLOOKUP(I237,'[1]BẢNG MÃ'!$C$2:$D$69,2,0)</f>
        <v>KP012</v>
      </c>
      <c r="K237" s="23"/>
      <c r="L237" s="23"/>
      <c r="M237" s="27" t="s">
        <v>136</v>
      </c>
      <c r="N237" s="21">
        <f ca="1">VLOOKUP(A237,'[1]Bieu 1a'!$A$8:$AW$855,10,0)</f>
        <v>26</v>
      </c>
      <c r="O237" s="22">
        <f>VLOOKUP(A237,'[1]Bieu 1a'!$A$8:$AW$855,8,0)</f>
        <v>0</v>
      </c>
      <c r="P237" s="22" t="str">
        <f>VLOOKUP(A237,'[1]Bieu 1a'!$A$8:$AW$855,9,0)</f>
        <v>26/01/2000</v>
      </c>
      <c r="Q237" s="23" t="s">
        <v>50</v>
      </c>
      <c r="R237" s="24">
        <f>VLOOKUP(A237,'[1]Bieu 1a'!$A$8:$AW$855,23,0)</f>
        <v>45810</v>
      </c>
      <c r="S237" s="25" t="s">
        <v>1182</v>
      </c>
      <c r="T237" s="26" t="s">
        <v>1183</v>
      </c>
      <c r="U237" s="23"/>
      <c r="V237" s="16" t="str">
        <f>IFERROR(VLOOKUP(A237,'[2]19.6.2026'!$A$9:$L$1111,5,0),"")</f>
        <v/>
      </c>
      <c r="W237" s="16" t="str">
        <f>IFERROR(VLOOKUP(A237,'[2]19.6.2026'!$A$9:$L$1111,6,0),"")</f>
        <v/>
      </c>
      <c r="X237" s="23"/>
      <c r="Y237" s="21" t="str">
        <f>IFERROR(VLOOKUP(A237,'[2]19.6.2026'!$A$9:$L$1111,7,0),"")</f>
        <v/>
      </c>
      <c r="Z237" s="16"/>
      <c r="AA237" s="27" t="str">
        <f>IFERROR(VLOOKUP(A237,'[3]DS UPLOAD 2026 (2)'!$A$2:$P$1111,16,0),"")</f>
        <v/>
      </c>
      <c r="AB237" s="58" t="s">
        <v>1184</v>
      </c>
      <c r="AC237" s="51" t="s">
        <v>1185</v>
      </c>
    </row>
    <row r="238" spans="1:29" ht="18" customHeight="1" x14ac:dyDescent="0.3">
      <c r="A238" s="82" t="s">
        <v>1186</v>
      </c>
      <c r="B238" s="28" t="s">
        <v>520</v>
      </c>
      <c r="C238" s="83" t="s">
        <v>1186</v>
      </c>
      <c r="D238" s="23" t="s">
        <v>38</v>
      </c>
      <c r="E238" s="23" t="s">
        <v>128</v>
      </c>
      <c r="F238" s="27" t="str">
        <f>VLOOKUP(E238,'[1]BẢNG MÃ'!$A$2:$B$69,2,0)</f>
        <v>TĐ047</v>
      </c>
      <c r="G238" s="48"/>
      <c r="H238" s="23" t="s">
        <v>128</v>
      </c>
      <c r="I238" s="23" t="s">
        <v>153</v>
      </c>
      <c r="J238" s="27" t="str">
        <f>VLOOKUP(I238,'[1]BẢNG MÃ'!$C$2:$D$69,2,0)</f>
        <v>KP012</v>
      </c>
      <c r="K238" s="23"/>
      <c r="L238" s="23"/>
      <c r="M238" s="27" t="s">
        <v>136</v>
      </c>
      <c r="N238" s="21">
        <f ca="1">VLOOKUP(A238,'[1]Bieu 1a'!$A$8:$AW$855,10,0)</f>
        <v>51</v>
      </c>
      <c r="O238" s="22">
        <f>VLOOKUP(A238,'[1]Bieu 1a'!$A$8:$AW$855,8,0)</f>
        <v>0</v>
      </c>
      <c r="P238" s="22" t="str">
        <f>VLOOKUP(A238,'[1]Bieu 1a'!$A$8:$AW$855,9,0)</f>
        <v>16/6/1975</v>
      </c>
      <c r="Q238" s="23" t="s">
        <v>50</v>
      </c>
      <c r="R238" s="24">
        <f>VLOOKUP(A238,'[1]Bieu 1a'!$A$8:$AW$855,23,0)</f>
        <v>45748</v>
      </c>
      <c r="S238" s="25" t="s">
        <v>1187</v>
      </c>
      <c r="T238" s="26">
        <v>0</v>
      </c>
      <c r="U238" s="23"/>
      <c r="V238" s="16" t="str">
        <f>IFERROR(VLOOKUP(A238,'[2]19.6.2026'!$A$9:$L$1111,5,0),"")</f>
        <v/>
      </c>
      <c r="W238" s="16" t="str">
        <f>IFERROR(VLOOKUP(A238,'[2]19.6.2026'!$A$9:$L$1111,6,0),"")</f>
        <v/>
      </c>
      <c r="X238" s="23"/>
      <c r="Y238" s="21" t="str">
        <f>IFERROR(VLOOKUP(A238,'[2]19.6.2026'!$A$9:$L$1111,7,0),"")</f>
        <v/>
      </c>
      <c r="Z238" s="16"/>
      <c r="AA238" s="27" t="str">
        <f>IFERROR(VLOOKUP(A238,'[3]DS UPLOAD 2026 (2)'!$A$2:$P$1111,16,0),"")</f>
        <v/>
      </c>
      <c r="AB238" s="23"/>
      <c r="AC238" s="51" t="s">
        <v>1188</v>
      </c>
    </row>
    <row r="239" spans="1:29" ht="18" customHeight="1" x14ac:dyDescent="0.3">
      <c r="A239" s="17" t="s">
        <v>1189</v>
      </c>
      <c r="B239" s="36" t="s">
        <v>1190</v>
      </c>
      <c r="C239" s="17" t="s">
        <v>1189</v>
      </c>
      <c r="D239" s="16"/>
      <c r="E239" s="16" t="s">
        <v>28</v>
      </c>
      <c r="F239" s="16" t="str">
        <f>VLOOKUP(E239,'[1]BẢNG MÃ'!$A$2:$B$69,2,0)</f>
        <v>TĐ001</v>
      </c>
      <c r="G239" s="20" t="s">
        <v>29</v>
      </c>
      <c r="H239" s="20" t="s">
        <v>29</v>
      </c>
      <c r="I239" s="16" t="s">
        <v>1191</v>
      </c>
      <c r="J239" s="16" t="str">
        <f>VLOOKUP(I239,'[1]BẢNG MÃ'!$C$2:$D$69,2,0)</f>
        <v>KP013</v>
      </c>
      <c r="K239" s="16" t="s">
        <v>43</v>
      </c>
      <c r="L239" s="16">
        <v>0</v>
      </c>
      <c r="M239" s="16" t="s">
        <v>33</v>
      </c>
      <c r="N239" s="21">
        <f ca="1">VLOOKUP(A239,'[1]Bieu 1a'!$A$8:$AW$855,10,0)</f>
        <v>44</v>
      </c>
      <c r="O239" s="22">
        <f>VLOOKUP(A239,'[1]Bieu 1a'!$A$8:$AW$855,8,0)</f>
        <v>29884</v>
      </c>
      <c r="P239" s="22">
        <f>VLOOKUP(A239,'[1]Bieu 1a'!$A$8:$AW$855,9,0)</f>
        <v>0</v>
      </c>
      <c r="Q239" s="23" t="s">
        <v>44</v>
      </c>
      <c r="R239" s="24" t="str">
        <f>VLOOKUP(A239,'[1]Bieu 1a'!$A$8:$AW$855,23,0)</f>
        <v>19/01/2005</v>
      </c>
      <c r="S239" s="25" t="s">
        <v>1192</v>
      </c>
      <c r="T239" s="26" t="s">
        <v>1193</v>
      </c>
      <c r="U239" s="16"/>
      <c r="V239" s="16" t="str">
        <f>IFERROR(VLOOKUP(A239,'[2]19.6.2026'!$A$9:$L$1111,5,0),"")</f>
        <v>000904/LS-CCHN</v>
      </c>
      <c r="W239" s="16" t="str">
        <f>IFERROR(VLOOKUP(A239,'[2]19.6.2026'!$A$9:$L$1111,6,0),"")</f>
        <v>24/06/2013</v>
      </c>
      <c r="X239" s="16"/>
      <c r="Y239" s="21" t="str">
        <f>IFERROR(VLOOKUP(A239,'[2]19.6.2026'!$A$9:$L$1111,7,0),"")</f>
        <v>Khám bệnh, chữa bệnh Ngoại khoa</v>
      </c>
      <c r="Z239" s="16"/>
      <c r="AA239" s="27" t="str">
        <f>IFERROR(VLOOKUP(A239,'[3]DS UPLOAD 2026 (2)'!$A$2:$P$1111,16,0),"")</f>
        <v/>
      </c>
      <c r="AB239" s="27" t="s">
        <v>1194</v>
      </c>
      <c r="AC239" s="28"/>
    </row>
    <row r="240" spans="1:29" ht="18" customHeight="1" x14ac:dyDescent="0.3">
      <c r="A240" s="17" t="s">
        <v>1195</v>
      </c>
      <c r="B240" s="29" t="s">
        <v>1196</v>
      </c>
      <c r="C240" s="17" t="s">
        <v>1195</v>
      </c>
      <c r="D240" s="19"/>
      <c r="E240" s="16" t="s">
        <v>28</v>
      </c>
      <c r="F240" s="16" t="str">
        <f>VLOOKUP(E240,'[1]BẢNG MÃ'!$A$2:$B$69,2,0)</f>
        <v>TĐ001</v>
      </c>
      <c r="G240" s="20" t="s">
        <v>29</v>
      </c>
      <c r="H240" s="20" t="s">
        <v>29</v>
      </c>
      <c r="I240" s="16" t="s">
        <v>1191</v>
      </c>
      <c r="J240" s="16" t="str">
        <f>VLOOKUP(I240,'[1]BẢNG MÃ'!$C$2:$D$69,2,0)</f>
        <v>KP013</v>
      </c>
      <c r="K240" s="16" t="s">
        <v>307</v>
      </c>
      <c r="L240" s="16" t="s">
        <v>1197</v>
      </c>
      <c r="M240" s="16" t="s">
        <v>33</v>
      </c>
      <c r="N240" s="21">
        <f ca="1">VLOOKUP(A240,'[1]Bieu 1a'!$A$8:$AW$855,10,0)</f>
        <v>50</v>
      </c>
      <c r="O240" s="22">
        <f>VLOOKUP(A240,'[1]Bieu 1a'!$A$8:$AW$855,8,0)</f>
        <v>27755</v>
      </c>
      <c r="P240" s="22">
        <f>VLOOKUP(A240,'[1]Bieu 1a'!$A$8:$AW$855,9,0)</f>
        <v>0</v>
      </c>
      <c r="Q240" s="23" t="s">
        <v>44</v>
      </c>
      <c r="R240" s="24" t="str">
        <f>VLOOKUP(A240,'[1]Bieu 1a'!$A$8:$AW$855,23,0)</f>
        <v>1/1/2003</v>
      </c>
      <c r="S240" s="25" t="s">
        <v>1198</v>
      </c>
      <c r="T240" s="26" t="s">
        <v>1199</v>
      </c>
      <c r="U240" s="16"/>
      <c r="V240" s="16" t="str">
        <f>IFERROR(VLOOKUP(A240,'[2]19.6.2026'!$A$9:$L$1111,5,0),"")</f>
        <v>000903/LS-CCHN</v>
      </c>
      <c r="W240" s="16" t="str">
        <f>IFERROR(VLOOKUP(A240,'[2]19.6.2026'!$A$9:$L$1111,6,0),"")</f>
        <v>11/01/2023</v>
      </c>
      <c r="X240" s="16"/>
      <c r="Y240" s="21" t="str">
        <f>IFERROR(VLOOKUP(A240,'[2]19.6.2026'!$A$9:$L$1111,7,0),"")</f>
        <v>Khám bệnh chữa bệnh ngoại khoa</v>
      </c>
      <c r="Z240" s="16"/>
      <c r="AA240" s="27" t="str">
        <f>IFERROR(VLOOKUP(A240,'[3]DS UPLOAD 2026 (2)'!$A$2:$P$1111,16,0),"")</f>
        <v/>
      </c>
      <c r="AB240" s="27">
        <v>982718646</v>
      </c>
      <c r="AC240" s="28"/>
    </row>
    <row r="241" spans="1:29" ht="18" customHeight="1" x14ac:dyDescent="0.3">
      <c r="A241" s="17" t="s">
        <v>1200</v>
      </c>
      <c r="B241" s="29" t="s">
        <v>1201</v>
      </c>
      <c r="C241" s="17" t="s">
        <v>1200</v>
      </c>
      <c r="D241" s="19"/>
      <c r="E241" s="19" t="s">
        <v>28</v>
      </c>
      <c r="F241" s="16" t="str">
        <f>VLOOKUP(E241,'[1]BẢNG MÃ'!$A$2:$B$69,2,0)</f>
        <v>TĐ001</v>
      </c>
      <c r="G241" s="20" t="s">
        <v>29</v>
      </c>
      <c r="H241" s="20" t="s">
        <v>29</v>
      </c>
      <c r="I241" s="16" t="s">
        <v>1191</v>
      </c>
      <c r="J241" s="16" t="str">
        <f>VLOOKUP(I241,'[1]BẢNG MÃ'!$C$2:$D$69,2,0)</f>
        <v>KP013</v>
      </c>
      <c r="K241" s="16" t="s">
        <v>43</v>
      </c>
      <c r="L241" s="16">
        <v>0</v>
      </c>
      <c r="M241" s="16" t="s">
        <v>33</v>
      </c>
      <c r="N241" s="21">
        <f ca="1">VLOOKUP(A241,'[1]Bieu 1a'!$A$8:$AW$855,10,0)</f>
        <v>46</v>
      </c>
      <c r="O241" s="22" t="str">
        <f>VLOOKUP(A241,'[1]Bieu 1a'!$A$8:$AW$855,8,0)</f>
        <v>16/7/1979</v>
      </c>
      <c r="P241" s="22">
        <f>VLOOKUP(A241,'[1]Bieu 1a'!$A$8:$AW$855,9,0)</f>
        <v>0</v>
      </c>
      <c r="Q241" s="23" t="s">
        <v>34</v>
      </c>
      <c r="R241" s="24" t="str">
        <f>VLOOKUP(A241,'[1]Bieu 1a'!$A$8:$AW$855,23,0)</f>
        <v>01/02/2005</v>
      </c>
      <c r="S241" s="25" t="s">
        <v>1202</v>
      </c>
      <c r="T241" s="26">
        <v>0</v>
      </c>
      <c r="U241" s="16"/>
      <c r="V241" s="16" t="str">
        <f>IFERROR(VLOOKUP(A241,'[2]19.6.2026'!$A$9:$L$1111,5,0),"")</f>
        <v>001787/LS-CCHN</v>
      </c>
      <c r="W241" s="16" t="str">
        <f>IFERROR(VLOOKUP(A241,'[2]19.6.2026'!$A$9:$L$1111,6,0),"")</f>
        <v>26/12/2013</v>
      </c>
      <c r="X241" s="16"/>
      <c r="Y241" s="21" t="str">
        <f>IFERROR(VLOOKUP(A241,'[2]19.6.2026'!$A$9:$L$1111,7,0),"")</f>
        <v>Khám bệnh chữa bệnh Nội khoa; Ngoại khoa</v>
      </c>
      <c r="Z241" s="16"/>
      <c r="AA241" s="27" t="str">
        <f>IFERROR(VLOOKUP(A241,'[3]DS UPLOAD 2026 (2)'!$A$2:$P$1111,16,0),"")</f>
        <v/>
      </c>
      <c r="AB241" s="27" t="s">
        <v>1203</v>
      </c>
      <c r="AC241" s="28"/>
    </row>
    <row r="242" spans="1:29" ht="18" customHeight="1" x14ac:dyDescent="0.3">
      <c r="A242" s="17" t="s">
        <v>1204</v>
      </c>
      <c r="B242" s="18" t="s">
        <v>1205</v>
      </c>
      <c r="C242" s="17" t="s">
        <v>1204</v>
      </c>
      <c r="D242" s="19"/>
      <c r="E242" s="16" t="s">
        <v>160</v>
      </c>
      <c r="F242" s="16" t="str">
        <f>VLOOKUP(E242,'[1]BẢNG MÃ'!$A$2:$B$69,2,0)</f>
        <v>TĐ003</v>
      </c>
      <c r="G242" s="20" t="s">
        <v>29</v>
      </c>
      <c r="H242" s="20" t="s">
        <v>29</v>
      </c>
      <c r="I242" s="16" t="s">
        <v>1191</v>
      </c>
      <c r="J242" s="16" t="str">
        <f>VLOOKUP(I242,'[1]BẢNG MÃ'!$C$2:$D$69,2,0)</f>
        <v>KP013</v>
      </c>
      <c r="K242" s="16" t="s">
        <v>31</v>
      </c>
      <c r="L242" s="16" t="s">
        <v>154</v>
      </c>
      <c r="M242" s="16" t="s">
        <v>33</v>
      </c>
      <c r="N242" s="21">
        <f ca="1">VLOOKUP(A242,'[1]Bieu 1a'!$A$8:$AW$855,10,0)</f>
        <v>49</v>
      </c>
      <c r="O242" s="22">
        <f>VLOOKUP(A242,'[1]Bieu 1a'!$A$8:$AW$855,8,0)</f>
        <v>28217</v>
      </c>
      <c r="P242" s="22">
        <f>VLOOKUP(A242,'[1]Bieu 1a'!$A$8:$AW$855,9,0)</f>
        <v>0</v>
      </c>
      <c r="Q242" s="23" t="s">
        <v>34</v>
      </c>
      <c r="R242" s="24" t="str">
        <f>VLOOKUP(A242,'[1]Bieu 1a'!$A$8:$AW$855,23,0)</f>
        <v>5/12/2006</v>
      </c>
      <c r="S242" s="25" t="s">
        <v>1206</v>
      </c>
      <c r="T242" s="26" t="s">
        <v>1207</v>
      </c>
      <c r="U242" s="16"/>
      <c r="V242" s="16" t="str">
        <f>IFERROR(VLOOKUP(A242,'[2]19.6.2026'!$A$9:$L$1111,5,0),"")</f>
        <v>000497/LS-CCHN</v>
      </c>
      <c r="W242" s="16" t="str">
        <f>IFERROR(VLOOKUP(A242,'[2]19.6.2026'!$A$9:$L$1111,6,0),"")</f>
        <v>10/08/2012</v>
      </c>
      <c r="X242" s="16"/>
      <c r="Y242" s="21" t="str">
        <f>IFERROR(VLOOKUP(A242,'[2]19.6.2026'!$A$9:$L$1111,7,0),"")</f>
        <v>Khám bệnh, chữa bệnh Ngoại khoa</v>
      </c>
      <c r="Z242" s="16"/>
      <c r="AA242" s="27" t="str">
        <f>IFERROR(VLOOKUP(A242,'[3]DS UPLOAD 2026 (2)'!$A$2:$P$1111,16,0),"")</f>
        <v/>
      </c>
      <c r="AB242" s="27" t="s">
        <v>1208</v>
      </c>
      <c r="AC242" s="28"/>
    </row>
    <row r="243" spans="1:29" ht="18" customHeight="1" x14ac:dyDescent="0.3">
      <c r="A243" s="17" t="s">
        <v>1209</v>
      </c>
      <c r="B243" s="84" t="s">
        <v>1210</v>
      </c>
      <c r="C243" s="17" t="s">
        <v>1209</v>
      </c>
      <c r="D243" s="19"/>
      <c r="E243" s="19" t="s">
        <v>160</v>
      </c>
      <c r="F243" s="16" t="str">
        <f>VLOOKUP(E243,'[1]BẢNG MÃ'!$A$2:$B$69,2,0)</f>
        <v>TĐ003</v>
      </c>
      <c r="G243" s="20" t="s">
        <v>161</v>
      </c>
      <c r="H243" s="20" t="s">
        <v>161</v>
      </c>
      <c r="I243" s="16" t="s">
        <v>1191</v>
      </c>
      <c r="J243" s="16" t="str">
        <f>VLOOKUP(I243,'[1]BẢNG MÃ'!$C$2:$D$69,2,0)</f>
        <v>KP013</v>
      </c>
      <c r="K243" s="16" t="s">
        <v>43</v>
      </c>
      <c r="L243" s="16">
        <v>0</v>
      </c>
      <c r="M243" s="16" t="s">
        <v>33</v>
      </c>
      <c r="N243" s="21">
        <f ca="1">VLOOKUP(A243,'[1]Bieu 1a'!$A$8:$AW$855,10,0)</f>
        <v>33</v>
      </c>
      <c r="O243" s="22" t="str">
        <f>VLOOKUP(A243,'[1]Bieu 1a'!$A$8:$AW$855,8,0)</f>
        <v>08/01/1993</v>
      </c>
      <c r="P243" s="22">
        <f>VLOOKUP(A243,'[1]Bieu 1a'!$A$8:$AW$855,9,0)</f>
        <v>0</v>
      </c>
      <c r="Q243" s="23" t="s">
        <v>34</v>
      </c>
      <c r="R243" s="24" t="str">
        <f>VLOOKUP(A243,'[1]Bieu 1a'!$A$8:$AW$855,23,0)</f>
        <v>20/3/2018</v>
      </c>
      <c r="S243" s="25" t="s">
        <v>1211</v>
      </c>
      <c r="T243" s="26" t="s">
        <v>1212</v>
      </c>
      <c r="U243" s="16"/>
      <c r="V243" s="16" t="str">
        <f>IFERROR(VLOOKUP(A243,'[2]19.6.2026'!$A$9:$L$1111,5,0),"")</f>
        <v>003632/LS-CCHN</v>
      </c>
      <c r="W243" s="16" t="str">
        <f>IFERROR(VLOOKUP(A243,'[2]19.6.2026'!$A$9:$L$1111,6,0),"")</f>
        <v>22/11/2019</v>
      </c>
      <c r="X243" s="16"/>
      <c r="Y243" s="21" t="str">
        <f>IFERROR(VLOOKUP(A243,'[2]19.6.2026'!$A$9:$L$1111,7,0),"")</f>
        <v>Khám bệnh, chữa bệnh Ngoại khoa</v>
      </c>
      <c r="Z243" s="16"/>
      <c r="AA243" s="27" t="str">
        <f>IFERROR(VLOOKUP(A243,'[3]DS UPLOAD 2026 (2)'!$A$2:$P$1111,16,0),"")</f>
        <v/>
      </c>
      <c r="AB243" s="27">
        <v>913716496</v>
      </c>
      <c r="AC243" s="28" t="s">
        <v>374</v>
      </c>
    </row>
    <row r="244" spans="1:29" ht="18" customHeight="1" x14ac:dyDescent="0.3">
      <c r="A244" s="17" t="s">
        <v>1213</v>
      </c>
      <c r="B244" s="38" t="s">
        <v>1214</v>
      </c>
      <c r="C244" s="17" t="s">
        <v>1213</v>
      </c>
      <c r="D244" s="53"/>
      <c r="E244" s="19" t="s">
        <v>173</v>
      </c>
      <c r="F244" s="16" t="str">
        <f>VLOOKUP(E244,'[1]BẢNG MÃ'!$A$2:$B$69,2,0)</f>
        <v>TĐ005</v>
      </c>
      <c r="G244" s="20"/>
      <c r="H244" s="23" t="s">
        <v>161</v>
      </c>
      <c r="I244" s="16" t="s">
        <v>1191</v>
      </c>
      <c r="J244" s="16" t="str">
        <f>VLOOKUP(I244,'[1]BẢNG MÃ'!$C$2:$D$69,2,0)</f>
        <v>KP013</v>
      </c>
      <c r="K244" s="16"/>
      <c r="L244" s="16"/>
      <c r="M244" s="16" t="s">
        <v>33</v>
      </c>
      <c r="N244" s="21">
        <f ca="1">VLOOKUP(A244,'[1]Bieu 1a'!$A$8:$AW$855,10,0)</f>
        <v>31</v>
      </c>
      <c r="O244" s="22" t="str">
        <f>VLOOKUP(A244,'[1]Bieu 1a'!$A$8:$AW$855,8,0)</f>
        <v>09/7/1994</v>
      </c>
      <c r="P244" s="22">
        <f>VLOOKUP(A244,'[1]Bieu 1a'!$A$8:$AW$855,9,0)</f>
        <v>0</v>
      </c>
      <c r="Q244" s="23" t="s">
        <v>50</v>
      </c>
      <c r="R244" s="24" t="str">
        <f>VLOOKUP(A244,'[1]Bieu 1a'!$A$8:$AW$855,23,0)</f>
        <v>01/7/2020</v>
      </c>
      <c r="S244" s="25" t="s">
        <v>1215</v>
      </c>
      <c r="T244" s="26">
        <v>0</v>
      </c>
      <c r="U244" s="16"/>
      <c r="V244" s="16" t="str">
        <f>IFERROR(VLOOKUP(A244,'[2]19.6.2026'!$A$9:$L$1111,5,0),"")</f>
        <v>004497/LS-CCHN</v>
      </c>
      <c r="W244" s="16" t="str">
        <f>IFERROR(VLOOKUP(A244,'[2]19.6.2026'!$A$9:$L$1111,6,0),"")</f>
        <v>06/04/2022</v>
      </c>
      <c r="X244" s="16"/>
      <c r="Y244" s="21" t="str">
        <f>IFERROR(VLOOKUP(A244,'[2]19.6.2026'!$A$9:$L$1111,7,0),"")</f>
        <v>Khám bệnh, chữa bệnh Ngoại khoa</v>
      </c>
      <c r="Z244" s="16"/>
      <c r="AA244" s="27" t="str">
        <f>IFERROR(VLOOKUP(A244,'[3]DS UPLOAD 2026 (2)'!$A$2:$P$1111,16,0),"")</f>
        <v/>
      </c>
      <c r="AB244" s="50" t="s">
        <v>1216</v>
      </c>
      <c r="AC244" s="29" t="s">
        <v>1217</v>
      </c>
    </row>
    <row r="245" spans="1:29" ht="18" customHeight="1" x14ac:dyDescent="0.3">
      <c r="A245" s="17" t="s">
        <v>1218</v>
      </c>
      <c r="B245" s="38" t="s">
        <v>1219</v>
      </c>
      <c r="C245" s="17" t="s">
        <v>1218</v>
      </c>
      <c r="D245" s="53"/>
      <c r="E245" s="19" t="s">
        <v>173</v>
      </c>
      <c r="F245" s="16" t="str">
        <f>VLOOKUP(E245,'[1]BẢNG MÃ'!$A$2:$B$69,2,0)</f>
        <v>TĐ005</v>
      </c>
      <c r="G245" s="20"/>
      <c r="H245" s="23" t="s">
        <v>161</v>
      </c>
      <c r="I245" s="16" t="s">
        <v>1191</v>
      </c>
      <c r="J245" s="16" t="str">
        <f>VLOOKUP(I245,'[1]BẢNG MÃ'!$C$2:$D$69,2,0)</f>
        <v>KP013</v>
      </c>
      <c r="K245" s="16"/>
      <c r="L245" s="16"/>
      <c r="M245" s="16" t="s">
        <v>136</v>
      </c>
      <c r="N245" s="21">
        <f ca="1">VLOOKUP(A245,'[1]Bieu 1a'!$A$8:$AW$855,10,0)</f>
        <v>30</v>
      </c>
      <c r="O245" s="22">
        <f>VLOOKUP(A245,'[1]Bieu 1a'!$A$8:$AW$855,8,0)</f>
        <v>35030</v>
      </c>
      <c r="P245" s="22">
        <f>VLOOKUP(A245,'[1]Bieu 1a'!$A$8:$AW$855,9,0)</f>
        <v>0</v>
      </c>
      <c r="Q245" s="23" t="s">
        <v>34</v>
      </c>
      <c r="R245" s="24">
        <f>VLOOKUP(A245,'[1]Bieu 1a'!$A$8:$AW$855,23,0)</f>
        <v>44105</v>
      </c>
      <c r="S245" s="25" t="s">
        <v>1220</v>
      </c>
      <c r="T245" s="26" t="s">
        <v>1221</v>
      </c>
      <c r="U245" s="16"/>
      <c r="V245" s="16" t="str">
        <f>IFERROR(VLOOKUP(A245,'[2]19.6.2026'!$A$9:$L$1111,5,0),"")</f>
        <v>004570/LS-CCHN</v>
      </c>
      <c r="W245" s="16" t="str">
        <f>IFERROR(VLOOKUP(A245,'[2]19.6.2026'!$A$9:$L$1111,6,0),"")</f>
        <v>26/08/2022</v>
      </c>
      <c r="X245" s="16"/>
      <c r="Y245" s="21" t="str">
        <f>IFERROR(VLOOKUP(A245,'[2]19.6.2026'!$A$9:$L$1111,7,0),"")</f>
        <v>Khám bệnh, chữa bệnh chuyên khoa Ngoại</v>
      </c>
      <c r="Z245" s="16"/>
      <c r="AA245" s="27" t="str">
        <f>IFERROR(VLOOKUP(A245,'[3]DS UPLOAD 2026 (2)'!$A$2:$P$1111,16,0),"")</f>
        <v/>
      </c>
      <c r="AB245" s="50"/>
      <c r="AC245" s="29" t="s">
        <v>1222</v>
      </c>
    </row>
    <row r="246" spans="1:29" ht="18.75" customHeight="1" x14ac:dyDescent="0.3">
      <c r="A246" s="43" t="s">
        <v>1223</v>
      </c>
      <c r="B246" s="18" t="s">
        <v>1224</v>
      </c>
      <c r="C246" s="45" t="s">
        <v>1223</v>
      </c>
      <c r="D246" s="19"/>
      <c r="E246" s="19" t="s">
        <v>173</v>
      </c>
      <c r="F246" s="16" t="str">
        <f>VLOOKUP(E246,'[1]BẢNG MÃ'!$A$2:$B$69,2,0)</f>
        <v>TĐ005</v>
      </c>
      <c r="G246" s="20"/>
      <c r="H246" s="23" t="s">
        <v>161</v>
      </c>
      <c r="I246" s="16" t="s">
        <v>1191</v>
      </c>
      <c r="J246" s="16" t="str">
        <f>VLOOKUP(I246,'[1]BẢNG MÃ'!$C$2:$D$69,2,0)</f>
        <v>KP013</v>
      </c>
      <c r="K246" s="16"/>
      <c r="L246" s="16"/>
      <c r="M246" s="16" t="s">
        <v>33</v>
      </c>
      <c r="N246" s="21">
        <f ca="1">VLOOKUP(A246,'[1]Bieu 1a'!$A$8:$AW$855,10,0)</f>
        <v>27</v>
      </c>
      <c r="O246" s="22" t="str">
        <f>VLOOKUP(A246,'[1]Bieu 1a'!$A$8:$AW$855,8,0)</f>
        <v>16/09/1998</v>
      </c>
      <c r="P246" s="22">
        <f>VLOOKUP(A246,'[1]Bieu 1a'!$A$8:$AW$855,9,0)</f>
        <v>0</v>
      </c>
      <c r="Q246" s="23" t="s">
        <v>44</v>
      </c>
      <c r="R246" s="24">
        <f>VLOOKUP(A246,'[1]Bieu 1a'!$A$8:$AW$855,23,0)</f>
        <v>44844</v>
      </c>
      <c r="S246" s="25" t="s">
        <v>1225</v>
      </c>
      <c r="T246" s="26" t="s">
        <v>1226</v>
      </c>
      <c r="U246" s="85">
        <f>EDATE(R246,18)</f>
        <v>45392</v>
      </c>
      <c r="V246" s="16" t="str">
        <f>IFERROR(VLOOKUP(A246,'[2]19.6.2026'!$A$9:$L$1111,5,0),"")</f>
        <v>000131/LS-GPHN</v>
      </c>
      <c r="W246" s="16" t="str">
        <f>IFERROR(VLOOKUP(A246,'[2]19.6.2026'!$A$9:$L$1111,6,0),"")</f>
        <v>11/9/2024</v>
      </c>
      <c r="X246" s="16"/>
      <c r="Y246" s="21" t="str">
        <f>IFERROR(VLOOKUP(A246,'[2]19.6.2026'!$A$9:$L$1111,7,0),"")</f>
        <v>Chuyên khoa Ngoại khoa</v>
      </c>
      <c r="Z246" s="16"/>
      <c r="AA246" s="27" t="str">
        <f>IFERROR(VLOOKUP(A246,'[3]DS UPLOAD 2026 (2)'!$A$2:$P$1111,16,0),"")</f>
        <v/>
      </c>
      <c r="AB246" s="27" t="s">
        <v>1227</v>
      </c>
      <c r="AC246" s="29" t="s">
        <v>1228</v>
      </c>
    </row>
    <row r="247" spans="1:29" ht="18" customHeight="1" x14ac:dyDescent="0.3">
      <c r="A247" s="46" t="s">
        <v>1229</v>
      </c>
      <c r="B247" s="28" t="s">
        <v>1230</v>
      </c>
      <c r="C247" s="47" t="s">
        <v>1229</v>
      </c>
      <c r="D247" s="23"/>
      <c r="E247" s="23" t="s">
        <v>173</v>
      </c>
      <c r="F247" s="16" t="str">
        <f>VLOOKUP(E247,'[1]BẢNG MÃ'!$A$2:$B$69,2,0)</f>
        <v>TĐ005</v>
      </c>
      <c r="G247" s="48"/>
      <c r="H247" s="23" t="s">
        <v>161</v>
      </c>
      <c r="I247" s="19" t="s">
        <v>1231</v>
      </c>
      <c r="J247" s="16" t="str">
        <f>VLOOKUP(I247,'[1]BẢNG MÃ'!$C$2:$D$69,2,0)</f>
        <v>KP023</v>
      </c>
      <c r="K247" s="23"/>
      <c r="L247" s="23"/>
      <c r="M247" s="16" t="s">
        <v>33</v>
      </c>
      <c r="N247" s="21">
        <f ca="1">VLOOKUP(A247,'[1]Bieu 1a'!$A$8:$AW$855,10,0)</f>
        <v>27</v>
      </c>
      <c r="O247" s="22" t="str">
        <f>VLOOKUP(A247,'[1]Bieu 1a'!$A$8:$AW$855,8,0)</f>
        <v>13/6/1999</v>
      </c>
      <c r="P247" s="22">
        <f>VLOOKUP(A247,'[1]Bieu 1a'!$A$8:$AW$855,9,0)</f>
        <v>0</v>
      </c>
      <c r="Q247" s="23" t="s">
        <v>50</v>
      </c>
      <c r="R247" s="24" t="str">
        <f>VLOOKUP(A247,'[1]Bieu 1a'!$A$8:$AW$855,23,0)</f>
        <v>01/7/2024</v>
      </c>
      <c r="S247" s="25" t="s">
        <v>1232</v>
      </c>
      <c r="T247" s="26">
        <v>0</v>
      </c>
      <c r="U247" s="49">
        <v>45870</v>
      </c>
      <c r="V247" s="16" t="str">
        <f>IFERROR(VLOOKUP(A247,'[2]19.6.2026'!$A$9:$L$1111,5,0),"")</f>
        <v>000361/LS-GPHN</v>
      </c>
      <c r="W247" s="16">
        <f>IFERROR(VLOOKUP(A247,'[2]19.6.2026'!$A$9:$L$1111,6,0),"")</f>
        <v>47743</v>
      </c>
      <c r="X247" s="19"/>
      <c r="Y247" s="21" t="str">
        <f>IFERROR(VLOOKUP(A247,'[2]19.6.2026'!$A$9:$L$1111,7,0),"")</f>
        <v>Y khoa</v>
      </c>
      <c r="Z247" s="16"/>
      <c r="AA247" s="27" t="str">
        <f>IFERROR(VLOOKUP(A247,'[3]DS UPLOAD 2026 (2)'!$A$2:$P$1111,16,0),"")</f>
        <v/>
      </c>
      <c r="AB247" s="50" t="s">
        <v>1233</v>
      </c>
      <c r="AC247" s="29" t="s">
        <v>343</v>
      </c>
    </row>
    <row r="248" spans="1:29" ht="18" customHeight="1" x14ac:dyDescent="0.3">
      <c r="A248" s="17" t="s">
        <v>1234</v>
      </c>
      <c r="B248" s="38" t="s">
        <v>1235</v>
      </c>
      <c r="C248" s="17" t="s">
        <v>1234</v>
      </c>
      <c r="D248" s="39"/>
      <c r="E248" s="86" t="s">
        <v>41</v>
      </c>
      <c r="F248" s="16" t="str">
        <f>VLOOKUP(E248,'[1]BẢNG MÃ'!$A$2:$B$69,2,0)</f>
        <v>TĐ011</v>
      </c>
      <c r="G248" s="38"/>
      <c r="H248" s="20" t="s">
        <v>42</v>
      </c>
      <c r="I248" s="16" t="s">
        <v>1191</v>
      </c>
      <c r="J248" s="16" t="str">
        <f>VLOOKUP(I248,'[1]BẢNG MÃ'!$C$2:$D$69,2,0)</f>
        <v>KP013</v>
      </c>
      <c r="K248" s="16"/>
      <c r="L248" s="16"/>
      <c r="M248" s="23" t="s">
        <v>33</v>
      </c>
      <c r="N248" s="21">
        <f ca="1">VLOOKUP(A248,'[1]Bieu 1a'!$A$8:$AW$855,10,0)</f>
        <v>31</v>
      </c>
      <c r="O248" s="22" t="str">
        <f>VLOOKUP(A248,'[1]Bieu 1a'!$A$8:$AW$855,8,0)</f>
        <v>30/03/1995</v>
      </c>
      <c r="P248" s="22">
        <f>VLOOKUP(A248,'[1]Bieu 1a'!$A$8:$AW$855,9,0)</f>
        <v>0</v>
      </c>
      <c r="Q248" s="23" t="s">
        <v>50</v>
      </c>
      <c r="R248" s="24" t="str">
        <f>VLOOKUP(A248,'[1]Bieu 1a'!$A$8:$AW$855,23,0)</f>
        <v>17/4/2019</v>
      </c>
      <c r="S248" s="25" t="s">
        <v>1236</v>
      </c>
      <c r="T248" s="26" t="s">
        <v>1237</v>
      </c>
      <c r="U248" s="16"/>
      <c r="V248" s="16" t="str">
        <f>IFERROR(VLOOKUP(A248,'[2]19.6.2026'!$A$9:$L$1111,5,0),"")</f>
        <v>003738/LS-CCHN</v>
      </c>
      <c r="W248" s="16" t="str">
        <f>IFERROR(VLOOKUP(A248,'[2]19.6.2026'!$A$9:$L$1111,6,0),"")</f>
        <v>26/06/2020</v>
      </c>
      <c r="X248" s="16"/>
      <c r="Y248" s="21" t="str">
        <f>IFERROR(VLOOKUP(A248,'[2]19.6.2026'!$A$9:$L$1111,7,0),"")</f>
        <v>Thực hiện phạm vi hoạt động chuyên môn theo quy định tại Thông tư số 26/2015/TTLT-BYT-BNV ngày 07/10/2015 quy định mã số, tiêu chuẩn chức danh nghề nghiệp điều dưỡng, hộ sinh, kỹ thuật y</v>
      </c>
      <c r="Z248" s="16"/>
      <c r="AA248" s="27" t="str">
        <f>IFERROR(VLOOKUP(A248,'[3]DS UPLOAD 2026 (2)'!$A$2:$P$1111,16,0),"")</f>
        <v/>
      </c>
      <c r="AB248" s="27" t="s">
        <v>1238</v>
      </c>
      <c r="AC248" s="29" t="s">
        <v>222</v>
      </c>
    </row>
    <row r="249" spans="1:29" ht="18" customHeight="1" x14ac:dyDescent="0.3">
      <c r="A249" s="17" t="s">
        <v>1239</v>
      </c>
      <c r="B249" s="18" t="s">
        <v>1240</v>
      </c>
      <c r="C249" s="17" t="s">
        <v>1239</v>
      </c>
      <c r="D249" s="19"/>
      <c r="E249" s="19" t="s">
        <v>41</v>
      </c>
      <c r="F249" s="16" t="str">
        <f>VLOOKUP(E249,'[1]BẢNG MÃ'!$A$2:$B$69,2,0)</f>
        <v>TĐ011</v>
      </c>
      <c r="G249" s="20" t="s">
        <v>42</v>
      </c>
      <c r="H249" s="20" t="s">
        <v>42</v>
      </c>
      <c r="I249" s="16" t="s">
        <v>1191</v>
      </c>
      <c r="J249" s="16" t="str">
        <f>VLOOKUP(I249,'[1]BẢNG MÃ'!$C$2:$D$69,2,0)</f>
        <v>KP013</v>
      </c>
      <c r="K249" s="16" t="s">
        <v>43</v>
      </c>
      <c r="L249" s="16">
        <v>0</v>
      </c>
      <c r="M249" s="16" t="s">
        <v>33</v>
      </c>
      <c r="N249" s="21">
        <f ca="1">VLOOKUP(A249,'[1]Bieu 1a'!$A$8:$AW$855,10,0)</f>
        <v>42</v>
      </c>
      <c r="O249" s="22">
        <f>VLOOKUP(A249,'[1]Bieu 1a'!$A$8:$AW$855,8,0)</f>
        <v>30664</v>
      </c>
      <c r="P249" s="22">
        <f>VLOOKUP(A249,'[1]Bieu 1a'!$A$8:$AW$855,9,0)</f>
        <v>0</v>
      </c>
      <c r="Q249" s="23" t="s">
        <v>50</v>
      </c>
      <c r="R249" s="24" t="str">
        <f>VLOOKUP(A249,'[1]Bieu 1a'!$A$8:$AW$855,23,0)</f>
        <v>6/11/2006</v>
      </c>
      <c r="S249" s="25" t="s">
        <v>1241</v>
      </c>
      <c r="T249" s="26" t="s">
        <v>1242</v>
      </c>
      <c r="U249" s="16"/>
      <c r="V249" s="16" t="str">
        <f>IFERROR(VLOOKUP(A249,'[2]19.6.2026'!$A$9:$L$1111,5,0),"")</f>
        <v>000913/LS-CCHN</v>
      </c>
      <c r="W249" s="16" t="str">
        <f>IFERROR(VLOOKUP(A249,'[2]19.6.2026'!$A$9:$L$1111,6,0),"")</f>
        <v>24/06/2013</v>
      </c>
      <c r="X249" s="16"/>
      <c r="Y249" s="21" t="str">
        <f>IFERROR(VLOOKUP(A249,'[2]19.6.2026'!$A$9:$L$1111,7,0),"")</f>
        <v>Theo quy định tại Quyết định số 41/2005/QĐ-BNV ngày 22/4/2005 của Bộ trưởng Bộ Nội vụ về việc ban hành tiêu chuẩn nghiệp vụ các ngạch viên chức y tế điều dưỡng</v>
      </c>
      <c r="Z249" s="16"/>
      <c r="AA249" s="27" t="str">
        <f>IFERROR(VLOOKUP(A249,'[3]DS UPLOAD 2026 (2)'!$A$2:$P$1111,16,0),"")</f>
        <v/>
      </c>
      <c r="AB249" s="27">
        <v>978818363</v>
      </c>
      <c r="AC249" s="28"/>
    </row>
    <row r="250" spans="1:29" ht="18" customHeight="1" x14ac:dyDescent="0.3">
      <c r="A250" s="17" t="s">
        <v>1243</v>
      </c>
      <c r="B250" s="29" t="s">
        <v>1244</v>
      </c>
      <c r="C250" s="17" t="s">
        <v>1243</v>
      </c>
      <c r="D250" s="19" t="s">
        <v>38</v>
      </c>
      <c r="E250" s="19" t="s">
        <v>41</v>
      </c>
      <c r="F250" s="16" t="str">
        <f>VLOOKUP(E250,'[1]BẢNG MÃ'!$A$2:$B$69,2,0)</f>
        <v>TĐ011</v>
      </c>
      <c r="G250" s="20" t="s">
        <v>42</v>
      </c>
      <c r="H250" s="20" t="s">
        <v>42</v>
      </c>
      <c r="I250" s="16" t="s">
        <v>1191</v>
      </c>
      <c r="J250" s="16" t="str">
        <f>VLOOKUP(I250,'[1]BẢNG MÃ'!$C$2:$D$69,2,0)</f>
        <v>KP013</v>
      </c>
      <c r="K250" s="16" t="s">
        <v>31</v>
      </c>
      <c r="L250" s="16" t="s">
        <v>201</v>
      </c>
      <c r="M250" s="16" t="s">
        <v>33</v>
      </c>
      <c r="N250" s="21">
        <f ca="1">VLOOKUP(A250,'[1]Bieu 1a'!$A$8:$AW$855,10,0)</f>
        <v>39</v>
      </c>
      <c r="O250" s="22">
        <f>VLOOKUP(A250,'[1]Bieu 1a'!$A$8:$AW$855,8,0)</f>
        <v>0</v>
      </c>
      <c r="P250" s="22">
        <f>VLOOKUP(A250,'[1]Bieu 1a'!$A$8:$AW$855,9,0)</f>
        <v>31898</v>
      </c>
      <c r="Q250" s="23" t="s">
        <v>50</v>
      </c>
      <c r="R250" s="24" t="str">
        <f>VLOOKUP(A250,'[1]Bieu 1a'!$A$8:$AW$855,23,0)</f>
        <v>1/1/2009</v>
      </c>
      <c r="S250" s="25" t="s">
        <v>1245</v>
      </c>
      <c r="T250" s="26">
        <v>0</v>
      </c>
      <c r="U250" s="16"/>
      <c r="V250" s="16" t="str">
        <f>IFERROR(VLOOKUP(A250,'[2]19.6.2026'!$A$9:$L$1111,5,0),"")</f>
        <v>000782/LS-CCHN</v>
      </c>
      <c r="W250" s="16">
        <f>IFERROR(VLOOKUP(A250,'[2]19.6.2026'!$A$9:$L$1111,6,0),"")</f>
        <v>41449</v>
      </c>
      <c r="X250" s="16"/>
      <c r="Y250" s="21" t="str">
        <f>IFERROR(VLOOKUP(A250,'[2]19.6.2026'!$A$9:$L$1111,7,0),"")</f>
        <v>Theo quy định tại Quyết định số 41/2005/QĐ-BNV ngày 22/4/2005 của Bộ trưởng Bộ Nội vụ về việc ban hành tiêu chuẩn nghiệp vụ các ngạch viên chức y tế điều dưỡng</v>
      </c>
      <c r="Z250" s="16"/>
      <c r="AA250" s="27" t="str">
        <f>IFERROR(VLOOKUP(A250,'[3]DS UPLOAD 2026 (2)'!$A$2:$P$1111,16,0),"")</f>
        <v/>
      </c>
      <c r="AB250" s="27" t="s">
        <v>1246</v>
      </c>
      <c r="AC250" s="28"/>
    </row>
    <row r="251" spans="1:29" ht="18" customHeight="1" x14ac:dyDescent="0.3">
      <c r="A251" s="17" t="s">
        <v>1247</v>
      </c>
      <c r="B251" s="29" t="s">
        <v>1248</v>
      </c>
      <c r="C251" s="17" t="s">
        <v>1247</v>
      </c>
      <c r="D251" s="19" t="s">
        <v>38</v>
      </c>
      <c r="E251" s="19" t="s">
        <v>41</v>
      </c>
      <c r="F251" s="16" t="str">
        <f>VLOOKUP(E251,'[1]BẢNG MÃ'!$A$2:$B$69,2,0)</f>
        <v>TĐ011</v>
      </c>
      <c r="G251" s="65"/>
      <c r="H251" s="20" t="s">
        <v>42</v>
      </c>
      <c r="I251" s="19" t="s">
        <v>1191</v>
      </c>
      <c r="J251" s="16" t="str">
        <f>VLOOKUP(I251,'[1]BẢNG MÃ'!$C$2:$D$69,2,0)</f>
        <v>KP013</v>
      </c>
      <c r="K251" s="19"/>
      <c r="L251" s="19"/>
      <c r="M251" s="16" t="s">
        <v>136</v>
      </c>
      <c r="N251" s="21">
        <f ca="1">VLOOKUP(A251,'[1]Bieu 1a'!$A$8:$AW$855,10,0)</f>
        <v>27</v>
      </c>
      <c r="O251" s="22">
        <f>VLOOKUP(A251,'[1]Bieu 1a'!$A$8:$AW$855,8,0)</f>
        <v>0</v>
      </c>
      <c r="P251" s="22" t="str">
        <f>VLOOKUP(A251,'[1]Bieu 1a'!$A$8:$AW$855,9,0)</f>
        <v>21/5/1999</v>
      </c>
      <c r="Q251" s="23" t="s">
        <v>50</v>
      </c>
      <c r="R251" s="24">
        <f>VLOOKUP(A251,'[1]Bieu 1a'!$A$8:$AW$855,23,0)</f>
        <v>45698</v>
      </c>
      <c r="S251" s="25" t="s">
        <v>1249</v>
      </c>
      <c r="T251" s="26" t="s">
        <v>1242</v>
      </c>
      <c r="U251" s="19"/>
      <c r="V251" s="16" t="str">
        <f>IFERROR(VLOOKUP(A251,'[2]19.6.2026'!$A$9:$L$1111,5,0),"")</f>
        <v>000023/LS-GPHN</v>
      </c>
      <c r="W251" s="16">
        <f>IFERROR(VLOOKUP(A251,'[2]19.6.2026'!$A$9:$L$1111,6,0),"")</f>
        <v>45450</v>
      </c>
      <c r="X251" s="19"/>
      <c r="Y251" s="21" t="str">
        <f>IFERROR(VLOOKUP(A251,'[2]19.6.2026'!$A$9:$L$1111,7,0),"")</f>
        <v>Điều dưỡng</v>
      </c>
      <c r="Z251" s="16"/>
      <c r="AA251" s="27" t="str">
        <f>IFERROR(VLOOKUP(A251,'[3]DS UPLOAD 2026 (2)'!$A$2:$P$1111,16,0),"")</f>
        <v/>
      </c>
      <c r="AB251" s="19"/>
      <c r="AC251" s="76" t="s">
        <v>1250</v>
      </c>
    </row>
    <row r="252" spans="1:29" ht="18" customHeight="1" x14ac:dyDescent="0.3">
      <c r="A252" s="17" t="s">
        <v>1251</v>
      </c>
      <c r="B252" s="38" t="s">
        <v>1252</v>
      </c>
      <c r="C252" s="17" t="s">
        <v>1251</v>
      </c>
      <c r="D252" s="39"/>
      <c r="E252" s="19" t="s">
        <v>61</v>
      </c>
      <c r="F252" s="16" t="str">
        <f>VLOOKUP(E252,'[1]BẢNG MÃ'!$A$2:$B$69,2,0)</f>
        <v>TĐ012</v>
      </c>
      <c r="G252" s="38"/>
      <c r="H252" s="20" t="s">
        <v>62</v>
      </c>
      <c r="I252" s="16" t="s">
        <v>1191</v>
      </c>
      <c r="J252" s="16" t="str">
        <f>VLOOKUP(I252,'[1]BẢNG MÃ'!$C$2:$D$69,2,0)</f>
        <v>KP013</v>
      </c>
      <c r="K252" s="16"/>
      <c r="L252" s="16"/>
      <c r="M252" s="23" t="s">
        <v>33</v>
      </c>
      <c r="N252" s="21">
        <f ca="1">VLOOKUP(A252,'[1]Bieu 1a'!$A$8:$AW$855,10,0)</f>
        <v>35</v>
      </c>
      <c r="O252" s="22" t="str">
        <f>VLOOKUP(A252,'[1]Bieu 1a'!$A$8:$AW$855,8,0)</f>
        <v>31/07/1990</v>
      </c>
      <c r="P252" s="22">
        <f>VLOOKUP(A252,'[1]Bieu 1a'!$A$8:$AW$855,9,0)</f>
        <v>0</v>
      </c>
      <c r="Q252" s="23" t="s">
        <v>50</v>
      </c>
      <c r="R252" s="24" t="str">
        <f>VLOOKUP(A252,'[1]Bieu 1a'!$A$8:$AW$855,23,0)</f>
        <v>17/4/2019</v>
      </c>
      <c r="S252" s="25" t="s">
        <v>1253</v>
      </c>
      <c r="T252" s="26" t="s">
        <v>1242</v>
      </c>
      <c r="U252" s="16"/>
      <c r="V252" s="16" t="str">
        <f>IFERROR(VLOOKUP(A252,'[2]19.6.2026'!$A$9:$L$1111,5,0),"")</f>
        <v>008681/LS-CCHN</v>
      </c>
      <c r="W252" s="16" t="str">
        <f>IFERROR(VLOOKUP(A252,'[2]19.6.2026'!$A$9:$L$1111,6,0),"")</f>
        <v>21/08/2023</v>
      </c>
      <c r="X252" s="16"/>
      <c r="Y252" s="21" t="str">
        <f>IFERROR(VLOOKUP(A252,'[2]19.6.2026'!$A$9:$L$1111,7,0),"")</f>
        <v>Thực hiện phạm vi hoạt động chuyên môn theo Thông tư số 26/2015/TTLT-BYT-BNV ngày 07/10/2015 quy định  mã số, tiêu chuẩn chức danh nghề nghiệp, điều dưỡng, hộ sinh, kỹ thuật y</v>
      </c>
      <c r="Z252" s="16"/>
      <c r="AA252" s="27" t="str">
        <f>IFERROR(VLOOKUP(A252,'[3]DS UPLOAD 2026 (2)'!$A$2:$P$1111,16,0),"")</f>
        <v/>
      </c>
      <c r="AB252" s="27">
        <v>374356402</v>
      </c>
      <c r="AC252" s="29" t="s">
        <v>222</v>
      </c>
    </row>
    <row r="253" spans="1:29" ht="18" customHeight="1" x14ac:dyDescent="0.3">
      <c r="A253" s="17" t="s">
        <v>1254</v>
      </c>
      <c r="B253" s="36" t="s">
        <v>1255</v>
      </c>
      <c r="C253" s="17" t="s">
        <v>1254</v>
      </c>
      <c r="D253" s="19" t="s">
        <v>38</v>
      </c>
      <c r="E253" s="19" t="s">
        <v>61</v>
      </c>
      <c r="F253" s="16" t="str">
        <f>VLOOKUP(E253,'[1]BẢNG MÃ'!$A$2:$B$69,2,0)</f>
        <v>TĐ012</v>
      </c>
      <c r="G253" s="20"/>
      <c r="H253" s="20" t="s">
        <v>62</v>
      </c>
      <c r="I253" s="16" t="s">
        <v>1256</v>
      </c>
      <c r="J253" s="16" t="str">
        <f>VLOOKUP(I253,'[1]BẢNG MÃ'!$C$2:$D$69,2,0)</f>
        <v>KP015</v>
      </c>
      <c r="K253" s="37"/>
      <c r="L253" s="16"/>
      <c r="M253" s="23" t="s">
        <v>33</v>
      </c>
      <c r="N253" s="21">
        <f ca="1">VLOOKUP(A253,'[1]Bieu 1a'!$A$8:$AW$855,10,0)</f>
        <v>35</v>
      </c>
      <c r="O253" s="22">
        <f>VLOOKUP(A253,'[1]Bieu 1a'!$A$8:$AW$855,8,0)</f>
        <v>0</v>
      </c>
      <c r="P253" s="22">
        <f>VLOOKUP(A253,'[1]Bieu 1a'!$A$8:$AW$855,9,0)</f>
        <v>33315</v>
      </c>
      <c r="Q253" s="23" t="s">
        <v>44</v>
      </c>
      <c r="R253" s="24" t="str">
        <f>VLOOKUP(A253,'[1]Bieu 1a'!$A$8:$AW$855,23,0)</f>
        <v>01/11/2018</v>
      </c>
      <c r="S253" s="25" t="s">
        <v>1257</v>
      </c>
      <c r="T253" s="26">
        <v>0</v>
      </c>
      <c r="U253" s="16"/>
      <c r="V253" s="16" t="str">
        <f>IFERROR(VLOOKUP(A253,'[2]19.6.2026'!$A$9:$L$1111,5,0),"")</f>
        <v>003800/LS-CCHN</v>
      </c>
      <c r="W253" s="16" t="str">
        <f>IFERROR(VLOOKUP(A253,'[2]19.6.2026'!$A$9:$L$1111,6,0),"")</f>
        <v>21/07/2020</v>
      </c>
      <c r="X253" s="16"/>
      <c r="Y253" s="21" t="str">
        <f>IFERROR(VLOOKUP(A253,'[2]19.6.2026'!$A$9:$L$1111,7,0),"")</f>
        <v>Thực hiện phạm vi hoạt động chuyên môn theo quy định tại Thông tư số 26/2015/TTLT-BYT-BNV ngày 07/10/2015 quy định mã số, tiêu chuẩn chức danh nghề nghiệp điều dưỡng, hộ sinh, kỹ thuật y</v>
      </c>
      <c r="Z253" s="16"/>
      <c r="AA253" s="27" t="str">
        <f>IFERROR(VLOOKUP(A253,'[3]DS UPLOAD 2026 (2)'!$A$2:$P$1111,16,0),"")</f>
        <v/>
      </c>
      <c r="AB253" s="27" t="s">
        <v>1258</v>
      </c>
      <c r="AC253" s="29" t="s">
        <v>85</v>
      </c>
    </row>
    <row r="254" spans="1:29" ht="18" customHeight="1" x14ac:dyDescent="0.3">
      <c r="A254" s="29" t="s">
        <v>1259</v>
      </c>
      <c r="B254" s="18" t="s">
        <v>1260</v>
      </c>
      <c r="C254" s="29" t="s">
        <v>1259</v>
      </c>
      <c r="D254" s="19" t="s">
        <v>38</v>
      </c>
      <c r="E254" s="19" t="s">
        <v>61</v>
      </c>
      <c r="F254" s="16" t="str">
        <f>VLOOKUP(E254,'[1]BẢNG MÃ'!$A$2:$B$69,2,0)</f>
        <v>TĐ012</v>
      </c>
      <c r="G254" s="20"/>
      <c r="H254" s="20" t="s">
        <v>62</v>
      </c>
      <c r="I254" s="16" t="s">
        <v>1191</v>
      </c>
      <c r="J254" s="16" t="str">
        <f>VLOOKUP(I254,'[1]BẢNG MÃ'!$C$2:$D$69,2,0)</f>
        <v>KP013</v>
      </c>
      <c r="K254" s="16"/>
      <c r="L254" s="16"/>
      <c r="M254" s="16" t="s">
        <v>33</v>
      </c>
      <c r="N254" s="21">
        <f ca="1">VLOOKUP(A254,'[1]Bieu 1a'!$A$8:$AW$855,10,0)</f>
        <v>27</v>
      </c>
      <c r="O254" s="22">
        <f>VLOOKUP(A254,'[1]Bieu 1a'!$A$8:$AW$855,8,0)</f>
        <v>0</v>
      </c>
      <c r="P254" s="22" t="str">
        <f>VLOOKUP(A254,'[1]Bieu 1a'!$A$8:$AW$855,9,0)</f>
        <v>16/9/1998</v>
      </c>
      <c r="Q254" s="23" t="s">
        <v>50</v>
      </c>
      <c r="R254" s="24" t="str">
        <f>VLOOKUP(A254,'[1]Bieu 1a'!$A$8:$AW$855,23,0)</f>
        <v>02/12/2019</v>
      </c>
      <c r="S254" s="25" t="s">
        <v>1261</v>
      </c>
      <c r="T254" s="26">
        <v>0</v>
      </c>
      <c r="U254" s="78">
        <f>EDATE(R254,9)</f>
        <v>44076</v>
      </c>
      <c r="V254" s="16" t="str">
        <f>IFERROR(VLOOKUP(A254,'[2]19.6.2026'!$A$9:$L$1111,5,0),"")</f>
        <v/>
      </c>
      <c r="W254" s="16" t="str">
        <f>IFERROR(VLOOKUP(A254,'[2]19.6.2026'!$A$9:$L$1111,6,0),"")</f>
        <v/>
      </c>
      <c r="X254" s="16"/>
      <c r="Y254" s="21" t="str">
        <f>IFERROR(VLOOKUP(A254,'[2]19.6.2026'!$A$9:$L$1111,7,0),"")</f>
        <v/>
      </c>
      <c r="Z254" s="16"/>
      <c r="AA254" s="27" t="str">
        <f>IFERROR(VLOOKUP(A254,'[3]DS UPLOAD 2026 (2)'!$A$2:$P$1111,16,0),"")</f>
        <v/>
      </c>
      <c r="AB254" s="27"/>
      <c r="AC254" s="29" t="s">
        <v>591</v>
      </c>
    </row>
    <row r="255" spans="1:29" ht="18" customHeight="1" x14ac:dyDescent="0.3">
      <c r="A255" s="29" t="s">
        <v>1262</v>
      </c>
      <c r="B255" s="29" t="s">
        <v>1263</v>
      </c>
      <c r="C255" s="29" t="s">
        <v>1262</v>
      </c>
      <c r="D255" s="53"/>
      <c r="E255" s="19" t="s">
        <v>61</v>
      </c>
      <c r="F255" s="16" t="str">
        <f>VLOOKUP(E255,'[1]BẢNG MÃ'!$A$2:$B$69,2,0)</f>
        <v>TĐ012</v>
      </c>
      <c r="G255" s="20"/>
      <c r="H255" s="20" t="s">
        <v>62</v>
      </c>
      <c r="I255" s="16" t="s">
        <v>1191</v>
      </c>
      <c r="J255" s="16" t="str">
        <f>VLOOKUP(I255,'[1]BẢNG MÃ'!$C$2:$D$69,2,0)</f>
        <v>KP013</v>
      </c>
      <c r="K255" s="16"/>
      <c r="L255" s="16"/>
      <c r="M255" s="16" t="s">
        <v>136</v>
      </c>
      <c r="N255" s="21">
        <f ca="1">VLOOKUP(A255,'[1]Bieu 1a'!$A$8:$AW$855,10,0)</f>
        <v>30</v>
      </c>
      <c r="O255" s="22" t="str">
        <f>VLOOKUP(A255,'[1]Bieu 1a'!$A$8:$AW$855,8,0)</f>
        <v>03/02/1996</v>
      </c>
      <c r="P255" s="22">
        <f>VLOOKUP(A255,'[1]Bieu 1a'!$A$8:$AW$855,9,0)</f>
        <v>0</v>
      </c>
      <c r="Q255" s="23" t="s">
        <v>44</v>
      </c>
      <c r="R255" s="24" t="str">
        <f>VLOOKUP(A255,'[1]Bieu 1a'!$A$8:$AW$855,23,0)</f>
        <v>02/12/2019</v>
      </c>
      <c r="S255" s="25" t="s">
        <v>1264</v>
      </c>
      <c r="T255" s="26" t="s">
        <v>1265</v>
      </c>
      <c r="U255" s="16"/>
      <c r="V255" s="16" t="str">
        <f>IFERROR(VLOOKUP(A255,'[2]19.6.2026'!$A$9:$L$1111,5,0),"")</f>
        <v>005536/LS-CCHN</v>
      </c>
      <c r="W255" s="16" t="str">
        <f>IFERROR(VLOOKUP(A255,'[2]19.6.2026'!$A$9:$L$1111,6,0),"")</f>
        <v>11/01/2023</v>
      </c>
      <c r="X255" s="16"/>
      <c r="Y255" s="21" t="str">
        <f>IFERROR(VLOOKUP(A255,'[2]19.6.2026'!$A$9:$L$1111,7,0),"")</f>
        <v>Thực hiện phạm vi hoạt động chuyên môn theo Thông tư số 26/2015/TTLT-BYT-BNV ngày 07/10/2015 quy định  mã số, tiêu chuẩn chức danh nghề nghiệp, điều dưỡng, hộ sinh, kỹ thuật y</v>
      </c>
      <c r="Z255" s="16"/>
      <c r="AA255" s="27" t="str">
        <f>IFERROR(VLOOKUP(A255,'[3]DS UPLOAD 2026 (2)'!$A$2:$P$1111,16,0),"")</f>
        <v/>
      </c>
      <c r="AB255" s="27"/>
      <c r="AC255" s="28" t="s">
        <v>671</v>
      </c>
    </row>
    <row r="256" spans="1:29" ht="18" customHeight="1" x14ac:dyDescent="0.3">
      <c r="A256" s="17" t="s">
        <v>1266</v>
      </c>
      <c r="B256" s="36" t="s">
        <v>1267</v>
      </c>
      <c r="C256" s="17" t="s">
        <v>1266</v>
      </c>
      <c r="D256" s="53"/>
      <c r="E256" s="19" t="s">
        <v>61</v>
      </c>
      <c r="F256" s="16" t="str">
        <f>VLOOKUP(E256,'[1]BẢNG MÃ'!$A$2:$B$69,2,0)</f>
        <v>TĐ012</v>
      </c>
      <c r="G256" s="20"/>
      <c r="H256" s="20" t="s">
        <v>62</v>
      </c>
      <c r="I256" s="16" t="s">
        <v>1191</v>
      </c>
      <c r="J256" s="16" t="str">
        <f>VLOOKUP(I256,'[1]BẢNG MÃ'!$C$2:$D$69,2,0)</f>
        <v>KP013</v>
      </c>
      <c r="K256" s="16"/>
      <c r="L256" s="16"/>
      <c r="M256" s="16" t="s">
        <v>33</v>
      </c>
      <c r="N256" s="21">
        <f ca="1">VLOOKUP(A256,'[1]Bieu 1a'!$A$8:$AW$855,10,0)</f>
        <v>33</v>
      </c>
      <c r="O256" s="22" t="str">
        <f>VLOOKUP(A256,'[1]Bieu 1a'!$A$8:$AW$855,8,0)</f>
        <v>29/3/1993</v>
      </c>
      <c r="P256" s="22">
        <f>VLOOKUP(A256,'[1]Bieu 1a'!$A$8:$AW$855,9,0)</f>
        <v>0</v>
      </c>
      <c r="Q256" s="23" t="s">
        <v>50</v>
      </c>
      <c r="R256" s="24" t="str">
        <f>VLOOKUP(A256,'[1]Bieu 1a'!$A$8:$AW$855,23,0)</f>
        <v>13/7/2020</v>
      </c>
      <c r="S256" s="25" t="s">
        <v>1268</v>
      </c>
      <c r="T256" s="26" t="s">
        <v>1269</v>
      </c>
      <c r="U256" s="16"/>
      <c r="V256" s="16" t="str">
        <f>IFERROR(VLOOKUP(A256,'[2]19.6.2026'!$A$9:$L$1111,5,0),"")</f>
        <v>005537/LS-CCHN</v>
      </c>
      <c r="W256" s="16" t="str">
        <f>IFERROR(VLOOKUP(A256,'[2]19.6.2026'!$A$9:$L$1111,6,0),"")</f>
        <v>11/01/2023</v>
      </c>
      <c r="X256" s="16"/>
      <c r="Y256" s="21" t="str">
        <f>IFERROR(VLOOKUP(A256,'[2]19.6.2026'!$A$9:$L$1111,7,0),"")</f>
        <v>Thực hiện phạm vi hoạt động chuyên môn theo Thông tư số 26/2015/TTLT-BYT-BNV ngày 07/10/2015 quy định  mã số, tiêu chuẩn chức danh nghề nghiệp, điều dưỡng, hộ sinh, kỹ thuật y</v>
      </c>
      <c r="Z256" s="16"/>
      <c r="AA256" s="27" t="str">
        <f>IFERROR(VLOOKUP(A256,'[3]DS UPLOAD 2026 (2)'!$A$2:$P$1111,16,0),"")</f>
        <v/>
      </c>
      <c r="AB256" s="50" t="s">
        <v>1270</v>
      </c>
      <c r="AC256" s="29" t="s">
        <v>244</v>
      </c>
    </row>
    <row r="257" spans="1:29" ht="18" customHeight="1" x14ac:dyDescent="0.3">
      <c r="A257" s="17" t="s">
        <v>1271</v>
      </c>
      <c r="B257" s="29" t="s">
        <v>1272</v>
      </c>
      <c r="C257" s="17" t="s">
        <v>1271</v>
      </c>
      <c r="D257" s="53" t="s">
        <v>38</v>
      </c>
      <c r="E257" s="19" t="s">
        <v>61</v>
      </c>
      <c r="F257" s="16" t="str">
        <f>VLOOKUP(E257,'[1]BẢNG MÃ'!$A$2:$B$69,2,0)</f>
        <v>TĐ012</v>
      </c>
      <c r="G257" s="20"/>
      <c r="H257" s="20" t="s">
        <v>62</v>
      </c>
      <c r="I257" s="16" t="s">
        <v>1191</v>
      </c>
      <c r="J257" s="16" t="str">
        <f>VLOOKUP(I257,'[1]BẢNG MÃ'!$C$2:$D$69,2,0)</f>
        <v>KP013</v>
      </c>
      <c r="K257" s="16"/>
      <c r="L257" s="16"/>
      <c r="M257" s="16" t="s">
        <v>33</v>
      </c>
      <c r="N257" s="21">
        <f ca="1">VLOOKUP(A257,'[1]Bieu 1a'!$A$8:$AW$855,10,0)</f>
        <v>28</v>
      </c>
      <c r="O257" s="22">
        <f>VLOOKUP(A257,'[1]Bieu 1a'!$A$8:$AW$855,8,0)</f>
        <v>0</v>
      </c>
      <c r="P257" s="22" t="str">
        <f>VLOOKUP(A257,'[1]Bieu 1a'!$A$8:$AW$855,9,0)</f>
        <v>11/01/1998</v>
      </c>
      <c r="Q257" s="23" t="s">
        <v>50</v>
      </c>
      <c r="R257" s="24" t="str">
        <f>VLOOKUP(A257,'[1]Bieu 1a'!$A$8:$AW$855,23,0)</f>
        <v>13/7/2020</v>
      </c>
      <c r="S257" s="25" t="s">
        <v>1273</v>
      </c>
      <c r="T257" s="26">
        <v>0</v>
      </c>
      <c r="U257" s="16"/>
      <c r="V257" s="16" t="str">
        <f>IFERROR(VLOOKUP(A257,'[2]19.6.2026'!$A$9:$L$1111,5,0),"")</f>
        <v>004528/LS-CCHN</v>
      </c>
      <c r="W257" s="16" t="str">
        <f>IFERROR(VLOOKUP(A257,'[2]19.6.2026'!$A$9:$L$1111,6,0),"")</f>
        <v>12/05/2022</v>
      </c>
      <c r="X257" s="16"/>
      <c r="Y257" s="21" t="str">
        <f>IFERROR(VLOOKUP(A257,'[2]19.6.2026'!$A$9:$L$1111,7,0),"")</f>
        <v>Thực hiện phạm vi hoạt động chuyên môn theo quy định tại Thông tư số 26/2015/TTLT-BYT-BNV ngày 07/10/2015 quy định mã số, tiêu chuẩn chức danh nghề nghiệp điều dưỡng, hộ sinh, kỹ thuật y</v>
      </c>
      <c r="Z257" s="16"/>
      <c r="AA257" s="27" t="str">
        <f>IFERROR(VLOOKUP(A257,'[3]DS UPLOAD 2026 (2)'!$A$2:$P$1111,16,0),"")</f>
        <v/>
      </c>
      <c r="AB257" s="50" t="s">
        <v>1274</v>
      </c>
      <c r="AC257" s="29" t="s">
        <v>244</v>
      </c>
    </row>
    <row r="258" spans="1:29" ht="18" customHeight="1" x14ac:dyDescent="0.3">
      <c r="A258" s="17" t="s">
        <v>1275</v>
      </c>
      <c r="B258" s="36" t="s">
        <v>1276</v>
      </c>
      <c r="C258" s="17" t="s">
        <v>1275</v>
      </c>
      <c r="D258" s="19" t="s">
        <v>38</v>
      </c>
      <c r="E258" s="19" t="s">
        <v>61</v>
      </c>
      <c r="F258" s="16" t="str">
        <f>VLOOKUP(E258,'[1]BẢNG MÃ'!$A$2:$B$69,2,0)</f>
        <v>TĐ012</v>
      </c>
      <c r="G258" s="20"/>
      <c r="H258" s="20" t="s">
        <v>62</v>
      </c>
      <c r="I258" s="16" t="s">
        <v>1191</v>
      </c>
      <c r="J258" s="16" t="str">
        <f>VLOOKUP(I258,'[1]BẢNG MÃ'!$C$2:$D$69,2,0)</f>
        <v>KP013</v>
      </c>
      <c r="K258" s="19"/>
      <c r="L258" s="16"/>
      <c r="M258" s="16" t="s">
        <v>33</v>
      </c>
      <c r="N258" s="21">
        <f ca="1">VLOOKUP(A258,'[1]Bieu 1a'!$A$8:$AW$855,10,0)</f>
        <v>28</v>
      </c>
      <c r="O258" s="22">
        <f>VLOOKUP(A258,'[1]Bieu 1a'!$A$8:$AW$855,8,0)</f>
        <v>0</v>
      </c>
      <c r="P258" s="22" t="str">
        <f>VLOOKUP(A258,'[1]Bieu 1a'!$A$8:$AW$855,9,0)</f>
        <v>03/02/1998</v>
      </c>
      <c r="Q258" s="23" t="s">
        <v>44</v>
      </c>
      <c r="R258" s="24" t="str">
        <f>VLOOKUP(A258,'[1]Bieu 1a'!$A$8:$AW$855,23,0)</f>
        <v>03/11/2020</v>
      </c>
      <c r="S258" s="25" t="s">
        <v>1277</v>
      </c>
      <c r="T258" s="26">
        <v>0</v>
      </c>
      <c r="U258" s="16"/>
      <c r="V258" s="16" t="str">
        <f>IFERROR(VLOOKUP(A258,'[2]19.6.2026'!$A$9:$L$1111,5,0),"")</f>
        <v>004526/LS-CCHN</v>
      </c>
      <c r="W258" s="16" t="str">
        <f>IFERROR(VLOOKUP(A258,'[2]19.6.2026'!$A$9:$L$1111,6,0),"")</f>
        <v>12/05/2022</v>
      </c>
      <c r="X258" s="16"/>
      <c r="Y258" s="21" t="str">
        <f>IFERROR(VLOOKUP(A258,'[2]19.6.2026'!$A$9:$L$1111,7,0),"")</f>
        <v>Thực hiện phạm vi hoạt động chuyên môn theo quy định tại Thông tư số 26/2015/TTLT-BYT-BNV ngày 07/10/2015 quy định mã số, tiêu chuẩn chức danh nghề nghiệp điều dưỡng, hộ sinh, kỹ thuật y</v>
      </c>
      <c r="Z258" s="16"/>
      <c r="AA258" s="27" t="str">
        <f>IFERROR(VLOOKUP(A258,'[3]DS UPLOAD 2026 (2)'!$A$2:$P$1111,16,0),"")</f>
        <v/>
      </c>
      <c r="AB258" s="39" t="s">
        <v>1278</v>
      </c>
      <c r="AC258" s="29" t="s">
        <v>97</v>
      </c>
    </row>
    <row r="259" spans="1:29" ht="18" customHeight="1" x14ac:dyDescent="0.3">
      <c r="A259" s="17" t="s">
        <v>1279</v>
      </c>
      <c r="B259" s="36" t="s">
        <v>1280</v>
      </c>
      <c r="C259" s="17" t="s">
        <v>1279</v>
      </c>
      <c r="D259" s="53"/>
      <c r="E259" s="19" t="s">
        <v>61</v>
      </c>
      <c r="F259" s="16" t="str">
        <f>VLOOKUP(E259,'[1]BẢNG MÃ'!$A$2:$B$69,2,0)</f>
        <v>TĐ012</v>
      </c>
      <c r="G259" s="20"/>
      <c r="H259" s="20" t="s">
        <v>62</v>
      </c>
      <c r="I259" s="16" t="s">
        <v>1191</v>
      </c>
      <c r="J259" s="16" t="str">
        <f>VLOOKUP(I259,'[1]BẢNG MÃ'!$C$2:$D$69,2,0)</f>
        <v>KP013</v>
      </c>
      <c r="K259" s="16"/>
      <c r="L259" s="16"/>
      <c r="M259" s="16" t="s">
        <v>136</v>
      </c>
      <c r="N259" s="21">
        <f ca="1">VLOOKUP(A259,'[1]Bieu 1a'!$A$8:$AW$855,10,0)</f>
        <v>30</v>
      </c>
      <c r="O259" s="22" t="str">
        <f>VLOOKUP(A259,'[1]Bieu 1a'!$A$8:$AW$855,8,0)</f>
        <v>30/5/1996</v>
      </c>
      <c r="P259" s="22">
        <f>VLOOKUP(A259,'[1]Bieu 1a'!$A$8:$AW$855,9,0)</f>
        <v>0</v>
      </c>
      <c r="Q259" s="23" t="s">
        <v>50</v>
      </c>
      <c r="R259" s="24" t="str">
        <f>VLOOKUP(A259,'[1]Bieu 1a'!$A$8:$AW$855,23,0)</f>
        <v>23/8/2021</v>
      </c>
      <c r="S259" s="25" t="s">
        <v>1281</v>
      </c>
      <c r="T259" s="26" t="s">
        <v>1282</v>
      </c>
      <c r="U259" s="16"/>
      <c r="V259" s="16" t="str">
        <f>IFERROR(VLOOKUP(A259,'[2]19.6.2026'!$A$9:$L$1111,5,0),"")</f>
        <v>005510/LS-CCHN</v>
      </c>
      <c r="W259" s="16" t="str">
        <f>IFERROR(VLOOKUP(A259,'[2]19.6.2026'!$A$9:$L$1111,6,0),"")</f>
        <v>06/12/2022</v>
      </c>
      <c r="X259" s="16"/>
      <c r="Y259" s="21" t="str">
        <f>IFERROR(VLOOKUP(A259,'[2]19.6.2026'!$A$9:$L$1111,7,0),"")</f>
        <v>Thực hiện phạm vi hoạt động chuyên môn theo Thông tư số 26/2015/TTLT-BYT-BNV ngày 07/10/2015 quy định  mã số, tiêu chuẩn chức danh nghề nghiệp, điều dưỡng, hộ sinh, kỹ thuật y</v>
      </c>
      <c r="Z259" s="16"/>
      <c r="AA259" s="27" t="str">
        <f>IFERROR(VLOOKUP(A259,'[3]DS UPLOAD 2026 (2)'!$A$2:$P$1111,16,0),"")</f>
        <v/>
      </c>
      <c r="AB259" s="39" t="s">
        <v>1283</v>
      </c>
      <c r="AC259" s="77" t="s">
        <v>1284</v>
      </c>
    </row>
    <row r="260" spans="1:29" ht="18" customHeight="1" x14ac:dyDescent="0.3">
      <c r="A260" s="17" t="s">
        <v>1285</v>
      </c>
      <c r="B260" s="59" t="s">
        <v>1286</v>
      </c>
      <c r="C260" s="17" t="s">
        <v>1285</v>
      </c>
      <c r="D260" s="19" t="s">
        <v>38</v>
      </c>
      <c r="E260" s="19" t="s">
        <v>61</v>
      </c>
      <c r="F260" s="16" t="str">
        <f>VLOOKUP(E260,'[1]BẢNG MÃ'!$A$2:$B$69,2,0)</f>
        <v>TĐ012</v>
      </c>
      <c r="G260" s="20"/>
      <c r="H260" s="20" t="s">
        <v>62</v>
      </c>
      <c r="I260" s="16" t="s">
        <v>1191</v>
      </c>
      <c r="J260" s="16" t="str">
        <f>VLOOKUP(I260,'[1]BẢNG MÃ'!$C$2:$D$69,2,0)</f>
        <v>KP013</v>
      </c>
      <c r="K260" s="16"/>
      <c r="L260" s="16"/>
      <c r="M260" s="23" t="s">
        <v>33</v>
      </c>
      <c r="N260" s="21">
        <f ca="1">VLOOKUP(A260,'[1]Bieu 1a'!$A$8:$AW$855,10,0)</f>
        <v>34</v>
      </c>
      <c r="O260" s="22">
        <f>VLOOKUP(A260,'[1]Bieu 1a'!$A$8:$AW$855,8,0)</f>
        <v>0</v>
      </c>
      <c r="P260" s="22" t="str">
        <f>VLOOKUP(A260,'[1]Bieu 1a'!$A$8:$AW$855,9,0)</f>
        <v>28/5/1992</v>
      </c>
      <c r="Q260" s="23" t="s">
        <v>44</v>
      </c>
      <c r="R260" s="24" t="str">
        <f>VLOOKUP(A260,'[1]Bieu 1a'!$A$8:$AW$855,23,0)</f>
        <v xml:space="preserve"> 02/10/2017</v>
      </c>
      <c r="S260" s="25" t="s">
        <v>1287</v>
      </c>
      <c r="T260" s="26">
        <v>0</v>
      </c>
      <c r="U260" s="16"/>
      <c r="V260" s="16" t="str">
        <f>IFERROR(VLOOKUP(A260,'[2]19.6.2026'!$A$9:$L$1111,5,0),"")</f>
        <v>003376/LS-CCHN</v>
      </c>
      <c r="W260" s="16" t="str">
        <f>IFERROR(VLOOKUP(A260,'[2]19.6.2026'!$A$9:$L$1111,6,0),"")</f>
        <v>17/10/2018</v>
      </c>
      <c r="X260" s="16"/>
      <c r="Y260" s="21" t="str">
        <f>IFERROR(VLOOKUP(A260,'[2]19.6.2026'!$A$9:$L$1111,7,0),"")</f>
        <v>Thực hiện phạm vi hoạt động chuyên môn theo quy định tại Thông tư số 26/2015/TTLT-BYT-BNV ngày 07/10/2015 quy định mã số, tiêu chuẩn chức danh nghề nghiệp điều dưỡng, hộ sinh, kỹ thuật y</v>
      </c>
      <c r="Z260" s="16"/>
      <c r="AA260" s="27" t="str">
        <f>IFERROR(VLOOKUP(A260,'[3]DS UPLOAD 2026 (2)'!$A$2:$P$1111,16,0),"")</f>
        <v/>
      </c>
      <c r="AB260" s="58" t="s">
        <v>1288</v>
      </c>
      <c r="AC260" s="29" t="s">
        <v>681</v>
      </c>
    </row>
    <row r="261" spans="1:29" ht="18" customHeight="1" x14ac:dyDescent="0.3">
      <c r="A261" s="17" t="s">
        <v>1289</v>
      </c>
      <c r="B261" s="18" t="s">
        <v>1290</v>
      </c>
      <c r="C261" s="17" t="s">
        <v>1289</v>
      </c>
      <c r="D261" s="19" t="s">
        <v>38</v>
      </c>
      <c r="E261" s="19" t="s">
        <v>61</v>
      </c>
      <c r="F261" s="16" t="str">
        <f>VLOOKUP(E261,'[1]BẢNG MÃ'!$A$2:$B$69,2,0)</f>
        <v>TĐ012</v>
      </c>
      <c r="G261" s="20" t="s">
        <v>62</v>
      </c>
      <c r="H261" s="20" t="s">
        <v>62</v>
      </c>
      <c r="I261" s="16" t="s">
        <v>1191</v>
      </c>
      <c r="J261" s="16" t="str">
        <f>VLOOKUP(I261,'[1]BẢNG MÃ'!$C$2:$D$69,2,0)</f>
        <v>KP013</v>
      </c>
      <c r="K261" s="16" t="s">
        <v>43</v>
      </c>
      <c r="L261" s="16">
        <v>0</v>
      </c>
      <c r="M261" s="16" t="s">
        <v>33</v>
      </c>
      <c r="N261" s="21">
        <f ca="1">VLOOKUP(A261,'[1]Bieu 1a'!$A$8:$AW$855,10,0)</f>
        <v>41</v>
      </c>
      <c r="O261" s="22">
        <f>VLOOKUP(A261,'[1]Bieu 1a'!$A$8:$AW$855,8,0)</f>
        <v>0</v>
      </c>
      <c r="P261" s="22">
        <f>VLOOKUP(A261,'[1]Bieu 1a'!$A$8:$AW$855,9,0)</f>
        <v>30953</v>
      </c>
      <c r="Q261" s="23" t="s">
        <v>50</v>
      </c>
      <c r="R261" s="24" t="str">
        <f>VLOOKUP(A261,'[1]Bieu 1a'!$A$8:$AW$855,23,0)</f>
        <v>30/10/2006</v>
      </c>
      <c r="S261" s="25" t="s">
        <v>1291</v>
      </c>
      <c r="T261" s="26" t="s">
        <v>1292</v>
      </c>
      <c r="U261" s="22"/>
      <c r="V261" s="16" t="str">
        <f>IFERROR(VLOOKUP(A261,'[2]19.6.2026'!$A$9:$L$1111,5,0),"")</f>
        <v>000923/LS-CCHN</v>
      </c>
      <c r="W261" s="16" t="str">
        <f>IFERROR(VLOOKUP(A261,'[2]19.6.2026'!$A$9:$L$1111,6,0),"")</f>
        <v>24/06/2013</v>
      </c>
      <c r="X261" s="16"/>
      <c r="Y261" s="21" t="str">
        <f>IFERROR(VLOOKUP(A261,'[2]19.6.2026'!$A$9:$L$1111,7,0),"")</f>
        <v>Theo quy định tại Quyết định số 41/2005/QĐ-BNV ngày 22/4/2005 của Bộ trưởng Bộ Nội vụ về việc ban hành tiêu chuẩn nghiệp vụ các ngạch viên chức y tế điều dưỡng</v>
      </c>
      <c r="Z261" s="16"/>
      <c r="AA261" s="27" t="str">
        <f>IFERROR(VLOOKUP(A261,'[3]DS UPLOAD 2026 (2)'!$A$2:$P$1111,16,0),"")</f>
        <v/>
      </c>
      <c r="AB261" s="27" t="s">
        <v>1293</v>
      </c>
      <c r="AC261" s="28"/>
    </row>
    <row r="262" spans="1:29" ht="18" customHeight="1" x14ac:dyDescent="0.3">
      <c r="A262" s="17" t="s">
        <v>1294</v>
      </c>
      <c r="B262" s="36" t="s">
        <v>1295</v>
      </c>
      <c r="C262" s="17" t="s">
        <v>1294</v>
      </c>
      <c r="D262" s="19" t="s">
        <v>38</v>
      </c>
      <c r="E262" s="19" t="s">
        <v>61</v>
      </c>
      <c r="F262" s="16" t="str">
        <f>VLOOKUP(E262,'[1]BẢNG MÃ'!$A$2:$B$69,2,0)</f>
        <v>TĐ012</v>
      </c>
      <c r="G262" s="20"/>
      <c r="H262" s="20" t="s">
        <v>62</v>
      </c>
      <c r="I262" s="16" t="s">
        <v>1191</v>
      </c>
      <c r="J262" s="16" t="str">
        <f>VLOOKUP(I262,'[1]BẢNG MÃ'!$C$2:$D$69,2,0)</f>
        <v>KP013</v>
      </c>
      <c r="K262" s="19"/>
      <c r="L262" s="16"/>
      <c r="M262" s="16" t="s">
        <v>33</v>
      </c>
      <c r="N262" s="21">
        <f ca="1">VLOOKUP(A262,'[1]Bieu 1a'!$A$8:$AW$855,10,0)</f>
        <v>27</v>
      </c>
      <c r="O262" s="22">
        <f>VLOOKUP(A262,'[1]Bieu 1a'!$A$8:$AW$855,8,0)</f>
        <v>0</v>
      </c>
      <c r="P262" s="22" t="str">
        <f>VLOOKUP(A262,'[1]Bieu 1a'!$A$8:$AW$855,9,0)</f>
        <v>04/11/1998</v>
      </c>
      <c r="Q262" s="23" t="s">
        <v>283</v>
      </c>
      <c r="R262" s="24" t="str">
        <f>VLOOKUP(A262,'[1]Bieu 1a'!$A$8:$AW$855,23,0)</f>
        <v>11/3/2024</v>
      </c>
      <c r="S262" s="25" t="s">
        <v>1296</v>
      </c>
      <c r="T262" s="26">
        <v>0</v>
      </c>
      <c r="U262" s="16"/>
      <c r="V262" s="16" t="str">
        <f>IFERROR(VLOOKUP(A262,'[2]19.6.2026'!$A$9:$L$1111,5,0),"")</f>
        <v>005578/LS-CCHN</v>
      </c>
      <c r="W262" s="16" t="str">
        <f>IFERROR(VLOOKUP(A262,'[2]19.6.2026'!$A$9:$L$1111,6,0),"")</f>
        <v>27/04/2023</v>
      </c>
      <c r="X262" s="16"/>
      <c r="Y262" s="21" t="str">
        <f>IFERROR(VLOOKUP(A262,'[2]19.6.2026'!$A$9:$L$1111,7,0),"")</f>
        <v>Thực hiện phạm vi hoạt động chuyên môn theo Thông tư số 26/2015/TTLT-BYT-BNV ngày 07/10/2015 quy định  mã số, tiêu chuẩn chức danh nghề nghiệp, điều dưỡng, hộ sinh, kỹ thuật y</v>
      </c>
      <c r="Z262" s="16"/>
      <c r="AA262" s="27" t="str">
        <f>IFERROR(VLOOKUP(A262,'[3]DS UPLOAD 2026 (2)'!$A$2:$P$1111,16,0),"")</f>
        <v/>
      </c>
      <c r="AB262" s="50" t="s">
        <v>1297</v>
      </c>
      <c r="AC262" s="29" t="s">
        <v>1298</v>
      </c>
    </row>
    <row r="263" spans="1:29" ht="18" customHeight="1" x14ac:dyDescent="0.3">
      <c r="A263" s="46" t="s">
        <v>1299</v>
      </c>
      <c r="B263" s="28" t="s">
        <v>1300</v>
      </c>
      <c r="C263" s="47" t="s">
        <v>1299</v>
      </c>
      <c r="D263" s="23" t="s">
        <v>38</v>
      </c>
      <c r="E263" s="19" t="s">
        <v>61</v>
      </c>
      <c r="F263" s="16" t="str">
        <f>VLOOKUP(E263,'[1]BẢNG MÃ'!$A$2:$B$69,2,0)</f>
        <v>TĐ012</v>
      </c>
      <c r="G263" s="48"/>
      <c r="H263" s="20" t="s">
        <v>62</v>
      </c>
      <c r="I263" s="19" t="s">
        <v>1191</v>
      </c>
      <c r="J263" s="16" t="str">
        <f>VLOOKUP(I263,'[1]BẢNG MÃ'!$C$2:$D$69,2,0)</f>
        <v>KP013</v>
      </c>
      <c r="K263" s="23"/>
      <c r="L263" s="23"/>
      <c r="M263" s="16" t="s">
        <v>136</v>
      </c>
      <c r="N263" s="21">
        <f ca="1">VLOOKUP(A263,'[1]Bieu 1a'!$A$8:$AW$855,10,0)</f>
        <v>22</v>
      </c>
      <c r="O263" s="22">
        <f>VLOOKUP(A263,'[1]Bieu 1a'!$A$8:$AW$855,8,0)</f>
        <v>0</v>
      </c>
      <c r="P263" s="22" t="str">
        <f>VLOOKUP(A263,'[1]Bieu 1a'!$A$8:$AW$855,9,0)</f>
        <v>28/10/2003</v>
      </c>
      <c r="Q263" s="23" t="s">
        <v>44</v>
      </c>
      <c r="R263" s="24">
        <f>VLOOKUP(A263,'[1]Bieu 1a'!$A$8:$AW$855,23,0)</f>
        <v>45597</v>
      </c>
      <c r="S263" s="25" t="s">
        <v>1301</v>
      </c>
      <c r="T263" s="26" t="s">
        <v>1302</v>
      </c>
      <c r="U263" s="23"/>
      <c r="V263" s="16" t="str">
        <f>IFERROR(VLOOKUP(A263,'[2]19.6.2026'!$A$9:$L$1111,5,0),"")</f>
        <v>000260/LS-GPHN</v>
      </c>
      <c r="W263" s="16">
        <f>IFERROR(VLOOKUP(A263,'[2]19.6.2026'!$A$9:$L$1111,6,0),"")</f>
        <v>45796</v>
      </c>
      <c r="X263" s="19"/>
      <c r="Y263" s="21" t="str">
        <f>IFERROR(VLOOKUP(A263,'[2]19.6.2026'!$A$9:$L$1111,7,0),"")</f>
        <v>Điều dưỡng</v>
      </c>
      <c r="Z263" s="16"/>
      <c r="AA263" s="27" t="str">
        <f>IFERROR(VLOOKUP(A263,'[3]DS UPLOAD 2026 (2)'!$A$2:$P$1111,16,0),"")</f>
        <v/>
      </c>
      <c r="AB263" s="23" t="s">
        <v>1303</v>
      </c>
      <c r="AC263" s="51" t="s">
        <v>450</v>
      </c>
    </row>
    <row r="264" spans="1:29" ht="18" customHeight="1" x14ac:dyDescent="0.3">
      <c r="A264" s="87" t="s">
        <v>1304</v>
      </c>
      <c r="B264" s="88" t="s">
        <v>1305</v>
      </c>
      <c r="C264" s="89" t="s">
        <v>1304</v>
      </c>
      <c r="D264" s="30" t="s">
        <v>38</v>
      </c>
      <c r="E264" s="19" t="s">
        <v>61</v>
      </c>
      <c r="F264" s="16" t="str">
        <f>VLOOKUP(E264,'[1]BẢNG MÃ'!$A$2:$B$69,2,0)</f>
        <v>TĐ012</v>
      </c>
      <c r="G264" s="90"/>
      <c r="H264" s="20" t="s">
        <v>62</v>
      </c>
      <c r="I264" s="19" t="s">
        <v>1191</v>
      </c>
      <c r="J264" s="16" t="str">
        <f>VLOOKUP(I264,'[1]BẢNG MÃ'!$C$2:$D$69,2,0)</f>
        <v>KP013</v>
      </c>
      <c r="K264" s="23"/>
      <c r="L264" s="23"/>
      <c r="M264" s="16" t="s">
        <v>136</v>
      </c>
      <c r="N264" s="21">
        <f ca="1">VLOOKUP(A264,'[1]Bieu 1a'!$A$8:$AW$855,10,0)</f>
        <v>26</v>
      </c>
      <c r="O264" s="22">
        <f>VLOOKUP(A264,'[1]Bieu 1a'!$A$8:$AW$855,8,0)</f>
        <v>0</v>
      </c>
      <c r="P264" s="22" t="str">
        <f>VLOOKUP(A264,'[1]Bieu 1a'!$A$8:$AW$855,9,0)</f>
        <v>20/02/2000</v>
      </c>
      <c r="Q264" s="23" t="s">
        <v>283</v>
      </c>
      <c r="R264" s="24">
        <f>VLOOKUP(A264,'[1]Bieu 1a'!$A$8:$AW$855,23,0)</f>
        <v>45673</v>
      </c>
      <c r="S264" s="25" t="s">
        <v>1306</v>
      </c>
      <c r="T264" s="26" t="s">
        <v>1307</v>
      </c>
      <c r="U264" s="23"/>
      <c r="V264" s="16" t="str">
        <f>IFERROR(VLOOKUP(A264,'[2]19.6.2026'!$A$9:$L$1111,5,0),"")</f>
        <v/>
      </c>
      <c r="W264" s="16" t="str">
        <f>IFERROR(VLOOKUP(A264,'[2]19.6.2026'!$A$9:$L$1111,6,0),"")</f>
        <v/>
      </c>
      <c r="X264" s="19"/>
      <c r="Y264" s="21" t="str">
        <f>IFERROR(VLOOKUP(A264,'[2]19.6.2026'!$A$9:$L$1111,7,0),"")</f>
        <v/>
      </c>
      <c r="Z264" s="16"/>
      <c r="AA264" s="27" t="str">
        <f>IFERROR(VLOOKUP(A264,'[3]DS UPLOAD 2026 (2)'!$A$2:$P$1111,16,0),"")</f>
        <v/>
      </c>
      <c r="AB264" s="30">
        <v>358173297</v>
      </c>
      <c r="AC264" s="91" t="s">
        <v>1308</v>
      </c>
    </row>
    <row r="265" spans="1:29" ht="18" customHeight="1" x14ac:dyDescent="0.3">
      <c r="A265" s="17" t="s">
        <v>1309</v>
      </c>
      <c r="B265" s="40" t="s">
        <v>1310</v>
      </c>
      <c r="C265" s="17" t="s">
        <v>1309</v>
      </c>
      <c r="D265" s="19" t="s">
        <v>38</v>
      </c>
      <c r="E265" s="19" t="s">
        <v>128</v>
      </c>
      <c r="F265" s="16" t="str">
        <f>VLOOKUP(E265,'[1]BẢNG MÃ'!$A$2:$B$69,2,0)</f>
        <v>TĐ047</v>
      </c>
      <c r="G265" s="20"/>
      <c r="H265" s="19" t="s">
        <v>128</v>
      </c>
      <c r="I265" s="16" t="s">
        <v>1191</v>
      </c>
      <c r="J265" s="16" t="str">
        <f>VLOOKUP(I265,'[1]BẢNG MÃ'!$C$2:$D$69,2,0)</f>
        <v>KP013</v>
      </c>
      <c r="K265" s="16"/>
      <c r="L265" s="16"/>
      <c r="M265" s="16" t="s">
        <v>136</v>
      </c>
      <c r="N265" s="21">
        <f ca="1">VLOOKUP(A265,'[1]Bieu 1a'!$A$8:$AW$855,10,0)</f>
        <v>40</v>
      </c>
      <c r="O265" s="22">
        <f>VLOOKUP(A265,'[1]Bieu 1a'!$A$8:$AW$855,8,0)</f>
        <v>0</v>
      </c>
      <c r="P265" s="22" t="str">
        <f>VLOOKUP(A265,'[1]Bieu 1a'!$A$8:$AW$855,9,0)</f>
        <v>10/01/1986</v>
      </c>
      <c r="Q265" s="23" t="s">
        <v>50</v>
      </c>
      <c r="R265" s="24" t="str">
        <f>VLOOKUP(A265,'[1]Bieu 1a'!$A$8:$AW$855,23,0)</f>
        <v>12/4/2020</v>
      </c>
      <c r="S265" s="25" t="s">
        <v>1311</v>
      </c>
      <c r="T265" s="26">
        <v>0</v>
      </c>
      <c r="U265" s="16"/>
      <c r="V265" s="16" t="str">
        <f>IFERROR(VLOOKUP(A265,'[2]19.6.2026'!$A$9:$L$1111,5,0),"")</f>
        <v/>
      </c>
      <c r="W265" s="16" t="str">
        <f>IFERROR(VLOOKUP(A265,'[2]19.6.2026'!$A$9:$L$1111,6,0),"")</f>
        <v/>
      </c>
      <c r="X265" s="16"/>
      <c r="Y265" s="21" t="str">
        <f>IFERROR(VLOOKUP(A265,'[2]19.6.2026'!$A$9:$L$1111,7,0),"")</f>
        <v/>
      </c>
      <c r="Z265" s="16"/>
      <c r="AA265" s="27" t="str">
        <f>IFERROR(VLOOKUP(A265,'[3]DS UPLOAD 2026 (2)'!$A$2:$P$1111,16,0),"")</f>
        <v/>
      </c>
      <c r="AB265" s="39" t="s">
        <v>1297</v>
      </c>
      <c r="AC265" s="29" t="s">
        <v>303</v>
      </c>
    </row>
    <row r="266" spans="1:29" ht="18" customHeight="1" x14ac:dyDescent="0.3">
      <c r="A266" s="17" t="s">
        <v>1312</v>
      </c>
      <c r="B266" s="38" t="s">
        <v>1313</v>
      </c>
      <c r="C266" s="17" t="s">
        <v>1312</v>
      </c>
      <c r="D266" s="53" t="s">
        <v>38</v>
      </c>
      <c r="E266" s="19" t="s">
        <v>128</v>
      </c>
      <c r="F266" s="16" t="str">
        <f>VLOOKUP(E266,'[1]BẢNG MÃ'!$A$2:$B$69,2,0)</f>
        <v>TĐ047</v>
      </c>
      <c r="G266" s="20"/>
      <c r="H266" s="19" t="s">
        <v>128</v>
      </c>
      <c r="I266" s="16" t="s">
        <v>1191</v>
      </c>
      <c r="J266" s="16" t="str">
        <f>VLOOKUP(I266,'[1]BẢNG MÃ'!$C$2:$D$69,2,0)</f>
        <v>KP013</v>
      </c>
      <c r="K266" s="16"/>
      <c r="L266" s="16"/>
      <c r="M266" s="16" t="s">
        <v>136</v>
      </c>
      <c r="N266" s="21">
        <f ca="1">VLOOKUP(A266,'[1]Bieu 1a'!$A$8:$AW$855,10,0)</f>
        <v>40</v>
      </c>
      <c r="O266" s="22">
        <f>VLOOKUP(A266,'[1]Bieu 1a'!$A$8:$AW$855,8,0)</f>
        <v>0</v>
      </c>
      <c r="P266" s="22" t="str">
        <f>VLOOKUP(A266,'[1]Bieu 1a'!$A$8:$AW$855,9,0)</f>
        <v>01/3/1986</v>
      </c>
      <c r="Q266" s="23" t="s">
        <v>50</v>
      </c>
      <c r="R266" s="24" t="str">
        <f>VLOOKUP(A266,'[1]Bieu 1a'!$A$8:$AW$855,23,0)</f>
        <v>11/5/2020</v>
      </c>
      <c r="S266" s="25" t="s">
        <v>1314</v>
      </c>
      <c r="T266" s="26">
        <v>0</v>
      </c>
      <c r="U266" s="16"/>
      <c r="V266" s="16" t="str">
        <f>IFERROR(VLOOKUP(A266,'[2]19.6.2026'!$A$9:$L$1111,5,0),"")</f>
        <v/>
      </c>
      <c r="W266" s="16" t="str">
        <f>IFERROR(VLOOKUP(A266,'[2]19.6.2026'!$A$9:$L$1111,6,0),"")</f>
        <v/>
      </c>
      <c r="X266" s="16"/>
      <c r="Y266" s="21" t="str">
        <f>IFERROR(VLOOKUP(A266,'[2]19.6.2026'!$A$9:$L$1111,7,0),"")</f>
        <v/>
      </c>
      <c r="Z266" s="16"/>
      <c r="AA266" s="27" t="str">
        <f>IFERROR(VLOOKUP(A266,'[3]DS UPLOAD 2026 (2)'!$A$2:$P$1111,16,0),"")</f>
        <v/>
      </c>
      <c r="AB266" s="50" t="s">
        <v>1315</v>
      </c>
      <c r="AC266" s="29" t="s">
        <v>1024</v>
      </c>
    </row>
    <row r="267" spans="1:29" ht="18" customHeight="1" x14ac:dyDescent="0.3">
      <c r="A267" s="17" t="s">
        <v>1316</v>
      </c>
      <c r="B267" s="18" t="s">
        <v>1317</v>
      </c>
      <c r="C267" s="17" t="s">
        <v>1316</v>
      </c>
      <c r="D267" s="19"/>
      <c r="E267" s="19" t="s">
        <v>28</v>
      </c>
      <c r="F267" s="16" t="str">
        <f>VLOOKUP(E267,'[1]BẢNG MÃ'!$A$2:$B$69,2,0)</f>
        <v>TĐ001</v>
      </c>
      <c r="G267" s="20" t="s">
        <v>29</v>
      </c>
      <c r="H267" s="20" t="s">
        <v>29</v>
      </c>
      <c r="I267" s="16" t="s">
        <v>194</v>
      </c>
      <c r="J267" s="16" t="str">
        <f>VLOOKUP(I267,'[1]BẢNG MÃ'!$C$2:$D$69,2,0)</f>
        <v>KP014</v>
      </c>
      <c r="K267" s="16" t="s">
        <v>31</v>
      </c>
      <c r="L267" s="16" t="s">
        <v>148</v>
      </c>
      <c r="M267" s="16" t="s">
        <v>33</v>
      </c>
      <c r="N267" s="21">
        <f ca="1">VLOOKUP(A267,'[1]Bieu 1a'!$A$8:$AW$855,10,0)</f>
        <v>58</v>
      </c>
      <c r="O267" s="22">
        <f>VLOOKUP(A267,'[1]Bieu 1a'!$A$8:$AW$855,8,0)</f>
        <v>24906</v>
      </c>
      <c r="P267" s="22">
        <f>VLOOKUP(A267,'[1]Bieu 1a'!$A$8:$AW$855,9,0)</f>
        <v>0</v>
      </c>
      <c r="Q267" s="23" t="s">
        <v>50</v>
      </c>
      <c r="R267" s="24" t="str">
        <f>VLOOKUP(A267,'[1]Bieu 1a'!$A$8:$AW$855,23,0)</f>
        <v>22/4/1995</v>
      </c>
      <c r="S267" s="25" t="s">
        <v>1318</v>
      </c>
      <c r="T267" s="26" t="s">
        <v>1319</v>
      </c>
      <c r="U267" s="16"/>
      <c r="V267" s="16" t="str">
        <f>IFERROR(VLOOKUP(A267,'[2]19.6.2026'!$A$9:$L$1111,5,0),"")</f>
        <v>000927/LS-CCHN</v>
      </c>
      <c r="W267" s="16" t="str">
        <f>IFERROR(VLOOKUP(A267,'[2]19.6.2026'!$A$9:$L$1111,6,0),"")</f>
        <v>24/06/2013</v>
      </c>
      <c r="X267" s="16"/>
      <c r="Y267" s="21" t="str">
        <f>IFERROR(VLOOKUP(A267,'[2]19.6.2026'!$A$9:$L$1111,7,0),"")</f>
        <v>Khám bệnh, chữa bệnh Ngoại khoa</v>
      </c>
      <c r="Z267" s="16"/>
      <c r="AA267" s="27" t="str">
        <f>IFERROR(VLOOKUP(A267,'[3]DS UPLOAD 2026 (2)'!$A$2:$P$1111,16,0),"")</f>
        <v>10.0929;10.0930;27.0439;27.0440;27.0444;27.0447;27.0449;27.0451;27.0452;27.0458;27.0460;27.0463;27.0473;27.0479;27.0481;27.0482;27.0483;27.0486;27.0503;27.0504</v>
      </c>
      <c r="AB267" s="27" t="s">
        <v>1320</v>
      </c>
      <c r="AC267" s="28"/>
    </row>
    <row r="268" spans="1:29" ht="18" customHeight="1" x14ac:dyDescent="0.3">
      <c r="A268" s="17" t="s">
        <v>1321</v>
      </c>
      <c r="B268" s="18" t="s">
        <v>1322</v>
      </c>
      <c r="C268" s="17" t="s">
        <v>1321</v>
      </c>
      <c r="D268" s="19"/>
      <c r="E268" s="19" t="s">
        <v>28</v>
      </c>
      <c r="F268" s="16" t="str">
        <f>VLOOKUP(E268,'[1]BẢNG MÃ'!$A$2:$B$69,2,0)</f>
        <v>TĐ001</v>
      </c>
      <c r="G268" s="20" t="s">
        <v>29</v>
      </c>
      <c r="H268" s="20" t="s">
        <v>29</v>
      </c>
      <c r="I268" s="16" t="s">
        <v>194</v>
      </c>
      <c r="J268" s="16" t="str">
        <f>VLOOKUP(I268,'[1]BẢNG MÃ'!$C$2:$D$69,2,0)</f>
        <v>KP014</v>
      </c>
      <c r="K268" s="16" t="s">
        <v>31</v>
      </c>
      <c r="L268" s="16" t="s">
        <v>154</v>
      </c>
      <c r="M268" s="16" t="s">
        <v>33</v>
      </c>
      <c r="N268" s="21">
        <f ca="1">VLOOKUP(A268,'[1]Bieu 1a'!$A$8:$AW$855,10,0)</f>
        <v>46</v>
      </c>
      <c r="O268" s="22">
        <f>VLOOKUP(A268,'[1]Bieu 1a'!$A$8:$AW$855,8,0)</f>
        <v>29403</v>
      </c>
      <c r="P268" s="22">
        <f>VLOOKUP(A268,'[1]Bieu 1a'!$A$8:$AW$855,9,0)</f>
        <v>0</v>
      </c>
      <c r="Q268" s="23" t="s">
        <v>44</v>
      </c>
      <c r="R268" s="24" t="str">
        <f>VLOOKUP(A268,'[1]Bieu 1a'!$A$8:$AW$855,23,0)</f>
        <v>16/2/2005</v>
      </c>
      <c r="S268" s="25" t="s">
        <v>1323</v>
      </c>
      <c r="T268" s="26" t="s">
        <v>1324</v>
      </c>
      <c r="U268" s="16"/>
      <c r="V268" s="16" t="str">
        <f>IFERROR(VLOOKUP(A268,'[2]19.6.2026'!$A$9:$L$1111,5,0),"")</f>
        <v>000928/LS-CCHN</v>
      </c>
      <c r="W268" s="16" t="str">
        <f>IFERROR(VLOOKUP(A268,'[2]19.6.2026'!$A$9:$L$1111,6,0),"")</f>
        <v>24/06/2013</v>
      </c>
      <c r="X268" s="16"/>
      <c r="Y268" s="21" t="str">
        <f>IFERROR(VLOOKUP(A268,'[2]19.6.2026'!$A$9:$L$1111,7,0),"")</f>
        <v>Khám bệnh, chữa bệnh Ngoại khoa; Khám bệnh, chữa bệnh chuyên khoa Phẫu thuật tạo hình, thẩm mỹ</v>
      </c>
      <c r="Z268" s="16"/>
      <c r="AA268" s="27" t="str">
        <f>IFERROR(VLOOKUP(A268,'[3]DS UPLOAD 2026 (2)'!$A$2:$P$1111,16,0),"")</f>
        <v/>
      </c>
      <c r="AB268" s="27" t="s">
        <v>1325</v>
      </c>
      <c r="AC268" s="28"/>
    </row>
    <row r="269" spans="1:29" ht="18" customHeight="1" x14ac:dyDescent="0.3">
      <c r="A269" s="17" t="s">
        <v>1326</v>
      </c>
      <c r="B269" s="40" t="s">
        <v>1327</v>
      </c>
      <c r="C269" s="17" t="s">
        <v>1326</v>
      </c>
      <c r="D269" s="19" t="s">
        <v>38</v>
      </c>
      <c r="E269" s="19" t="s">
        <v>160</v>
      </c>
      <c r="F269" s="16" t="str">
        <f>VLOOKUP(E269,'[1]BẢNG MÃ'!$A$2:$B$69,2,0)</f>
        <v>TĐ003</v>
      </c>
      <c r="G269" s="20" t="s">
        <v>161</v>
      </c>
      <c r="H269" s="20" t="s">
        <v>161</v>
      </c>
      <c r="I269" s="16" t="s">
        <v>194</v>
      </c>
      <c r="J269" s="16" t="str">
        <f>VLOOKUP(I269,'[1]BẢNG MÃ'!$C$2:$D$69,2,0)</f>
        <v>KP014</v>
      </c>
      <c r="K269" s="16" t="s">
        <v>43</v>
      </c>
      <c r="L269" s="16">
        <v>0</v>
      </c>
      <c r="M269" s="16" t="s">
        <v>33</v>
      </c>
      <c r="N269" s="21">
        <f ca="1">VLOOKUP(A269,'[1]Bieu 1a'!$A$8:$AW$855,10,0)</f>
        <v>37</v>
      </c>
      <c r="O269" s="22">
        <f>VLOOKUP(A269,'[1]Bieu 1a'!$A$8:$AW$855,8,0)</f>
        <v>0</v>
      </c>
      <c r="P269" s="22" t="str">
        <f>VLOOKUP(A269,'[1]Bieu 1a'!$A$8:$AW$855,9,0)</f>
        <v>22/01/1989</v>
      </c>
      <c r="Q269" s="23" t="s">
        <v>50</v>
      </c>
      <c r="R269" s="24" t="str">
        <f>VLOOKUP(A269,'[1]Bieu 1a'!$A$8:$AW$855,23,0)</f>
        <v>10/01/2016</v>
      </c>
      <c r="S269" s="25" t="s">
        <v>1328</v>
      </c>
      <c r="T269" s="26" t="s">
        <v>1329</v>
      </c>
      <c r="U269" s="16"/>
      <c r="V269" s="16" t="str">
        <f>IFERROR(VLOOKUP(A269,'[2]19.6.2026'!$A$9:$L$1111,5,0),"")</f>
        <v>002133/LS-CCHN</v>
      </c>
      <c r="W269" s="16" t="str">
        <f>IFERROR(VLOOKUP(A269,'[2]19.6.2026'!$A$9:$L$1111,6,0),"")</f>
        <v>01/12/2017</v>
      </c>
      <c r="X269" s="16"/>
      <c r="Y269" s="21" t="str">
        <f>IFERROR(VLOOKUP(A269,'[2]19.6.2026'!$A$9:$L$1111,7,0),"")</f>
        <v>Khám bệnh, chữa bệnh Ngoại khoa; Khám bệnh, chữa bệnh chuyên khoa Tạo hình - Thẩm mỹ</v>
      </c>
      <c r="Z269" s="16"/>
      <c r="AA269" s="27" t="str">
        <f>IFERROR(VLOOKUP(A269,'[3]DS UPLOAD 2026 (2)'!$A$2:$P$1111,16,0),"")</f>
        <v/>
      </c>
      <c r="AB269" s="27" t="s">
        <v>1330</v>
      </c>
      <c r="AC269" s="28"/>
    </row>
    <row r="270" spans="1:29" ht="18" customHeight="1" x14ac:dyDescent="0.3">
      <c r="A270" s="17" t="s">
        <v>1331</v>
      </c>
      <c r="B270" s="59" t="s">
        <v>1332</v>
      </c>
      <c r="C270" s="17" t="s">
        <v>1331</v>
      </c>
      <c r="D270" s="19"/>
      <c r="E270" s="19" t="s">
        <v>160</v>
      </c>
      <c r="F270" s="16" t="str">
        <f>VLOOKUP(E270,'[1]BẢNG MÃ'!$A$2:$B$69,2,0)</f>
        <v>TĐ003</v>
      </c>
      <c r="G270" s="20" t="s">
        <v>161</v>
      </c>
      <c r="H270" s="20" t="s">
        <v>161</v>
      </c>
      <c r="I270" s="16" t="s">
        <v>194</v>
      </c>
      <c r="J270" s="16" t="str">
        <f>VLOOKUP(I270,'[1]BẢNG MÃ'!$C$2:$D$69,2,0)</f>
        <v>KP014</v>
      </c>
      <c r="K270" s="16" t="s">
        <v>43</v>
      </c>
      <c r="L270" s="16">
        <v>0</v>
      </c>
      <c r="M270" s="16" t="s">
        <v>33</v>
      </c>
      <c r="N270" s="21">
        <f ca="1">VLOOKUP(A270,'[1]Bieu 1a'!$A$8:$AW$855,10,0)</f>
        <v>37</v>
      </c>
      <c r="O270" s="22" t="str">
        <f>VLOOKUP(A270,'[1]Bieu 1a'!$A$8:$AW$855,8,0)</f>
        <v>11/06/1989</v>
      </c>
      <c r="P270" s="22">
        <f>VLOOKUP(A270,'[1]Bieu 1a'!$A$8:$AW$855,9,0)</f>
        <v>0</v>
      </c>
      <c r="Q270" s="23" t="s">
        <v>34</v>
      </c>
      <c r="R270" s="24" t="str">
        <f>VLOOKUP(A270,'[1]Bieu 1a'!$A$8:$AW$855,23,0)</f>
        <v>20/3/2018</v>
      </c>
      <c r="S270" s="25" t="s">
        <v>1333</v>
      </c>
      <c r="T270" s="26" t="s">
        <v>1334</v>
      </c>
      <c r="U270" s="16"/>
      <c r="V270" s="16" t="str">
        <f>IFERROR(VLOOKUP(A270,'[2]19.6.2026'!$A$9:$L$1111,5,0),"")</f>
        <v>003556/LS-CCHN</v>
      </c>
      <c r="W270" s="16" t="str">
        <f>IFERROR(VLOOKUP(A270,'[2]19.6.2026'!$A$9:$L$1111,6,0),"")</f>
        <v>21/08/2019</v>
      </c>
      <c r="X270" s="16"/>
      <c r="Y270" s="21" t="str">
        <f>IFERROR(VLOOKUP(A270,'[2]19.6.2026'!$A$9:$L$1111,7,0),"")</f>
        <v>Khám bệnh, chữa bệnh Ngoại khoa</v>
      </c>
      <c r="Z270" s="16"/>
      <c r="AA270" s="27" t="str">
        <f>IFERROR(VLOOKUP(A270,'[3]DS UPLOAD 2026 (2)'!$A$2:$P$1111,16,0),"")</f>
        <v/>
      </c>
      <c r="AB270" s="27" t="s">
        <v>1335</v>
      </c>
      <c r="AC270" s="28" t="s">
        <v>1336</v>
      </c>
    </row>
    <row r="271" spans="1:29" ht="18" customHeight="1" x14ac:dyDescent="0.3">
      <c r="A271" s="17" t="s">
        <v>1337</v>
      </c>
      <c r="B271" s="69" t="s">
        <v>1338</v>
      </c>
      <c r="C271" s="17" t="s">
        <v>1337</v>
      </c>
      <c r="D271" s="19"/>
      <c r="E271" s="19" t="s">
        <v>160</v>
      </c>
      <c r="F271" s="16" t="str">
        <f>VLOOKUP(E271,'[1]BẢNG MÃ'!$A$2:$B$69,2,0)</f>
        <v>TĐ003</v>
      </c>
      <c r="G271" s="20" t="s">
        <v>161</v>
      </c>
      <c r="H271" s="20" t="s">
        <v>161</v>
      </c>
      <c r="I271" s="16" t="s">
        <v>194</v>
      </c>
      <c r="J271" s="16" t="str">
        <f>VLOOKUP(I271,'[1]BẢNG MÃ'!$C$2:$D$69,2,0)</f>
        <v>KP014</v>
      </c>
      <c r="K271" s="16" t="s">
        <v>43</v>
      </c>
      <c r="L271" s="16">
        <v>0</v>
      </c>
      <c r="M271" s="16" t="s">
        <v>33</v>
      </c>
      <c r="N271" s="21">
        <f ca="1">VLOOKUP(A271,'[1]Bieu 1a'!$A$8:$AW$855,10,0)</f>
        <v>36</v>
      </c>
      <c r="O271" s="22">
        <f>VLOOKUP(A271,'[1]Bieu 1a'!$A$8:$AW$855,8,0)</f>
        <v>32991</v>
      </c>
      <c r="P271" s="22">
        <f>VLOOKUP(A271,'[1]Bieu 1a'!$A$8:$AW$855,9,0)</f>
        <v>0</v>
      </c>
      <c r="Q271" s="23" t="s">
        <v>34</v>
      </c>
      <c r="R271" s="24" t="str">
        <f>VLOOKUP(A271,'[1]Bieu 1a'!$A$8:$AW$855,23,0)</f>
        <v>10/2/2017</v>
      </c>
      <c r="S271" s="25" t="s">
        <v>1339</v>
      </c>
      <c r="T271" s="26" t="s">
        <v>1324</v>
      </c>
      <c r="U271" s="16"/>
      <c r="V271" s="16" t="str">
        <f>IFERROR(VLOOKUP(A271,'[2]19.6.2026'!$A$9:$L$1111,5,0),"")</f>
        <v>003397/LS-CCHN</v>
      </c>
      <c r="W271" s="16" t="str">
        <f>IFERROR(VLOOKUP(A271,'[2]19.6.2026'!$A$9:$L$1111,6,0),"")</f>
        <v>21/11/2019</v>
      </c>
      <c r="X271" s="16"/>
      <c r="Y271" s="21" t="str">
        <f>IFERROR(VLOOKUP(A271,'[2]19.6.2026'!$A$9:$L$1111,7,0),"")</f>
        <v>Khám bệnh, chữa bệnh Ngoại khoa</v>
      </c>
      <c r="Z271" s="16"/>
      <c r="AA271" s="27" t="str">
        <f>IFERROR(VLOOKUP(A271,'[3]DS UPLOAD 2026 (2)'!$A$2:$P$1111,16,0),"")</f>
        <v/>
      </c>
      <c r="AB271" s="27" t="s">
        <v>1340</v>
      </c>
      <c r="AC271" s="28" t="s">
        <v>1341</v>
      </c>
    </row>
    <row r="272" spans="1:29" ht="18" customHeight="1" x14ac:dyDescent="0.3">
      <c r="A272" s="17" t="s">
        <v>1342</v>
      </c>
      <c r="B272" s="18" t="s">
        <v>1343</v>
      </c>
      <c r="C272" s="17" t="s">
        <v>1342</v>
      </c>
      <c r="D272" s="19"/>
      <c r="E272" s="19" t="s">
        <v>479</v>
      </c>
      <c r="F272" s="16" t="str">
        <f>VLOOKUP(E272,'[1]BẢNG MÃ'!$A$2:$B$69,2,0)</f>
        <v>TĐ004</v>
      </c>
      <c r="G272" s="20" t="s">
        <v>29</v>
      </c>
      <c r="H272" s="20" t="s">
        <v>29</v>
      </c>
      <c r="I272" s="16" t="s">
        <v>194</v>
      </c>
      <c r="J272" s="16" t="str">
        <f>VLOOKUP(I272,'[1]BẢNG MÃ'!$C$2:$D$69,2,0)</f>
        <v>KP014</v>
      </c>
      <c r="K272" s="16" t="s">
        <v>43</v>
      </c>
      <c r="L272" s="16">
        <v>0</v>
      </c>
      <c r="M272" s="16" t="s">
        <v>33</v>
      </c>
      <c r="N272" s="21">
        <f ca="1">VLOOKUP(A272,'[1]Bieu 1a'!$A$8:$AW$855,10,0)</f>
        <v>55</v>
      </c>
      <c r="O272" s="22">
        <f>VLOOKUP(A272,'[1]Bieu 1a'!$A$8:$AW$855,8,0)</f>
        <v>26096</v>
      </c>
      <c r="P272" s="22">
        <f>VLOOKUP(A272,'[1]Bieu 1a'!$A$8:$AW$855,9,0)</f>
        <v>0</v>
      </c>
      <c r="Q272" s="23" t="s">
        <v>44</v>
      </c>
      <c r="R272" s="24" t="str">
        <f>VLOOKUP(A272,'[1]Bieu 1a'!$A$8:$AW$855,23,0)</f>
        <v>23/12/1996</v>
      </c>
      <c r="S272" s="25" t="s">
        <v>1344</v>
      </c>
      <c r="T272" s="26" t="s">
        <v>1345</v>
      </c>
      <c r="U272" s="16"/>
      <c r="V272" s="16" t="str">
        <f>IFERROR(VLOOKUP(A272,'[2]19.6.2026'!$A$9:$L$1111,5,0),"")</f>
        <v>000049/LS-CCHN</v>
      </c>
      <c r="W272" s="16" t="str">
        <f>IFERROR(VLOOKUP(A272,'[2]19.6.2026'!$A$9:$L$1111,6,0),"")</f>
        <v>09/05/2012</v>
      </c>
      <c r="X272" s="16"/>
      <c r="Y272" s="21" t="str">
        <f>IFERROR(VLOOKUP(A272,'[2]19.6.2026'!$A$9:$L$1111,7,0),"")</f>
        <v>Khám bệnh, chữa bệnh chuyên khoa Ngoại; Phẫu thuật tạo hình</v>
      </c>
      <c r="Z272" s="16"/>
      <c r="AA272" s="27" t="str">
        <f>IFERROR(VLOOKUP(A272,'[3]DS UPLOAD 2026 (2)'!$A$2:$P$1111,16,0),"")</f>
        <v>27.0460;27.0463;27.0479;27.0481;10.0927;10.1118;10.0929;10.0930</v>
      </c>
      <c r="AB272" s="27" t="s">
        <v>1346</v>
      </c>
      <c r="AC272" s="28" t="s">
        <v>1347</v>
      </c>
    </row>
    <row r="273" spans="1:29" ht="18" customHeight="1" x14ac:dyDescent="0.3">
      <c r="A273" s="17" t="s">
        <v>1348</v>
      </c>
      <c r="B273" s="40" t="s">
        <v>1349</v>
      </c>
      <c r="C273" s="17" t="s">
        <v>1348</v>
      </c>
      <c r="D273" s="53"/>
      <c r="E273" s="19" t="s">
        <v>173</v>
      </c>
      <c r="F273" s="16" t="str">
        <f>VLOOKUP(E273,'[1]BẢNG MÃ'!$A$2:$B$69,2,0)</f>
        <v>TĐ005</v>
      </c>
      <c r="G273" s="20"/>
      <c r="H273" s="23" t="s">
        <v>161</v>
      </c>
      <c r="I273" s="16" t="s">
        <v>194</v>
      </c>
      <c r="J273" s="16" t="str">
        <f>VLOOKUP(I273,'[1]BẢNG MÃ'!$C$2:$D$69,2,0)</f>
        <v>KP014</v>
      </c>
      <c r="K273" s="16"/>
      <c r="L273" s="16"/>
      <c r="M273" s="16" t="s">
        <v>136</v>
      </c>
      <c r="N273" s="21">
        <f ca="1">VLOOKUP(A273,'[1]Bieu 1a'!$A$8:$AW$855,10,0)</f>
        <v>31</v>
      </c>
      <c r="O273" s="22" t="str">
        <f>VLOOKUP(A273,'[1]Bieu 1a'!$A$8:$AW$855,8,0)</f>
        <v>08/8/1994</v>
      </c>
      <c r="P273" s="22">
        <f>VLOOKUP(A273,'[1]Bieu 1a'!$A$8:$AW$855,9,0)</f>
        <v>0</v>
      </c>
      <c r="Q273" s="23" t="s">
        <v>44</v>
      </c>
      <c r="R273" s="24" t="str">
        <f>VLOOKUP(A273,'[1]Bieu 1a'!$A$8:$AW$855,23,0)</f>
        <v>13/7/2020</v>
      </c>
      <c r="S273" s="25" t="s">
        <v>1350</v>
      </c>
      <c r="T273" s="26" t="s">
        <v>1351</v>
      </c>
      <c r="U273" s="16"/>
      <c r="V273" s="16" t="str">
        <f>IFERROR(VLOOKUP(A273,'[2]19.6.2026'!$A$9:$L$1111,5,0),"")</f>
        <v>004509/LS-CCHN</v>
      </c>
      <c r="W273" s="16" t="str">
        <f>IFERROR(VLOOKUP(A273,'[2]19.6.2026'!$A$9:$L$1111,6,0),"")</f>
        <v>06/04/2022</v>
      </c>
      <c r="X273" s="16"/>
      <c r="Y273" s="21" t="str">
        <f>IFERROR(VLOOKUP(A273,'[2]19.6.2026'!$A$9:$L$1111,7,0),"")</f>
        <v>Khám bệnh, chữa bệnh Ngoại khoa</v>
      </c>
      <c r="Z273" s="16"/>
      <c r="AA273" s="27" t="str">
        <f>IFERROR(VLOOKUP(A273,'[3]DS UPLOAD 2026 (2)'!$A$2:$P$1111,16,0),"")</f>
        <v/>
      </c>
      <c r="AB273" s="50" t="s">
        <v>1352</v>
      </c>
      <c r="AC273" s="29" t="s">
        <v>893</v>
      </c>
    </row>
    <row r="274" spans="1:29" ht="18" customHeight="1" x14ac:dyDescent="0.3">
      <c r="A274" s="17" t="s">
        <v>1353</v>
      </c>
      <c r="B274" s="36" t="s">
        <v>1354</v>
      </c>
      <c r="C274" s="17" t="s">
        <v>1353</v>
      </c>
      <c r="D274" s="19"/>
      <c r="E274" s="19" t="s">
        <v>173</v>
      </c>
      <c r="F274" s="16" t="str">
        <f>VLOOKUP(E274,'[1]BẢNG MÃ'!$A$2:$B$69,2,0)</f>
        <v>TĐ005</v>
      </c>
      <c r="G274" s="20" t="s">
        <v>161</v>
      </c>
      <c r="H274" s="20" t="s">
        <v>161</v>
      </c>
      <c r="I274" s="16" t="s">
        <v>194</v>
      </c>
      <c r="J274" s="16" t="str">
        <f>VLOOKUP(I274,'[1]BẢNG MÃ'!$C$2:$D$69,2,0)</f>
        <v>KP014</v>
      </c>
      <c r="K274" s="16" t="s">
        <v>43</v>
      </c>
      <c r="L274" s="16">
        <v>0</v>
      </c>
      <c r="M274" s="16" t="s">
        <v>33</v>
      </c>
      <c r="N274" s="21">
        <f ca="1">VLOOKUP(A274,'[1]Bieu 1a'!$A$8:$AW$855,10,0)</f>
        <v>34</v>
      </c>
      <c r="O274" s="22" t="str">
        <f>VLOOKUP(A274,'[1]Bieu 1a'!$A$8:$AW$855,8,0)</f>
        <v>02/07/1992</v>
      </c>
      <c r="P274" s="22">
        <f>VLOOKUP(A274,'[1]Bieu 1a'!$A$8:$AW$855,9,0)</f>
        <v>0</v>
      </c>
      <c r="Q274" s="23" t="s">
        <v>50</v>
      </c>
      <c r="R274" s="24" t="str">
        <f>VLOOKUP(A274,'[1]Bieu 1a'!$A$8:$AW$855,23,0)</f>
        <v>20/3/2018</v>
      </c>
      <c r="S274" s="25" t="s">
        <v>1355</v>
      </c>
      <c r="T274" s="26" t="s">
        <v>1356</v>
      </c>
      <c r="U274" s="16"/>
      <c r="V274" s="16" t="str">
        <f>IFERROR(VLOOKUP(A274,'[2]19.6.2026'!$A$9:$L$1111,5,0),"")</f>
        <v>003635/LS-CCHN</v>
      </c>
      <c r="W274" s="16" t="str">
        <f>IFERROR(VLOOKUP(A274,'[2]19.6.2026'!$A$9:$L$1111,6,0),"")</f>
        <v>21/11/2019</v>
      </c>
      <c r="X274" s="16"/>
      <c r="Y274" s="21" t="str">
        <f>IFERROR(VLOOKUP(A274,'[2]19.6.2026'!$A$9:$L$1111,7,0),"")</f>
        <v>Khám bệnh, chữa bệnh Ngoại khoa</v>
      </c>
      <c r="Z274" s="16"/>
      <c r="AA274" s="27" t="str">
        <f>IFERROR(VLOOKUP(A274,'[3]DS UPLOAD 2026 (2)'!$A$2:$P$1111,16,0),"")</f>
        <v/>
      </c>
      <c r="AB274" s="27" t="s">
        <v>1357</v>
      </c>
      <c r="AC274" s="28" t="s">
        <v>374</v>
      </c>
    </row>
    <row r="275" spans="1:29" ht="18" customHeight="1" x14ac:dyDescent="0.3">
      <c r="A275" s="43" t="s">
        <v>1358</v>
      </c>
      <c r="B275" s="18" t="s">
        <v>1359</v>
      </c>
      <c r="C275" s="45" t="s">
        <v>1358</v>
      </c>
      <c r="D275" s="19"/>
      <c r="E275" s="19" t="s">
        <v>173</v>
      </c>
      <c r="F275" s="16" t="str">
        <f>VLOOKUP(E275,'[1]BẢNG MÃ'!$A$2:$B$69,2,0)</f>
        <v>TĐ005</v>
      </c>
      <c r="G275" s="20"/>
      <c r="H275" s="23" t="s">
        <v>161</v>
      </c>
      <c r="I275" s="16" t="s">
        <v>194</v>
      </c>
      <c r="J275" s="16" t="str">
        <f>VLOOKUP(I275,'[1]BẢNG MÃ'!$C$2:$D$69,2,0)</f>
        <v>KP014</v>
      </c>
      <c r="K275" s="16"/>
      <c r="L275" s="16"/>
      <c r="M275" s="16" t="s">
        <v>33</v>
      </c>
      <c r="N275" s="21">
        <f ca="1">VLOOKUP(A275,'[1]Bieu 1a'!$A$8:$AW$855,10,0)</f>
        <v>27</v>
      </c>
      <c r="O275" s="22" t="str">
        <f>VLOOKUP(A275,'[1]Bieu 1a'!$A$8:$AW$855,8,0)</f>
        <v>02/9/1998</v>
      </c>
      <c r="P275" s="22">
        <f>VLOOKUP(A275,'[1]Bieu 1a'!$A$8:$AW$855,9,0)</f>
        <v>0</v>
      </c>
      <c r="Q275" s="23" t="s">
        <v>44</v>
      </c>
      <c r="R275" s="24">
        <f>VLOOKUP(A275,'[1]Bieu 1a'!$A$8:$AW$855,23,0)</f>
        <v>44844</v>
      </c>
      <c r="S275" s="25" t="s">
        <v>1360</v>
      </c>
      <c r="T275" s="26" t="s">
        <v>1361</v>
      </c>
      <c r="U275" s="22">
        <f>EDATE(R275,12)</f>
        <v>45209</v>
      </c>
      <c r="V275" s="16" t="str">
        <f>IFERROR(VLOOKUP(A275,'[2]19.6.2026'!$A$9:$L$1111,5,0),"")</f>
        <v>000035/LS-GPHN</v>
      </c>
      <c r="W275" s="16" t="str">
        <f>IFERROR(VLOOKUP(A275,'[2]19.6.2026'!$A$9:$L$1111,6,0),"")</f>
        <v/>
      </c>
      <c r="X275" s="16"/>
      <c r="Y275" s="21" t="str">
        <f>IFERROR(VLOOKUP(A275,'[2]19.6.2026'!$A$9:$L$1111,7,0),"")</f>
        <v>Chuyên khoa Ngoại khoa</v>
      </c>
      <c r="Z275" s="16"/>
      <c r="AA275" s="27" t="str">
        <f>IFERROR(VLOOKUP(A275,'[3]DS UPLOAD 2026 (2)'!$A$2:$P$1111,16,0),"")</f>
        <v/>
      </c>
      <c r="AB275" s="27" t="s">
        <v>1362</v>
      </c>
      <c r="AC275" s="29" t="s">
        <v>1228</v>
      </c>
    </row>
    <row r="276" spans="1:29" ht="18" customHeight="1" x14ac:dyDescent="0.3">
      <c r="A276" s="92" t="s">
        <v>1363</v>
      </c>
      <c r="B276" s="93" t="s">
        <v>1364</v>
      </c>
      <c r="C276" s="94" t="s">
        <v>1363</v>
      </c>
      <c r="D276" s="95" t="s">
        <v>38</v>
      </c>
      <c r="E276" s="95" t="s">
        <v>173</v>
      </c>
      <c r="F276" s="16" t="str">
        <f>VLOOKUP(E276,'[1]BẢNG MÃ'!$A$2:$B$69,2,0)</f>
        <v>TĐ005</v>
      </c>
      <c r="G276" s="20" t="s">
        <v>161</v>
      </c>
      <c r="H276" s="96" t="s">
        <v>161</v>
      </c>
      <c r="I276" s="97" t="s">
        <v>194</v>
      </c>
      <c r="J276" s="98" t="str">
        <f>VLOOKUP(I276,'[1]BẢNG MÃ'!$C$2:$D$69,2,0)</f>
        <v>KP014</v>
      </c>
      <c r="K276" s="16" t="s">
        <v>43</v>
      </c>
      <c r="L276" s="97"/>
      <c r="M276" s="97" t="s">
        <v>33</v>
      </c>
      <c r="N276" s="21">
        <f ca="1">VLOOKUP(A276,'[1]Bieu 1a'!$A$8:$AW$855,10,0)</f>
        <v>28</v>
      </c>
      <c r="O276" s="22">
        <f>VLOOKUP(A276,'[1]Bieu 1a'!$A$8:$AW$855,8,0)</f>
        <v>0</v>
      </c>
      <c r="P276" s="22" t="str">
        <f>VLOOKUP(A276,'[1]Bieu 1a'!$A$8:$AW$855,9,0)</f>
        <v>25/02/1998</v>
      </c>
      <c r="Q276" s="23" t="s">
        <v>50</v>
      </c>
      <c r="R276" s="24">
        <f>VLOOKUP(A276,'[1]Bieu 1a'!$A$8:$AW$855,23,0)</f>
        <v>45047</v>
      </c>
      <c r="S276" s="25" t="s">
        <v>1365</v>
      </c>
      <c r="T276" s="26" t="s">
        <v>1366</v>
      </c>
      <c r="U276" s="97"/>
      <c r="V276" s="16" t="str">
        <f>IFERROR(VLOOKUP(A276,'[2]19.6.2026'!$A$9:$L$1111,5,0),"")</f>
        <v>000255/LS-GPHN</v>
      </c>
      <c r="W276" s="16">
        <f>IFERROR(VLOOKUP(A276,'[2]19.6.2026'!$A$9:$L$1111,6,0),"")</f>
        <v>45772</v>
      </c>
      <c r="X276" s="97"/>
      <c r="Y276" s="21" t="str">
        <f>IFERROR(VLOOKUP(A276,'[2]19.6.2026'!$A$9:$L$1111,7,0),"")</f>
        <v>Chuyên khoa Ngoại khoa</v>
      </c>
      <c r="Z276" s="16"/>
      <c r="AA276" s="27" t="str">
        <f>IFERROR(VLOOKUP(A276,'[3]DS UPLOAD 2026 (2)'!$A$2:$P$1111,16,0),"")</f>
        <v/>
      </c>
      <c r="AB276" s="97" t="s">
        <v>1367</v>
      </c>
      <c r="AC276" s="93" t="s">
        <v>1368</v>
      </c>
    </row>
    <row r="277" spans="1:29" ht="18" customHeight="1" x14ac:dyDescent="0.3">
      <c r="A277" s="17" t="s">
        <v>1369</v>
      </c>
      <c r="B277" s="36" t="s">
        <v>1370</v>
      </c>
      <c r="C277" s="17" t="s">
        <v>1369</v>
      </c>
      <c r="D277" s="53" t="s">
        <v>38</v>
      </c>
      <c r="E277" s="16" t="s">
        <v>563</v>
      </c>
      <c r="F277" s="16" t="str">
        <f>VLOOKUP(E277,'[1]BẢNG MÃ'!$A$2:$B$69,2,0)</f>
        <v>TĐ011</v>
      </c>
      <c r="G277" s="20"/>
      <c r="H277" s="20" t="s">
        <v>42</v>
      </c>
      <c r="I277" s="16" t="s">
        <v>194</v>
      </c>
      <c r="J277" s="16" t="str">
        <f>VLOOKUP(I277,'[1]BẢNG MÃ'!$C$2:$D$69,2,0)</f>
        <v>KP014</v>
      </c>
      <c r="K277" s="16"/>
      <c r="L277" s="16"/>
      <c r="M277" s="16" t="s">
        <v>33</v>
      </c>
      <c r="N277" s="21">
        <f ca="1">VLOOKUP(A277,'[1]Bieu 1a'!$A$8:$AW$855,10,0)</f>
        <v>28</v>
      </c>
      <c r="O277" s="22">
        <f>VLOOKUP(A277,'[1]Bieu 1a'!$A$8:$AW$855,8,0)</f>
        <v>0</v>
      </c>
      <c r="P277" s="22" t="str">
        <f>VLOOKUP(A277,'[1]Bieu 1a'!$A$8:$AW$855,9,0)</f>
        <v>14/7/1997</v>
      </c>
      <c r="Q277" s="23" t="s">
        <v>50</v>
      </c>
      <c r="R277" s="24" t="str">
        <f>VLOOKUP(A277,'[1]Bieu 1a'!$A$8:$AW$855,23,0)</f>
        <v>13/7/2020</v>
      </c>
      <c r="S277" s="25" t="s">
        <v>1371</v>
      </c>
      <c r="T277" s="26" t="s">
        <v>1372</v>
      </c>
      <c r="U277" s="16"/>
      <c r="V277" s="16" t="str">
        <f>IFERROR(VLOOKUP(A277,'[2]19.6.2026'!$A$9:$L$1111,5,0),"")</f>
        <v>004440/LS-CCHN</v>
      </c>
      <c r="W277" s="16" t="str">
        <f>IFERROR(VLOOKUP(A277,'[2]19.6.2026'!$A$9:$L$1111,6,0),"")</f>
        <v>18/02/2022</v>
      </c>
      <c r="X277" s="16"/>
      <c r="Y277" s="21" t="str">
        <f>IFERROR(VLOOKUP(A277,'[2]19.6.2026'!$A$9:$L$1111,7,0),"")</f>
        <v>Thực hiện phạm vi hoạt động chuyên môn theo quy định tại Thông tư số 26/2015/TTLT-BYT-BNV ngày 07/10/2015 quy định mã số, tiêu chuẩn chức danh nghề nghiệp điều dưỡng, hộ sinh, kỹ thuật y</v>
      </c>
      <c r="Z277" s="16"/>
      <c r="AA277" s="27" t="str">
        <f>IFERROR(VLOOKUP(A277,'[3]DS UPLOAD 2026 (2)'!$A$2:$P$1111,16,0),"")</f>
        <v/>
      </c>
      <c r="AB277" s="50" t="s">
        <v>1373</v>
      </c>
      <c r="AC277" s="29" t="s">
        <v>244</v>
      </c>
    </row>
    <row r="278" spans="1:29" ht="18" customHeight="1" x14ac:dyDescent="0.3">
      <c r="A278" s="17" t="s">
        <v>1374</v>
      </c>
      <c r="B278" s="36" t="s">
        <v>1375</v>
      </c>
      <c r="C278" s="17" t="s">
        <v>1374</v>
      </c>
      <c r="D278" s="53" t="s">
        <v>38</v>
      </c>
      <c r="E278" s="16" t="s">
        <v>41</v>
      </c>
      <c r="F278" s="16" t="str">
        <f>VLOOKUP(E278,'[1]BẢNG MÃ'!$A$2:$B$69,2,0)</f>
        <v>TĐ011</v>
      </c>
      <c r="G278" s="20"/>
      <c r="H278" s="20" t="s">
        <v>42</v>
      </c>
      <c r="I278" s="16" t="s">
        <v>194</v>
      </c>
      <c r="J278" s="16" t="str">
        <f>VLOOKUP(I278,'[1]BẢNG MÃ'!$C$2:$D$69,2,0)</f>
        <v>KP014</v>
      </c>
      <c r="K278" s="16"/>
      <c r="L278" s="16"/>
      <c r="M278" s="16" t="s">
        <v>33</v>
      </c>
      <c r="N278" s="21">
        <f ca="1">VLOOKUP(A278,'[1]Bieu 1a'!$A$8:$AW$855,10,0)</f>
        <v>31</v>
      </c>
      <c r="O278" s="22">
        <f>VLOOKUP(A278,'[1]Bieu 1a'!$A$8:$AW$855,8,0)</f>
        <v>0</v>
      </c>
      <c r="P278" s="22" t="str">
        <f>VLOOKUP(A278,'[1]Bieu 1a'!$A$8:$AW$855,9,0)</f>
        <v>19/5/1995</v>
      </c>
      <c r="Q278" s="23" t="s">
        <v>44</v>
      </c>
      <c r="R278" s="24" t="str">
        <f>VLOOKUP(A278,'[1]Bieu 1a'!$A$8:$AW$855,23,0)</f>
        <v>23/8/2021</v>
      </c>
      <c r="S278" s="25" t="s">
        <v>1376</v>
      </c>
      <c r="T278" s="26" t="s">
        <v>1377</v>
      </c>
      <c r="U278" s="78">
        <f>EDATE(R278,9)</f>
        <v>44704</v>
      </c>
      <c r="V278" s="16" t="str">
        <f>IFERROR(VLOOKUP(A278,'[2]19.6.2026'!$A$9:$L$1111,5,0),"")</f>
        <v>000122/LS-GPHN</v>
      </c>
      <c r="W278" s="16" t="str">
        <f>IFERROR(VLOOKUP(A278,'[2]19.6.2026'!$A$9:$L$1111,6,0),"")</f>
        <v/>
      </c>
      <c r="X278" s="16"/>
      <c r="Y278" s="21" t="str">
        <f>IFERROR(VLOOKUP(A278,'[2]19.6.2026'!$A$9:$L$1111,7,0),"")</f>
        <v>Điều dưỡng</v>
      </c>
      <c r="Z278" s="16"/>
      <c r="AA278" s="27" t="str">
        <f>IFERROR(VLOOKUP(A278,'[3]DS UPLOAD 2026 (2)'!$A$2:$P$1111,16,0),"")</f>
        <v/>
      </c>
      <c r="AB278" s="39" t="s">
        <v>1378</v>
      </c>
      <c r="AC278" s="29" t="s">
        <v>612</v>
      </c>
    </row>
    <row r="279" spans="1:29" ht="18" customHeight="1" x14ac:dyDescent="0.3">
      <c r="A279" s="17" t="s">
        <v>1379</v>
      </c>
      <c r="B279" s="18" t="s">
        <v>1380</v>
      </c>
      <c r="C279" s="17" t="s">
        <v>1379</v>
      </c>
      <c r="D279" s="19" t="s">
        <v>38</v>
      </c>
      <c r="E279" s="19" t="s">
        <v>41</v>
      </c>
      <c r="F279" s="16" t="str">
        <f>VLOOKUP(E279,'[1]BẢNG MÃ'!$A$2:$B$69,2,0)</f>
        <v>TĐ011</v>
      </c>
      <c r="G279" s="60"/>
      <c r="H279" s="20" t="s">
        <v>42</v>
      </c>
      <c r="I279" s="16" t="s">
        <v>194</v>
      </c>
      <c r="J279" s="16" t="str">
        <f>VLOOKUP(I279,'[1]BẢNG MÃ'!$C$2:$D$69,2,0)</f>
        <v>KP014</v>
      </c>
      <c r="K279" s="16"/>
      <c r="L279" s="16"/>
      <c r="M279" s="16" t="s">
        <v>136</v>
      </c>
      <c r="N279" s="21">
        <f ca="1">VLOOKUP(A279,'[1]Bieu 1a'!$A$8:$AW$855,10,0)</f>
        <v>25</v>
      </c>
      <c r="O279" s="22">
        <f>VLOOKUP(A279,'[1]Bieu 1a'!$A$8:$AW$855,8,0)</f>
        <v>0</v>
      </c>
      <c r="P279" s="22" t="str">
        <f>VLOOKUP(A279,'[1]Bieu 1a'!$A$8:$AW$855,9,0)</f>
        <v>30/12/2000</v>
      </c>
      <c r="Q279" s="23" t="s">
        <v>34</v>
      </c>
      <c r="R279" s="24">
        <f>VLOOKUP(A279,'[1]Bieu 1a'!$A$8:$AW$855,23,0)</f>
        <v>45030</v>
      </c>
      <c r="S279" s="25" t="s">
        <v>1381</v>
      </c>
      <c r="T279" s="26" t="s">
        <v>1382</v>
      </c>
      <c r="U279" s="78">
        <f>EDATE(R279,9)</f>
        <v>45305</v>
      </c>
      <c r="V279" s="16" t="str">
        <f>IFERROR(VLOOKUP(A279,'[2]19.6.2026'!$A$9:$L$1111,5,0),"")</f>
        <v>000181/LS-GPHN</v>
      </c>
      <c r="W279" s="16">
        <f>IFERROR(VLOOKUP(A279,'[2]19.6.2026'!$A$9:$L$1111,6,0),"")</f>
        <v>45633</v>
      </c>
      <c r="X279" s="16"/>
      <c r="Y279" s="21" t="str">
        <f>IFERROR(VLOOKUP(A279,'[2]19.6.2026'!$A$9:$L$1111,7,0),"")</f>
        <v>Điều dưỡng</v>
      </c>
      <c r="Z279" s="16"/>
      <c r="AA279" s="27" t="str">
        <f>IFERROR(VLOOKUP(A279,'[3]DS UPLOAD 2026 (2)'!$A$2:$P$1111,16,0),"")</f>
        <v/>
      </c>
      <c r="AB279" s="27" t="s">
        <v>1383</v>
      </c>
      <c r="AC279" s="28" t="s">
        <v>338</v>
      </c>
    </row>
    <row r="280" spans="1:29" ht="18" customHeight="1" x14ac:dyDescent="0.3">
      <c r="A280" s="43" t="s">
        <v>1384</v>
      </c>
      <c r="B280" s="44" t="s">
        <v>1385</v>
      </c>
      <c r="C280" s="45" t="s">
        <v>1384</v>
      </c>
      <c r="D280" s="23" t="s">
        <v>38</v>
      </c>
      <c r="E280" s="23" t="s">
        <v>41</v>
      </c>
      <c r="F280" s="16" t="str">
        <f>VLOOKUP(E280,'[1]BẢNG MÃ'!$A$2:$B$69,2,0)</f>
        <v>TĐ011</v>
      </c>
      <c r="G280" s="27"/>
      <c r="H280" s="20" t="s">
        <v>42</v>
      </c>
      <c r="I280" s="27" t="s">
        <v>194</v>
      </c>
      <c r="J280" s="16" t="str">
        <f>VLOOKUP(I280,'[1]BẢNG MÃ'!$C$2:$D$69,2,0)</f>
        <v>KP014</v>
      </c>
      <c r="K280" s="27"/>
      <c r="L280" s="27"/>
      <c r="M280" s="16" t="s">
        <v>33</v>
      </c>
      <c r="N280" s="21">
        <f ca="1">VLOOKUP(A280,'[1]Bieu 1a'!$A$8:$AW$855,10,0)</f>
        <v>26</v>
      </c>
      <c r="O280" s="22">
        <f>VLOOKUP(A280,'[1]Bieu 1a'!$A$8:$AW$855,8,0)</f>
        <v>0</v>
      </c>
      <c r="P280" s="22" t="str">
        <f>VLOOKUP(A280,'[1]Bieu 1a'!$A$8:$AW$855,9,0)</f>
        <v>30/01/2000</v>
      </c>
      <c r="Q280" s="23" t="s">
        <v>50</v>
      </c>
      <c r="R280" s="24">
        <f>VLOOKUP(A280,'[1]Bieu 1a'!$A$8:$AW$855,23,0)</f>
        <v>45260</v>
      </c>
      <c r="S280" s="25" t="s">
        <v>1386</v>
      </c>
      <c r="T280" s="26" t="s">
        <v>1387</v>
      </c>
      <c r="U280" s="52">
        <f>EDATE(R280,9)</f>
        <v>45534</v>
      </c>
      <c r="V280" s="16" t="str">
        <f>IFERROR(VLOOKUP(A280,'[2]19.6.2026'!$A$9:$L$1111,5,0),"")</f>
        <v>000232/LS-GPHN</v>
      </c>
      <c r="W280" s="16">
        <f>IFERROR(VLOOKUP(A280,'[2]19.6.2026'!$A$9:$L$1111,6,0),"")</f>
        <v>45747</v>
      </c>
      <c r="X280" s="16"/>
      <c r="Y280" s="21" t="str">
        <f>IFERROR(VLOOKUP(A280,'[2]19.6.2026'!$A$9:$L$1111,7,0),"")</f>
        <v>Điều dưỡng</v>
      </c>
      <c r="Z280" s="16"/>
      <c r="AA280" s="27" t="str">
        <f>IFERROR(VLOOKUP(A280,'[3]DS UPLOAD 2026 (2)'!$A$2:$P$1111,16,0),"")</f>
        <v/>
      </c>
      <c r="AB280" s="44" t="s">
        <v>1388</v>
      </c>
      <c r="AC280" s="29" t="s">
        <v>191</v>
      </c>
    </row>
    <row r="281" spans="1:29" ht="18" customHeight="1" x14ac:dyDescent="0.3">
      <c r="A281" s="43" t="s">
        <v>1389</v>
      </c>
      <c r="B281" s="44" t="s">
        <v>1390</v>
      </c>
      <c r="C281" s="45" t="s">
        <v>1389</v>
      </c>
      <c r="D281" s="19" t="s">
        <v>38</v>
      </c>
      <c r="E281" s="19" t="s">
        <v>41</v>
      </c>
      <c r="F281" s="16" t="str">
        <f>VLOOKUP(E281,'[1]BẢNG MÃ'!$A$2:$B$69,2,0)</f>
        <v>TĐ011</v>
      </c>
      <c r="G281" s="99"/>
      <c r="H281" s="20" t="s">
        <v>42</v>
      </c>
      <c r="I281" s="16" t="s">
        <v>194</v>
      </c>
      <c r="J281" s="16" t="str">
        <f>VLOOKUP(I281,'[1]BẢNG MÃ'!$C$2:$D$69,2,0)</f>
        <v>KP014</v>
      </c>
      <c r="K281" s="16"/>
      <c r="L281" s="16"/>
      <c r="M281" s="16" t="s">
        <v>136</v>
      </c>
      <c r="N281" s="21">
        <f ca="1">VLOOKUP(A281,'[1]Bieu 1a'!$A$8:$AW$855,10,0)</f>
        <v>24</v>
      </c>
      <c r="O281" s="22">
        <f>VLOOKUP(A281,'[1]Bieu 1a'!$A$8:$AW$855,8,0)</f>
        <v>0</v>
      </c>
      <c r="P281" s="22" t="str">
        <f>VLOOKUP(A281,'[1]Bieu 1a'!$A$8:$AW$855,9,0)</f>
        <v>11/12/2001</v>
      </c>
      <c r="Q281" s="23" t="s">
        <v>50</v>
      </c>
      <c r="R281" s="24">
        <f>VLOOKUP(A281,'[1]Bieu 1a'!$A$8:$AW$855,23,0)</f>
        <v>45271</v>
      </c>
      <c r="S281" s="25" t="s">
        <v>1391</v>
      </c>
      <c r="T281" s="26" t="s">
        <v>1392</v>
      </c>
      <c r="U281" s="52">
        <f>EDATE(R281,9)</f>
        <v>45546</v>
      </c>
      <c r="V281" s="16" t="str">
        <f>IFERROR(VLOOKUP(A281,'[2]19.6.2026'!$A$9:$L$1111,5,0),"")</f>
        <v/>
      </c>
      <c r="W281" s="16" t="str">
        <f>IFERROR(VLOOKUP(A281,'[2]19.6.2026'!$A$9:$L$1111,6,0),"")</f>
        <v/>
      </c>
      <c r="X281" s="16"/>
      <c r="Y281" s="21" t="str">
        <f>IFERROR(VLOOKUP(A281,'[2]19.6.2026'!$A$9:$L$1111,7,0),"")</f>
        <v/>
      </c>
      <c r="Z281" s="16"/>
      <c r="AA281" s="27" t="str">
        <f>IFERROR(VLOOKUP(A281,'[3]DS UPLOAD 2026 (2)'!$A$2:$P$1111,16,0),"")</f>
        <v/>
      </c>
      <c r="AB281" s="44" t="s">
        <v>1393</v>
      </c>
      <c r="AC281" s="81" t="s">
        <v>1394</v>
      </c>
    </row>
    <row r="282" spans="1:29" ht="18" customHeight="1" x14ac:dyDescent="0.3">
      <c r="A282" s="29" t="s">
        <v>1395</v>
      </c>
      <c r="B282" s="18" t="s">
        <v>1396</v>
      </c>
      <c r="C282" s="29" t="s">
        <v>1395</v>
      </c>
      <c r="D282" s="53"/>
      <c r="E282" s="19" t="s">
        <v>61</v>
      </c>
      <c r="F282" s="16" t="str">
        <f>VLOOKUP(E282,'[1]BẢNG MÃ'!$A$2:$B$69,2,0)</f>
        <v>TĐ012</v>
      </c>
      <c r="G282" s="20"/>
      <c r="H282" s="20" t="s">
        <v>62</v>
      </c>
      <c r="I282" s="16" t="s">
        <v>194</v>
      </c>
      <c r="J282" s="16" t="str">
        <f>VLOOKUP(I282,'[1]BẢNG MÃ'!$C$2:$D$69,2,0)</f>
        <v>KP014</v>
      </c>
      <c r="K282" s="16"/>
      <c r="L282" s="16"/>
      <c r="M282" s="23" t="s">
        <v>33</v>
      </c>
      <c r="N282" s="21">
        <f ca="1">VLOOKUP(A282,'[1]Bieu 1a'!$A$8:$AW$855,10,0)</f>
        <v>30</v>
      </c>
      <c r="O282" s="22" t="str">
        <f>VLOOKUP(A282,'[1]Bieu 1a'!$A$8:$AW$855,8,0)</f>
        <v>10/4/1996</v>
      </c>
      <c r="P282" s="22">
        <f>VLOOKUP(A282,'[1]Bieu 1a'!$A$8:$AW$855,9,0)</f>
        <v>0</v>
      </c>
      <c r="Q282" s="23" t="s">
        <v>44</v>
      </c>
      <c r="R282" s="24" t="str">
        <f>VLOOKUP(A282,'[1]Bieu 1a'!$A$8:$AW$855,23,0)</f>
        <v>02/12/2019</v>
      </c>
      <c r="S282" s="25" t="s">
        <v>1397</v>
      </c>
      <c r="T282" s="26" t="s">
        <v>1398</v>
      </c>
      <c r="U282" s="16"/>
      <c r="V282" s="16" t="str">
        <f>IFERROR(VLOOKUP(A282,'[2]19.6.2026'!$A$9:$L$1111,5,0),"")</f>
        <v>004094/LS-CCHN</v>
      </c>
      <c r="W282" s="16" t="str">
        <f>IFERROR(VLOOKUP(A282,'[2]19.6.2026'!$A$9:$L$1111,6,0),"")</f>
        <v>19/01/2021</v>
      </c>
      <c r="X282" s="16"/>
      <c r="Y282" s="21" t="str">
        <f>IFERROR(VLOOKUP(A282,'[2]19.6.2026'!$A$9:$L$1111,7,0),"")</f>
        <v>Thực hiện phạm vi hoạt động chuyên môn theo quy định tại Thông tư số 26/2015/TTLT-BYT-BNV ngày 07/10/2015 quy định mã số, tiêu chuẩn chức danh nghề nghiệp điều dưỡng, hộ sinh, kỹ thuật y</v>
      </c>
      <c r="Z282" s="16"/>
      <c r="AA282" s="27" t="str">
        <f>IFERROR(VLOOKUP(A282,'[3]DS UPLOAD 2026 (2)'!$A$2:$P$1111,16,0),"")</f>
        <v/>
      </c>
      <c r="AB282" s="27"/>
      <c r="AC282" s="29" t="s">
        <v>327</v>
      </c>
    </row>
    <row r="283" spans="1:29" ht="18" customHeight="1" x14ac:dyDescent="0.3">
      <c r="A283" s="17" t="s">
        <v>1399</v>
      </c>
      <c r="B283" s="36" t="s">
        <v>1400</v>
      </c>
      <c r="C283" s="17" t="s">
        <v>1399</v>
      </c>
      <c r="D283" s="53"/>
      <c r="E283" s="19" t="s">
        <v>61</v>
      </c>
      <c r="F283" s="16" t="str">
        <f>VLOOKUP(E283,'[1]BẢNG MÃ'!$A$2:$B$69,2,0)</f>
        <v>TĐ012</v>
      </c>
      <c r="G283" s="20"/>
      <c r="H283" s="20" t="s">
        <v>62</v>
      </c>
      <c r="I283" s="16" t="s">
        <v>194</v>
      </c>
      <c r="J283" s="16" t="str">
        <f>VLOOKUP(I283,'[1]BẢNG MÃ'!$C$2:$D$69,2,0)</f>
        <v>KP014</v>
      </c>
      <c r="K283" s="37"/>
      <c r="L283" s="16"/>
      <c r="M283" s="16" t="s">
        <v>136</v>
      </c>
      <c r="N283" s="21">
        <f ca="1">VLOOKUP(A283,'[1]Bieu 1a'!$A$8:$AW$855,10,0)</f>
        <v>29</v>
      </c>
      <c r="O283" s="22">
        <f>VLOOKUP(A283,'[1]Bieu 1a'!$A$8:$AW$855,8,0)</f>
        <v>35610</v>
      </c>
      <c r="P283" s="22">
        <f>VLOOKUP(A283,'[1]Bieu 1a'!$A$8:$AW$855,9,0)</f>
        <v>0</v>
      </c>
      <c r="Q283" s="23" t="s">
        <v>50</v>
      </c>
      <c r="R283" s="24" t="str">
        <f>VLOOKUP(A283,'[1]Bieu 1a'!$A$8:$AW$855,23,0)</f>
        <v>01/11/2018</v>
      </c>
      <c r="S283" s="25" t="s">
        <v>1401</v>
      </c>
      <c r="T283" s="26" t="s">
        <v>1402</v>
      </c>
      <c r="U283" s="16"/>
      <c r="V283" s="16" t="str">
        <f>IFERROR(VLOOKUP(A283,'[2]19.6.2026'!$A$9:$L$1111,5,0),"")</f>
        <v>003627/LS-CCHN</v>
      </c>
      <c r="W283" s="16" t="str">
        <f>IFERROR(VLOOKUP(A283,'[2]19.6.2026'!$A$9:$L$1111,6,0),"")</f>
        <v>21/11/2019</v>
      </c>
      <c r="X283" s="16"/>
      <c r="Y283" s="21" t="str">
        <f>IFERROR(VLOOKUP(A283,'[2]19.6.2026'!$A$9:$L$1111,7,0),"")</f>
        <v>Thực hiện phạm vi hoạt động chuyên môn theo quy định tại Thông tư số 26/2015/TTLT-BYT-BNV ngày 07/10/2015 quy định mã số, tiêu chuẩn chức danh nghề nghiệp điều dưỡng, hộ sinh, kỹ thuật y</v>
      </c>
      <c r="Z283" s="16"/>
      <c r="AA283" s="27" t="str">
        <f>IFERROR(VLOOKUP(A283,'[3]DS UPLOAD 2026 (2)'!$A$2:$P$1111,16,0),"")</f>
        <v/>
      </c>
      <c r="AB283" s="27" t="s">
        <v>1403</v>
      </c>
      <c r="AC283" s="28" t="s">
        <v>1404</v>
      </c>
    </row>
    <row r="284" spans="1:29" ht="18" customHeight="1" x14ac:dyDescent="0.3">
      <c r="A284" s="17" t="s">
        <v>1405</v>
      </c>
      <c r="B284" s="59" t="s">
        <v>1406</v>
      </c>
      <c r="C284" s="17" t="s">
        <v>1405</v>
      </c>
      <c r="D284" s="19" t="s">
        <v>38</v>
      </c>
      <c r="E284" s="19" t="s">
        <v>61</v>
      </c>
      <c r="F284" s="16" t="str">
        <f>VLOOKUP(E284,'[1]BẢNG MÃ'!$A$2:$B$69,2,0)</f>
        <v>TĐ012</v>
      </c>
      <c r="G284" s="20"/>
      <c r="H284" s="20" t="s">
        <v>62</v>
      </c>
      <c r="I284" s="16" t="s">
        <v>194</v>
      </c>
      <c r="J284" s="16" t="str">
        <f>VLOOKUP(I284,'[1]BẢNG MÃ'!$C$2:$D$69,2,0)</f>
        <v>KP014</v>
      </c>
      <c r="K284" s="16"/>
      <c r="L284" s="16"/>
      <c r="M284" s="23" t="s">
        <v>33</v>
      </c>
      <c r="N284" s="21">
        <f ca="1">VLOOKUP(A284,'[1]Bieu 1a'!$A$8:$AW$855,10,0)</f>
        <v>30</v>
      </c>
      <c r="O284" s="22">
        <f>VLOOKUP(A284,'[1]Bieu 1a'!$A$8:$AW$855,8,0)</f>
        <v>0</v>
      </c>
      <c r="P284" s="22" t="str">
        <f>VLOOKUP(A284,'[1]Bieu 1a'!$A$8:$AW$855,9,0)</f>
        <v>14/8/1995</v>
      </c>
      <c r="Q284" s="23" t="s">
        <v>34</v>
      </c>
      <c r="R284" s="24" t="str">
        <f>VLOOKUP(A284,'[1]Bieu 1a'!$A$8:$AW$855,23,0)</f>
        <v xml:space="preserve"> 02/10/2017</v>
      </c>
      <c r="S284" s="25" t="s">
        <v>1407</v>
      </c>
      <c r="T284" s="26" t="s">
        <v>935</v>
      </c>
      <c r="U284" s="16"/>
      <c r="V284" s="16" t="str">
        <f>IFERROR(VLOOKUP(A284,'[2]19.6.2026'!$A$9:$L$1111,5,0),"")</f>
        <v>003806/LS-CCHN</v>
      </c>
      <c r="W284" s="16" t="str">
        <f>IFERROR(VLOOKUP(A284,'[2]19.6.2026'!$A$9:$L$1111,6,0),"")</f>
        <v>21/07/2020</v>
      </c>
      <c r="X284" s="16"/>
      <c r="Y284" s="21" t="str">
        <f>IFERROR(VLOOKUP(A284,'[2]19.6.2026'!$A$9:$L$1111,7,0),"")</f>
        <v>Thực hiện phạm vi hoạt động chuyên môn theo quy định tại Thông tư số 26/2015/TTLT-BYT-BNV ngày 07/10/2015 quy định mã số, tiêu chuẩn chức danh nghề nghiệp điều dưỡng, hộ sinh, kỹ thuật y</v>
      </c>
      <c r="Z284" s="16"/>
      <c r="AA284" s="27" t="str">
        <f>IFERROR(VLOOKUP(A284,'[3]DS UPLOAD 2026 (2)'!$A$2:$P$1111,16,0),"")</f>
        <v/>
      </c>
      <c r="AB284" s="27" t="s">
        <v>1408</v>
      </c>
      <c r="AC284" s="29" t="s">
        <v>1409</v>
      </c>
    </row>
    <row r="285" spans="1:29" ht="18" customHeight="1" x14ac:dyDescent="0.3">
      <c r="A285" s="17" t="s">
        <v>1410</v>
      </c>
      <c r="B285" s="18" t="s">
        <v>1411</v>
      </c>
      <c r="C285" s="17" t="s">
        <v>1410</v>
      </c>
      <c r="D285" s="19"/>
      <c r="E285" s="19" t="s">
        <v>61</v>
      </c>
      <c r="F285" s="16" t="str">
        <f>VLOOKUP(E285,'[1]BẢNG MÃ'!$A$2:$B$69,2,0)</f>
        <v>TĐ012</v>
      </c>
      <c r="G285" s="20"/>
      <c r="H285" s="20" t="s">
        <v>62</v>
      </c>
      <c r="I285" s="16" t="s">
        <v>194</v>
      </c>
      <c r="J285" s="16" t="str">
        <f>VLOOKUP(I285,'[1]BẢNG MÃ'!$C$2:$D$69,2,0)</f>
        <v>KP014</v>
      </c>
      <c r="K285" s="16"/>
      <c r="L285" s="16"/>
      <c r="M285" s="23" t="s">
        <v>33</v>
      </c>
      <c r="N285" s="21">
        <f ca="1">VLOOKUP(A285,'[1]Bieu 1a'!$A$8:$AW$855,10,0)</f>
        <v>35</v>
      </c>
      <c r="O285" s="22" t="str">
        <f>VLOOKUP(A285,'[1]Bieu 1a'!$A$8:$AW$855,8,0)</f>
        <v>08/01/1991</v>
      </c>
      <c r="P285" s="22">
        <f>VLOOKUP(A285,'[1]Bieu 1a'!$A$8:$AW$855,9,0)</f>
        <v>0</v>
      </c>
      <c r="Q285" s="23" t="s">
        <v>50</v>
      </c>
      <c r="R285" s="24" t="str">
        <f>VLOOKUP(A285,'[1]Bieu 1a'!$A$8:$AW$855,23,0)</f>
        <v xml:space="preserve"> 29/8/2016</v>
      </c>
      <c r="S285" s="25" t="s">
        <v>1412</v>
      </c>
      <c r="T285" s="26" t="s">
        <v>1387</v>
      </c>
      <c r="U285" s="16"/>
      <c r="V285" s="16" t="str">
        <f>IFERROR(VLOOKUP(A285,'[2]19.6.2026'!$A$9:$L$1111,5,0),"")</f>
        <v>003417/LS-CCHN</v>
      </c>
      <c r="W285" s="16" t="str">
        <f>IFERROR(VLOOKUP(A285,'[2]19.6.2026'!$A$9:$L$1111,6,0),"")</f>
        <v>21/01/2019</v>
      </c>
      <c r="X285" s="16"/>
      <c r="Y285" s="21" t="str">
        <f>IFERROR(VLOOKUP(A285,'[2]19.6.2026'!$A$9:$L$1111,7,0),"")</f>
        <v>Thực hiện phạm vi hoạt động chuyên môn theo quy định tại Thông tư số 26/2015/TTLT-BYT-BNV ngày 07/10/2015 quy định mã số, tiêu chuẩn chức danh nghề nghiệp điều dưỡng, hộ sinh, kỹ thuật y</v>
      </c>
      <c r="Z285" s="16"/>
      <c r="AA285" s="27" t="str">
        <f>IFERROR(VLOOKUP(A285,'[3]DS UPLOAD 2026 (2)'!$A$2:$P$1111,16,0),"")</f>
        <v/>
      </c>
      <c r="AB285" s="27" t="s">
        <v>1413</v>
      </c>
      <c r="AC285" s="29" t="s">
        <v>239</v>
      </c>
    </row>
    <row r="286" spans="1:29" ht="18" customHeight="1" x14ac:dyDescent="0.3">
      <c r="A286" s="17" t="s">
        <v>1414</v>
      </c>
      <c r="B286" s="36" t="s">
        <v>1415</v>
      </c>
      <c r="C286" s="17" t="s">
        <v>1414</v>
      </c>
      <c r="D286" s="53"/>
      <c r="E286" s="19" t="s">
        <v>61</v>
      </c>
      <c r="F286" s="16" t="str">
        <f>VLOOKUP(E286,'[1]BẢNG MÃ'!$A$2:$B$69,2,0)</f>
        <v>TĐ012</v>
      </c>
      <c r="G286" s="20"/>
      <c r="H286" s="20" t="s">
        <v>62</v>
      </c>
      <c r="I286" s="16" t="s">
        <v>194</v>
      </c>
      <c r="J286" s="16" t="str">
        <f>VLOOKUP(I286,'[1]BẢNG MÃ'!$C$2:$D$69,2,0)</f>
        <v>KP014</v>
      </c>
      <c r="K286" s="37"/>
      <c r="L286" s="16"/>
      <c r="M286" s="23" t="s">
        <v>33</v>
      </c>
      <c r="N286" s="21">
        <f ca="1">VLOOKUP(A286,'[1]Bieu 1a'!$A$8:$AW$855,10,0)</f>
        <v>29</v>
      </c>
      <c r="O286" s="22">
        <f>VLOOKUP(A286,'[1]Bieu 1a'!$A$8:$AW$855,8,0)</f>
        <v>35500</v>
      </c>
      <c r="P286" s="22">
        <f>VLOOKUP(A286,'[1]Bieu 1a'!$A$8:$AW$855,9,0)</f>
        <v>0</v>
      </c>
      <c r="Q286" s="23" t="s">
        <v>44</v>
      </c>
      <c r="R286" s="24" t="str">
        <f>VLOOKUP(A286,'[1]Bieu 1a'!$A$8:$AW$855,23,0)</f>
        <v>01/11/2018</v>
      </c>
      <c r="S286" s="25" t="s">
        <v>1416</v>
      </c>
      <c r="T286" s="26" t="s">
        <v>1417</v>
      </c>
      <c r="U286" s="16"/>
      <c r="V286" s="16" t="str">
        <f>IFERROR(VLOOKUP(A286,'[2]19.6.2026'!$A$9:$L$1111,5,0),"")</f>
        <v>003719/LS-CCHN</v>
      </c>
      <c r="W286" s="16" t="str">
        <f>IFERROR(VLOOKUP(A286,'[2]19.6.2026'!$A$9:$L$1111,6,0),"")</f>
        <v>22/05/2020</v>
      </c>
      <c r="X286" s="16"/>
      <c r="Y286" s="21" t="str">
        <f>IFERROR(VLOOKUP(A286,'[2]19.6.2026'!$A$9:$L$1111,7,0),"")</f>
        <v>Thực hiện phạm vi hoạt động chuyên môn theo quy định tại Thông tư số 26/2015/TTLT-BYT-BNV ngày 07/10/2015 quy định mã số, tiêu chuẩn chức danh nghề nghiệp điều dưỡng, hộ sinh, kỹ thuật y</v>
      </c>
      <c r="Z286" s="16"/>
      <c r="AA286" s="27" t="str">
        <f>IFERROR(VLOOKUP(A286,'[3]DS UPLOAD 2026 (2)'!$A$2:$P$1111,16,0),"")</f>
        <v/>
      </c>
      <c r="AB286" s="27" t="s">
        <v>1418</v>
      </c>
      <c r="AC286" s="29" t="s">
        <v>85</v>
      </c>
    </row>
    <row r="287" spans="1:29" ht="18" customHeight="1" x14ac:dyDescent="0.3">
      <c r="A287" s="17" t="s">
        <v>1419</v>
      </c>
      <c r="B287" s="38" t="s">
        <v>1420</v>
      </c>
      <c r="C287" s="17" t="s">
        <v>1419</v>
      </c>
      <c r="D287" s="19" t="s">
        <v>38</v>
      </c>
      <c r="E287" s="19" t="s">
        <v>61</v>
      </c>
      <c r="F287" s="16" t="str">
        <f>VLOOKUP(E287,'[1]BẢNG MÃ'!$A$2:$B$69,2,0)</f>
        <v>TĐ012</v>
      </c>
      <c r="G287" s="38"/>
      <c r="H287" s="20" t="s">
        <v>62</v>
      </c>
      <c r="I287" s="16" t="s">
        <v>194</v>
      </c>
      <c r="J287" s="16" t="str">
        <f>VLOOKUP(I287,'[1]BẢNG MÃ'!$C$2:$D$69,2,0)</f>
        <v>KP014</v>
      </c>
      <c r="K287" s="16"/>
      <c r="L287" s="16"/>
      <c r="M287" s="23" t="s">
        <v>33</v>
      </c>
      <c r="N287" s="21">
        <f ca="1">VLOOKUP(A287,'[1]Bieu 1a'!$A$8:$AW$855,10,0)</f>
        <v>28</v>
      </c>
      <c r="O287" s="22">
        <f>VLOOKUP(A287,'[1]Bieu 1a'!$A$8:$AW$855,8,0)</f>
        <v>0</v>
      </c>
      <c r="P287" s="22" t="str">
        <f>VLOOKUP(A287,'[1]Bieu 1a'!$A$8:$AW$855,9,0)</f>
        <v>24/10/1997</v>
      </c>
      <c r="Q287" s="23" t="s">
        <v>44</v>
      </c>
      <c r="R287" s="24" t="str">
        <f>VLOOKUP(A287,'[1]Bieu 1a'!$A$8:$AW$855,23,0)</f>
        <v>17/4/2019</v>
      </c>
      <c r="S287" s="25" t="s">
        <v>1421</v>
      </c>
      <c r="T287" s="26" t="s">
        <v>1422</v>
      </c>
      <c r="U287" s="16"/>
      <c r="V287" s="16" t="str">
        <f>IFERROR(VLOOKUP(A287,'[2]19.6.2026'!$A$9:$L$1111,5,0),"")</f>
        <v>004134/LS-CCHN</v>
      </c>
      <c r="W287" s="16" t="str">
        <f>IFERROR(VLOOKUP(A287,'[2]19.6.2026'!$A$9:$L$1111,6,0),"")</f>
        <v>08/02/2021</v>
      </c>
      <c r="X287" s="16"/>
      <c r="Y287" s="21" t="str">
        <f>IFERROR(VLOOKUP(A287,'[2]19.6.2026'!$A$9:$L$1111,7,0),"")</f>
        <v>Thực hiện phạm vi hoạt động chuyên môn theo quy định tại Thông tư số 26/2015/TTLT-BYT-BNV ngày 07/10/2015 quy định mã số, tiêu chuẩn chức danh nghề nghiệp điều dưỡng, hộ sinh, kỹ thuật y</v>
      </c>
      <c r="Z287" s="16"/>
      <c r="AA287" s="27" t="str">
        <f>IFERROR(VLOOKUP(A287,'[3]DS UPLOAD 2026 (2)'!$A$2:$P$1111,16,0),"")</f>
        <v/>
      </c>
      <c r="AB287" s="27" t="s">
        <v>1423</v>
      </c>
      <c r="AC287" s="29" t="s">
        <v>222</v>
      </c>
    </row>
    <row r="288" spans="1:29" ht="18" customHeight="1" x14ac:dyDescent="0.3">
      <c r="A288" s="29" t="s">
        <v>1424</v>
      </c>
      <c r="B288" s="18" t="s">
        <v>1425</v>
      </c>
      <c r="C288" s="29" t="s">
        <v>1424</v>
      </c>
      <c r="D288" s="19" t="s">
        <v>38</v>
      </c>
      <c r="E288" s="19" t="s">
        <v>61</v>
      </c>
      <c r="F288" s="16" t="str">
        <f>VLOOKUP(E288,'[1]BẢNG MÃ'!$A$2:$B$69,2,0)</f>
        <v>TĐ012</v>
      </c>
      <c r="G288" s="20"/>
      <c r="H288" s="20" t="s">
        <v>62</v>
      </c>
      <c r="I288" s="16" t="s">
        <v>194</v>
      </c>
      <c r="J288" s="16" t="str">
        <f>VLOOKUP(I288,'[1]BẢNG MÃ'!$C$2:$D$69,2,0)</f>
        <v>KP014</v>
      </c>
      <c r="K288" s="16"/>
      <c r="L288" s="16"/>
      <c r="M288" s="16" t="s">
        <v>33</v>
      </c>
      <c r="N288" s="21">
        <f ca="1">VLOOKUP(A288,'[1]Bieu 1a'!$A$8:$AW$855,10,0)</f>
        <v>28</v>
      </c>
      <c r="O288" s="22">
        <f>VLOOKUP(A288,'[1]Bieu 1a'!$A$8:$AW$855,8,0)</f>
        <v>0</v>
      </c>
      <c r="P288" s="22" t="str">
        <f>VLOOKUP(A288,'[1]Bieu 1a'!$A$8:$AW$855,9,0)</f>
        <v>21/9/1997</v>
      </c>
      <c r="Q288" s="23" t="s">
        <v>50</v>
      </c>
      <c r="R288" s="24" t="str">
        <f>VLOOKUP(A288,'[1]Bieu 1a'!$A$8:$AW$855,23,0)</f>
        <v>02/12/2019</v>
      </c>
      <c r="S288" s="25" t="s">
        <v>1426</v>
      </c>
      <c r="T288" s="26" t="s">
        <v>1427</v>
      </c>
      <c r="U288" s="16"/>
      <c r="V288" s="16" t="str">
        <f>IFERROR(VLOOKUP(A288,'[2]19.6.2026'!$A$9:$L$1111,5,0),"")</f>
        <v>004084/LS-CCHN</v>
      </c>
      <c r="W288" s="16" t="str">
        <f>IFERROR(VLOOKUP(A288,'[2]19.6.2026'!$A$9:$L$1111,6,0),"")</f>
        <v>19/01/2021</v>
      </c>
      <c r="X288" s="16"/>
      <c r="Y288" s="21" t="str">
        <f>IFERROR(VLOOKUP(A288,'[2]19.6.2026'!$A$9:$L$1111,7,0),"")</f>
        <v>Thực hiện phạm vi hoạt động chuyên môn theo quy định tại Thông tư số 26/2015/TTLT-BYT-BNV ngày 07/10/2015 quy định mã số, tiêu chuẩn chức danh nghề nghiệp điều dưỡng, hộ sinh, kỹ thuật y</v>
      </c>
      <c r="Z288" s="16"/>
      <c r="AA288" s="27" t="str">
        <f>IFERROR(VLOOKUP(A288,'[3]DS UPLOAD 2026 (2)'!$A$2:$P$1111,16,0),"")</f>
        <v/>
      </c>
      <c r="AB288" s="27"/>
      <c r="AC288" s="29" t="s">
        <v>591</v>
      </c>
    </row>
    <row r="289" spans="1:29" ht="18" customHeight="1" x14ac:dyDescent="0.3">
      <c r="A289" s="17" t="s">
        <v>1428</v>
      </c>
      <c r="B289" s="18" t="s">
        <v>1429</v>
      </c>
      <c r="C289" s="17" t="s">
        <v>1428</v>
      </c>
      <c r="D289" s="19" t="s">
        <v>38</v>
      </c>
      <c r="E289" s="19" t="s">
        <v>61</v>
      </c>
      <c r="F289" s="16" t="str">
        <f>VLOOKUP(E289,'[1]BẢNG MÃ'!$A$2:$B$69,2,0)</f>
        <v>TĐ012</v>
      </c>
      <c r="G289" s="20"/>
      <c r="H289" s="20" t="s">
        <v>62</v>
      </c>
      <c r="I289" s="16" t="s">
        <v>194</v>
      </c>
      <c r="J289" s="16" t="str">
        <f>VLOOKUP(I289,'[1]BẢNG MÃ'!$C$2:$D$69,2,0)</f>
        <v>KP014</v>
      </c>
      <c r="K289" s="16"/>
      <c r="L289" s="16"/>
      <c r="M289" s="23" t="s">
        <v>33</v>
      </c>
      <c r="N289" s="21">
        <f ca="1">VLOOKUP(A289,'[1]Bieu 1a'!$A$8:$AW$855,10,0)</f>
        <v>31</v>
      </c>
      <c r="O289" s="22">
        <f>VLOOKUP(A289,'[1]Bieu 1a'!$A$8:$AW$855,8,0)</f>
        <v>0</v>
      </c>
      <c r="P289" s="22" t="str">
        <f>VLOOKUP(A289,'[1]Bieu 1a'!$A$8:$AW$855,9,0)</f>
        <v>29/7/1994</v>
      </c>
      <c r="Q289" s="23" t="s">
        <v>44</v>
      </c>
      <c r="R289" s="24" t="str">
        <f>VLOOKUP(A289,'[1]Bieu 1a'!$A$8:$AW$855,23,0)</f>
        <v xml:space="preserve"> 29/8/2016</v>
      </c>
      <c r="S289" s="25" t="s">
        <v>1430</v>
      </c>
      <c r="T289" s="26" t="s">
        <v>1431</v>
      </c>
      <c r="U289" s="16"/>
      <c r="V289" s="16" t="str">
        <f>IFERROR(VLOOKUP(A289,'[2]19.6.2026'!$A$9:$L$1111,5,0),"")</f>
        <v>002142/LS-CCHN</v>
      </c>
      <c r="W289" s="16" t="str">
        <f>IFERROR(VLOOKUP(A289,'[2]19.6.2026'!$A$9:$L$1111,6,0),"")</f>
        <v>01/12/2017</v>
      </c>
      <c r="X289" s="16"/>
      <c r="Y289" s="21" t="str">
        <f>IFERROR(VLOOKUP(A289,'[2]19.6.2026'!$A$9:$L$1111,7,0),"")</f>
        <v>Thực hiện phạm vi hoạt động chuyên môn theo quy định tại Thông tư số 26/2015/TTLT-BYT-BNV ngày 07/10/2015 quy định mã số, tiêu chuẩn chức danh nghề nghiệp điều dưỡng, hộ sinh, kỹ thuật y</v>
      </c>
      <c r="Z289" s="16"/>
      <c r="AA289" s="27" t="str">
        <f>IFERROR(VLOOKUP(A289,'[3]DS UPLOAD 2026 (2)'!$A$2:$P$1111,16,0),"")</f>
        <v/>
      </c>
      <c r="AB289" s="27" t="s">
        <v>1432</v>
      </c>
      <c r="AC289" s="29" t="s">
        <v>239</v>
      </c>
    </row>
    <row r="290" spans="1:29" ht="18" customHeight="1" x14ac:dyDescent="0.3">
      <c r="A290" s="17" t="s">
        <v>1433</v>
      </c>
      <c r="B290" s="36" t="s">
        <v>712</v>
      </c>
      <c r="C290" s="17" t="s">
        <v>1433</v>
      </c>
      <c r="D290" s="53" t="s">
        <v>38</v>
      </c>
      <c r="E290" s="19" t="s">
        <v>61</v>
      </c>
      <c r="F290" s="16" t="str">
        <f>VLOOKUP(E290,'[1]BẢNG MÃ'!$A$2:$B$69,2,0)</f>
        <v>TĐ012</v>
      </c>
      <c r="G290" s="20"/>
      <c r="H290" s="20" t="s">
        <v>62</v>
      </c>
      <c r="I290" s="16" t="s">
        <v>194</v>
      </c>
      <c r="J290" s="16" t="str">
        <f>VLOOKUP(I290,'[1]BẢNG MÃ'!$C$2:$D$69,2,0)</f>
        <v>KP014</v>
      </c>
      <c r="K290" s="16"/>
      <c r="L290" s="16"/>
      <c r="M290" s="16" t="s">
        <v>33</v>
      </c>
      <c r="N290" s="21">
        <f ca="1">VLOOKUP(A290,'[1]Bieu 1a'!$A$8:$AW$855,10,0)</f>
        <v>31</v>
      </c>
      <c r="O290" s="22">
        <f>VLOOKUP(A290,'[1]Bieu 1a'!$A$8:$AW$855,8,0)</f>
        <v>0</v>
      </c>
      <c r="P290" s="22" t="str">
        <f>VLOOKUP(A290,'[1]Bieu 1a'!$A$8:$AW$855,9,0)</f>
        <v>09/10/1994</v>
      </c>
      <c r="Q290" s="23" t="s">
        <v>50</v>
      </c>
      <c r="R290" s="24" t="str">
        <f>VLOOKUP(A290,'[1]Bieu 1a'!$A$8:$AW$855,23,0)</f>
        <v>13/7/2020</v>
      </c>
      <c r="S290" s="25" t="s">
        <v>1434</v>
      </c>
      <c r="T290" s="26" t="s">
        <v>1435</v>
      </c>
      <c r="U290" s="16"/>
      <c r="V290" s="16" t="str">
        <f>IFERROR(VLOOKUP(A290,'[2]19.6.2026'!$A$9:$L$1111,5,0),"")</f>
        <v>004246/LS-CCHN</v>
      </c>
      <c r="W290" s="16" t="str">
        <f>IFERROR(VLOOKUP(A290,'[2]19.6.2026'!$A$9:$L$1111,6,0),"")</f>
        <v>10/06/2021</v>
      </c>
      <c r="X290" s="16"/>
      <c r="Y290" s="21" t="str">
        <f>IFERROR(VLOOKUP(A290,'[2]19.6.2026'!$A$9:$L$1111,7,0),"")</f>
        <v>Thực hiện phạm vi hoạt động chuyên môn theo quy định tại Thông tư số 26/2015/TTLT-BYT-BNV ngày 07/10/2015 quy định mã số, tiêu chuẩn chức danh nghề nghiệp điều dưỡng, hộ sinh, kỹ thuật y</v>
      </c>
      <c r="Z290" s="16"/>
      <c r="AA290" s="27" t="str">
        <f>IFERROR(VLOOKUP(A290,'[3]DS UPLOAD 2026 (2)'!$A$2:$P$1111,16,0),"")</f>
        <v/>
      </c>
      <c r="AB290" s="50" t="s">
        <v>1436</v>
      </c>
      <c r="AC290" s="29" t="s">
        <v>244</v>
      </c>
    </row>
    <row r="291" spans="1:29" ht="18" customHeight="1" x14ac:dyDescent="0.3">
      <c r="A291" s="17" t="s">
        <v>1437</v>
      </c>
      <c r="B291" s="36" t="s">
        <v>1438</v>
      </c>
      <c r="C291" s="17" t="s">
        <v>1437</v>
      </c>
      <c r="D291" s="19" t="s">
        <v>38</v>
      </c>
      <c r="E291" s="19" t="s">
        <v>61</v>
      </c>
      <c r="F291" s="16" t="str">
        <f>VLOOKUP(E291,'[1]BẢNG MÃ'!$A$2:$B$69,2,0)</f>
        <v>TĐ012</v>
      </c>
      <c r="G291" s="20"/>
      <c r="H291" s="20" t="s">
        <v>62</v>
      </c>
      <c r="I291" s="16" t="s">
        <v>194</v>
      </c>
      <c r="J291" s="16" t="str">
        <f>VLOOKUP(I291,'[1]BẢNG MÃ'!$C$2:$D$69,2,0)</f>
        <v>KP014</v>
      </c>
      <c r="K291" s="19"/>
      <c r="L291" s="16"/>
      <c r="M291" s="16" t="s">
        <v>33</v>
      </c>
      <c r="N291" s="21">
        <f ca="1">VLOOKUP(A291,'[1]Bieu 1a'!$A$8:$AW$855,10,0)</f>
        <v>27</v>
      </c>
      <c r="O291" s="22">
        <f>VLOOKUP(A291,'[1]Bieu 1a'!$A$8:$AW$855,8,0)</f>
        <v>0</v>
      </c>
      <c r="P291" s="22" t="str">
        <f>VLOOKUP(A291,'[1]Bieu 1a'!$A$8:$AW$855,9,0)</f>
        <v>16/7/1998</v>
      </c>
      <c r="Q291" s="23" t="s">
        <v>44</v>
      </c>
      <c r="R291" s="24" t="str">
        <f>VLOOKUP(A291,'[1]Bieu 1a'!$A$8:$AW$855,23,0)</f>
        <v>03/11/2020</v>
      </c>
      <c r="S291" s="25" t="s">
        <v>1439</v>
      </c>
      <c r="T291" s="26" t="s">
        <v>1440</v>
      </c>
      <c r="U291" s="16"/>
      <c r="V291" s="16" t="str">
        <f>IFERROR(VLOOKUP(A291,'[2]19.6.2026'!$A$9:$L$1111,5,0),"")</f>
        <v>004527/LS-CCHN</v>
      </c>
      <c r="W291" s="16" t="str">
        <f>IFERROR(VLOOKUP(A291,'[2]19.6.2026'!$A$9:$L$1111,6,0),"")</f>
        <v>12/05/2022</v>
      </c>
      <c r="X291" s="16"/>
      <c r="Y291" s="21" t="str">
        <f>IFERROR(VLOOKUP(A291,'[2]19.6.2026'!$A$9:$L$1111,7,0),"")</f>
        <v>Thực hiện phạm vi hoạt động chuyên môn theo quy định tại Thông tư số 26/2015/TTLT-BYT-BNV ngày 07/10/2015 quy định mã số, tiêu chuẩn chức danh nghề nghiệp điều dưỡng, hộ sinh, kỹ thuật y</v>
      </c>
      <c r="Z291" s="16"/>
      <c r="AA291" s="27" t="str">
        <f>IFERROR(VLOOKUP(A291,'[3]DS UPLOAD 2026 (2)'!$A$2:$P$1111,16,0),"")</f>
        <v/>
      </c>
      <c r="AB291" s="39" t="s">
        <v>1441</v>
      </c>
      <c r="AC291" s="29" t="s">
        <v>97</v>
      </c>
    </row>
    <row r="292" spans="1:29" ht="18" customHeight="1" x14ac:dyDescent="0.3">
      <c r="A292" s="17" t="s">
        <v>1442</v>
      </c>
      <c r="B292" s="36" t="s">
        <v>1443</v>
      </c>
      <c r="C292" s="17" t="s">
        <v>1442</v>
      </c>
      <c r="D292" s="53"/>
      <c r="E292" s="19" t="s">
        <v>61</v>
      </c>
      <c r="F292" s="16" t="str">
        <f>VLOOKUP(E292,'[1]BẢNG MÃ'!$A$2:$B$69,2,0)</f>
        <v>TĐ012</v>
      </c>
      <c r="G292" s="20"/>
      <c r="H292" s="20" t="s">
        <v>62</v>
      </c>
      <c r="I292" s="16" t="s">
        <v>194</v>
      </c>
      <c r="J292" s="16" t="str">
        <f>VLOOKUP(I292,'[1]BẢNG MÃ'!$C$2:$D$69,2,0)</f>
        <v>KP014</v>
      </c>
      <c r="K292" s="16"/>
      <c r="L292" s="16"/>
      <c r="M292" s="16" t="s">
        <v>33</v>
      </c>
      <c r="N292" s="21">
        <f ca="1">VLOOKUP(A292,'[1]Bieu 1a'!$A$8:$AW$855,10,0)</f>
        <v>27</v>
      </c>
      <c r="O292" s="22" t="str">
        <f>VLOOKUP(A292,'[1]Bieu 1a'!$A$8:$AW$855,8,0)</f>
        <v>26/4/1999</v>
      </c>
      <c r="P292" s="22">
        <f>VLOOKUP(A292,'[1]Bieu 1a'!$A$8:$AW$855,9,0)</f>
        <v>0</v>
      </c>
      <c r="Q292" s="23" t="s">
        <v>44</v>
      </c>
      <c r="R292" s="24">
        <f>VLOOKUP(A292,'[1]Bieu 1a'!$A$8:$AW$855,23,0)</f>
        <v>44445</v>
      </c>
      <c r="S292" s="25" t="s">
        <v>1444</v>
      </c>
      <c r="T292" s="26" t="s">
        <v>1445</v>
      </c>
      <c r="U292" s="78">
        <f>EDATE(R292,9)</f>
        <v>44718</v>
      </c>
      <c r="V292" s="16" t="str">
        <f>IFERROR(VLOOKUP(A292,'[2]19.6.2026'!$A$9:$L$1111,5,0),"")</f>
        <v>005707/LS-CCHN</v>
      </c>
      <c r="W292" s="16">
        <f>IFERROR(VLOOKUP(A292,'[2]19.6.2026'!$A$9:$L$1111,6,0),"")</f>
        <v>0</v>
      </c>
      <c r="X292" s="16"/>
      <c r="Y292" s="21" t="str">
        <f>IFERROR(VLOOKUP(A292,'[2]19.6.2026'!$A$9:$L$1111,7,0),"")</f>
        <v>Thực hiện phạm vi hoạt động chuyên môn theo quy định tại Thông tư số 26/2015/TTLT-BYT-BNV ngày 07/10/2015 quy định mã số, tiêu chuẩn chức danh nghề nghiệp điều dưỡng, hộ sinh, kỹ thuật y</v>
      </c>
      <c r="Z292" s="16"/>
      <c r="AA292" s="27" t="str">
        <f>IFERROR(VLOOKUP(A292,'[3]DS UPLOAD 2026 (2)'!$A$2:$P$1111,16,0),"")</f>
        <v/>
      </c>
      <c r="AB292" s="39" t="s">
        <v>1446</v>
      </c>
      <c r="AC292" s="29" t="s">
        <v>554</v>
      </c>
    </row>
    <row r="293" spans="1:29" ht="18" customHeight="1" x14ac:dyDescent="0.3">
      <c r="A293" s="43" t="s">
        <v>1447</v>
      </c>
      <c r="B293" s="44" t="s">
        <v>1448</v>
      </c>
      <c r="C293" s="45" t="s">
        <v>1447</v>
      </c>
      <c r="D293" s="19"/>
      <c r="E293" s="19" t="s">
        <v>61</v>
      </c>
      <c r="F293" s="16" t="str">
        <f>VLOOKUP(E293,'[1]BẢNG MÃ'!$A$2:$B$69,2,0)</f>
        <v>TĐ012</v>
      </c>
      <c r="G293" s="20"/>
      <c r="H293" s="20" t="s">
        <v>62</v>
      </c>
      <c r="I293" s="55" t="s">
        <v>194</v>
      </c>
      <c r="J293" s="16" t="str">
        <f>VLOOKUP(I293,'[1]BẢNG MÃ'!$C$2:$D$69,2,0)</f>
        <v>KP014</v>
      </c>
      <c r="K293" s="16"/>
      <c r="L293" s="16"/>
      <c r="M293" s="16" t="s">
        <v>33</v>
      </c>
      <c r="N293" s="21">
        <f ca="1">VLOOKUP(A293,'[1]Bieu 1a'!$A$8:$AW$855,10,0)</f>
        <v>28</v>
      </c>
      <c r="O293" s="22" t="str">
        <f>VLOOKUP(A293,'[1]Bieu 1a'!$A$8:$AW$855,8,0)</f>
        <v>13/12/1997</v>
      </c>
      <c r="P293" s="22">
        <f>VLOOKUP(A293,'[1]Bieu 1a'!$A$8:$AW$855,9,0)</f>
        <v>0</v>
      </c>
      <c r="Q293" s="23" t="s">
        <v>44</v>
      </c>
      <c r="R293" s="24">
        <f>VLOOKUP(A293,'[1]Bieu 1a'!$A$8:$AW$855,23,0)</f>
        <v>44837</v>
      </c>
      <c r="S293" s="25" t="s">
        <v>1449</v>
      </c>
      <c r="T293" s="26" t="s">
        <v>1450</v>
      </c>
      <c r="U293" s="78">
        <f>EDATE(R293,9)</f>
        <v>45110</v>
      </c>
      <c r="V293" s="16" t="str">
        <f>IFERROR(VLOOKUP(A293,'[2]19.6.2026'!$A$9:$L$1111,5,0),"")</f>
        <v>000123/LS-GPHN</v>
      </c>
      <c r="W293" s="16">
        <f>IFERROR(VLOOKUP(A293,'[2]19.6.2026'!$A$9:$L$1111,6,0),"")</f>
        <v>45521</v>
      </c>
      <c r="X293" s="16"/>
      <c r="Y293" s="21" t="str">
        <f>IFERROR(VLOOKUP(A293,'[2]19.6.2026'!$A$9:$L$1111,7,0),"")</f>
        <v>Điều dưỡng</v>
      </c>
      <c r="Z293" s="16"/>
      <c r="AA293" s="27" t="str">
        <f>IFERROR(VLOOKUP(A293,'[3]DS UPLOAD 2026 (2)'!$A$2:$P$1111,16,0),"")</f>
        <v/>
      </c>
      <c r="AB293" s="27" t="s">
        <v>1451</v>
      </c>
      <c r="AC293" s="29" t="s">
        <v>439</v>
      </c>
    </row>
    <row r="294" spans="1:29" ht="18" customHeight="1" x14ac:dyDescent="0.3">
      <c r="A294" s="17" t="s">
        <v>1452</v>
      </c>
      <c r="B294" s="18" t="s">
        <v>1453</v>
      </c>
      <c r="C294" s="17" t="s">
        <v>1452</v>
      </c>
      <c r="D294" s="19"/>
      <c r="E294" s="100" t="s">
        <v>41</v>
      </c>
      <c r="F294" s="16" t="str">
        <f>VLOOKUP(E294,'[1]BẢNG MÃ'!$A$2:$B$69,2,0)</f>
        <v>TĐ011</v>
      </c>
      <c r="G294" s="101" t="s">
        <v>42</v>
      </c>
      <c r="H294" s="20" t="s">
        <v>42</v>
      </c>
      <c r="I294" s="16" t="s">
        <v>194</v>
      </c>
      <c r="J294" s="16" t="str">
        <f>VLOOKUP(I294,'[1]BẢNG MÃ'!$C$2:$D$69,2,0)</f>
        <v>KP014</v>
      </c>
      <c r="K294" s="16" t="s">
        <v>43</v>
      </c>
      <c r="L294" s="16">
        <v>0</v>
      </c>
      <c r="M294" s="16" t="s">
        <v>33</v>
      </c>
      <c r="N294" s="21">
        <f ca="1">VLOOKUP(A294,'[1]Bieu 1a'!$A$8:$AW$855,10,0)</f>
        <v>38</v>
      </c>
      <c r="O294" s="22">
        <f>VLOOKUP(A294,'[1]Bieu 1a'!$A$8:$AW$855,8,0)</f>
        <v>31995</v>
      </c>
      <c r="P294" s="22">
        <f>VLOOKUP(A294,'[1]Bieu 1a'!$A$8:$AW$855,9,0)</f>
        <v>0</v>
      </c>
      <c r="Q294" s="23" t="s">
        <v>44</v>
      </c>
      <c r="R294" s="24" t="str">
        <f>VLOOKUP(A294,'[1]Bieu 1a'!$A$8:$AW$855,23,0)</f>
        <v>15/1/2010</v>
      </c>
      <c r="S294" s="25" t="s">
        <v>1454</v>
      </c>
      <c r="T294" s="26" t="s">
        <v>1455</v>
      </c>
      <c r="U294" s="16"/>
      <c r="V294" s="16" t="str">
        <f>IFERROR(VLOOKUP(A294,'[2]19.6.2026'!$A$9:$L$1111,5,0),"")</f>
        <v>000940/LS-CCHN</v>
      </c>
      <c r="W294" s="16" t="str">
        <f>IFERROR(VLOOKUP(A294,'[2]19.6.2026'!$A$9:$L$1111,6,0),"")</f>
        <v>11/01/2023</v>
      </c>
      <c r="X294" s="16"/>
      <c r="Y294" s="21" t="str">
        <f>IFERROR(VLOOKUP(A294,'[2]19.6.2026'!$A$9:$L$1111,7,0),"")</f>
        <v>Thực hiện phạm vi hoạt động chuyên môn theo Thông tư số 26/2015/TTLT-BYT-BNV ngày 07/10/2015 quy định  mã số, tiêu chuẩn chức danh nghề nghiệp, điều dưỡng, hộ sinh, kỹ thuật y</v>
      </c>
      <c r="Z294" s="16"/>
      <c r="AA294" s="27" t="str">
        <f>IFERROR(VLOOKUP(A294,'[3]DS UPLOAD 2026 (2)'!$A$2:$P$1111,16,0),"")</f>
        <v/>
      </c>
      <c r="AB294" s="27">
        <v>983692862</v>
      </c>
      <c r="AC294" s="28"/>
    </row>
    <row r="295" spans="1:29" ht="18" customHeight="1" x14ac:dyDescent="0.3">
      <c r="A295" s="17" t="s">
        <v>1456</v>
      </c>
      <c r="B295" s="18" t="s">
        <v>1457</v>
      </c>
      <c r="C295" s="17" t="s">
        <v>1456</v>
      </c>
      <c r="D295" s="19" t="s">
        <v>38</v>
      </c>
      <c r="E295" s="19" t="s">
        <v>61</v>
      </c>
      <c r="F295" s="16" t="str">
        <f>VLOOKUP(E295,'[1]BẢNG MÃ'!$A$2:$B$69,2,0)</f>
        <v>TĐ012</v>
      </c>
      <c r="G295" s="20" t="s">
        <v>62</v>
      </c>
      <c r="H295" s="20" t="s">
        <v>62</v>
      </c>
      <c r="I295" s="16" t="s">
        <v>194</v>
      </c>
      <c r="J295" s="16" t="str">
        <f>VLOOKUP(I295,'[1]BẢNG MÃ'!$C$2:$D$69,2,0)</f>
        <v>KP014</v>
      </c>
      <c r="K295" s="16" t="s">
        <v>43</v>
      </c>
      <c r="L295" s="16">
        <v>0</v>
      </c>
      <c r="M295" s="16" t="s">
        <v>33</v>
      </c>
      <c r="N295" s="21">
        <f ca="1">VLOOKUP(A295,'[1]Bieu 1a'!$A$8:$AW$855,10,0)</f>
        <v>39</v>
      </c>
      <c r="O295" s="22">
        <f>VLOOKUP(A295,'[1]Bieu 1a'!$A$8:$AW$855,8,0)</f>
        <v>0</v>
      </c>
      <c r="P295" s="22">
        <f>VLOOKUP(A295,'[1]Bieu 1a'!$A$8:$AW$855,9,0)</f>
        <v>31825</v>
      </c>
      <c r="Q295" s="23" t="s">
        <v>50</v>
      </c>
      <c r="R295" s="24" t="str">
        <f>VLOOKUP(A295,'[1]Bieu 1a'!$A$8:$AW$855,23,0)</f>
        <v>1/12/2010</v>
      </c>
      <c r="S295" s="25" t="s">
        <v>1458</v>
      </c>
      <c r="T295" s="26" t="s">
        <v>1459</v>
      </c>
      <c r="U295" s="16"/>
      <c r="V295" s="16" t="str">
        <f>IFERROR(VLOOKUP(A295,'[2]19.6.2026'!$A$9:$L$1111,5,0),"")</f>
        <v>000943/LS-CCHN</v>
      </c>
      <c r="W295" s="16" t="str">
        <f>IFERROR(VLOOKUP(A295,'[2]19.6.2026'!$A$9:$L$1111,6,0),"")</f>
        <v>11/01/2023</v>
      </c>
      <c r="X295" s="16"/>
      <c r="Y295" s="21" t="str">
        <f>IFERROR(VLOOKUP(A295,'[2]19.6.2026'!$A$9:$L$1111,7,0),"")</f>
        <v>Thực hiện phạm vi hoạt động chuyên môn theo Thông tư số 26/2015/TTLT-BYT-BNV ngày 07/10/2015 quy định  mã số, tiêu chuẩn chức danh nghề nghiệp, điều dưỡng, hộ sinh, kỹ thuật y</v>
      </c>
      <c r="Z295" s="16"/>
      <c r="AA295" s="27" t="str">
        <f>IFERROR(VLOOKUP(A295,'[3]DS UPLOAD 2026 (2)'!$A$2:$P$1111,16,0),"")</f>
        <v/>
      </c>
      <c r="AB295" s="27" t="s">
        <v>1460</v>
      </c>
      <c r="AC295" s="28"/>
    </row>
    <row r="296" spans="1:29" ht="18" customHeight="1" x14ac:dyDescent="0.3">
      <c r="A296" s="17" t="s">
        <v>1461</v>
      </c>
      <c r="B296" s="18" t="s">
        <v>1462</v>
      </c>
      <c r="C296" s="17" t="s">
        <v>1461</v>
      </c>
      <c r="D296" s="19" t="s">
        <v>38</v>
      </c>
      <c r="E296" s="19" t="s">
        <v>61</v>
      </c>
      <c r="F296" s="16" t="str">
        <f>VLOOKUP(E296,'[1]BẢNG MÃ'!$A$2:$B$69,2,0)</f>
        <v>TĐ012</v>
      </c>
      <c r="G296" s="20" t="s">
        <v>62</v>
      </c>
      <c r="H296" s="20" t="s">
        <v>62</v>
      </c>
      <c r="I296" s="16" t="s">
        <v>194</v>
      </c>
      <c r="J296" s="16" t="str">
        <f>VLOOKUP(I296,'[1]BẢNG MÃ'!$C$2:$D$69,2,0)</f>
        <v>KP014</v>
      </c>
      <c r="K296" s="16" t="s">
        <v>43</v>
      </c>
      <c r="L296" s="16">
        <v>0</v>
      </c>
      <c r="M296" s="16" t="s">
        <v>33</v>
      </c>
      <c r="N296" s="21">
        <f ca="1">VLOOKUP(A296,'[1]Bieu 1a'!$A$8:$AW$855,10,0)</f>
        <v>40</v>
      </c>
      <c r="O296" s="22">
        <f>VLOOKUP(A296,'[1]Bieu 1a'!$A$8:$AW$855,8,0)</f>
        <v>0</v>
      </c>
      <c r="P296" s="22">
        <f>VLOOKUP(A296,'[1]Bieu 1a'!$A$8:$AW$855,9,0)</f>
        <v>31583</v>
      </c>
      <c r="Q296" s="23" t="s">
        <v>44</v>
      </c>
      <c r="R296" s="24" t="str">
        <f>VLOOKUP(A296,'[1]Bieu 1a'!$A$8:$AW$855,23,0)</f>
        <v>1/12/2008</v>
      </c>
      <c r="S296" s="25" t="s">
        <v>1463</v>
      </c>
      <c r="T296" s="26" t="s">
        <v>46</v>
      </c>
      <c r="U296" s="16"/>
      <c r="V296" s="16" t="str">
        <f>IFERROR(VLOOKUP(A296,'[2]19.6.2026'!$A$9:$L$1111,5,0),"")</f>
        <v>000942/LS-CCHN</v>
      </c>
      <c r="W296" s="16" t="str">
        <f>IFERROR(VLOOKUP(A296,'[2]19.6.2026'!$A$9:$L$1111,6,0),"")</f>
        <v>11/01/2023</v>
      </c>
      <c r="X296" s="16"/>
      <c r="Y296" s="21" t="str">
        <f>IFERROR(VLOOKUP(A296,'[2]19.6.2026'!$A$9:$L$1111,7,0),"")</f>
        <v>Thực hiện phạm vi hoạt động chuyên môn theo Thông tư số 26/2015/TTLT-BYT-BNV ngày 07/10/2015 quy định  mã số, tiêu chuẩn chức danh nghề nghiệp, điều dưỡng, hộ sinh, kỹ thuật y</v>
      </c>
      <c r="Z296" s="16"/>
      <c r="AA296" s="27" t="str">
        <f>IFERROR(VLOOKUP(A296,'[3]DS UPLOAD 2026 (2)'!$A$2:$P$1111,16,0),"")</f>
        <v/>
      </c>
      <c r="AB296" s="27">
        <v>984536866</v>
      </c>
      <c r="AC296" s="28"/>
    </row>
    <row r="297" spans="1:29" ht="18" customHeight="1" x14ac:dyDescent="0.3">
      <c r="A297" s="17" t="s">
        <v>1464</v>
      </c>
      <c r="B297" s="18" t="s">
        <v>1465</v>
      </c>
      <c r="C297" s="17" t="s">
        <v>1464</v>
      </c>
      <c r="D297" s="19"/>
      <c r="E297" s="19" t="s">
        <v>61</v>
      </c>
      <c r="F297" s="16" t="str">
        <f>VLOOKUP(E297,'[1]BẢNG MÃ'!$A$2:$B$69,2,0)</f>
        <v>TĐ012</v>
      </c>
      <c r="G297" s="20" t="s">
        <v>62</v>
      </c>
      <c r="H297" s="20" t="s">
        <v>62</v>
      </c>
      <c r="I297" s="16" t="s">
        <v>194</v>
      </c>
      <c r="J297" s="16" t="str">
        <f>VLOOKUP(I297,'[1]BẢNG MÃ'!$C$2:$D$69,2,0)</f>
        <v>KP014</v>
      </c>
      <c r="K297" s="16" t="s">
        <v>43</v>
      </c>
      <c r="L297" s="16">
        <v>0</v>
      </c>
      <c r="M297" s="16" t="s">
        <v>33</v>
      </c>
      <c r="N297" s="21">
        <f ca="1">VLOOKUP(A297,'[1]Bieu 1a'!$A$8:$AW$855,10,0)</f>
        <v>40</v>
      </c>
      <c r="O297" s="22">
        <f>VLOOKUP(A297,'[1]Bieu 1a'!$A$8:$AW$855,8,0)</f>
        <v>31476</v>
      </c>
      <c r="P297" s="22">
        <f>VLOOKUP(A297,'[1]Bieu 1a'!$A$8:$AW$855,9,0)</f>
        <v>0</v>
      </c>
      <c r="Q297" s="23" t="s">
        <v>50</v>
      </c>
      <c r="R297" s="24" t="str">
        <f>VLOOKUP(A297,'[1]Bieu 1a'!$A$8:$AW$855,23,0)</f>
        <v>15/1/2010</v>
      </c>
      <c r="S297" s="25" t="s">
        <v>1466</v>
      </c>
      <c r="T297" s="26" t="s">
        <v>1467</v>
      </c>
      <c r="U297" s="16"/>
      <c r="V297" s="16" t="str">
        <f>IFERROR(VLOOKUP(A297,'[2]19.6.2026'!$A$9:$L$1111,5,0),"")</f>
        <v>000751/LS-CCHN</v>
      </c>
      <c r="W297" s="16" t="str">
        <f>IFERROR(VLOOKUP(A297,'[2]19.6.2026'!$A$9:$L$1111,6,0),"")</f>
        <v>11/01/2023</v>
      </c>
      <c r="X297" s="16"/>
      <c r="Y297" s="21" t="str">
        <f>IFERROR(VLOOKUP(A297,'[2]19.6.2026'!$A$9:$L$1111,7,0),"")</f>
        <v>Thực hiện phạm vi hoạt động chuyên môn theo Thông tư số 26/2015/TTLT-BYT-BNV ngày 07/10/2015 quy định  mã số, tiêu chuẩn chức danh nghề nghiệp, điều dưỡng, hộ sinh, kỹ thuật y</v>
      </c>
      <c r="Z297" s="16"/>
      <c r="AA297" s="27" t="str">
        <f>IFERROR(VLOOKUP(A297,'[3]DS UPLOAD 2026 (2)'!$A$2:$P$1111,16,0),"")</f>
        <v/>
      </c>
      <c r="AB297" s="27" t="s">
        <v>1468</v>
      </c>
      <c r="AC297" s="28"/>
    </row>
    <row r="298" spans="1:29" ht="18" customHeight="1" x14ac:dyDescent="0.3">
      <c r="A298" s="17" t="s">
        <v>1469</v>
      </c>
      <c r="B298" s="18" t="s">
        <v>1470</v>
      </c>
      <c r="C298" s="17" t="s">
        <v>1469</v>
      </c>
      <c r="D298" s="19"/>
      <c r="E298" s="19" t="s">
        <v>61</v>
      </c>
      <c r="F298" s="16" t="str">
        <f>VLOOKUP(E298,'[1]BẢNG MÃ'!$A$2:$B$69,2,0)</f>
        <v>TĐ012</v>
      </c>
      <c r="G298" s="20" t="s">
        <v>62</v>
      </c>
      <c r="H298" s="20" t="s">
        <v>62</v>
      </c>
      <c r="I298" s="16" t="s">
        <v>194</v>
      </c>
      <c r="J298" s="16" t="str">
        <f>VLOOKUP(I298,'[1]BẢNG MÃ'!$C$2:$D$69,2,0)</f>
        <v>KP014</v>
      </c>
      <c r="K298" s="16" t="s">
        <v>43</v>
      </c>
      <c r="L298" s="16">
        <v>0</v>
      </c>
      <c r="M298" s="16" t="s">
        <v>33</v>
      </c>
      <c r="N298" s="21">
        <f ca="1">VLOOKUP(A298,'[1]Bieu 1a'!$A$8:$AW$855,10,0)</f>
        <v>44</v>
      </c>
      <c r="O298" s="22">
        <f>VLOOKUP(A298,'[1]Bieu 1a'!$A$8:$AW$855,8,0)</f>
        <v>29849</v>
      </c>
      <c r="P298" s="22">
        <f>VLOOKUP(A298,'[1]Bieu 1a'!$A$8:$AW$855,9,0)</f>
        <v>0</v>
      </c>
      <c r="Q298" s="23" t="s">
        <v>34</v>
      </c>
      <c r="R298" s="24" t="str">
        <f>VLOOKUP(A298,'[1]Bieu 1a'!$A$8:$AW$855,23,0)</f>
        <v>16/2/2005</v>
      </c>
      <c r="S298" s="25" t="s">
        <v>1471</v>
      </c>
      <c r="T298" s="26" t="s">
        <v>1472</v>
      </c>
      <c r="U298" s="16"/>
      <c r="V298" s="16" t="str">
        <f>IFERROR(VLOOKUP(A298,'[2]19.6.2026'!$A$9:$L$1111,5,0),"")</f>
        <v>000739/LS-CCHN</v>
      </c>
      <c r="W298" s="16" t="str">
        <f>IFERROR(VLOOKUP(A298,'[2]19.6.2026'!$A$9:$L$1111,6,0),"")</f>
        <v>11/01/2023</v>
      </c>
      <c r="X298" s="16"/>
      <c r="Y298" s="21" t="str">
        <f>IFERROR(VLOOKUP(A298,'[2]19.6.2026'!$A$9:$L$1111,7,0),"")</f>
        <v>Thực hiện phạm vi hoạt động chuyên môn theo Thông tư số 26/2015/TTLT-BYT-BNV ngày 07/10/2015 quy định  mã số, tiêu chuẩn chức danh nghề nghiệp, điều dưỡng, hộ sinh, kỹ thuật y</v>
      </c>
      <c r="Z298" s="16"/>
      <c r="AA298" s="27" t="str">
        <f>IFERROR(VLOOKUP(A298,'[3]DS UPLOAD 2026 (2)'!$A$2:$P$1111,16,0),"")</f>
        <v/>
      </c>
      <c r="AB298" s="27" t="s">
        <v>1473</v>
      </c>
      <c r="AC298" s="28"/>
    </row>
    <row r="299" spans="1:29" ht="18" customHeight="1" x14ac:dyDescent="0.3">
      <c r="A299" s="17" t="s">
        <v>1474</v>
      </c>
      <c r="B299" s="18" t="s">
        <v>1475</v>
      </c>
      <c r="C299" s="17" t="s">
        <v>1474</v>
      </c>
      <c r="D299" s="19"/>
      <c r="E299" s="19" t="s">
        <v>61</v>
      </c>
      <c r="F299" s="16" t="str">
        <f>VLOOKUP(E299,'[1]BẢNG MÃ'!$A$2:$B$69,2,0)</f>
        <v>TĐ012</v>
      </c>
      <c r="G299" s="60"/>
      <c r="H299" s="20" t="s">
        <v>62</v>
      </c>
      <c r="I299" s="16" t="s">
        <v>194</v>
      </c>
      <c r="J299" s="16" t="str">
        <f>VLOOKUP(I299,'[1]BẢNG MÃ'!$C$2:$D$69,2,0)</f>
        <v>KP014</v>
      </c>
      <c r="K299" s="16"/>
      <c r="L299" s="16"/>
      <c r="M299" s="16" t="s">
        <v>33</v>
      </c>
      <c r="N299" s="21">
        <f ca="1">VLOOKUP(A299,'[1]Bieu 1a'!$A$8:$AW$855,10,0)</f>
        <v>30</v>
      </c>
      <c r="O299" s="22" t="str">
        <f>VLOOKUP(A299,'[1]Bieu 1a'!$A$8:$AW$855,8,0)</f>
        <v>05/01/1996</v>
      </c>
      <c r="P299" s="22">
        <f>VLOOKUP(A299,'[1]Bieu 1a'!$A$8:$AW$855,9,0)</f>
        <v>0</v>
      </c>
      <c r="Q299" s="23" t="s">
        <v>50</v>
      </c>
      <c r="R299" s="24">
        <f>VLOOKUP(A299,'[1]Bieu 1a'!$A$8:$AW$855,23,0)</f>
        <v>45030</v>
      </c>
      <c r="S299" s="25" t="s">
        <v>1476</v>
      </c>
      <c r="T299" s="26" t="s">
        <v>1477</v>
      </c>
      <c r="U299" s="16"/>
      <c r="V299" s="16" t="str">
        <f>IFERROR(VLOOKUP(A299,'[2]19.6.2026'!$A$9:$L$1111,5,0),"")</f>
        <v>002102/LS-CCHN</v>
      </c>
      <c r="W299" s="16" t="str">
        <f>IFERROR(VLOOKUP(A299,'[2]19.6.2026'!$A$9:$L$1111,6,0),"")</f>
        <v>28/09/2017</v>
      </c>
      <c r="X299" s="16"/>
      <c r="Y299" s="21" t="str">
        <f>IFERROR(VLOOKUP(A299,'[2]19.6.2026'!$A$9:$L$1111,7,0),"")</f>
        <v>Thực hiện phạm vi hoạt động chuyên môn theo quy định tại Thông tư số 26/2015/TTLT-BYT-BNV ngày 07/10/2015 quy định mã số, tiêu chuẩn chức danh nghề nghiệp điều dưỡng, hộ sinh, kỹ thuật y</v>
      </c>
      <c r="Z299" s="16"/>
      <c r="AA299" s="27" t="str">
        <f>IFERROR(VLOOKUP(A299,'[3]DS UPLOAD 2026 (2)'!$A$2:$P$1111,16,0),"")</f>
        <v/>
      </c>
      <c r="AB299" s="27">
        <v>384497338</v>
      </c>
      <c r="AC299" s="29" t="s">
        <v>560</v>
      </c>
    </row>
    <row r="300" spans="1:29" ht="18" customHeight="1" x14ac:dyDescent="0.3">
      <c r="A300" s="46" t="s">
        <v>1478</v>
      </c>
      <c r="B300" s="28" t="s">
        <v>1479</v>
      </c>
      <c r="C300" s="47" t="s">
        <v>1478</v>
      </c>
      <c r="D300" s="23"/>
      <c r="E300" s="19" t="s">
        <v>61</v>
      </c>
      <c r="F300" s="16" t="str">
        <f>VLOOKUP(E300,'[1]BẢNG MÃ'!$A$2:$B$69,2,0)</f>
        <v>TĐ012</v>
      </c>
      <c r="G300" s="48"/>
      <c r="H300" s="20" t="s">
        <v>62</v>
      </c>
      <c r="I300" s="19" t="s">
        <v>194</v>
      </c>
      <c r="J300" s="16" t="str">
        <f>VLOOKUP(I300,'[1]BẢNG MÃ'!$C$2:$D$69,2,0)</f>
        <v>KP014</v>
      </c>
      <c r="K300" s="23"/>
      <c r="L300" s="23"/>
      <c r="M300" s="16" t="s">
        <v>33</v>
      </c>
      <c r="N300" s="21">
        <f ca="1">VLOOKUP(A300,'[1]Bieu 1a'!$A$8:$AW$855,10,0)</f>
        <v>23</v>
      </c>
      <c r="O300" s="22" t="str">
        <f>VLOOKUP(A300,'[1]Bieu 1a'!$A$8:$AW$855,8,0)</f>
        <v>03/7/2003</v>
      </c>
      <c r="P300" s="22">
        <f>VLOOKUP(A300,'[1]Bieu 1a'!$A$8:$AW$855,9,0)</f>
        <v>0</v>
      </c>
      <c r="Q300" s="23" t="s">
        <v>44</v>
      </c>
      <c r="R300" s="24">
        <f>VLOOKUP(A300,'[1]Bieu 1a'!$A$8:$AW$855,23,0)</f>
        <v>45597</v>
      </c>
      <c r="S300" s="25" t="s">
        <v>1480</v>
      </c>
      <c r="T300" s="26" t="s">
        <v>1481</v>
      </c>
      <c r="U300" s="23"/>
      <c r="V300" s="16" t="str">
        <f>IFERROR(VLOOKUP(A300,'[2]19.6.2026'!$A$9:$L$1111,5,0),"")</f>
        <v>000390/LS-GPHN</v>
      </c>
      <c r="W300" s="16">
        <f>IFERROR(VLOOKUP(A300,'[2]19.6.2026'!$A$9:$L$1111,6,0),"")</f>
        <v>45952</v>
      </c>
      <c r="X300" s="19"/>
      <c r="Y300" s="21" t="str">
        <f>IFERROR(VLOOKUP(A300,'[2]19.6.2026'!$A$9:$L$1111,7,0),"")</f>
        <v>Điều dưỡng</v>
      </c>
      <c r="Z300" s="16"/>
      <c r="AA300" s="27" t="str">
        <f>IFERROR(VLOOKUP(A300,'[3]DS UPLOAD 2026 (2)'!$A$2:$P$1111,16,0),"")</f>
        <v/>
      </c>
      <c r="AB300" s="23" t="s">
        <v>1482</v>
      </c>
      <c r="AC300" s="29" t="s">
        <v>710</v>
      </c>
    </row>
    <row r="301" spans="1:29" ht="18" customHeight="1" x14ac:dyDescent="0.3">
      <c r="A301" s="56" t="s">
        <v>1483</v>
      </c>
      <c r="B301" s="61" t="s">
        <v>1484</v>
      </c>
      <c r="C301" s="23" t="s">
        <v>1483</v>
      </c>
      <c r="D301" s="23" t="s">
        <v>38</v>
      </c>
      <c r="E301" s="27" t="s">
        <v>61</v>
      </c>
      <c r="F301" s="27" t="str">
        <f>VLOOKUP(E301,'[1]BẢNG MÃ'!$A$2:$B$69,2,0)</f>
        <v>TĐ012</v>
      </c>
      <c r="G301" s="48"/>
      <c r="H301" s="20" t="s">
        <v>62</v>
      </c>
      <c r="I301" s="27" t="s">
        <v>194</v>
      </c>
      <c r="J301" s="27" t="str">
        <f>VLOOKUP(I301,'[1]BẢNG MÃ'!$C$2:$D$69,2,0)</f>
        <v>KP014</v>
      </c>
      <c r="K301" s="23"/>
      <c r="L301" s="23"/>
      <c r="M301" s="16" t="s">
        <v>33</v>
      </c>
      <c r="N301" s="21">
        <f ca="1">VLOOKUP(A301,'[1]Bieu 1a'!$A$8:$AW$855,10,0)</f>
        <v>30</v>
      </c>
      <c r="O301" s="22">
        <f>VLOOKUP(A301,'[1]Bieu 1a'!$A$8:$AW$855,8,0)</f>
        <v>0</v>
      </c>
      <c r="P301" s="22" t="str">
        <f>VLOOKUP(A301,'[1]Bieu 1a'!$A$8:$AW$855,9,0)</f>
        <v>10/2/1996</v>
      </c>
      <c r="Q301" s="23" t="s">
        <v>34</v>
      </c>
      <c r="R301" s="24">
        <f>VLOOKUP(A301,'[1]Bieu 1a'!$A$8:$AW$855,23,0)</f>
        <v>45810</v>
      </c>
      <c r="S301" s="25" t="s">
        <v>1485</v>
      </c>
      <c r="T301" s="26" t="s">
        <v>1486</v>
      </c>
      <c r="U301" s="23"/>
      <c r="V301" s="16" t="str">
        <f>IFERROR(VLOOKUP(A301,'[2]19.6.2026'!$A$9:$L$1111,5,0),"")</f>
        <v/>
      </c>
      <c r="W301" s="16" t="str">
        <f>IFERROR(VLOOKUP(A301,'[2]19.6.2026'!$A$9:$L$1111,6,0),"")</f>
        <v/>
      </c>
      <c r="X301" s="23"/>
      <c r="Y301" s="21" t="str">
        <f>IFERROR(VLOOKUP(A301,'[2]19.6.2026'!$A$9:$L$1111,7,0),"")</f>
        <v/>
      </c>
      <c r="Z301" s="16"/>
      <c r="AA301" s="27" t="str">
        <f>IFERROR(VLOOKUP(A301,'[3]DS UPLOAD 2026 (2)'!$A$2:$P$1111,16,0),"")</f>
        <v/>
      </c>
      <c r="AB301" s="58" t="s">
        <v>1487</v>
      </c>
      <c r="AC301" s="29" t="s">
        <v>1488</v>
      </c>
    </row>
    <row r="302" spans="1:29" ht="18" customHeight="1" x14ac:dyDescent="0.3">
      <c r="A302" s="17" t="s">
        <v>1489</v>
      </c>
      <c r="B302" s="40" t="s">
        <v>1490</v>
      </c>
      <c r="C302" s="17" t="s">
        <v>1489</v>
      </c>
      <c r="D302" s="19" t="s">
        <v>38</v>
      </c>
      <c r="E302" s="19" t="s">
        <v>128</v>
      </c>
      <c r="F302" s="16" t="str">
        <f>VLOOKUP(E302,'[1]BẢNG MÃ'!$A$2:$B$69,2,0)</f>
        <v>TĐ047</v>
      </c>
      <c r="G302" s="20"/>
      <c r="H302" s="19" t="s">
        <v>128</v>
      </c>
      <c r="I302" s="16" t="s">
        <v>194</v>
      </c>
      <c r="J302" s="16" t="str">
        <f>VLOOKUP(I302,'[1]BẢNG MÃ'!$C$2:$D$69,2,0)</f>
        <v>KP014</v>
      </c>
      <c r="K302" s="16"/>
      <c r="L302" s="16"/>
      <c r="M302" s="16" t="s">
        <v>136</v>
      </c>
      <c r="N302" s="21">
        <f ca="1">VLOOKUP(A302,'[1]Bieu 1a'!$A$8:$AW$855,10,0)</f>
        <v>43</v>
      </c>
      <c r="O302" s="22">
        <f>VLOOKUP(A302,'[1]Bieu 1a'!$A$8:$AW$855,8,0)</f>
        <v>0</v>
      </c>
      <c r="P302" s="22" t="str">
        <f>VLOOKUP(A302,'[1]Bieu 1a'!$A$8:$AW$855,9,0)</f>
        <v>04/06/1983</v>
      </c>
      <c r="Q302" s="23" t="s">
        <v>44</v>
      </c>
      <c r="R302" s="24" t="str">
        <f>VLOOKUP(A302,'[1]Bieu 1a'!$A$8:$AW$855,23,0)</f>
        <v>12/4/2020</v>
      </c>
      <c r="S302" s="25" t="s">
        <v>1491</v>
      </c>
      <c r="T302" s="26" t="s">
        <v>1492</v>
      </c>
      <c r="U302" s="16"/>
      <c r="V302" s="16" t="str">
        <f>IFERROR(VLOOKUP(A302,'[2]19.6.2026'!$A$9:$L$1111,5,0),"")</f>
        <v/>
      </c>
      <c r="W302" s="16" t="str">
        <f>IFERROR(VLOOKUP(A302,'[2]19.6.2026'!$A$9:$L$1111,6,0),"")</f>
        <v/>
      </c>
      <c r="X302" s="16"/>
      <c r="Y302" s="21" t="str">
        <f>IFERROR(VLOOKUP(A302,'[2]19.6.2026'!$A$9:$L$1111,7,0),"")</f>
        <v/>
      </c>
      <c r="Z302" s="16"/>
      <c r="AA302" s="27" t="str">
        <f>IFERROR(VLOOKUP(A302,'[3]DS UPLOAD 2026 (2)'!$A$2:$P$1111,16,0),"")</f>
        <v/>
      </c>
      <c r="AB302" s="39" t="s">
        <v>1493</v>
      </c>
      <c r="AC302" s="29" t="s">
        <v>303</v>
      </c>
    </row>
    <row r="303" spans="1:29" ht="18" customHeight="1" x14ac:dyDescent="0.3">
      <c r="A303" s="17" t="s">
        <v>1494</v>
      </c>
      <c r="B303" s="40" t="s">
        <v>1495</v>
      </c>
      <c r="C303" s="17" t="s">
        <v>1494</v>
      </c>
      <c r="D303" s="19" t="s">
        <v>38</v>
      </c>
      <c r="E303" s="19" t="s">
        <v>128</v>
      </c>
      <c r="F303" s="16" t="str">
        <f>VLOOKUP(E303,'[1]BẢNG MÃ'!$A$2:$B$69,2,0)</f>
        <v>TĐ047</v>
      </c>
      <c r="G303" s="20"/>
      <c r="H303" s="19" t="s">
        <v>128</v>
      </c>
      <c r="I303" s="16" t="s">
        <v>194</v>
      </c>
      <c r="J303" s="16" t="str">
        <f>VLOOKUP(I303,'[1]BẢNG MÃ'!$C$2:$D$69,2,0)</f>
        <v>KP014</v>
      </c>
      <c r="K303" s="16"/>
      <c r="L303" s="16"/>
      <c r="M303" s="16" t="s">
        <v>136</v>
      </c>
      <c r="N303" s="21">
        <f ca="1">VLOOKUP(A303,'[1]Bieu 1a'!$A$8:$AW$855,10,0)</f>
        <v>47</v>
      </c>
      <c r="O303" s="22">
        <f>VLOOKUP(A303,'[1]Bieu 1a'!$A$8:$AW$855,8,0)</f>
        <v>0</v>
      </c>
      <c r="P303" s="22" t="str">
        <f>VLOOKUP(A303,'[1]Bieu 1a'!$A$8:$AW$855,9,0)</f>
        <v>05/11/1978</v>
      </c>
      <c r="Q303" s="23" t="s">
        <v>34</v>
      </c>
      <c r="R303" s="24" t="str">
        <f>VLOOKUP(A303,'[1]Bieu 1a'!$A$8:$AW$855,23,0)</f>
        <v>12/4/2020</v>
      </c>
      <c r="S303" s="25" t="s">
        <v>1496</v>
      </c>
      <c r="T303" s="26" t="s">
        <v>1497</v>
      </c>
      <c r="U303" s="16"/>
      <c r="V303" s="16" t="str">
        <f>IFERROR(VLOOKUP(A303,'[2]19.6.2026'!$A$9:$L$1111,5,0),"")</f>
        <v/>
      </c>
      <c r="W303" s="16" t="str">
        <f>IFERROR(VLOOKUP(A303,'[2]19.6.2026'!$A$9:$L$1111,6,0),"")</f>
        <v/>
      </c>
      <c r="X303" s="16"/>
      <c r="Y303" s="21" t="str">
        <f>IFERROR(VLOOKUP(A303,'[2]19.6.2026'!$A$9:$L$1111,7,0),"")</f>
        <v/>
      </c>
      <c r="Z303" s="16"/>
      <c r="AA303" s="27" t="str">
        <f>IFERROR(VLOOKUP(A303,'[3]DS UPLOAD 2026 (2)'!$A$2:$P$1111,16,0),"")</f>
        <v/>
      </c>
      <c r="AB303" s="39" t="s">
        <v>1498</v>
      </c>
      <c r="AC303" s="29" t="s">
        <v>303</v>
      </c>
    </row>
    <row r="304" spans="1:29" ht="18" customHeight="1" x14ac:dyDescent="0.3">
      <c r="A304" s="17" t="s">
        <v>1499</v>
      </c>
      <c r="B304" s="18" t="s">
        <v>1500</v>
      </c>
      <c r="C304" s="17" t="s">
        <v>1499</v>
      </c>
      <c r="D304" s="19" t="s">
        <v>38</v>
      </c>
      <c r="E304" s="19" t="s">
        <v>128</v>
      </c>
      <c r="F304" s="16" t="str">
        <f>VLOOKUP(E304,'[1]BẢNG MÃ'!$A$2:$B$69,2,0)</f>
        <v>TĐ047</v>
      </c>
      <c r="G304" s="20"/>
      <c r="H304" s="19" t="s">
        <v>128</v>
      </c>
      <c r="I304" s="16" t="s">
        <v>748</v>
      </c>
      <c r="J304" s="16" t="str">
        <f>VLOOKUP(I304,'[1]BẢNG MÃ'!$C$2:$D$69,2,0)</f>
        <v>KP022</v>
      </c>
      <c r="K304" s="16"/>
      <c r="L304" s="16">
        <v>0</v>
      </c>
      <c r="M304" s="16" t="s">
        <v>129</v>
      </c>
      <c r="N304" s="21">
        <f ca="1">VLOOKUP(A304,'[1]Bieu 1a'!$A$8:$AW$855,10,0)</f>
        <v>50</v>
      </c>
      <c r="O304" s="22">
        <f>VLOOKUP(A304,'[1]Bieu 1a'!$A$8:$AW$855,8,0)</f>
        <v>0</v>
      </c>
      <c r="P304" s="22">
        <f>VLOOKUP(A304,'[1]Bieu 1a'!$A$8:$AW$855,9,0)</f>
        <v>27895</v>
      </c>
      <c r="Q304" s="23" t="s">
        <v>50</v>
      </c>
      <c r="R304" s="24" t="str">
        <f>VLOOKUP(A304,'[1]Bieu 1a'!$A$8:$AW$855,23,0)</f>
        <v>1/9/2005</v>
      </c>
      <c r="S304" s="25" t="s">
        <v>1501</v>
      </c>
      <c r="T304" s="26" t="s">
        <v>1502</v>
      </c>
      <c r="U304" s="16"/>
      <c r="V304" s="16" t="str">
        <f>IFERROR(VLOOKUP(A304,'[2]19.6.2026'!$A$9:$L$1111,5,0),"")</f>
        <v/>
      </c>
      <c r="W304" s="16" t="str">
        <f>IFERROR(VLOOKUP(A304,'[2]19.6.2026'!$A$9:$L$1111,6,0),"")</f>
        <v/>
      </c>
      <c r="X304" s="16"/>
      <c r="Y304" s="21" t="str">
        <f>IFERROR(VLOOKUP(A304,'[2]19.6.2026'!$A$9:$L$1111,7,0),"")</f>
        <v/>
      </c>
      <c r="Z304" s="16"/>
      <c r="AA304" s="27" t="str">
        <f>IFERROR(VLOOKUP(A304,'[3]DS UPLOAD 2026 (2)'!$A$2:$P$1111,16,0),"")</f>
        <v/>
      </c>
      <c r="AB304" s="27" t="s">
        <v>1503</v>
      </c>
      <c r="AC304" s="28" t="s">
        <v>133</v>
      </c>
    </row>
    <row r="305" spans="1:29" ht="18" customHeight="1" x14ac:dyDescent="0.3">
      <c r="A305" s="17" t="s">
        <v>1504</v>
      </c>
      <c r="B305" s="18" t="s">
        <v>1505</v>
      </c>
      <c r="C305" s="17" t="s">
        <v>1504</v>
      </c>
      <c r="D305" s="19"/>
      <c r="E305" s="19" t="s">
        <v>28</v>
      </c>
      <c r="F305" s="16" t="str">
        <f>VLOOKUP(E305,'[1]BẢNG MÃ'!$A$2:$B$69,2,0)</f>
        <v>TĐ001</v>
      </c>
      <c r="G305" s="20" t="s">
        <v>29</v>
      </c>
      <c r="H305" s="20" t="s">
        <v>29</v>
      </c>
      <c r="I305" s="16" t="s">
        <v>1256</v>
      </c>
      <c r="J305" s="16" t="str">
        <f>VLOOKUP(I305,'[1]BẢNG MÃ'!$C$2:$D$69,2,0)</f>
        <v>KP015</v>
      </c>
      <c r="K305" s="16" t="s">
        <v>31</v>
      </c>
      <c r="L305" s="16" t="s">
        <v>148</v>
      </c>
      <c r="M305" s="16" t="s">
        <v>33</v>
      </c>
      <c r="N305" s="21">
        <f ca="1">VLOOKUP(A305,'[1]Bieu 1a'!$A$8:$AW$855,10,0)</f>
        <v>54</v>
      </c>
      <c r="O305" s="22">
        <f>VLOOKUP(A305,'[1]Bieu 1a'!$A$8:$AW$855,8,0)</f>
        <v>26285</v>
      </c>
      <c r="P305" s="22">
        <f>VLOOKUP(A305,'[1]Bieu 1a'!$A$8:$AW$855,9,0)</f>
        <v>0</v>
      </c>
      <c r="Q305" s="23" t="s">
        <v>44</v>
      </c>
      <c r="R305" s="24" t="str">
        <f>VLOOKUP(A305,'[1]Bieu 1a'!$A$8:$AW$855,23,0)</f>
        <v>17/5/1997</v>
      </c>
      <c r="S305" s="25" t="s">
        <v>1506</v>
      </c>
      <c r="T305" s="26" t="s">
        <v>1507</v>
      </c>
      <c r="U305" s="16"/>
      <c r="V305" s="16" t="str">
        <f>IFERROR(VLOOKUP(A305,'[2]19.6.2026'!$A$9:$L$1111,5,0),"")</f>
        <v>004200/LS-CCHN</v>
      </c>
      <c r="W305" s="16" t="str">
        <f>IFERROR(VLOOKUP(A305,'[2]19.6.2026'!$A$9:$L$1111,6,0),"")</f>
        <v>11/01/2023</v>
      </c>
      <c r="X305" s="16"/>
      <c r="Y305" s="21" t="str">
        <f>IFERROR(VLOOKUP(A305,'[2]19.6.2026'!$A$9:$L$1111,7,0),"")</f>
        <v>Khám bệnh, chữa bệnh chuyên khoa Ngoại</v>
      </c>
      <c r="Z305" s="16"/>
      <c r="AA305" s="27" t="str">
        <f>IFERROR(VLOOKUP(A305,'[3]DS UPLOAD 2026 (2)'!$A$2:$P$1111,16,0),"")</f>
        <v/>
      </c>
      <c r="AB305" s="27">
        <v>913852688</v>
      </c>
      <c r="AC305" s="28"/>
    </row>
    <row r="306" spans="1:29" ht="18" customHeight="1" x14ac:dyDescent="0.3">
      <c r="A306" s="17" t="s">
        <v>1508</v>
      </c>
      <c r="B306" s="29" t="s">
        <v>1509</v>
      </c>
      <c r="C306" s="17" t="s">
        <v>1508</v>
      </c>
      <c r="D306" s="19"/>
      <c r="E306" s="19" t="s">
        <v>28</v>
      </c>
      <c r="F306" s="16" t="str">
        <f>VLOOKUP(E306,'[1]BẢNG MÃ'!$A$2:$B$69,2,0)</f>
        <v>TĐ001</v>
      </c>
      <c r="G306" s="65" t="s">
        <v>29</v>
      </c>
      <c r="H306" s="65" t="s">
        <v>29</v>
      </c>
      <c r="I306" s="16" t="s">
        <v>1256</v>
      </c>
      <c r="J306" s="16" t="str">
        <f>VLOOKUP(I306,'[1]BẢNG MÃ'!$C$2:$D$69,2,0)</f>
        <v>KP015</v>
      </c>
      <c r="K306" s="16" t="s">
        <v>307</v>
      </c>
      <c r="L306" s="16" t="s">
        <v>1510</v>
      </c>
      <c r="M306" s="16" t="s">
        <v>33</v>
      </c>
      <c r="N306" s="16" t="e">
        <f>VLOOKUP(A306,'[1]Bieu 1a'!$A$8:$AW$855,10,0)</f>
        <v>#N/A</v>
      </c>
      <c r="O306" s="22" t="e">
        <f>VLOOKUP(A306,'[1]Bieu 1a'!$A$8:$AW$855,8,0)</f>
        <v>#N/A</v>
      </c>
      <c r="P306" s="22" t="e">
        <f>VLOOKUP(A306,'[1]Bieu 1a'!$A$8:$AW$855,9,0)</f>
        <v>#N/A</v>
      </c>
      <c r="Q306" s="23" t="s">
        <v>34</v>
      </c>
      <c r="R306" s="24" t="e">
        <f>VLOOKUP(A306,'[1]Bieu 1a'!$A$8:$AW$855,23,0)</f>
        <v>#N/A</v>
      </c>
      <c r="S306" s="25" t="s">
        <v>1511</v>
      </c>
      <c r="T306" s="26" t="s">
        <v>1512</v>
      </c>
      <c r="U306" s="16"/>
      <c r="V306" s="16" t="str">
        <f>IFERROR(VLOOKUP(A306,'[2]19.6.2026'!$A$9:$L$1111,5,0),"")</f>
        <v>000926/LS-CCHN</v>
      </c>
      <c r="W306" s="16" t="str">
        <f>IFERROR(VLOOKUP(A306,'[2]19.6.2026'!$A$9:$L$1111,6,0),"")</f>
        <v>24/06/2013</v>
      </c>
      <c r="X306" s="16"/>
      <c r="Y306" s="21" t="str">
        <f>IFERROR(VLOOKUP(A306,'[2]19.6.2026'!$A$9:$L$1111,7,0),"")</f>
        <v>Khám bệnh, chữa bệnh Ngoại khoa</v>
      </c>
      <c r="Z306" s="16"/>
      <c r="AA306" s="27" t="str">
        <f>IFERROR(VLOOKUP(A306,'[3]DS UPLOAD 2026 (2)'!$A$2:$P$1111,16,0),"")</f>
        <v/>
      </c>
      <c r="AB306" s="27" t="s">
        <v>1513</v>
      </c>
      <c r="AC306" s="29"/>
    </row>
    <row r="307" spans="1:29" ht="18" customHeight="1" x14ac:dyDescent="0.3">
      <c r="A307" s="17" t="s">
        <v>1514</v>
      </c>
      <c r="B307" s="18" t="s">
        <v>1515</v>
      </c>
      <c r="C307" s="17" t="s">
        <v>1514</v>
      </c>
      <c r="D307" s="19"/>
      <c r="E307" s="16" t="s">
        <v>160</v>
      </c>
      <c r="F307" s="16" t="str">
        <f>VLOOKUP(E307,'[1]BẢNG MÃ'!$A$2:$B$69,2,0)</f>
        <v>TĐ003</v>
      </c>
      <c r="G307" s="20" t="s">
        <v>29</v>
      </c>
      <c r="H307" s="20" t="s">
        <v>29</v>
      </c>
      <c r="I307" s="16" t="s">
        <v>1256</v>
      </c>
      <c r="J307" s="16" t="str">
        <f>VLOOKUP(I307,'[1]BẢNG MÃ'!$C$2:$D$69,2,0)</f>
        <v>KP015</v>
      </c>
      <c r="K307" s="16" t="s">
        <v>31</v>
      </c>
      <c r="L307" s="16" t="s">
        <v>154</v>
      </c>
      <c r="M307" s="16" t="s">
        <v>33</v>
      </c>
      <c r="N307" s="21">
        <f ca="1">VLOOKUP(A307,'[1]Bieu 1a'!$A$8:$AW$855,10,0)</f>
        <v>40</v>
      </c>
      <c r="O307" s="22">
        <f>VLOOKUP(A307,'[1]Bieu 1a'!$A$8:$AW$855,8,0)</f>
        <v>31459</v>
      </c>
      <c r="P307" s="22">
        <f>VLOOKUP(A307,'[1]Bieu 1a'!$A$8:$AW$855,9,0)</f>
        <v>0</v>
      </c>
      <c r="Q307" s="23" t="s">
        <v>34</v>
      </c>
      <c r="R307" s="24" t="str">
        <f>VLOOKUP(A307,'[1]Bieu 1a'!$A$8:$AW$855,23,0)</f>
        <v>10/6/2013</v>
      </c>
      <c r="S307" s="25" t="s">
        <v>1516</v>
      </c>
      <c r="T307" s="26" t="s">
        <v>1517</v>
      </c>
      <c r="U307" s="16"/>
      <c r="V307" s="16" t="str">
        <f>IFERROR(VLOOKUP(A307,'[2]19.6.2026'!$A$9:$L$1111,5,0),"")</f>
        <v>000888/LS-CCHN</v>
      </c>
      <c r="W307" s="16" t="str">
        <f>IFERROR(VLOOKUP(A307,'[2]19.6.2026'!$A$9:$L$1111,6,0),"")</f>
        <v>11/01/2023</v>
      </c>
      <c r="X307" s="16"/>
      <c r="Y307" s="21" t="str">
        <f>IFERROR(VLOOKUP(A307,'[2]19.6.2026'!$A$9:$L$1111,7,0),"")</f>
        <v>Khám bệnh, chữa bệnh Ngoại khoa</v>
      </c>
      <c r="Z307" s="16"/>
      <c r="AA307" s="27" t="str">
        <f>IFERROR(VLOOKUP(A307,'[3]DS UPLOAD 2026 (2)'!$A$2:$P$1111,16,0),"")</f>
        <v/>
      </c>
      <c r="AB307" s="27">
        <v>916789198</v>
      </c>
      <c r="AC307" s="28"/>
    </row>
    <row r="308" spans="1:29" ht="18" customHeight="1" x14ac:dyDescent="0.3">
      <c r="A308" s="43" t="s">
        <v>1518</v>
      </c>
      <c r="B308" s="18" t="s">
        <v>1519</v>
      </c>
      <c r="C308" s="45" t="s">
        <v>1518</v>
      </c>
      <c r="D308" s="19"/>
      <c r="E308" s="19" t="s">
        <v>173</v>
      </c>
      <c r="F308" s="16" t="str">
        <f>VLOOKUP(E308,'[1]BẢNG MÃ'!$A$2:$B$69,2,0)</f>
        <v>TĐ005</v>
      </c>
      <c r="G308" s="20"/>
      <c r="H308" s="23" t="s">
        <v>161</v>
      </c>
      <c r="I308" s="16" t="s">
        <v>1256</v>
      </c>
      <c r="J308" s="16" t="str">
        <f>VLOOKUP(I308,'[1]BẢNG MÃ'!$C$2:$D$69,2,0)</f>
        <v>KP015</v>
      </c>
      <c r="K308" s="16"/>
      <c r="L308" s="16"/>
      <c r="M308" s="16" t="s">
        <v>33</v>
      </c>
      <c r="N308" s="21">
        <f ca="1">VLOOKUP(A308,'[1]Bieu 1a'!$A$8:$AW$855,10,0)</f>
        <v>29</v>
      </c>
      <c r="O308" s="22" t="str">
        <f>VLOOKUP(A308,'[1]Bieu 1a'!$A$8:$AW$855,8,0)</f>
        <v>12/8/1996</v>
      </c>
      <c r="P308" s="22">
        <f>VLOOKUP(A308,'[1]Bieu 1a'!$A$8:$AW$855,9,0)</f>
        <v>0</v>
      </c>
      <c r="Q308" s="23" t="s">
        <v>1520</v>
      </c>
      <c r="R308" s="24">
        <f>VLOOKUP(A308,'[1]Bieu 1a'!$A$8:$AW$855,23,0)</f>
        <v>44844</v>
      </c>
      <c r="S308" s="25" t="s">
        <v>1521</v>
      </c>
      <c r="T308" s="26">
        <v>0</v>
      </c>
      <c r="U308" s="85">
        <f>EDATE(R308,18)</f>
        <v>45392</v>
      </c>
      <c r="V308" s="16" t="str">
        <f>IFERROR(VLOOKUP(A308,'[2]19.6.2026'!$A$9:$L$1111,5,0),"")</f>
        <v>000090/LS-GPHN</v>
      </c>
      <c r="W308" s="16">
        <f>IFERROR(VLOOKUP(A308,'[2]19.6.2026'!$A$9:$L$1111,6,0),"")</f>
        <v>0</v>
      </c>
      <c r="X308" s="16"/>
      <c r="Y308" s="21" t="str">
        <f>IFERROR(VLOOKUP(A308,'[2]19.6.2026'!$A$9:$L$1111,7,0),"")</f>
        <v>Chuyên khoa Ngoại khoa</v>
      </c>
      <c r="Z308" s="16"/>
      <c r="AA308" s="27" t="str">
        <f>IFERROR(VLOOKUP(A308,'[3]DS UPLOAD 2026 (2)'!$A$2:$P$1111,16,0),"")</f>
        <v/>
      </c>
      <c r="AB308" s="27">
        <v>961146898</v>
      </c>
      <c r="AC308" s="29" t="s">
        <v>1228</v>
      </c>
    </row>
    <row r="309" spans="1:29" ht="18" customHeight="1" x14ac:dyDescent="0.3">
      <c r="A309" s="43" t="s">
        <v>1522</v>
      </c>
      <c r="B309" s="44" t="s">
        <v>1523</v>
      </c>
      <c r="C309" s="45" t="s">
        <v>1522</v>
      </c>
      <c r="D309" s="23"/>
      <c r="E309" s="23" t="s">
        <v>173</v>
      </c>
      <c r="F309" s="16" t="str">
        <f>VLOOKUP(E309,'[1]BẢNG MÃ'!$A$2:$B$69,2,0)</f>
        <v>TĐ005</v>
      </c>
      <c r="G309" s="27"/>
      <c r="H309" s="23" t="s">
        <v>161</v>
      </c>
      <c r="I309" s="27" t="s">
        <v>1256</v>
      </c>
      <c r="J309" s="16" t="str">
        <f>VLOOKUP(I309,'[1]BẢNG MÃ'!$C$2:$D$69,2,0)</f>
        <v>KP015</v>
      </c>
      <c r="K309" s="27"/>
      <c r="L309" s="27"/>
      <c r="M309" s="16" t="s">
        <v>33</v>
      </c>
      <c r="N309" s="21">
        <f ca="1">VLOOKUP(A309,'[1]Bieu 1a'!$A$8:$AW$855,10,0)</f>
        <v>27</v>
      </c>
      <c r="O309" s="22" t="str">
        <f>VLOOKUP(A309,'[1]Bieu 1a'!$A$8:$AW$855,8,0)</f>
        <v>23/9/1998</v>
      </c>
      <c r="P309" s="22">
        <f>VLOOKUP(A309,'[1]Bieu 1a'!$A$8:$AW$855,9,0)</f>
        <v>0</v>
      </c>
      <c r="Q309" s="23" t="s">
        <v>50</v>
      </c>
      <c r="R309" s="24">
        <f>VLOOKUP(A309,'[1]Bieu 1a'!$A$8:$AW$855,23,0)</f>
        <v>45260</v>
      </c>
      <c r="S309" s="25" t="s">
        <v>1524</v>
      </c>
      <c r="T309" s="26">
        <v>0</v>
      </c>
      <c r="U309" s="67">
        <f>EDATE(R309,18)</f>
        <v>45807</v>
      </c>
      <c r="V309" s="16" t="str">
        <f>IFERROR(VLOOKUP(A309,'[2]19.6.2026'!$A$9:$L$1111,5,0),"")</f>
        <v>000303/LS-GPHN</v>
      </c>
      <c r="W309" s="16">
        <f>IFERROR(VLOOKUP(A309,'[2]19.6.2026'!$A$9:$L$1111,6,0),"")</f>
        <v>45849</v>
      </c>
      <c r="X309" s="16"/>
      <c r="Y309" s="21" t="str">
        <f>IFERROR(VLOOKUP(A309,'[2]19.6.2026'!$A$9:$L$1111,7,0),"")</f>
        <v>Bác sĩ ngoại khoa</v>
      </c>
      <c r="Z309" s="16"/>
      <c r="AA309" s="27" t="str">
        <f>IFERROR(VLOOKUP(A309,'[3]DS UPLOAD 2026 (2)'!$A$2:$P$1111,16,0),"")</f>
        <v/>
      </c>
      <c r="AB309" s="44" t="s">
        <v>1525</v>
      </c>
      <c r="AC309" s="29" t="s">
        <v>1526</v>
      </c>
    </row>
    <row r="310" spans="1:29" ht="18" customHeight="1" x14ac:dyDescent="0.3">
      <c r="A310" s="17" t="s">
        <v>1527</v>
      </c>
      <c r="B310" s="29" t="s">
        <v>1528</v>
      </c>
      <c r="C310" s="17" t="s">
        <v>1527</v>
      </c>
      <c r="D310" s="53"/>
      <c r="E310" s="19" t="s">
        <v>173</v>
      </c>
      <c r="F310" s="16" t="str">
        <f>VLOOKUP(E310,'[1]BẢNG MÃ'!$A$2:$B$69,2,0)</f>
        <v>TĐ005</v>
      </c>
      <c r="G310" s="20"/>
      <c r="H310" s="23" t="s">
        <v>161</v>
      </c>
      <c r="I310" s="16" t="s">
        <v>1256</v>
      </c>
      <c r="J310" s="16" t="str">
        <f>VLOOKUP(I310,'[1]BẢNG MÃ'!$C$2:$D$69,2,0)</f>
        <v>KP015</v>
      </c>
      <c r="K310" s="16"/>
      <c r="L310" s="16"/>
      <c r="M310" s="16" t="s">
        <v>136</v>
      </c>
      <c r="N310" s="21">
        <f ca="1">VLOOKUP(A310,'[1]Bieu 1a'!$A$8:$AW$855,10,0)</f>
        <v>32</v>
      </c>
      <c r="O310" s="22">
        <f>VLOOKUP(A310,'[1]Bieu 1a'!$A$8:$AW$855,8,0)</f>
        <v>34337</v>
      </c>
      <c r="P310" s="22">
        <f>VLOOKUP(A310,'[1]Bieu 1a'!$A$8:$AW$855,9,0)</f>
        <v>0</v>
      </c>
      <c r="Q310" s="23" t="s">
        <v>50</v>
      </c>
      <c r="R310" s="24" t="str">
        <f>VLOOKUP(A310,'[1]Bieu 1a'!$A$8:$AW$855,23,0)</f>
        <v>28/7/2020</v>
      </c>
      <c r="S310" s="25" t="s">
        <v>1529</v>
      </c>
      <c r="T310" s="26" t="s">
        <v>1530</v>
      </c>
      <c r="U310" s="16"/>
      <c r="V310" s="16" t="str">
        <f>IFERROR(VLOOKUP(A310,'[2]19.6.2026'!$A$9:$L$1111,5,0),"")</f>
        <v>004508/LS-CCHN</v>
      </c>
      <c r="W310" s="16" t="str">
        <f>IFERROR(VLOOKUP(A310,'[2]19.6.2026'!$A$9:$L$1111,6,0),"")</f>
        <v>06/04/2022</v>
      </c>
      <c r="X310" s="16"/>
      <c r="Y310" s="21" t="str">
        <f>IFERROR(VLOOKUP(A310,'[2]19.6.2026'!$A$9:$L$1111,7,0),"")</f>
        <v>Khám bệnh, chữa bệnh Ngoại khoa</v>
      </c>
      <c r="Z310" s="16"/>
      <c r="AA310" s="27" t="str">
        <f>IFERROR(VLOOKUP(A310,'[3]DS UPLOAD 2026 (2)'!$A$2:$P$1111,16,0),"")</f>
        <v/>
      </c>
      <c r="AB310" s="27">
        <v>332842199</v>
      </c>
      <c r="AC310" s="102" t="s">
        <v>1531</v>
      </c>
    </row>
    <row r="311" spans="1:29" ht="18" customHeight="1" x14ac:dyDescent="0.3">
      <c r="A311" s="17" t="s">
        <v>1532</v>
      </c>
      <c r="B311" s="18" t="s">
        <v>1533</v>
      </c>
      <c r="C311" s="17" t="s">
        <v>1532</v>
      </c>
      <c r="D311" s="19"/>
      <c r="E311" s="16" t="s">
        <v>41</v>
      </c>
      <c r="F311" s="16" t="str">
        <f>VLOOKUP(E311,'[1]BẢNG MÃ'!$A$2:$B$69,2,0)</f>
        <v>TĐ011</v>
      </c>
      <c r="G311" s="20" t="s">
        <v>42</v>
      </c>
      <c r="H311" s="20" t="s">
        <v>42</v>
      </c>
      <c r="I311" s="16" t="s">
        <v>1256</v>
      </c>
      <c r="J311" s="16" t="str">
        <f>VLOOKUP(I311,'[1]BẢNG MÃ'!$C$2:$D$69,2,0)</f>
        <v>KP015</v>
      </c>
      <c r="K311" s="16" t="s">
        <v>31</v>
      </c>
      <c r="L311" s="16" t="s">
        <v>201</v>
      </c>
      <c r="M311" s="16" t="s">
        <v>33</v>
      </c>
      <c r="N311" s="21">
        <f ca="1">VLOOKUP(A311,'[1]Bieu 1a'!$A$8:$AW$855,10,0)</f>
        <v>44</v>
      </c>
      <c r="O311" s="22">
        <f>VLOOKUP(A311,'[1]Bieu 1a'!$A$8:$AW$855,8,0)</f>
        <v>29978</v>
      </c>
      <c r="P311" s="22">
        <f>VLOOKUP(A311,'[1]Bieu 1a'!$A$8:$AW$855,9,0)</f>
        <v>0</v>
      </c>
      <c r="Q311" s="23" t="s">
        <v>44</v>
      </c>
      <c r="R311" s="24" t="str">
        <f>VLOOKUP(A311,'[1]Bieu 1a'!$A$8:$AW$855,23,0)</f>
        <v>6/11/2006</v>
      </c>
      <c r="S311" s="25" t="s">
        <v>1534</v>
      </c>
      <c r="T311" s="26" t="s">
        <v>1535</v>
      </c>
      <c r="U311" s="16"/>
      <c r="V311" s="16" t="str">
        <f>IFERROR(VLOOKUP(A311,'[2]19.6.2026'!$A$9:$L$1111,5,0),"")</f>
        <v>000932/LS-CCHN</v>
      </c>
      <c r="W311" s="16" t="str">
        <f>IFERROR(VLOOKUP(A311,'[2]19.6.2026'!$A$9:$L$1111,6,0),"")</f>
        <v>11/01/2023</v>
      </c>
      <c r="X311" s="16"/>
      <c r="Y311" s="21" t="str">
        <f>IFERROR(VLOOKUP(A311,'[2]19.6.2026'!$A$9:$L$1111,7,0),"")</f>
        <v>Thực hiện phạm vi hoạt động chuyên môn theo Thông tư số 26/2015/TTLT-BYT-BNV ngày 07/10/2015 quy định  mã số, tiêu chuẩn chức danh nghề nghiệp, điều dưỡng, hộ sinh, kỹ thuật y</v>
      </c>
      <c r="Z311" s="16"/>
      <c r="AA311" s="27" t="str">
        <f>IFERROR(VLOOKUP(A311,'[3]DS UPLOAD 2026 (2)'!$A$2:$P$1111,16,0),"")</f>
        <v/>
      </c>
      <c r="AB311" s="27" t="s">
        <v>1536</v>
      </c>
      <c r="AC311" s="76"/>
    </row>
    <row r="312" spans="1:29" ht="18" customHeight="1" x14ac:dyDescent="0.3">
      <c r="A312" s="17" t="s">
        <v>1537</v>
      </c>
      <c r="B312" s="18" t="s">
        <v>1538</v>
      </c>
      <c r="C312" s="17" t="s">
        <v>1537</v>
      </c>
      <c r="D312" s="19"/>
      <c r="E312" s="19" t="s">
        <v>41</v>
      </c>
      <c r="F312" s="16" t="str">
        <f>VLOOKUP(E312,'[1]BẢNG MÃ'!$A$2:$B$69,2,0)</f>
        <v>TĐ011</v>
      </c>
      <c r="G312" s="20" t="s">
        <v>42</v>
      </c>
      <c r="H312" s="20" t="s">
        <v>42</v>
      </c>
      <c r="I312" s="16" t="s">
        <v>1256</v>
      </c>
      <c r="J312" s="16" t="str">
        <f>VLOOKUP(I312,'[1]BẢNG MÃ'!$C$2:$D$69,2,0)</f>
        <v>KP015</v>
      </c>
      <c r="K312" s="16" t="s">
        <v>43</v>
      </c>
      <c r="L312" s="16">
        <v>0</v>
      </c>
      <c r="M312" s="16" t="s">
        <v>33</v>
      </c>
      <c r="N312" s="21">
        <f ca="1">VLOOKUP(A312,'[1]Bieu 1a'!$A$8:$AW$855,10,0)</f>
        <v>60</v>
      </c>
      <c r="O312" s="22">
        <f>VLOOKUP(A312,'[1]Bieu 1a'!$A$8:$AW$855,8,0)</f>
        <v>24039</v>
      </c>
      <c r="P312" s="22">
        <f>VLOOKUP(A312,'[1]Bieu 1a'!$A$8:$AW$855,9,0)</f>
        <v>0</v>
      </c>
      <c r="Q312" s="23" t="s">
        <v>50</v>
      </c>
      <c r="R312" s="24" t="str">
        <f>VLOOKUP(A312,'[1]Bieu 1a'!$A$8:$AW$855,23,0)</f>
        <v>5/9/1988</v>
      </c>
      <c r="S312" s="25" t="s">
        <v>1539</v>
      </c>
      <c r="T312" s="26" t="s">
        <v>1540</v>
      </c>
      <c r="U312" s="16"/>
      <c r="V312" s="16" t="str">
        <f>IFERROR(VLOOKUP(A312,'[2]19.6.2026'!$A$9:$L$1111,5,0),"")</f>
        <v>000906/LS-CCHN</v>
      </c>
      <c r="W312" s="16" t="str">
        <f>IFERROR(VLOOKUP(A312,'[2]19.6.2026'!$A$9:$L$1111,6,0),"")</f>
        <v>24/06/2013</v>
      </c>
      <c r="X312" s="16"/>
      <c r="Y312" s="21" t="str">
        <f>IFERROR(VLOOKUP(A312,'[2]19.6.2026'!$A$9:$L$1111,7,0),"")</f>
        <v>Theo quy định tại Quyết định số 41/2005/QĐ-BNV ngày 22/4/2005 của Bộ trưởng Bộ Nội vụ về việc ban hành tiêu chuẩn nghiệp vụ các ngạch viên chức y tế điều dưỡng</v>
      </c>
      <c r="Z312" s="16"/>
      <c r="AA312" s="27" t="str">
        <f>IFERROR(VLOOKUP(A312,'[3]DS UPLOAD 2026 (2)'!$A$2:$P$1111,16,0),"")</f>
        <v/>
      </c>
      <c r="AB312" s="27" t="s">
        <v>1541</v>
      </c>
      <c r="AC312" s="51"/>
    </row>
    <row r="313" spans="1:29" ht="18" customHeight="1" x14ac:dyDescent="0.3">
      <c r="A313" s="43" t="s">
        <v>1542</v>
      </c>
      <c r="B313" s="44" t="s">
        <v>1543</v>
      </c>
      <c r="C313" s="45" t="s">
        <v>1542</v>
      </c>
      <c r="D313" s="23" t="s">
        <v>38</v>
      </c>
      <c r="E313" s="23" t="s">
        <v>41</v>
      </c>
      <c r="F313" s="16" t="str">
        <f>VLOOKUP(E313,'[1]BẢNG MÃ'!$A$2:$B$69,2,0)</f>
        <v>TĐ011</v>
      </c>
      <c r="G313" s="23"/>
      <c r="H313" s="20" t="s">
        <v>42</v>
      </c>
      <c r="I313" s="19" t="s">
        <v>1256</v>
      </c>
      <c r="J313" s="16" t="str">
        <f>VLOOKUP(I313,'[1]BẢNG MÃ'!$C$2:$D$69,2,0)</f>
        <v>KP015</v>
      </c>
      <c r="K313" s="23"/>
      <c r="L313" s="23"/>
      <c r="M313" s="16" t="s">
        <v>33</v>
      </c>
      <c r="N313" s="21">
        <f ca="1">VLOOKUP(A313,'[1]Bieu 1a'!$A$8:$AW$855,10,0)</f>
        <v>25</v>
      </c>
      <c r="O313" s="22">
        <f>VLOOKUP(A313,'[1]Bieu 1a'!$A$8:$AW$855,8,0)</f>
        <v>0</v>
      </c>
      <c r="P313" s="22" t="str">
        <f>VLOOKUP(A313,'[1]Bieu 1a'!$A$8:$AW$855,9,0)</f>
        <v>22/6/2001</v>
      </c>
      <c r="Q313" s="23" t="s">
        <v>44</v>
      </c>
      <c r="R313" s="24">
        <f>VLOOKUP(A313,'[1]Bieu 1a'!$A$8:$AW$855,23,0)</f>
        <v>45293</v>
      </c>
      <c r="S313" s="25" t="s">
        <v>1544</v>
      </c>
      <c r="T313" s="26" t="s">
        <v>1545</v>
      </c>
      <c r="U313" s="49">
        <v>45689</v>
      </c>
      <c r="V313" s="16" t="str">
        <f>IFERROR(VLOOKUP(A313,'[2]19.6.2026'!$A$9:$L$1111,5,0),"")</f>
        <v>000298/LS-GPHN</v>
      </c>
      <c r="W313" s="16">
        <f>IFERROR(VLOOKUP(A313,'[2]19.6.2026'!$A$9:$L$1111,6,0),"")</f>
        <v>45897</v>
      </c>
      <c r="X313" s="16"/>
      <c r="Y313" s="21" t="str">
        <f>IFERROR(VLOOKUP(A313,'[2]19.6.2026'!$A$9:$L$1111,7,0),"")</f>
        <v>Điều dưỡng</v>
      </c>
      <c r="Z313" s="16"/>
      <c r="AA313" s="27" t="str">
        <f>IFERROR(VLOOKUP(A313,'[3]DS UPLOAD 2026 (2)'!$A$2:$P$1111,16,0),"")</f>
        <v/>
      </c>
      <c r="AB313" s="44" t="s">
        <v>1546</v>
      </c>
      <c r="AC313" s="29" t="s">
        <v>1547</v>
      </c>
    </row>
    <row r="314" spans="1:29" ht="18" customHeight="1" x14ac:dyDescent="0.3">
      <c r="A314" s="17" t="s">
        <v>1548</v>
      </c>
      <c r="B314" s="18" t="s">
        <v>1549</v>
      </c>
      <c r="C314" s="17" t="s">
        <v>1548</v>
      </c>
      <c r="D314" s="19" t="s">
        <v>38</v>
      </c>
      <c r="E314" s="19" t="s">
        <v>61</v>
      </c>
      <c r="F314" s="16" t="str">
        <f>VLOOKUP(E314,'[1]BẢNG MÃ'!$A$2:$B$69,2,0)</f>
        <v>TĐ012</v>
      </c>
      <c r="G314" s="20" t="s">
        <v>62</v>
      </c>
      <c r="H314" s="20" t="s">
        <v>62</v>
      </c>
      <c r="I314" s="16" t="s">
        <v>1256</v>
      </c>
      <c r="J314" s="16" t="str">
        <f>VLOOKUP(I314,'[1]BẢNG MÃ'!$C$2:$D$69,2,0)</f>
        <v>KP015</v>
      </c>
      <c r="K314" s="16" t="s">
        <v>43</v>
      </c>
      <c r="L314" s="16">
        <v>0</v>
      </c>
      <c r="M314" s="16" t="s">
        <v>33</v>
      </c>
      <c r="N314" s="21">
        <f ca="1">VLOOKUP(A314,'[1]Bieu 1a'!$A$8:$AW$855,10,0)</f>
        <v>34</v>
      </c>
      <c r="O314" s="22">
        <f>VLOOKUP(A314,'[1]Bieu 1a'!$A$8:$AW$855,8,0)</f>
        <v>0</v>
      </c>
      <c r="P314" s="22">
        <f>VLOOKUP(A314,'[1]Bieu 1a'!$A$8:$AW$855,9,0)</f>
        <v>33515</v>
      </c>
      <c r="Q314" s="23" t="s">
        <v>34</v>
      </c>
      <c r="R314" s="24" t="str">
        <f>VLOOKUP(A314,'[1]Bieu 1a'!$A$8:$AW$855,23,0)</f>
        <v>01/11/2014</v>
      </c>
      <c r="S314" s="25" t="s">
        <v>1550</v>
      </c>
      <c r="T314" s="26" t="s">
        <v>1551</v>
      </c>
      <c r="U314" s="16"/>
      <c r="V314" s="16" t="str">
        <f>IFERROR(VLOOKUP(A314,'[2]19.6.2026'!$A$9:$L$1111,5,0),"")</f>
        <v>000459/LS-CCHN</v>
      </c>
      <c r="W314" s="16" t="str">
        <f>IFERROR(VLOOKUP(A314,'[2]19.6.2026'!$A$9:$L$1111,6,0),"")</f>
        <v>24/08/2016</v>
      </c>
      <c r="X314" s="16"/>
      <c r="Y314" s="21" t="str">
        <f>IFERROR(VLOOKUP(A314,'[2]19.6.2026'!$A$9:$L$1111,7,0),"")</f>
        <v>Theo quy định tại Quyết định số 41/2005/QĐ-BNV ngày 22/4/2005 của Bộ trưởng Bộ Nội vụ về việc ban hành tiêu chuẩn nghiệp vụ các ngạch viên chức y tế điều dưỡng</v>
      </c>
      <c r="Z314" s="16"/>
      <c r="AA314" s="27" t="str">
        <f>IFERROR(VLOOKUP(A314,'[3]DS UPLOAD 2026 (2)'!$A$2:$P$1111,16,0),"")</f>
        <v/>
      </c>
      <c r="AB314" s="27">
        <v>396180588</v>
      </c>
      <c r="AC314" s="28"/>
    </row>
    <row r="315" spans="1:29" ht="18" customHeight="1" x14ac:dyDescent="0.3">
      <c r="A315" s="17" t="s">
        <v>1552</v>
      </c>
      <c r="B315" s="18" t="s">
        <v>1553</v>
      </c>
      <c r="C315" s="17" t="s">
        <v>1552</v>
      </c>
      <c r="D315" s="19" t="s">
        <v>38</v>
      </c>
      <c r="E315" s="19" t="s">
        <v>61</v>
      </c>
      <c r="F315" s="16" t="str">
        <f>VLOOKUP(E315,'[1]BẢNG MÃ'!$A$2:$B$69,2,0)</f>
        <v>TĐ012</v>
      </c>
      <c r="G315" s="20" t="s">
        <v>62</v>
      </c>
      <c r="H315" s="20" t="s">
        <v>62</v>
      </c>
      <c r="I315" s="16" t="s">
        <v>1256</v>
      </c>
      <c r="J315" s="16" t="str">
        <f>VLOOKUP(I315,'[1]BẢNG MÃ'!$C$2:$D$69,2,0)</f>
        <v>KP015</v>
      </c>
      <c r="K315" s="16" t="s">
        <v>43</v>
      </c>
      <c r="L315" s="16">
        <v>0</v>
      </c>
      <c r="M315" s="16" t="s">
        <v>33</v>
      </c>
      <c r="N315" s="21">
        <f ca="1">VLOOKUP(A315,'[1]Bieu 1a'!$A$8:$AW$855,10,0)</f>
        <v>37</v>
      </c>
      <c r="O315" s="22">
        <f>VLOOKUP(A315,'[1]Bieu 1a'!$A$8:$AW$855,8,0)</f>
        <v>0</v>
      </c>
      <c r="P315" s="22">
        <f>VLOOKUP(A315,'[1]Bieu 1a'!$A$8:$AW$855,9,0)</f>
        <v>32601</v>
      </c>
      <c r="Q315" s="23" t="s">
        <v>50</v>
      </c>
      <c r="R315" s="24" t="str">
        <f>VLOOKUP(A315,'[1]Bieu 1a'!$A$8:$AW$855,23,0)</f>
        <v>10/6/2013</v>
      </c>
      <c r="S315" s="25" t="s">
        <v>1554</v>
      </c>
      <c r="T315" s="26" t="s">
        <v>1555</v>
      </c>
      <c r="U315" s="16"/>
      <c r="V315" s="16" t="str">
        <f>IFERROR(VLOOKUP(A315,'[2]19.6.2026'!$A$9:$L$1111,5,0),"")</f>
        <v>000455/LS-CCHN</v>
      </c>
      <c r="W315" s="16" t="str">
        <f>IFERROR(VLOOKUP(A315,'[2]19.6.2026'!$A$9:$L$1111,6,0),"")</f>
        <v>24/08/2016</v>
      </c>
      <c r="X315" s="16"/>
      <c r="Y315" s="21" t="str">
        <f>IFERROR(VLOOKUP(A315,'[2]19.6.2026'!$A$9:$L$1111,7,0),"")</f>
        <v>Thực hiện phạm vi hoạt động chuyên môn theo quy định tại Thông tư số 26/2015/TTLT-BYT-BNV ngày 07/10/2015 quy định mã số, tiêu chuẩn chức danh nghề nghiệp điều dưỡng, hộ sinh, kỹ thuật y</v>
      </c>
      <c r="Z315" s="16"/>
      <c r="AA315" s="27" t="str">
        <f>IFERROR(VLOOKUP(A315,'[3]DS UPLOAD 2026 (2)'!$A$2:$P$1111,16,0),"")</f>
        <v/>
      </c>
      <c r="AB315" s="27" t="s">
        <v>1556</v>
      </c>
      <c r="AC315" s="28"/>
    </row>
    <row r="316" spans="1:29" ht="18" customHeight="1" x14ac:dyDescent="0.3">
      <c r="A316" s="17" t="s">
        <v>1557</v>
      </c>
      <c r="B316" s="36" t="s">
        <v>1558</v>
      </c>
      <c r="C316" s="17" t="s">
        <v>1557</v>
      </c>
      <c r="D316" s="19"/>
      <c r="E316" s="19" t="s">
        <v>61</v>
      </c>
      <c r="F316" s="16" t="str">
        <f>VLOOKUP(E316,'[1]BẢNG MÃ'!$A$2:$B$69,2,0)</f>
        <v>TĐ012</v>
      </c>
      <c r="G316" s="20" t="s">
        <v>62</v>
      </c>
      <c r="H316" s="20" t="s">
        <v>62</v>
      </c>
      <c r="I316" s="16" t="s">
        <v>1256</v>
      </c>
      <c r="J316" s="16" t="str">
        <f>VLOOKUP(I316,'[1]BẢNG MÃ'!$C$2:$D$69,2,0)</f>
        <v>KP015</v>
      </c>
      <c r="K316" s="16" t="s">
        <v>43</v>
      </c>
      <c r="L316" s="16">
        <v>0</v>
      </c>
      <c r="M316" s="16" t="s">
        <v>33</v>
      </c>
      <c r="N316" s="21">
        <f ca="1">VLOOKUP(A316,'[1]Bieu 1a'!$A$8:$AW$855,10,0)</f>
        <v>33</v>
      </c>
      <c r="O316" s="22" t="str">
        <f>VLOOKUP(A316,'[1]Bieu 1a'!$A$8:$AW$855,8,0)</f>
        <v>22/02/1993</v>
      </c>
      <c r="P316" s="22">
        <f>VLOOKUP(A316,'[1]Bieu 1a'!$A$8:$AW$855,9,0)</f>
        <v>0</v>
      </c>
      <c r="Q316" s="23" t="s">
        <v>50</v>
      </c>
      <c r="R316" s="24" t="str">
        <f>VLOOKUP(A316,'[1]Bieu 1a'!$A$8:$AW$855,23,0)</f>
        <v>20/3/2018</v>
      </c>
      <c r="S316" s="25" t="s">
        <v>1559</v>
      </c>
      <c r="T316" s="26" t="s">
        <v>1560</v>
      </c>
      <c r="U316" s="16"/>
      <c r="V316" s="16" t="str">
        <f>IFERROR(VLOOKUP(A316,'[2]19.6.2026'!$A$9:$L$1111,5,0),"")</f>
        <v>003551/LS-CCHN</v>
      </c>
      <c r="W316" s="16" t="str">
        <f>IFERROR(VLOOKUP(A316,'[2]19.6.2026'!$A$9:$L$1111,6,0),"")</f>
        <v>17/07/2019</v>
      </c>
      <c r="X316" s="16"/>
      <c r="Y316" s="21" t="str">
        <f>IFERROR(VLOOKUP(A316,'[2]19.6.2026'!$A$9:$L$1111,7,0),"")</f>
        <v>Thực hiện phạm vi hoạt động chuyên môn theo quy định tại Thông tư số 26/2015/TTLT-BYT-BNV ngày 07/10/2015 quy định mã số, tiêu chuẩn chức danh nghề nghiệp điều dưỡng, hộ sinh, kỹ thuật y</v>
      </c>
      <c r="Z316" s="16"/>
      <c r="AA316" s="27" t="str">
        <f>IFERROR(VLOOKUP(A316,'[3]DS UPLOAD 2026 (2)'!$A$2:$P$1111,16,0),"")</f>
        <v/>
      </c>
      <c r="AB316" s="27" t="s">
        <v>1561</v>
      </c>
      <c r="AC316" s="28" t="s">
        <v>374</v>
      </c>
    </row>
    <row r="317" spans="1:29" ht="18" customHeight="1" x14ac:dyDescent="0.3">
      <c r="A317" s="17" t="s">
        <v>1562</v>
      </c>
      <c r="B317" s="18" t="s">
        <v>1563</v>
      </c>
      <c r="C317" s="17" t="s">
        <v>1562</v>
      </c>
      <c r="D317" s="19"/>
      <c r="E317" s="19" t="s">
        <v>61</v>
      </c>
      <c r="F317" s="16" t="str">
        <f>VLOOKUP(E317,'[1]BẢNG MÃ'!$A$2:$B$69,2,0)</f>
        <v>TĐ012</v>
      </c>
      <c r="G317" s="20"/>
      <c r="H317" s="20" t="s">
        <v>62</v>
      </c>
      <c r="I317" s="16" t="s">
        <v>1256</v>
      </c>
      <c r="J317" s="16" t="str">
        <f>VLOOKUP(I317,'[1]BẢNG MÃ'!$C$2:$D$69,2,0)</f>
        <v>KP015</v>
      </c>
      <c r="K317" s="16"/>
      <c r="L317" s="16"/>
      <c r="M317" s="23" t="s">
        <v>33</v>
      </c>
      <c r="N317" s="21">
        <f ca="1">VLOOKUP(A317,'[1]Bieu 1a'!$A$8:$AW$855,10,0)</f>
        <v>32</v>
      </c>
      <c r="O317" s="22" t="str">
        <f>VLOOKUP(A317,'[1]Bieu 1a'!$A$8:$AW$855,8,0)</f>
        <v>21/7/1993</v>
      </c>
      <c r="P317" s="22">
        <f>VLOOKUP(A317,'[1]Bieu 1a'!$A$8:$AW$855,9,0)</f>
        <v>0</v>
      </c>
      <c r="Q317" s="23" t="s">
        <v>34</v>
      </c>
      <c r="R317" s="24" t="str">
        <f>VLOOKUP(A317,'[1]Bieu 1a'!$A$8:$AW$855,23,0)</f>
        <v xml:space="preserve"> 29/8/2016</v>
      </c>
      <c r="S317" s="25" t="s">
        <v>1564</v>
      </c>
      <c r="T317" s="26" t="s">
        <v>1565</v>
      </c>
      <c r="U317" s="16"/>
      <c r="V317" s="16" t="str">
        <f>IFERROR(VLOOKUP(A317,'[2]19.6.2026'!$A$9:$L$1111,5,0),"")</f>
        <v>003211/LS-CCHN</v>
      </c>
      <c r="W317" s="16" t="str">
        <f>IFERROR(VLOOKUP(A317,'[2]19.6.2026'!$A$9:$L$1111,6,0),"")</f>
        <v>10/04/2018</v>
      </c>
      <c r="X317" s="16"/>
      <c r="Y317" s="21" t="str">
        <f>IFERROR(VLOOKUP(A317,'[2]19.6.2026'!$A$9:$L$1111,7,0),"")</f>
        <v>Thực hiện phạm vi hoạt động chuyên môn theo quy định tại Thông tư số 26/2015/TTLT-BYT-BNV ngày 07/10/2015 quy định mã số, tiêu chuẩn chức danh nghề nghiệp điều dưỡng, hộ sinh, kỹ thuật y</v>
      </c>
      <c r="Z317" s="16"/>
      <c r="AA317" s="27" t="str">
        <f>IFERROR(VLOOKUP(A317,'[3]DS UPLOAD 2026 (2)'!$A$2:$P$1111,16,0),"")</f>
        <v/>
      </c>
      <c r="AB317" s="27" t="s">
        <v>1566</v>
      </c>
      <c r="AC317" s="29" t="s">
        <v>239</v>
      </c>
    </row>
    <row r="318" spans="1:29" ht="18" customHeight="1" x14ac:dyDescent="0.3">
      <c r="A318" s="17" t="s">
        <v>1567</v>
      </c>
      <c r="B318" s="18" t="s">
        <v>1568</v>
      </c>
      <c r="C318" s="17" t="s">
        <v>1567</v>
      </c>
      <c r="D318" s="19"/>
      <c r="E318" s="19" t="s">
        <v>61</v>
      </c>
      <c r="F318" s="16" t="str">
        <f>VLOOKUP(E318,'[1]BẢNG MÃ'!$A$2:$B$69,2,0)</f>
        <v>TĐ012</v>
      </c>
      <c r="G318" s="20" t="s">
        <v>62</v>
      </c>
      <c r="H318" s="20" t="s">
        <v>62</v>
      </c>
      <c r="I318" s="16" t="s">
        <v>1256</v>
      </c>
      <c r="J318" s="16" t="str">
        <f>VLOOKUP(I318,'[1]BẢNG MÃ'!$C$2:$D$69,2,0)</f>
        <v>KP015</v>
      </c>
      <c r="K318" s="16" t="s">
        <v>43</v>
      </c>
      <c r="L318" s="16">
        <v>0</v>
      </c>
      <c r="M318" s="16" t="s">
        <v>33</v>
      </c>
      <c r="N318" s="21">
        <f ca="1">VLOOKUP(A318,'[1]Bieu 1a'!$A$8:$AW$855,10,0)</f>
        <v>36</v>
      </c>
      <c r="O318" s="22">
        <f>VLOOKUP(A318,'[1]Bieu 1a'!$A$8:$AW$855,8,0)</f>
        <v>33011</v>
      </c>
      <c r="P318" s="22">
        <f>VLOOKUP(A318,'[1]Bieu 1a'!$A$8:$AW$855,9,0)</f>
        <v>0</v>
      </c>
      <c r="Q318" s="23" t="s">
        <v>44</v>
      </c>
      <c r="R318" s="24" t="str">
        <f>VLOOKUP(A318,'[1]Bieu 1a'!$A$8:$AW$855,23,0)</f>
        <v>01/11/2014</v>
      </c>
      <c r="S318" s="25" t="s">
        <v>1569</v>
      </c>
      <c r="T318" s="26" t="s">
        <v>1570</v>
      </c>
      <c r="U318" s="16"/>
      <c r="V318" s="16" t="str">
        <f>IFERROR(VLOOKUP(A318,'[2]19.6.2026'!$A$9:$L$1111,5,0),"")</f>
        <v>000471/LS-CCHN</v>
      </c>
      <c r="W318" s="16" t="str">
        <f>IFERROR(VLOOKUP(A318,'[2]19.6.2026'!$A$9:$L$1111,6,0),"")</f>
        <v>24/08/2016</v>
      </c>
      <c r="X318" s="16"/>
      <c r="Y318" s="21" t="str">
        <f>IFERROR(VLOOKUP(A318,'[2]19.6.2026'!$A$9:$L$1111,7,0),"")</f>
        <v>Thực hiện phạm vi hoạt động chuyên môn theo quy định tại Thông tư số 26/2015/TTLT-BYT-BNV ngày 07/10/2015 quy định mã số, tiêu chuẩn chức danh nghề nghiệp điều dưỡng, hộ sinh, kỹ thuật y</v>
      </c>
      <c r="Z318" s="16"/>
      <c r="AA318" s="27" t="str">
        <f>IFERROR(VLOOKUP(A318,'[3]DS UPLOAD 2026 (2)'!$A$2:$P$1111,16,0),"")</f>
        <v/>
      </c>
      <c r="AB318" s="27" t="s">
        <v>1571</v>
      </c>
      <c r="AC318" s="28"/>
    </row>
    <row r="319" spans="1:29" ht="18" customHeight="1" x14ac:dyDescent="0.3">
      <c r="A319" s="29" t="s">
        <v>1572</v>
      </c>
      <c r="B319" s="38" t="s">
        <v>1573</v>
      </c>
      <c r="C319" s="29" t="s">
        <v>1572</v>
      </c>
      <c r="D319" s="19" t="s">
        <v>38</v>
      </c>
      <c r="E319" s="19" t="s">
        <v>61</v>
      </c>
      <c r="F319" s="16" t="str">
        <f>VLOOKUP(E319,'[1]BẢNG MÃ'!$A$2:$B$69,2,0)</f>
        <v>TĐ012</v>
      </c>
      <c r="G319" s="38"/>
      <c r="H319" s="20" t="s">
        <v>62</v>
      </c>
      <c r="I319" s="16" t="s">
        <v>1256</v>
      </c>
      <c r="J319" s="16" t="str">
        <f>VLOOKUP(I319,'[1]BẢNG MÃ'!$C$2:$D$69,2,0)</f>
        <v>KP015</v>
      </c>
      <c r="K319" s="16"/>
      <c r="L319" s="16"/>
      <c r="M319" s="16" t="s">
        <v>33</v>
      </c>
      <c r="N319" s="21">
        <f ca="1">VLOOKUP(A319,'[1]Bieu 1a'!$A$8:$AW$855,10,0)</f>
        <v>29</v>
      </c>
      <c r="O319" s="22">
        <f>VLOOKUP(A319,'[1]Bieu 1a'!$A$8:$AW$855,8,0)</f>
        <v>0</v>
      </c>
      <c r="P319" s="22" t="str">
        <f>VLOOKUP(A319,'[1]Bieu 1a'!$A$8:$AW$855,9,0)</f>
        <v>27/9/1996</v>
      </c>
      <c r="Q319" s="23" t="s">
        <v>44</v>
      </c>
      <c r="R319" s="24" t="str">
        <f>VLOOKUP(A319,'[1]Bieu 1a'!$A$8:$AW$855,23,0)</f>
        <v>02/12/2019</v>
      </c>
      <c r="S319" s="25" t="s">
        <v>1574</v>
      </c>
      <c r="T319" s="26" t="s">
        <v>1551</v>
      </c>
      <c r="U319" s="16"/>
      <c r="V319" s="16" t="str">
        <f>IFERROR(VLOOKUP(A319,'[2]19.6.2026'!$A$9:$L$1111,5,0),"")</f>
        <v>004095/LS-CCHN</v>
      </c>
      <c r="W319" s="16" t="str">
        <f>IFERROR(VLOOKUP(A319,'[2]19.6.2026'!$A$9:$L$1111,6,0),"")</f>
        <v>19/01/2021</v>
      </c>
      <c r="X319" s="16"/>
      <c r="Y319" s="21" t="str">
        <f>IFERROR(VLOOKUP(A319,'[2]19.6.2026'!$A$9:$L$1111,7,0),"")</f>
        <v>Thực hiện phạm vi hoạt động chuyên môn theo quy định tại Thông tư số 26/2015/TTLT-BYT-BNV ngày 07/10/2015 quy định mã số, tiêu chuẩn chức danh nghề nghiệp điều dưỡng, hộ sinh, kỹ thuật y</v>
      </c>
      <c r="Z319" s="16"/>
      <c r="AA319" s="27" t="str">
        <f>IFERROR(VLOOKUP(A319,'[3]DS UPLOAD 2026 (2)'!$A$2:$P$1111,16,0),"")</f>
        <v/>
      </c>
      <c r="AB319" s="27"/>
      <c r="AC319" s="29" t="s">
        <v>591</v>
      </c>
    </row>
    <row r="320" spans="1:29" ht="18" customHeight="1" x14ac:dyDescent="0.3">
      <c r="A320" s="17" t="s">
        <v>1575</v>
      </c>
      <c r="B320" s="18" t="s">
        <v>1576</v>
      </c>
      <c r="C320" s="17" t="s">
        <v>1575</v>
      </c>
      <c r="D320" s="19" t="s">
        <v>38</v>
      </c>
      <c r="E320" s="19" t="s">
        <v>61</v>
      </c>
      <c r="F320" s="16" t="str">
        <f>VLOOKUP(E320,'[1]BẢNG MÃ'!$A$2:$B$69,2,0)</f>
        <v>TĐ012</v>
      </c>
      <c r="G320" s="20" t="s">
        <v>62</v>
      </c>
      <c r="H320" s="20" t="s">
        <v>62</v>
      </c>
      <c r="I320" s="16" t="s">
        <v>1256</v>
      </c>
      <c r="J320" s="16" t="str">
        <f>VLOOKUP(I320,'[1]BẢNG MÃ'!$C$2:$D$69,2,0)</f>
        <v>KP015</v>
      </c>
      <c r="K320" s="16" t="s">
        <v>43</v>
      </c>
      <c r="L320" s="16">
        <v>0</v>
      </c>
      <c r="M320" s="16" t="s">
        <v>33</v>
      </c>
      <c r="N320" s="21">
        <f ca="1">VLOOKUP(A320,'[1]Bieu 1a'!$A$8:$AW$855,10,0)</f>
        <v>40</v>
      </c>
      <c r="O320" s="22">
        <f>VLOOKUP(A320,'[1]Bieu 1a'!$A$8:$AW$855,8,0)</f>
        <v>0</v>
      </c>
      <c r="P320" s="22">
        <f>VLOOKUP(A320,'[1]Bieu 1a'!$A$8:$AW$855,9,0)</f>
        <v>31403</v>
      </c>
      <c r="Q320" s="23" t="s">
        <v>1577</v>
      </c>
      <c r="R320" s="24" t="str">
        <f>VLOOKUP(A320,'[1]Bieu 1a'!$A$8:$AW$855,23,0)</f>
        <v>8/12/2008</v>
      </c>
      <c r="S320" s="25" t="s">
        <v>1578</v>
      </c>
      <c r="T320" s="26" t="s">
        <v>1579</v>
      </c>
      <c r="U320" s="16"/>
      <c r="V320" s="16" t="str">
        <f>IFERROR(VLOOKUP(A320,'[2]19.6.2026'!$A$9:$L$1111,5,0),"")</f>
        <v>001108/LS-CCHN</v>
      </c>
      <c r="W320" s="16" t="str">
        <f>IFERROR(VLOOKUP(A320,'[2]19.6.2026'!$A$9:$L$1111,6,0),"")</f>
        <v>11/01/2023</v>
      </c>
      <c r="X320" s="16"/>
      <c r="Y320" s="21" t="str">
        <f>IFERROR(VLOOKUP(A320,'[2]19.6.2026'!$A$9:$L$1111,7,0),"")</f>
        <v>Thực hiện phạm vi hoạt động chuyên môn theo Thông tư số 26/2015/TTLT-BYT-BNV ngày 07/10/2015 quy định  mã số, tiêu chuẩn chức danh nghề nghiệp, điều dưỡng, hộ sinh, kỹ thuật y</v>
      </c>
      <c r="Z320" s="16"/>
      <c r="AA320" s="27" t="str">
        <f>IFERROR(VLOOKUP(A320,'[3]DS UPLOAD 2026 (2)'!$A$2:$P$1111,16,0),"")</f>
        <v/>
      </c>
      <c r="AB320" s="27" t="s">
        <v>1580</v>
      </c>
      <c r="AC320" s="28"/>
    </row>
    <row r="321" spans="1:29" ht="18" customHeight="1" x14ac:dyDescent="0.3">
      <c r="A321" s="17" t="s">
        <v>1581</v>
      </c>
      <c r="B321" s="18" t="s">
        <v>1582</v>
      </c>
      <c r="C321" s="17" t="s">
        <v>1581</v>
      </c>
      <c r="D321" s="19" t="s">
        <v>38</v>
      </c>
      <c r="E321" s="19" t="s">
        <v>61</v>
      </c>
      <c r="F321" s="16" t="str">
        <f>VLOOKUP(E321,'[1]BẢNG MÃ'!$A$2:$B$69,2,0)</f>
        <v>TĐ012</v>
      </c>
      <c r="G321" s="20" t="s">
        <v>62</v>
      </c>
      <c r="H321" s="20" t="s">
        <v>62</v>
      </c>
      <c r="I321" s="16" t="s">
        <v>1256</v>
      </c>
      <c r="J321" s="16" t="str">
        <f>VLOOKUP(I321,'[1]BẢNG MÃ'!$C$2:$D$69,2,0)</f>
        <v>KP015</v>
      </c>
      <c r="K321" s="16" t="s">
        <v>43</v>
      </c>
      <c r="L321" s="16">
        <v>0</v>
      </c>
      <c r="M321" s="16" t="s">
        <v>33</v>
      </c>
      <c r="N321" s="21">
        <f ca="1">VLOOKUP(A321,'[1]Bieu 1a'!$A$8:$AW$855,10,0)</f>
        <v>43</v>
      </c>
      <c r="O321" s="22">
        <f>VLOOKUP(A321,'[1]Bieu 1a'!$A$8:$AW$855,8,0)</f>
        <v>0</v>
      </c>
      <c r="P321" s="22">
        <f>VLOOKUP(A321,'[1]Bieu 1a'!$A$8:$AW$855,9,0)</f>
        <v>30215</v>
      </c>
      <c r="Q321" s="23" t="s">
        <v>44</v>
      </c>
      <c r="R321" s="24" t="str">
        <f>VLOOKUP(A321,'[1]Bieu 1a'!$A$8:$AW$855,23,0)</f>
        <v>7/11/2006</v>
      </c>
      <c r="S321" s="25" t="s">
        <v>1583</v>
      </c>
      <c r="T321" s="26" t="s">
        <v>1584</v>
      </c>
      <c r="U321" s="16"/>
      <c r="V321" s="16" t="str">
        <f>IFERROR(VLOOKUP(A321,'[2]19.6.2026'!$A$9:$L$1111,5,0),"")</f>
        <v>000744/LS-CCHN</v>
      </c>
      <c r="W321" s="16" t="str">
        <f>IFERROR(VLOOKUP(A321,'[2]19.6.2026'!$A$9:$L$1111,6,0),"")</f>
        <v>11/01/2023</v>
      </c>
      <c r="X321" s="16"/>
      <c r="Y321" s="21" t="str">
        <f>IFERROR(VLOOKUP(A321,'[2]19.6.2026'!$A$9:$L$1111,7,0),"")</f>
        <v>Thực hiện phạm vi hoạt động chuyên môn theo Thông tư số 26/2015/TTLT-BYT-BNV ngày 07/10/2015 quy định  mã số, tiêu chuẩn chức danh nghề nghiệp, điều dưỡng, hộ sinh, kỹ thuật y</v>
      </c>
      <c r="Z321" s="16"/>
      <c r="AA321" s="27" t="str">
        <f>IFERROR(VLOOKUP(A321,'[3]DS UPLOAD 2026 (2)'!$A$2:$P$1111,16,0),"")</f>
        <v/>
      </c>
      <c r="AB321" s="27" t="s">
        <v>1585</v>
      </c>
      <c r="AC321" s="28"/>
    </row>
    <row r="322" spans="1:29" ht="18" customHeight="1" x14ac:dyDescent="0.3">
      <c r="A322" s="46" t="s">
        <v>1586</v>
      </c>
      <c r="B322" s="28" t="s">
        <v>1587</v>
      </c>
      <c r="C322" s="47" t="s">
        <v>1586</v>
      </c>
      <c r="D322" s="19" t="s">
        <v>38</v>
      </c>
      <c r="E322" s="19" t="s">
        <v>61</v>
      </c>
      <c r="F322" s="16" t="str">
        <f>VLOOKUP(E322,'[1]BẢNG MÃ'!$A$2:$B$69,2,0)</f>
        <v>TĐ012</v>
      </c>
      <c r="G322" s="48"/>
      <c r="H322" s="20" t="s">
        <v>62</v>
      </c>
      <c r="I322" s="19" t="s">
        <v>1256</v>
      </c>
      <c r="J322" s="16" t="str">
        <f>VLOOKUP(I322,'[1]BẢNG MÃ'!$C$2:$D$69,2,0)</f>
        <v>KP015</v>
      </c>
      <c r="K322" s="23"/>
      <c r="L322" s="23"/>
      <c r="M322" s="16" t="s">
        <v>33</v>
      </c>
      <c r="N322" s="21">
        <f ca="1">VLOOKUP(A322,'[1]Bieu 1a'!$A$8:$AW$855,10,0)</f>
        <v>29</v>
      </c>
      <c r="O322" s="22">
        <f>VLOOKUP(A322,'[1]Bieu 1a'!$A$8:$AW$855,8,0)</f>
        <v>0</v>
      </c>
      <c r="P322" s="22" t="str">
        <f>VLOOKUP(A322,'[1]Bieu 1a'!$A$8:$AW$855,9,0)</f>
        <v>30/01/1997</v>
      </c>
      <c r="Q322" s="23" t="s">
        <v>50</v>
      </c>
      <c r="R322" s="24">
        <f>VLOOKUP(A322,'[1]Bieu 1a'!$A$8:$AW$855,23,0)</f>
        <v>45339</v>
      </c>
      <c r="S322" s="25" t="s">
        <v>1588</v>
      </c>
      <c r="T322" s="26" t="s">
        <v>1589</v>
      </c>
      <c r="U322" s="23"/>
      <c r="V322" s="16" t="str">
        <f>IFERROR(VLOOKUP(A322,'[2]19.6.2026'!$A$9:$L$1111,5,0),"")</f>
        <v>000459/LS-GPHN</v>
      </c>
      <c r="W322" s="16">
        <f>IFERROR(VLOOKUP(A322,'[2]19.6.2026'!$A$9:$L$1111,6,0),"")</f>
        <v>46044</v>
      </c>
      <c r="X322" s="19"/>
      <c r="Y322" s="21" t="str">
        <f>IFERROR(VLOOKUP(A322,'[2]19.6.2026'!$A$9:$L$1111,7,0),"")</f>
        <v>Điều dưỡng</v>
      </c>
      <c r="Z322" s="16"/>
      <c r="AA322" s="27" t="str">
        <f>IFERROR(VLOOKUP(A322,'[3]DS UPLOAD 2026 (2)'!$A$2:$P$1111,16,0),"")</f>
        <v/>
      </c>
      <c r="AB322" s="23"/>
      <c r="AC322" s="29" t="s">
        <v>1590</v>
      </c>
    </row>
    <row r="323" spans="1:29" ht="18" customHeight="1" x14ac:dyDescent="0.3">
      <c r="A323" s="17" t="s">
        <v>1591</v>
      </c>
      <c r="B323" s="18" t="s">
        <v>1592</v>
      </c>
      <c r="C323" s="17" t="s">
        <v>1591</v>
      </c>
      <c r="D323" s="19"/>
      <c r="E323" s="19" t="s">
        <v>115</v>
      </c>
      <c r="F323" s="16" t="str">
        <f>VLOOKUP(E323,'[1]BẢNG MÃ'!$A$2:$B$69,2,0)</f>
        <v>TĐ013</v>
      </c>
      <c r="G323" s="20" t="s">
        <v>62</v>
      </c>
      <c r="H323" s="20" t="s">
        <v>62</v>
      </c>
      <c r="I323" s="16" t="s">
        <v>1256</v>
      </c>
      <c r="J323" s="16" t="str">
        <f>VLOOKUP(I323,'[1]BẢNG MÃ'!$C$2:$D$69,2,0)</f>
        <v>KP015</v>
      </c>
      <c r="K323" s="16" t="s">
        <v>43</v>
      </c>
      <c r="L323" s="16">
        <v>0</v>
      </c>
      <c r="M323" s="16" t="s">
        <v>33</v>
      </c>
      <c r="N323" s="21">
        <f ca="1">VLOOKUP(A323,'[1]Bieu 1a'!$A$8:$AW$855,10,0)</f>
        <v>45</v>
      </c>
      <c r="O323" s="22">
        <f>VLOOKUP(A323,'[1]Bieu 1a'!$A$8:$AW$855,8,0)</f>
        <v>29580</v>
      </c>
      <c r="P323" s="22">
        <f>VLOOKUP(A323,'[1]Bieu 1a'!$A$8:$AW$855,9,0)</f>
        <v>0</v>
      </c>
      <c r="Q323" s="23" t="s">
        <v>34</v>
      </c>
      <c r="R323" s="24" t="str">
        <f>VLOOKUP(A323,'[1]Bieu 1a'!$A$8:$AW$855,23,0)</f>
        <v>1/10/2002</v>
      </c>
      <c r="S323" s="25" t="s">
        <v>1593</v>
      </c>
      <c r="T323" s="26" t="s">
        <v>1594</v>
      </c>
      <c r="U323" s="16"/>
      <c r="V323" s="16" t="str">
        <f>IFERROR(VLOOKUP(A323,'[2]19.6.2026'!$A$9:$L$1111,5,0),"")</f>
        <v>001097/LS-CCHN</v>
      </c>
      <c r="W323" s="16" t="str">
        <f>IFERROR(VLOOKUP(A323,'[2]19.6.2026'!$A$9:$L$1111,6,0),"")</f>
        <v>24/06/2013</v>
      </c>
      <c r="X323" s="16"/>
      <c r="Y323" s="21" t="str">
        <f>IFERROR(VLOOKUP(A323,'[2]19.6.2026'!$A$9:$L$1111,7,0),"")</f>
        <v>Theo quy định tại Quyết định số 41/2005/QĐ-BNV ngày 22/4/2005 của Bộ trưởng Bộ Nội vụ về việc ban hành tiêu chuẩn nghiệp vụ các ngạch viên chức y tế điều dưỡng</v>
      </c>
      <c r="Z323" s="16"/>
      <c r="AA323" s="27" t="str">
        <f>IFERROR(VLOOKUP(A323,'[3]DS UPLOAD 2026 (2)'!$A$2:$P$1111,16,0),"")</f>
        <v/>
      </c>
      <c r="AB323" s="27" t="s">
        <v>1595</v>
      </c>
      <c r="AC323" s="28"/>
    </row>
    <row r="324" spans="1:29" ht="18" customHeight="1" x14ac:dyDescent="0.3">
      <c r="A324" s="17" t="s">
        <v>1596</v>
      </c>
      <c r="B324" s="18" t="s">
        <v>1597</v>
      </c>
      <c r="C324" s="17" t="s">
        <v>1596</v>
      </c>
      <c r="D324" s="19" t="s">
        <v>38</v>
      </c>
      <c r="E324" s="19" t="s">
        <v>128</v>
      </c>
      <c r="F324" s="16" t="str">
        <f>VLOOKUP(E324,'[1]BẢNG MÃ'!$A$2:$B$69,2,0)</f>
        <v>TĐ047</v>
      </c>
      <c r="G324" s="20"/>
      <c r="H324" s="19" t="s">
        <v>128</v>
      </c>
      <c r="I324" s="16" t="s">
        <v>1256</v>
      </c>
      <c r="J324" s="16" t="str">
        <f>VLOOKUP(I324,'[1]BẢNG MÃ'!$C$2:$D$69,2,0)</f>
        <v>KP015</v>
      </c>
      <c r="K324" s="16"/>
      <c r="L324" s="16"/>
      <c r="M324" s="16" t="s">
        <v>136</v>
      </c>
      <c r="N324" s="21">
        <f ca="1">VLOOKUP(A324,'[1]Bieu 1a'!$A$8:$AW$855,10,0)</f>
        <v>42</v>
      </c>
      <c r="O324" s="22">
        <f>VLOOKUP(A324,'[1]Bieu 1a'!$A$8:$AW$855,8,0)</f>
        <v>0</v>
      </c>
      <c r="P324" s="22" t="str">
        <f>VLOOKUP(A324,'[1]Bieu 1a'!$A$8:$AW$855,9,0)</f>
        <v>09/5/1984</v>
      </c>
      <c r="Q324" s="23" t="s">
        <v>50</v>
      </c>
      <c r="R324" s="24" t="str">
        <f>VLOOKUP(A324,'[1]Bieu 1a'!$A$8:$AW$855,23,0)</f>
        <v>20/6/2022</v>
      </c>
      <c r="S324" s="25" t="s">
        <v>1598</v>
      </c>
      <c r="T324" s="26" t="s">
        <v>1599</v>
      </c>
      <c r="U324" s="16"/>
      <c r="V324" s="16" t="str">
        <f>IFERROR(VLOOKUP(A324,'[2]19.6.2026'!$A$9:$L$1111,5,0),"")</f>
        <v/>
      </c>
      <c r="W324" s="16" t="str">
        <f>IFERROR(VLOOKUP(A324,'[2]19.6.2026'!$A$9:$L$1111,6,0),"")</f>
        <v/>
      </c>
      <c r="X324" s="16"/>
      <c r="Y324" s="21" t="str">
        <f>IFERROR(VLOOKUP(A324,'[2]19.6.2026'!$A$9:$L$1111,7,0),"")</f>
        <v/>
      </c>
      <c r="Z324" s="16"/>
      <c r="AA324" s="27" t="str">
        <f>IFERROR(VLOOKUP(A324,'[3]DS UPLOAD 2026 (2)'!$A$2:$P$1111,16,0),"")</f>
        <v/>
      </c>
      <c r="AB324" s="103" t="s">
        <v>1600</v>
      </c>
      <c r="AC324" s="28" t="s">
        <v>1601</v>
      </c>
    </row>
    <row r="325" spans="1:29" ht="18" customHeight="1" x14ac:dyDescent="0.3">
      <c r="A325" s="17" t="s">
        <v>1602</v>
      </c>
      <c r="B325" s="18" t="s">
        <v>1603</v>
      </c>
      <c r="C325" s="17" t="s">
        <v>1602</v>
      </c>
      <c r="D325" s="19" t="s">
        <v>38</v>
      </c>
      <c r="E325" s="19" t="s">
        <v>28</v>
      </c>
      <c r="F325" s="16" t="str">
        <f>VLOOKUP(E325,'[1]BẢNG MÃ'!$A$2:$B$69,2,0)</f>
        <v>TĐ001</v>
      </c>
      <c r="G325" s="20" t="s">
        <v>29</v>
      </c>
      <c r="H325" s="20" t="s">
        <v>29</v>
      </c>
      <c r="I325" s="16" t="s">
        <v>1604</v>
      </c>
      <c r="J325" s="16" t="str">
        <f>VLOOKUP(I325,'[1]BẢNG MÃ'!$C$2:$D$69,2,0)</f>
        <v>KP016</v>
      </c>
      <c r="K325" s="16" t="s">
        <v>43</v>
      </c>
      <c r="L325" s="16">
        <v>0</v>
      </c>
      <c r="M325" s="16" t="s">
        <v>33</v>
      </c>
      <c r="N325" s="21">
        <f ca="1">VLOOKUP(A325,'[1]Bieu 1a'!$A$8:$AW$855,10,0)</f>
        <v>41</v>
      </c>
      <c r="O325" s="22">
        <f>VLOOKUP(A325,'[1]Bieu 1a'!$A$8:$AW$855,8,0)</f>
        <v>0</v>
      </c>
      <c r="Q325" s="23" t="s">
        <v>34</v>
      </c>
      <c r="R325" s="24" t="str">
        <f>VLOOKUP(A325,'[1]Bieu 1a'!$A$8:$AW$855,23,0)</f>
        <v>1/12/2008</v>
      </c>
      <c r="S325" s="25" t="s">
        <v>1605</v>
      </c>
      <c r="T325" s="26" t="s">
        <v>1606</v>
      </c>
      <c r="U325" s="16"/>
      <c r="V325" s="16" t="str">
        <f>IFERROR(VLOOKUP(A325,'[2]19.6.2026'!$A$9:$L$1111,5,0),"")</f>
        <v>000954/LS-CCHN</v>
      </c>
      <c r="W325" s="16" t="str">
        <f>IFERROR(VLOOKUP(A325,'[2]19.6.2026'!$A$9:$L$1111,6,0),"")</f>
        <v>24/06/2013</v>
      </c>
      <c r="X325" s="16"/>
      <c r="Y325" s="21" t="str">
        <f>IFERROR(VLOOKUP(A325,'[2]19.6.2026'!$A$9:$L$1111,7,0),"")</f>
        <v>Khám bệnh, chữa bệnh Sản khoa</v>
      </c>
      <c r="Z325" s="16"/>
      <c r="AA325" s="27" t="str">
        <f>IFERROR(VLOOKUP(A325,'[3]DS UPLOAD 2026 (2)'!$A$2:$P$1111,16,0),"")</f>
        <v>18.0018;18.0020;18.0030;18.0031;18.0034;18.0035;18.0036;18.0054</v>
      </c>
      <c r="AB325" s="27" t="s">
        <v>1607</v>
      </c>
      <c r="AC325" s="28"/>
    </row>
    <row r="326" spans="1:29" ht="18" customHeight="1" x14ac:dyDescent="0.3">
      <c r="A326" s="17" t="s">
        <v>1608</v>
      </c>
      <c r="B326" s="18" t="s">
        <v>1609</v>
      </c>
      <c r="C326" s="17" t="s">
        <v>1608</v>
      </c>
      <c r="D326" s="19" t="s">
        <v>38</v>
      </c>
      <c r="E326" s="16" t="s">
        <v>160</v>
      </c>
      <c r="F326" s="16" t="str">
        <f>VLOOKUP(E326,'[1]BẢNG MÃ'!$A$2:$B$69,2,0)</f>
        <v>TĐ003</v>
      </c>
      <c r="G326" s="20" t="s">
        <v>29</v>
      </c>
      <c r="H326" s="20" t="s">
        <v>29</v>
      </c>
      <c r="I326" s="16" t="s">
        <v>1604</v>
      </c>
      <c r="J326" s="16" t="str">
        <f>VLOOKUP(I326,'[1]BẢNG MÃ'!$C$2:$D$69,2,0)</f>
        <v>KP016</v>
      </c>
      <c r="K326" s="16" t="s">
        <v>43</v>
      </c>
      <c r="L326" s="16">
        <v>0</v>
      </c>
      <c r="M326" s="16" t="s">
        <v>33</v>
      </c>
      <c r="N326" s="21">
        <f ca="1">VLOOKUP(A326,'[1]Bieu 1a'!$A$8:$AW$855,10,0)</f>
        <v>55</v>
      </c>
      <c r="O326" s="22">
        <f>VLOOKUP(A326,'[1]Bieu 1a'!$A$8:$AW$855,8,0)</f>
        <v>0</v>
      </c>
      <c r="P326" s="22">
        <f>VLOOKUP(A326,'[1]Bieu 1a'!$A$8:$AW$855,9,0)</f>
        <v>25868</v>
      </c>
      <c r="Q326" s="23" t="s">
        <v>50</v>
      </c>
      <c r="R326" s="24" t="str">
        <f>VLOOKUP(A326,'[1]Bieu 1a'!$A$8:$AW$855,23,0)</f>
        <v>1/10/1994</v>
      </c>
      <c r="S326" s="25" t="s">
        <v>1610</v>
      </c>
      <c r="T326" s="26" t="s">
        <v>1611</v>
      </c>
      <c r="U326" s="16"/>
      <c r="V326" s="16" t="str">
        <f>IFERROR(VLOOKUP(A326,'[2]19.6.2026'!$A$9:$L$1111,5,0),"")</f>
        <v>000203/LS-CCHN</v>
      </c>
      <c r="W326" s="16" t="str">
        <f>IFERROR(VLOOKUP(A326,'[2]19.6.2026'!$A$9:$L$1111,6,0),"")</f>
        <v>11/01/2023</v>
      </c>
      <c r="X326" s="16"/>
      <c r="Y326" s="21" t="str">
        <f>IFERROR(VLOOKUP(A326,'[2]19.6.2026'!$A$9:$L$1111,7,0),"")</f>
        <v>Khám bệnh, chữa bệnh chuyên khoa Phụ sản</v>
      </c>
      <c r="Z326" s="16"/>
      <c r="AA326" s="27" t="str">
        <f>IFERROR(VLOOKUP(A326,'[3]DS UPLOAD 2026 (2)'!$A$2:$P$1111,16,0),"")</f>
        <v>18.0018;18.0020;18.0030;18.0031;18.0034;18.0035;18.0036;18.0054</v>
      </c>
      <c r="AB326" s="27" t="s">
        <v>1612</v>
      </c>
      <c r="AC326" s="28"/>
    </row>
    <row r="327" spans="1:29" ht="18" customHeight="1" x14ac:dyDescent="0.3">
      <c r="A327" s="17" t="s">
        <v>1613</v>
      </c>
      <c r="B327" s="18" t="s">
        <v>1614</v>
      </c>
      <c r="C327" s="17" t="s">
        <v>1613</v>
      </c>
      <c r="D327" s="19" t="s">
        <v>38</v>
      </c>
      <c r="E327" s="16" t="s">
        <v>160</v>
      </c>
      <c r="F327" s="16" t="str">
        <f>VLOOKUP(E327,'[1]BẢNG MÃ'!$A$2:$B$69,2,0)</f>
        <v>TĐ003</v>
      </c>
      <c r="G327" s="20" t="s">
        <v>29</v>
      </c>
      <c r="H327" s="20" t="s">
        <v>29</v>
      </c>
      <c r="I327" s="16" t="s">
        <v>1604</v>
      </c>
      <c r="J327" s="16" t="str">
        <f>VLOOKUP(I327,'[1]BẢNG MÃ'!$C$2:$D$69,2,0)</f>
        <v>KP016</v>
      </c>
      <c r="K327" s="16" t="s">
        <v>43</v>
      </c>
      <c r="L327" s="16">
        <v>0</v>
      </c>
      <c r="M327" s="16" t="s">
        <v>33</v>
      </c>
      <c r="N327" s="21">
        <f ca="1">VLOOKUP(A327,'[1]Bieu 1a'!$A$8:$AW$855,10,0)</f>
        <v>54</v>
      </c>
      <c r="O327" s="22">
        <f>VLOOKUP(A327,'[1]Bieu 1a'!$A$8:$AW$855,8,0)</f>
        <v>0</v>
      </c>
      <c r="P327" s="22">
        <f>VLOOKUP(A327,'[1]Bieu 1a'!$A$8:$AW$855,9,0)</f>
        <v>26226</v>
      </c>
      <c r="Q327" s="23" t="s">
        <v>34</v>
      </c>
      <c r="R327" s="24" t="str">
        <f>VLOOKUP(A327,'[1]Bieu 1a'!$A$8:$AW$855,23,0)</f>
        <v>15/11/1993</v>
      </c>
      <c r="S327" s="25" t="s">
        <v>1615</v>
      </c>
      <c r="T327" s="26" t="s">
        <v>1616</v>
      </c>
      <c r="U327" s="16"/>
      <c r="V327" s="16" t="str">
        <f>IFERROR(VLOOKUP(A327,'[2]19.6.2026'!$A$9:$L$1111,5,0),"")</f>
        <v>000020/LS-CCHN</v>
      </c>
      <c r="W327" s="16" t="str">
        <f>IFERROR(VLOOKUP(A327,'[2]19.6.2026'!$A$9:$L$1111,6,0),"")</f>
        <v>11/01/2023</v>
      </c>
      <c r="X327" s="16"/>
      <c r="Y327" s="21" t="str">
        <f>IFERROR(VLOOKUP(A327,'[2]19.6.2026'!$A$9:$L$1111,7,0),"")</f>
        <v>Khám bệnh, chữa bệnh chuyên khoa Phụ sản</v>
      </c>
      <c r="Z327" s="16"/>
      <c r="AA327" s="27" t="str">
        <f>IFERROR(VLOOKUP(A327,'[3]DS UPLOAD 2026 (2)'!$A$2:$P$1111,16,0),"")</f>
        <v>18.0018;18.0020;18.0030;18.0031;18.0034;18.0035;18.0036;18.0054</v>
      </c>
      <c r="AB327" s="27" t="s">
        <v>1617</v>
      </c>
      <c r="AC327" s="28"/>
    </row>
    <row r="328" spans="1:29" ht="18" customHeight="1" x14ac:dyDescent="0.3">
      <c r="A328" s="17" t="s">
        <v>1618</v>
      </c>
      <c r="B328" s="29" t="s">
        <v>1619</v>
      </c>
      <c r="C328" s="17" t="s">
        <v>1618</v>
      </c>
      <c r="D328" s="19" t="s">
        <v>38</v>
      </c>
      <c r="E328" s="16" t="s">
        <v>160</v>
      </c>
      <c r="F328" s="16" t="str">
        <f>VLOOKUP(E328,'[1]BẢNG MÃ'!$A$2:$B$69,2,0)</f>
        <v>TĐ003</v>
      </c>
      <c r="G328" s="20" t="s">
        <v>161</v>
      </c>
      <c r="H328" s="20" t="s">
        <v>161</v>
      </c>
      <c r="I328" s="16" t="s">
        <v>1604</v>
      </c>
      <c r="J328" s="16" t="str">
        <f>VLOOKUP(I328,'[1]BẢNG MÃ'!$C$2:$D$69,2,0)</f>
        <v>KP016</v>
      </c>
      <c r="K328" s="16" t="s">
        <v>43</v>
      </c>
      <c r="L328" s="16">
        <v>0</v>
      </c>
      <c r="M328" s="16" t="s">
        <v>33</v>
      </c>
      <c r="N328" s="21">
        <f ca="1">VLOOKUP(A328,'[1]Bieu 1a'!$A$8:$AW$855,10,0)</f>
        <v>39</v>
      </c>
      <c r="O328" s="22">
        <f>VLOOKUP(A328,'[1]Bieu 1a'!$A$8:$AW$855,8,0)</f>
        <v>0</v>
      </c>
      <c r="P328" s="22">
        <f>VLOOKUP(A328,'[1]Bieu 1a'!$A$8:$AW$855,9,0)</f>
        <v>31639</v>
      </c>
      <c r="Q328" s="23" t="s">
        <v>44</v>
      </c>
      <c r="R328" s="24" t="str">
        <f>VLOOKUP(A328,'[1]Bieu 1a'!$A$8:$AW$855,23,0)</f>
        <v>10/6/2013</v>
      </c>
      <c r="S328" s="25" t="s">
        <v>1620</v>
      </c>
      <c r="T328" s="26" t="s">
        <v>1621</v>
      </c>
      <c r="U328" s="16"/>
      <c r="V328" s="16" t="str">
        <f>IFERROR(VLOOKUP(A328,'[2]19.6.2026'!$A$9:$L$1111,5,0),"")</f>
        <v>000955/LS-CCHN</v>
      </c>
      <c r="W328" s="16" t="str">
        <f>IFERROR(VLOOKUP(A328,'[2]19.6.2026'!$A$9:$L$1111,6,0),"")</f>
        <v>11/01/2023</v>
      </c>
      <c r="X328" s="16"/>
      <c r="Y328" s="21" t="str">
        <f>IFERROR(VLOOKUP(A328,'[2]19.6.2026'!$A$9:$L$1111,7,0),"")</f>
        <v>Khám bệnh, chữa bệnh chuyên khoa Phụ sản</v>
      </c>
      <c r="Z328" s="16"/>
      <c r="AA328" s="27" t="str">
        <f>IFERROR(VLOOKUP(A328,'[3]DS UPLOAD 2026 (2)'!$A$2:$P$1111,16,0),"")</f>
        <v>18.0018;18.0020;18.0030;18.0031;18.0034;18.0035;18.0036;18.0054</v>
      </c>
      <c r="AB328" s="27" t="s">
        <v>1622</v>
      </c>
      <c r="AC328" s="28"/>
    </row>
    <row r="329" spans="1:29" ht="18" customHeight="1" x14ac:dyDescent="0.3">
      <c r="A329" s="17" t="s">
        <v>1623</v>
      </c>
      <c r="B329" s="36" t="s">
        <v>1624</v>
      </c>
      <c r="C329" s="17" t="s">
        <v>1623</v>
      </c>
      <c r="D329" s="19" t="s">
        <v>38</v>
      </c>
      <c r="E329" s="19" t="s">
        <v>160</v>
      </c>
      <c r="F329" s="16" t="str">
        <f>VLOOKUP(E329,'[1]BẢNG MÃ'!$A$2:$B$69,2,0)</f>
        <v>TĐ003</v>
      </c>
      <c r="G329" s="20" t="s">
        <v>161</v>
      </c>
      <c r="H329" s="20" t="s">
        <v>161</v>
      </c>
      <c r="I329" s="16" t="s">
        <v>1604</v>
      </c>
      <c r="J329" s="16" t="str">
        <f>VLOOKUP(I329,'[1]BẢNG MÃ'!$C$2:$D$69,2,0)</f>
        <v>KP016</v>
      </c>
      <c r="K329" s="16" t="s">
        <v>43</v>
      </c>
      <c r="L329" s="16">
        <v>0</v>
      </c>
      <c r="M329" s="16" t="s">
        <v>33</v>
      </c>
      <c r="N329" s="21">
        <f ca="1">VLOOKUP(A329,'[1]Bieu 1a'!$A$8:$AW$855,10,0)</f>
        <v>38</v>
      </c>
      <c r="O329" s="22">
        <f>VLOOKUP(A329,'[1]Bieu 1a'!$A$8:$AW$855,8,0)</f>
        <v>0</v>
      </c>
      <c r="P329" s="22">
        <f>VLOOKUP(A329,'[1]Bieu 1a'!$A$8:$AW$855,9,0)</f>
        <v>32159</v>
      </c>
      <c r="Q329" s="23" t="s">
        <v>34</v>
      </c>
      <c r="R329" s="24" t="str">
        <f>VLOOKUP(A329,'[1]Bieu 1a'!$A$8:$AW$855,23,0)</f>
        <v>1/1/2015</v>
      </c>
      <c r="S329" s="25" t="s">
        <v>1625</v>
      </c>
      <c r="T329" s="26" t="s">
        <v>1626</v>
      </c>
      <c r="U329" s="16"/>
      <c r="V329" s="16" t="str">
        <f>IFERROR(VLOOKUP(A329,'[2]19.6.2026'!$A$9:$L$1111,5,0),"")</f>
        <v>003357/LS-CCHN</v>
      </c>
      <c r="W329" s="16" t="str">
        <f>IFERROR(VLOOKUP(A329,'[2]19.6.2026'!$A$9:$L$1111,6,0),"")</f>
        <v>17/09/2018</v>
      </c>
      <c r="X329" s="16"/>
      <c r="Y329" s="21" t="str">
        <f>IFERROR(VLOOKUP(A329,'[2]19.6.2026'!$A$9:$L$1111,7,0),"")</f>
        <v>Khám bệnh, chữa bệnh sản khoa</v>
      </c>
      <c r="Z329" s="16"/>
      <c r="AA329" s="27" t="str">
        <f>IFERROR(VLOOKUP(A329,'[3]DS UPLOAD 2026 (2)'!$A$2:$P$1111,16,0),"")</f>
        <v>18.0018;18.0020;18.0030;18.0031;18.0034;18.0035;18.0036;18.0054</v>
      </c>
      <c r="AB329" s="27" t="s">
        <v>1627</v>
      </c>
      <c r="AC329" s="28"/>
    </row>
    <row r="330" spans="1:29" ht="18" customHeight="1" x14ac:dyDescent="0.3">
      <c r="A330" s="17" t="s">
        <v>1628</v>
      </c>
      <c r="B330" s="38" t="s">
        <v>1629</v>
      </c>
      <c r="C330" s="17" t="s">
        <v>1628</v>
      </c>
      <c r="D330" s="19" t="s">
        <v>38</v>
      </c>
      <c r="E330" s="19" t="s">
        <v>160</v>
      </c>
      <c r="F330" s="16" t="str">
        <f>VLOOKUP(E330,'[1]BẢNG MÃ'!$A$2:$B$69,2,0)</f>
        <v>TĐ003</v>
      </c>
      <c r="G330" s="20" t="s">
        <v>161</v>
      </c>
      <c r="H330" s="20" t="s">
        <v>161</v>
      </c>
      <c r="I330" s="16" t="s">
        <v>1604</v>
      </c>
      <c r="J330" s="16" t="str">
        <f>VLOOKUP(I330,'[1]BẢNG MÃ'!$C$2:$D$69,2,0)</f>
        <v>KP016</v>
      </c>
      <c r="K330" s="16" t="s">
        <v>43</v>
      </c>
      <c r="L330" s="16">
        <v>0</v>
      </c>
      <c r="M330" s="16" t="s">
        <v>33</v>
      </c>
      <c r="N330" s="21">
        <f ca="1">VLOOKUP(A330,'[1]Bieu 1a'!$A$8:$AW$855,10,0)</f>
        <v>33</v>
      </c>
      <c r="O330" s="22">
        <f>VLOOKUP(A330,'[1]Bieu 1a'!$A$8:$AW$855,8,0)</f>
        <v>0</v>
      </c>
      <c r="P330" s="22" t="str">
        <f>VLOOKUP(A330,'[1]Bieu 1a'!$A$8:$AW$855,9,0)</f>
        <v>20/12/1992</v>
      </c>
      <c r="Q330" s="23" t="s">
        <v>50</v>
      </c>
      <c r="R330" s="24" t="str">
        <f>VLOOKUP(A330,'[1]Bieu 1a'!$A$8:$AW$855,23,0)</f>
        <v>20/3/2018</v>
      </c>
      <c r="S330" s="25" t="s">
        <v>1630</v>
      </c>
      <c r="T330" s="26" t="s">
        <v>1631</v>
      </c>
      <c r="U330" s="16"/>
      <c r="V330" s="16" t="str">
        <f>IFERROR(VLOOKUP(A330,'[2]19.6.2026'!$A$9:$L$1111,5,0),"")</f>
        <v>003458/LS-CCHN</v>
      </c>
      <c r="W330" s="16" t="str">
        <f>IFERROR(VLOOKUP(A330,'[2]19.6.2026'!$A$9:$L$1111,6,0),"")</f>
        <v>17/05/2019</v>
      </c>
      <c r="X330" s="16"/>
      <c r="Y330" s="21" t="str">
        <f>IFERROR(VLOOKUP(A330,'[2]19.6.2026'!$A$9:$L$1111,7,0),"")</f>
        <v>Khám bệnh, chữa bệnh Sản phụ khoa</v>
      </c>
      <c r="Z330" s="16"/>
      <c r="AA330" s="27" t="str">
        <f>IFERROR(VLOOKUP(A330,'[3]DS UPLOAD 2026 (2)'!$A$2:$P$1111,16,0),"")</f>
        <v>18.0018;18.0020;18.0030;18.0031;18.0034;18.0035;18.0036;18.0054</v>
      </c>
      <c r="AB330" s="27" t="s">
        <v>1632</v>
      </c>
      <c r="AC330" s="28" t="s">
        <v>1633</v>
      </c>
    </row>
    <row r="331" spans="1:29" ht="18" customHeight="1" x14ac:dyDescent="0.3">
      <c r="A331" s="17" t="s">
        <v>1634</v>
      </c>
      <c r="B331" s="59" t="s">
        <v>1635</v>
      </c>
      <c r="C331" s="17" t="s">
        <v>1634</v>
      </c>
      <c r="D331" s="19" t="s">
        <v>38</v>
      </c>
      <c r="E331" s="19" t="s">
        <v>160</v>
      </c>
      <c r="F331" s="16" t="str">
        <f>VLOOKUP(E331,'[1]BẢNG MÃ'!$A$2:$B$69,2,0)</f>
        <v>TĐ003</v>
      </c>
      <c r="G331" s="20" t="s">
        <v>161</v>
      </c>
      <c r="H331" s="20" t="s">
        <v>161</v>
      </c>
      <c r="I331" s="16" t="s">
        <v>1604</v>
      </c>
      <c r="J331" s="16" t="str">
        <f>VLOOKUP(I331,'[1]BẢNG MÃ'!$C$2:$D$69,2,0)</f>
        <v>KP016</v>
      </c>
      <c r="K331" s="16" t="s">
        <v>43</v>
      </c>
      <c r="L331" s="16">
        <v>0</v>
      </c>
      <c r="M331" s="16" t="s">
        <v>33</v>
      </c>
      <c r="N331" s="21">
        <f ca="1">VLOOKUP(A331,'[1]Bieu 1a'!$A$8:$AW$855,10,0)</f>
        <v>36</v>
      </c>
      <c r="O331" s="22">
        <f>VLOOKUP(A331,'[1]Bieu 1a'!$A$8:$AW$855,8,0)</f>
        <v>0</v>
      </c>
      <c r="P331" s="22" t="str">
        <f>VLOOKUP(A331,'[1]Bieu 1a'!$A$8:$AW$855,9,0)</f>
        <v>18/5/1990</v>
      </c>
      <c r="Q331" s="23" t="s">
        <v>34</v>
      </c>
      <c r="R331" s="24" t="str">
        <f>VLOOKUP(A331,'[1]Bieu 1a'!$A$8:$AW$855,23,0)</f>
        <v>10/01/2016</v>
      </c>
      <c r="S331" s="25" t="s">
        <v>1636</v>
      </c>
      <c r="T331" s="26" t="s">
        <v>1637</v>
      </c>
      <c r="U331" s="16"/>
      <c r="V331" s="16" t="str">
        <f>IFERROR(VLOOKUP(A331,'[2]19.6.2026'!$A$9:$L$1111,5,0),"")</f>
        <v>000722/LS-CCHN</v>
      </c>
      <c r="W331" s="16" t="str">
        <f>IFERROR(VLOOKUP(A331,'[2]19.6.2026'!$A$9:$L$1111,6,0),"")</f>
        <v>25/07/2017</v>
      </c>
      <c r="X331" s="16"/>
      <c r="Y331" s="21" t="str">
        <f>IFERROR(VLOOKUP(A331,'[2]19.6.2026'!$A$9:$L$1111,7,0),"")</f>
        <v>Khám bệnh, chữa bệnh đa khoa</v>
      </c>
      <c r="Z331" s="16"/>
      <c r="AA331" s="27" t="str">
        <f>IFERROR(VLOOKUP(A331,'[3]DS UPLOAD 2026 (2)'!$A$2:$P$1111,16,0),"")</f>
        <v>18.0018;18.0020;18.0030;18.0031;18.0034;18.0035;18.0036;18.0054;18.0025;18.0026;18.0032;18.0033;18.0037;18.0055</v>
      </c>
      <c r="AB331" s="27">
        <v>818006804</v>
      </c>
      <c r="AC331" s="28" t="s">
        <v>1638</v>
      </c>
    </row>
    <row r="332" spans="1:29" ht="18" customHeight="1" x14ac:dyDescent="0.3">
      <c r="A332" s="17" t="s">
        <v>1639</v>
      </c>
      <c r="B332" s="18" t="s">
        <v>1640</v>
      </c>
      <c r="C332" s="17" t="s">
        <v>1639</v>
      </c>
      <c r="D332" s="19"/>
      <c r="E332" s="19" t="s">
        <v>479</v>
      </c>
      <c r="F332" s="16" t="str">
        <f>VLOOKUP(E332,'[1]BẢNG MÃ'!$A$2:$B$69,2,0)</f>
        <v>TĐ004</v>
      </c>
      <c r="G332" s="20" t="s">
        <v>161</v>
      </c>
      <c r="H332" s="20" t="s">
        <v>161</v>
      </c>
      <c r="I332" s="16" t="s">
        <v>1604</v>
      </c>
      <c r="J332" s="16" t="str">
        <f>VLOOKUP(I332,'[1]BẢNG MÃ'!$C$2:$D$69,2,0)</f>
        <v>KP016</v>
      </c>
      <c r="K332" s="16" t="s">
        <v>31</v>
      </c>
      <c r="L332" s="16" t="s">
        <v>154</v>
      </c>
      <c r="M332" s="16" t="s">
        <v>33</v>
      </c>
      <c r="N332" s="21">
        <f ca="1">VLOOKUP(A332,'[1]Bieu 1a'!$A$8:$AW$855,10,0)</f>
        <v>44</v>
      </c>
      <c r="O332" s="22">
        <f>VLOOKUP(A332,'[1]Bieu 1a'!$A$8:$AW$855,8,0)</f>
        <v>30081</v>
      </c>
      <c r="P332" s="22">
        <f>VLOOKUP(A332,'[1]Bieu 1a'!$A$8:$AW$855,9,0)</f>
        <v>0</v>
      </c>
      <c r="Q332" s="23" t="s">
        <v>50</v>
      </c>
      <c r="R332" s="24" t="str">
        <f>VLOOKUP(A332,'[1]Bieu 1a'!$A$8:$AW$855,23,0)</f>
        <v>5/12/2006</v>
      </c>
      <c r="S332" s="25" t="s">
        <v>1641</v>
      </c>
      <c r="T332" s="26" t="s">
        <v>1642</v>
      </c>
      <c r="U332" s="16"/>
      <c r="V332" s="16" t="str">
        <f>IFERROR(VLOOKUP(A332,'[2]19.6.2026'!$A$9:$L$1111,5,0),"")</f>
        <v>000953/LS-CCHN</v>
      </c>
      <c r="W332" s="16" t="str">
        <f>IFERROR(VLOOKUP(A332,'[2]19.6.2026'!$A$9:$L$1111,6,0),"")</f>
        <v>11/01/2023</v>
      </c>
      <c r="X332" s="16"/>
      <c r="Y332" s="21" t="str">
        <f>IFERROR(VLOOKUP(A332,'[2]19.6.2026'!$A$9:$L$1111,7,0),"")</f>
        <v>Khám bệnh, chữa bệnh chuyên khoa Phụ sản</v>
      </c>
      <c r="Z332" s="16"/>
      <c r="AA332" s="27" t="str">
        <f>IFERROR(VLOOKUP(A332,'[3]DS UPLOAD 2026 (2)'!$A$2:$P$1111,16,0),"")</f>
        <v/>
      </c>
      <c r="AB332" s="27">
        <v>911277889</v>
      </c>
      <c r="AC332" s="29"/>
    </row>
    <row r="333" spans="1:29" ht="18" customHeight="1" x14ac:dyDescent="0.3">
      <c r="A333" s="17" t="s">
        <v>1643</v>
      </c>
      <c r="B333" s="29" t="s">
        <v>1644</v>
      </c>
      <c r="C333" s="17" t="s">
        <v>1643</v>
      </c>
      <c r="D333" s="53" t="s">
        <v>38</v>
      </c>
      <c r="E333" s="19" t="s">
        <v>173</v>
      </c>
      <c r="F333" s="16" t="str">
        <f>VLOOKUP(E333,'[1]BẢNG MÃ'!$A$2:$B$69,2,0)</f>
        <v>TĐ005</v>
      </c>
      <c r="G333" s="20"/>
      <c r="H333" s="23" t="s">
        <v>161</v>
      </c>
      <c r="I333" s="16" t="s">
        <v>1604</v>
      </c>
      <c r="J333" s="16" t="str">
        <f>VLOOKUP(I333,'[1]BẢNG MÃ'!$C$2:$D$69,2,0)</f>
        <v>KP016</v>
      </c>
      <c r="K333" s="16"/>
      <c r="L333" s="16"/>
      <c r="M333" s="16" t="s">
        <v>33</v>
      </c>
      <c r="N333" s="21">
        <f ca="1">VLOOKUP(A333,'[1]Bieu 1a'!$A$8:$AW$855,10,0)</f>
        <v>30</v>
      </c>
      <c r="O333" s="22">
        <f>VLOOKUP(A333,'[1]Bieu 1a'!$A$8:$AW$855,8,0)</f>
        <v>0</v>
      </c>
      <c r="P333" s="22">
        <f>VLOOKUP(A333,'[1]Bieu 1a'!$A$8:$AW$855,9,0)</f>
        <v>34926</v>
      </c>
      <c r="Q333" s="23" t="s">
        <v>50</v>
      </c>
      <c r="R333" s="24" t="str">
        <f>VLOOKUP(A333,'[1]Bieu 1a'!$A$8:$AW$855,23,0)</f>
        <v xml:space="preserve">11/8/2020 </v>
      </c>
      <c r="S333" s="25" t="s">
        <v>1645</v>
      </c>
      <c r="T333" s="26" t="s">
        <v>1646</v>
      </c>
      <c r="U333" s="16"/>
      <c r="V333" s="16" t="str">
        <f>IFERROR(VLOOKUP(A333,'[2]19.6.2026'!$A$9:$L$1111,5,0),"")</f>
        <v>005494/LS-CCHN</v>
      </c>
      <c r="W333" s="16" t="str">
        <f>IFERROR(VLOOKUP(A333,'[2]19.6.2026'!$A$9:$L$1111,6,0),"")</f>
        <v>04/11/2022</v>
      </c>
      <c r="X333" s="16"/>
      <c r="Y333" s="21" t="str">
        <f>IFERROR(VLOOKUP(A333,'[2]19.6.2026'!$A$9:$L$1111,7,0),"")</f>
        <v>Khám bệnh chữa bệnh Nội khoa</v>
      </c>
      <c r="Z333" s="16"/>
      <c r="AA333" s="27" t="str">
        <f>IFERROR(VLOOKUP(A333,'[3]DS UPLOAD 2026 (2)'!$A$2:$P$1111,16,0),"")</f>
        <v/>
      </c>
      <c r="AB333" s="27">
        <v>963212145</v>
      </c>
      <c r="AC333" s="29" t="s">
        <v>1647</v>
      </c>
    </row>
    <row r="334" spans="1:29" ht="18" customHeight="1" x14ac:dyDescent="0.3">
      <c r="A334" s="17" t="s">
        <v>1648</v>
      </c>
      <c r="B334" s="36" t="s">
        <v>1649</v>
      </c>
      <c r="C334" s="17" t="s">
        <v>1648</v>
      </c>
      <c r="D334" s="19"/>
      <c r="E334" s="19" t="s">
        <v>160</v>
      </c>
      <c r="F334" s="16" t="str">
        <f>VLOOKUP(E334,'[1]BẢNG MÃ'!$A$2:$B$69,2,0)</f>
        <v>TĐ003</v>
      </c>
      <c r="G334" s="20" t="s">
        <v>161</v>
      </c>
      <c r="H334" s="20" t="s">
        <v>161</v>
      </c>
      <c r="I334" s="16" t="s">
        <v>1604</v>
      </c>
      <c r="J334" s="16" t="str">
        <f>VLOOKUP(I334,'[1]BẢNG MÃ'!$C$2:$D$69,2,0)</f>
        <v>KP016</v>
      </c>
      <c r="K334" s="16" t="s">
        <v>43</v>
      </c>
      <c r="L334" s="16">
        <v>0</v>
      </c>
      <c r="M334" s="16" t="s">
        <v>33</v>
      </c>
      <c r="N334" s="21">
        <f ca="1">VLOOKUP(A334,'[1]Bieu 1a'!$A$8:$AW$855,10,0)</f>
        <v>33</v>
      </c>
      <c r="O334" s="22" t="str">
        <f>VLOOKUP(A334,'[1]Bieu 1a'!$A$8:$AW$855,8,0)</f>
        <v>15/9/1992</v>
      </c>
      <c r="P334" s="22">
        <f>VLOOKUP(A334,'[1]Bieu 1a'!$A$8:$AW$855,9,0)</f>
        <v>0</v>
      </c>
      <c r="Q334" s="23" t="s">
        <v>50</v>
      </c>
      <c r="R334" s="24" t="str">
        <f>VLOOKUP(A334,'[1]Bieu 1a'!$A$8:$AW$855,23,0)</f>
        <v>20/3/2018</v>
      </c>
      <c r="S334" s="25" t="s">
        <v>1650</v>
      </c>
      <c r="T334" s="26" t="s">
        <v>1651</v>
      </c>
      <c r="U334" s="16"/>
      <c r="V334" s="16" t="str">
        <f>IFERROR(VLOOKUP(A334,'[2]19.6.2026'!$A$9:$L$1111,5,0),"")</f>
        <v>003659/LS-CCHN</v>
      </c>
      <c r="W334" s="16" t="str">
        <f>IFERROR(VLOOKUP(A334,'[2]19.6.2026'!$A$9:$L$1111,6,0),"")</f>
        <v>27/12/2019</v>
      </c>
      <c r="X334" s="16"/>
      <c r="Y334" s="21" t="str">
        <f>IFERROR(VLOOKUP(A334,'[2]19.6.2026'!$A$9:$L$1111,7,0),"")</f>
        <v>Khám bệnh, chữa bệnh Sản phụ khoa</v>
      </c>
      <c r="Z334" s="16"/>
      <c r="AA334" s="27" t="str">
        <f>IFERROR(VLOOKUP(A334,'[3]DS UPLOAD 2026 (2)'!$A$2:$P$1111,16,0),"")</f>
        <v>18.0018;18.0020;18.0030;18.0031;18.0034;18.0035;18.0036;18.0054</v>
      </c>
      <c r="AB334" s="27" t="s">
        <v>1652</v>
      </c>
      <c r="AC334" s="28" t="s">
        <v>374</v>
      </c>
    </row>
    <row r="335" spans="1:29" ht="18" customHeight="1" x14ac:dyDescent="0.3">
      <c r="A335" s="17" t="s">
        <v>1653</v>
      </c>
      <c r="B335" s="59" t="s">
        <v>1654</v>
      </c>
      <c r="C335" s="17" t="s">
        <v>1653</v>
      </c>
      <c r="D335" s="19" t="s">
        <v>38</v>
      </c>
      <c r="E335" s="77" t="s">
        <v>41</v>
      </c>
      <c r="F335" s="16" t="str">
        <f>VLOOKUP(E335,'[1]BẢNG MÃ'!$A$2:$B$69,2,0)</f>
        <v>TĐ011</v>
      </c>
      <c r="G335" s="20"/>
      <c r="H335" s="20" t="s">
        <v>42</v>
      </c>
      <c r="I335" s="16" t="s">
        <v>1604</v>
      </c>
      <c r="J335" s="16" t="str">
        <f>VLOOKUP(I335,'[1]BẢNG MÃ'!$C$2:$D$69,2,0)</f>
        <v>KP016</v>
      </c>
      <c r="K335" s="16"/>
      <c r="L335" s="16"/>
      <c r="M335" s="16" t="s">
        <v>33</v>
      </c>
      <c r="N335" s="21">
        <f ca="1">VLOOKUP(A335,'[1]Bieu 1a'!$A$8:$AW$855,10,0)</f>
        <v>36</v>
      </c>
      <c r="O335" s="22">
        <f>VLOOKUP(A335,'[1]Bieu 1a'!$A$8:$AW$855,8,0)</f>
        <v>0</v>
      </c>
      <c r="P335" s="22">
        <f>VLOOKUP(A335,'[1]Bieu 1a'!$A$8:$AW$855,9,0)</f>
        <v>32789</v>
      </c>
      <c r="Q335" s="23" t="s">
        <v>50</v>
      </c>
      <c r="R335" s="24" t="str">
        <f>VLOOKUP(A335,'[1]Bieu 1a'!$A$8:$AW$855,23,0)</f>
        <v xml:space="preserve"> 02/10/2017</v>
      </c>
      <c r="S335" s="25" t="s">
        <v>1655</v>
      </c>
      <c r="T335" s="26" t="s">
        <v>1656</v>
      </c>
      <c r="U335" s="16"/>
      <c r="V335" s="16" t="str">
        <f>IFERROR(VLOOKUP(A335,'[2]19.6.2026'!$A$9:$L$1111,5,0),"")</f>
        <v>003395/LS-CCHN</v>
      </c>
      <c r="W335" s="16" t="str">
        <f>IFERROR(VLOOKUP(A335,'[2]19.6.2026'!$A$9:$L$1111,6,0),"")</f>
        <v>21/11/2018</v>
      </c>
      <c r="X335" s="16"/>
      <c r="Y335" s="21" t="str">
        <f>IFERROR(VLOOKUP(A335,'[2]19.6.2026'!$A$9:$L$1111,7,0),"")</f>
        <v>Thực hiện phạm vi hoạt động chuyên môn theo quy định tại Thông tư số 26/2015/TTLT-BYT-BNV ngày 07/10/2015 quy định mã số, tiêu chuẩn chức danh nghề nghiệp điều dưỡng, hộ sinh, kỹ thuật y</v>
      </c>
      <c r="Z335" s="16"/>
      <c r="AA335" s="27" t="str">
        <f>IFERROR(VLOOKUP(A335,'[3]DS UPLOAD 2026 (2)'!$A$2:$P$1111,16,0),"")</f>
        <v/>
      </c>
      <c r="AB335" s="27" t="s">
        <v>1657</v>
      </c>
      <c r="AC335" s="29" t="s">
        <v>1658</v>
      </c>
    </row>
    <row r="336" spans="1:29" ht="18" customHeight="1" x14ac:dyDescent="0.3">
      <c r="A336" s="17" t="s">
        <v>1659</v>
      </c>
      <c r="B336" s="18" t="s">
        <v>1660</v>
      </c>
      <c r="C336" s="17" t="s">
        <v>1659</v>
      </c>
      <c r="D336" s="19" t="s">
        <v>38</v>
      </c>
      <c r="E336" s="19" t="s">
        <v>1661</v>
      </c>
      <c r="F336" s="16" t="str">
        <f>VLOOKUP(E336,'[1]BẢNG MÃ'!$A$2:$B$69,2,0)</f>
        <v>TĐ017</v>
      </c>
      <c r="G336" s="20" t="s">
        <v>55</v>
      </c>
      <c r="H336" s="20" t="s">
        <v>55</v>
      </c>
      <c r="I336" s="16" t="s">
        <v>1604</v>
      </c>
      <c r="J336" s="16" t="str">
        <f>VLOOKUP(I336,'[1]BẢNG MÃ'!$C$2:$D$69,2,0)</f>
        <v>KP016</v>
      </c>
      <c r="K336" s="16" t="s">
        <v>43</v>
      </c>
      <c r="L336" s="16">
        <v>0</v>
      </c>
      <c r="M336" s="16" t="s">
        <v>33</v>
      </c>
      <c r="N336" s="21">
        <f ca="1">VLOOKUP(A336,'[1]Bieu 1a'!$A$8:$AW$855,10,0)</f>
        <v>46</v>
      </c>
      <c r="O336" s="22">
        <f>VLOOKUP(A336,'[1]Bieu 1a'!$A$8:$AW$855,8,0)</f>
        <v>0</v>
      </c>
      <c r="P336" s="22">
        <f>VLOOKUP(A336,'[1]Bieu 1a'!$A$8:$AW$855,9,0)</f>
        <v>29230</v>
      </c>
      <c r="Q336" s="23" t="s">
        <v>34</v>
      </c>
      <c r="R336" s="24" t="str">
        <f>VLOOKUP(A336,'[1]Bieu 1a'!$A$8:$AW$855,23,0)</f>
        <v>1/10/2002</v>
      </c>
      <c r="S336" s="25" t="s">
        <v>1662</v>
      </c>
      <c r="T336" s="26" t="s">
        <v>1663</v>
      </c>
      <c r="U336" s="16"/>
      <c r="V336" s="16" t="str">
        <f>IFERROR(VLOOKUP(A336,'[2]19.6.2026'!$A$9:$L$1111,5,0),"")</f>
        <v>000963/LS-CCHN</v>
      </c>
      <c r="W336" s="16" t="str">
        <f>IFERROR(VLOOKUP(A336,'[2]19.6.2026'!$A$9:$L$1111,6,0),"")</f>
        <v>11/01/2023</v>
      </c>
      <c r="X336" s="16"/>
      <c r="Y336" s="21" t="str">
        <f>IFERROR(VLOOKUP(A336,'[2]19.6.2026'!$A$9:$L$1111,7,0),"")</f>
        <v>Thực hiện phạm vi hoạt động chuyên môn theo Thông tư số 26/2015/TTLT-BYT-BNV ngày 07/10/2015 quy định  mã số, tiêu chuẩn chức danh nghề nghiệp, điều dưỡng, hộ sinh, kỹ thuật y</v>
      </c>
      <c r="Z336" s="16"/>
      <c r="AA336" s="27" t="str">
        <f>IFERROR(VLOOKUP(A336,'[3]DS UPLOAD 2026 (2)'!$A$2:$P$1111,16,0),"")</f>
        <v/>
      </c>
      <c r="AB336" s="27" t="s">
        <v>1664</v>
      </c>
      <c r="AC336" s="28"/>
    </row>
    <row r="337" spans="1:29" ht="18" customHeight="1" x14ac:dyDescent="0.3">
      <c r="A337" s="17" t="s">
        <v>1665</v>
      </c>
      <c r="B337" s="29" t="s">
        <v>1666</v>
      </c>
      <c r="C337" s="17" t="s">
        <v>1665</v>
      </c>
      <c r="D337" s="19" t="s">
        <v>38</v>
      </c>
      <c r="E337" s="19" t="s">
        <v>1661</v>
      </c>
      <c r="F337" s="16" t="str">
        <f>VLOOKUP(E337,'[1]BẢNG MÃ'!$A$2:$B$69,2,0)</f>
        <v>TĐ017</v>
      </c>
      <c r="G337" s="20" t="s">
        <v>55</v>
      </c>
      <c r="H337" s="20" t="s">
        <v>55</v>
      </c>
      <c r="I337" s="16" t="s">
        <v>1604</v>
      </c>
      <c r="J337" s="16" t="str">
        <f>VLOOKUP(I337,'[1]BẢNG MÃ'!$C$2:$D$69,2,0)</f>
        <v>KP016</v>
      </c>
      <c r="K337" s="16" t="s">
        <v>43</v>
      </c>
      <c r="L337" s="16">
        <v>0</v>
      </c>
      <c r="M337" s="16" t="s">
        <v>33</v>
      </c>
      <c r="N337" s="21">
        <f ca="1">VLOOKUP(A337,'[1]Bieu 1a'!$A$8:$AW$855,10,0)</f>
        <v>47</v>
      </c>
      <c r="O337" s="22">
        <f>VLOOKUP(A337,'[1]Bieu 1a'!$A$8:$AW$855,8,0)</f>
        <v>0</v>
      </c>
      <c r="P337" s="22">
        <f>VLOOKUP(A337,'[1]Bieu 1a'!$A$8:$AW$855,9,0)</f>
        <v>28960</v>
      </c>
      <c r="Q337" s="23" t="s">
        <v>44</v>
      </c>
      <c r="R337" s="24" t="str">
        <f>VLOOKUP(A337,'[1]Bieu 1a'!$A$8:$AW$855,23,0)</f>
        <v xml:space="preserve">01/11/2005 </v>
      </c>
      <c r="S337" s="25" t="s">
        <v>1667</v>
      </c>
      <c r="T337" s="26" t="s">
        <v>1668</v>
      </c>
      <c r="U337" s="16"/>
      <c r="V337" s="16" t="str">
        <f>IFERROR(VLOOKUP(A337,'[2]19.6.2026'!$A$9:$L$1111,5,0),"")</f>
        <v>000967/LS-CCHN</v>
      </c>
      <c r="W337" s="16" t="str">
        <f>IFERROR(VLOOKUP(A337,'[2]19.6.2026'!$A$9:$L$1111,6,0),"")</f>
        <v>11/01/2023</v>
      </c>
      <c r="X337" s="16"/>
      <c r="Y337" s="21" t="str">
        <f>IFERROR(VLOOKUP(A337,'[2]19.6.2026'!$A$9:$L$1111,7,0),"")</f>
        <v>Thực hiện phạm vi hoạt động chuyên môn theo Thông tư số 26/2015/TTLT-BYT-BNV ngày 07/10/2015 quy định  mã số, tiêu chuẩn chức danh nghề nghiệp, điều dưỡng, hộ sinh, kỹ thuật y</v>
      </c>
      <c r="Z337" s="16"/>
      <c r="AA337" s="27" t="str">
        <f>IFERROR(VLOOKUP(A337,'[3]DS UPLOAD 2026 (2)'!$A$2:$P$1111,16,0),"")</f>
        <v/>
      </c>
      <c r="AB337" s="27" t="s">
        <v>1669</v>
      </c>
      <c r="AC337" s="28"/>
    </row>
    <row r="338" spans="1:29" ht="18" customHeight="1" x14ac:dyDescent="0.3">
      <c r="A338" s="17" t="s">
        <v>1670</v>
      </c>
      <c r="B338" s="18" t="s">
        <v>1671</v>
      </c>
      <c r="C338" s="17" t="s">
        <v>1670</v>
      </c>
      <c r="D338" s="19" t="s">
        <v>38</v>
      </c>
      <c r="E338" s="19" t="s">
        <v>1661</v>
      </c>
      <c r="F338" s="16" t="str">
        <f>VLOOKUP(E338,'[1]BẢNG MÃ'!$A$2:$B$69,2,0)</f>
        <v>TĐ017</v>
      </c>
      <c r="G338" s="20" t="s">
        <v>55</v>
      </c>
      <c r="H338" s="20" t="s">
        <v>55</v>
      </c>
      <c r="I338" s="16" t="s">
        <v>1604</v>
      </c>
      <c r="J338" s="16" t="str">
        <f>VLOOKUP(I338,'[1]BẢNG MÃ'!$C$2:$D$69,2,0)</f>
        <v>KP016</v>
      </c>
      <c r="K338" s="16" t="s">
        <v>43</v>
      </c>
      <c r="L338" s="16">
        <v>0</v>
      </c>
      <c r="M338" s="16" t="s">
        <v>33</v>
      </c>
      <c r="N338" s="21">
        <f ca="1">VLOOKUP(A338,'[1]Bieu 1a'!$A$8:$AW$855,10,0)</f>
        <v>48</v>
      </c>
      <c r="O338" s="22">
        <f>VLOOKUP(A338,'[1]Bieu 1a'!$A$8:$AW$855,8,0)</f>
        <v>0</v>
      </c>
      <c r="P338" s="22">
        <f>VLOOKUP(A338,'[1]Bieu 1a'!$A$8:$AW$855,9,0)</f>
        <v>28569</v>
      </c>
      <c r="Q338" s="23">
        <v>0</v>
      </c>
      <c r="R338" s="24" t="str">
        <f>VLOOKUP(A338,'[1]Bieu 1a'!$A$8:$AW$855,23,0)</f>
        <v>1/2/2005</v>
      </c>
      <c r="S338" s="25" t="s">
        <v>1672</v>
      </c>
      <c r="T338" s="26" t="s">
        <v>1673</v>
      </c>
      <c r="U338" s="16"/>
      <c r="V338" s="16" t="str">
        <f>IFERROR(VLOOKUP(A338,'[2]19.6.2026'!$A$9:$L$1111,5,0),"")</f>
        <v>000961/LS-CCHN</v>
      </c>
      <c r="W338" s="16" t="str">
        <f>IFERROR(VLOOKUP(A338,'[2]19.6.2026'!$A$9:$L$1111,6,0),"")</f>
        <v>24/06/2013</v>
      </c>
      <c r="X338" s="16"/>
      <c r="Y338" s="21" t="str">
        <f>IFERROR(VLOOKUP(A338,'[2]19.6.2026'!$A$9:$L$1111,7,0),"")</f>
        <v>Theo Quy định tại Thông tư số 12/2011/TT-BYT ngày 15/3/2011 của Bộ Y tế quy định tiêu chuẩn các ngạch viên chức hộ sinh</v>
      </c>
      <c r="Z338" s="16"/>
      <c r="AA338" s="27" t="str">
        <f>IFERROR(VLOOKUP(A338,'[3]DS UPLOAD 2026 (2)'!$A$2:$P$1111,16,0),"")</f>
        <v/>
      </c>
      <c r="AB338" s="27" t="s">
        <v>1674</v>
      </c>
      <c r="AC338" s="51"/>
    </row>
    <row r="339" spans="1:29" ht="18" customHeight="1" x14ac:dyDescent="0.3">
      <c r="A339" s="17" t="s">
        <v>1675</v>
      </c>
      <c r="B339" s="29" t="s">
        <v>1676</v>
      </c>
      <c r="C339" s="17" t="s">
        <v>1675</v>
      </c>
      <c r="D339" s="19" t="s">
        <v>38</v>
      </c>
      <c r="E339" s="19" t="s">
        <v>1661</v>
      </c>
      <c r="F339" s="16" t="str">
        <f>VLOOKUP(E339,'[1]BẢNG MÃ'!$A$2:$B$69,2,0)</f>
        <v>TĐ017</v>
      </c>
      <c r="G339" s="20" t="s">
        <v>55</v>
      </c>
      <c r="H339" s="20" t="s">
        <v>55</v>
      </c>
      <c r="I339" s="16" t="s">
        <v>1604</v>
      </c>
      <c r="J339" s="16" t="str">
        <f>VLOOKUP(I339,'[1]BẢNG MÃ'!$C$2:$D$69,2,0)</f>
        <v>KP016</v>
      </c>
      <c r="K339" s="16" t="s">
        <v>43</v>
      </c>
      <c r="L339" s="16">
        <v>0</v>
      </c>
      <c r="M339" s="16" t="s">
        <v>33</v>
      </c>
      <c r="N339" s="21">
        <f ca="1">VLOOKUP(A339,'[1]Bieu 1a'!$A$8:$AW$855,10,0)</f>
        <v>41</v>
      </c>
      <c r="O339" s="22">
        <f>VLOOKUP(A339,'[1]Bieu 1a'!$A$8:$AW$855,8,0)</f>
        <v>0</v>
      </c>
      <c r="P339" s="22">
        <f>VLOOKUP(A339,'[1]Bieu 1a'!$A$8:$AW$855,9,0)</f>
        <v>31072</v>
      </c>
      <c r="Q339" s="23" t="s">
        <v>50</v>
      </c>
      <c r="R339" s="24" t="str">
        <f>VLOOKUP(A339,'[1]Bieu 1a'!$A$8:$AW$855,23,0)</f>
        <v>1/1/2009</v>
      </c>
      <c r="S339" s="25" t="s">
        <v>1677</v>
      </c>
      <c r="T339" s="26" t="s">
        <v>1678</v>
      </c>
      <c r="U339" s="16"/>
      <c r="V339" s="16" t="str">
        <f>IFERROR(VLOOKUP(A339,'[2]19.6.2026'!$A$9:$L$1111,5,0),"")</f>
        <v>000966/LS-CCHN</v>
      </c>
      <c r="W339" s="16" t="str">
        <f>IFERROR(VLOOKUP(A339,'[2]19.6.2026'!$A$9:$L$1111,6,0),"")</f>
        <v>11/01/2023</v>
      </c>
      <c r="X339" s="16"/>
      <c r="Y339" s="21" t="str">
        <f>IFERROR(VLOOKUP(A339,'[2]19.6.2026'!$A$9:$L$1111,7,0),"")</f>
        <v>Thực hiện phạm vi hoạt động chuyên môn theo Thông tư số 26/2015/TTLT-BYT-BNV ngày 07/10/2015 quy định  mã số, tiêu chuẩn chức danh nghề nghiệp, điều dưỡng, hộ sinh, kỹ thuật y</v>
      </c>
      <c r="Z339" s="16"/>
      <c r="AA339" s="27" t="str">
        <f>IFERROR(VLOOKUP(A339,'[3]DS UPLOAD 2026 (2)'!$A$2:$P$1111,16,0),"")</f>
        <v/>
      </c>
      <c r="AB339" s="27" t="s">
        <v>1679</v>
      </c>
      <c r="AC339" s="51"/>
    </row>
    <row r="340" spans="1:29" ht="18" customHeight="1" x14ac:dyDescent="0.3">
      <c r="A340" s="17" t="s">
        <v>1680</v>
      </c>
      <c r="B340" s="18" t="s">
        <v>1681</v>
      </c>
      <c r="C340" s="17" t="s">
        <v>1680</v>
      </c>
      <c r="D340" s="19" t="s">
        <v>38</v>
      </c>
      <c r="E340" s="19" t="s">
        <v>1661</v>
      </c>
      <c r="F340" s="16" t="str">
        <f>VLOOKUP(E340,'[1]BẢNG MÃ'!$A$2:$B$69,2,0)</f>
        <v>TĐ017</v>
      </c>
      <c r="G340" s="20" t="s">
        <v>55</v>
      </c>
      <c r="H340" s="20" t="s">
        <v>55</v>
      </c>
      <c r="I340" s="16" t="s">
        <v>1604</v>
      </c>
      <c r="J340" s="16" t="str">
        <f>VLOOKUP(I340,'[1]BẢNG MÃ'!$C$2:$D$69,2,0)</f>
        <v>KP016</v>
      </c>
      <c r="K340" s="16" t="s">
        <v>43</v>
      </c>
      <c r="L340" s="16">
        <v>0</v>
      </c>
      <c r="M340" s="16" t="s">
        <v>33</v>
      </c>
      <c r="N340" s="21">
        <f ca="1">VLOOKUP(A340,'[1]Bieu 1a'!$A$8:$AW$855,10,0)</f>
        <v>52</v>
      </c>
      <c r="O340" s="22">
        <f>VLOOKUP(A340,'[1]Bieu 1a'!$A$8:$AW$855,8,0)</f>
        <v>0</v>
      </c>
      <c r="P340" s="22">
        <f>VLOOKUP(A340,'[1]Bieu 1a'!$A$8:$AW$855,9,0)</f>
        <v>26888</v>
      </c>
      <c r="Q340" s="23" t="s">
        <v>50</v>
      </c>
      <c r="R340" s="24" t="str">
        <f>VLOOKUP(A340,'[1]Bieu 1a'!$A$8:$AW$855,23,0)</f>
        <v>1/8/1995</v>
      </c>
      <c r="S340" s="25" t="s">
        <v>1682</v>
      </c>
      <c r="T340" s="26" t="s">
        <v>1683</v>
      </c>
      <c r="U340" s="16"/>
      <c r="V340" s="16" t="str">
        <f>IFERROR(VLOOKUP(A340,'[2]19.6.2026'!$A$9:$L$1111,5,0),"")</f>
        <v>000978/LS-CCHN</v>
      </c>
      <c r="W340" s="16" t="str">
        <f>IFERROR(VLOOKUP(A340,'[2]19.6.2026'!$A$9:$L$1111,6,0),"")</f>
        <v>24/06/2013</v>
      </c>
      <c r="X340" s="16"/>
      <c r="Y340" s="21" t="str">
        <f>IFERROR(VLOOKUP(A340,'[2]19.6.2026'!$A$9:$L$1111,7,0),"")</f>
        <v>Theo Quy định tại Thông tư số 12/2011/TT-BYT ngày 15/3/2011 của Bộ Y tế quy định tiêu chuẩn các ngạch viên chức hộ sinh</v>
      </c>
      <c r="Z340" s="16"/>
      <c r="AA340" s="27" t="str">
        <f>IFERROR(VLOOKUP(A340,'[3]DS UPLOAD 2026 (2)'!$A$2:$P$1111,16,0),"")</f>
        <v/>
      </c>
      <c r="AB340" s="27" t="s">
        <v>1684</v>
      </c>
      <c r="AC340" s="51"/>
    </row>
    <row r="341" spans="1:29" ht="18" customHeight="1" x14ac:dyDescent="0.3">
      <c r="A341" s="17" t="s">
        <v>1685</v>
      </c>
      <c r="B341" s="18" t="s">
        <v>1686</v>
      </c>
      <c r="C341" s="17" t="s">
        <v>1685</v>
      </c>
      <c r="D341" s="19" t="s">
        <v>38</v>
      </c>
      <c r="E341" s="19" t="s">
        <v>1661</v>
      </c>
      <c r="F341" s="16" t="str">
        <f>VLOOKUP(E341,'[1]BẢNG MÃ'!$A$2:$B$69,2,0)</f>
        <v>TĐ017</v>
      </c>
      <c r="G341" s="20" t="s">
        <v>55</v>
      </c>
      <c r="H341" s="20" t="s">
        <v>55</v>
      </c>
      <c r="I341" s="16" t="s">
        <v>1604</v>
      </c>
      <c r="J341" s="16" t="str">
        <f>VLOOKUP(I341,'[1]BẢNG MÃ'!$C$2:$D$69,2,0)</f>
        <v>KP016</v>
      </c>
      <c r="K341" s="16" t="s">
        <v>43</v>
      </c>
      <c r="L341" s="16">
        <v>0</v>
      </c>
      <c r="M341" s="16" t="s">
        <v>33</v>
      </c>
      <c r="N341" s="21">
        <f ca="1">VLOOKUP(A341,'[1]Bieu 1a'!$A$8:$AW$855,10,0)</f>
        <v>38</v>
      </c>
      <c r="O341" s="22">
        <f>VLOOKUP(A341,'[1]Bieu 1a'!$A$8:$AW$855,8,0)</f>
        <v>0</v>
      </c>
      <c r="P341" s="22">
        <f>VLOOKUP(A341,'[1]Bieu 1a'!$A$8:$AW$855,9,0)</f>
        <v>32024</v>
      </c>
      <c r="Q341" s="23" t="s">
        <v>34</v>
      </c>
      <c r="R341" s="24" t="str">
        <f>VLOOKUP(A341,'[1]Bieu 1a'!$A$8:$AW$855,23,0)</f>
        <v>01/11/2014</v>
      </c>
      <c r="S341" s="25" t="s">
        <v>1687</v>
      </c>
      <c r="T341" s="26" t="s">
        <v>1688</v>
      </c>
      <c r="U341" s="16"/>
      <c r="V341" s="16" t="str">
        <f>IFERROR(VLOOKUP(A341,'[2]19.6.2026'!$A$9:$L$1111,5,0),"")</f>
        <v>000375/LS-CCHN</v>
      </c>
      <c r="W341" s="16" t="str">
        <f>IFERROR(VLOOKUP(A341,'[2]19.6.2026'!$A$9:$L$1111,6,0),"")</f>
        <v>01/06/2016</v>
      </c>
      <c r="X341" s="16"/>
      <c r="Y341" s="21" t="str">
        <f>IFERROR(VLOOKUP(A341,'[2]19.6.2026'!$A$9:$L$1111,7,0),"")</f>
        <v>Theo Quy định tại Thông tư số 12/2011/TT-BYT ngày 15/3/2011 của Bộ Y tế quy định tiêu chuẩn các ngạch viên chức hộ sinh</v>
      </c>
      <c r="Z341" s="16"/>
      <c r="AA341" s="27" t="str">
        <f>IFERROR(VLOOKUP(A341,'[3]DS UPLOAD 2026 (2)'!$A$2:$P$1111,16,0),"")</f>
        <v/>
      </c>
      <c r="AB341" s="27" t="s">
        <v>1689</v>
      </c>
      <c r="AC341" s="51"/>
    </row>
    <row r="342" spans="1:29" ht="18" customHeight="1" x14ac:dyDescent="0.3">
      <c r="A342" s="17" t="s">
        <v>1690</v>
      </c>
      <c r="B342" s="18" t="s">
        <v>1691</v>
      </c>
      <c r="C342" s="17" t="s">
        <v>1690</v>
      </c>
      <c r="D342" s="19" t="s">
        <v>38</v>
      </c>
      <c r="E342" s="19" t="s">
        <v>1661</v>
      </c>
      <c r="F342" s="16" t="str">
        <f>VLOOKUP(E342,'[1]BẢNG MÃ'!$A$2:$B$69,2,0)</f>
        <v>TĐ017</v>
      </c>
      <c r="G342" s="20" t="s">
        <v>55</v>
      </c>
      <c r="H342" s="20" t="s">
        <v>55</v>
      </c>
      <c r="I342" s="16" t="s">
        <v>1604</v>
      </c>
      <c r="J342" s="16" t="str">
        <f>VLOOKUP(I342,'[1]BẢNG MÃ'!$C$2:$D$69,2,0)</f>
        <v>KP016</v>
      </c>
      <c r="K342" s="16" t="s">
        <v>43</v>
      </c>
      <c r="L342" s="16">
        <v>0</v>
      </c>
      <c r="M342" s="16" t="s">
        <v>33</v>
      </c>
      <c r="N342" s="21">
        <f ca="1">VLOOKUP(A342,'[1]Bieu 1a'!$A$8:$AW$855,10,0)</f>
        <v>47</v>
      </c>
      <c r="O342" s="22">
        <f>VLOOKUP(A342,'[1]Bieu 1a'!$A$8:$AW$855,8,0)</f>
        <v>0</v>
      </c>
      <c r="P342" s="22">
        <f>VLOOKUP(A342,'[1]Bieu 1a'!$A$8:$AW$855,9,0)</f>
        <v>28983</v>
      </c>
      <c r="Q342" s="23" t="s">
        <v>44</v>
      </c>
      <c r="R342" s="24" t="str">
        <f>VLOOKUP(A342,'[1]Bieu 1a'!$A$8:$AW$855,23,0)</f>
        <v>25/11/2005</v>
      </c>
      <c r="S342" s="25" t="s">
        <v>1692</v>
      </c>
      <c r="T342" s="26" t="s">
        <v>1693</v>
      </c>
      <c r="U342" s="16"/>
      <c r="V342" s="16" t="str">
        <f>IFERROR(VLOOKUP(A342,'[2]19.6.2026'!$A$9:$L$1111,5,0),"")</f>
        <v>000979/LS-CCHN</v>
      </c>
      <c r="W342" s="16" t="str">
        <f>IFERROR(VLOOKUP(A342,'[2]19.6.2026'!$A$9:$L$1111,6,0),"")</f>
        <v>24/06/2013</v>
      </c>
      <c r="X342" s="16"/>
      <c r="Y342" s="21" t="str">
        <f>IFERROR(VLOOKUP(A342,'[2]19.6.2026'!$A$9:$L$1111,7,0),"")</f>
        <v>Theo Quy định tại Thông tư số 12/2011/TT-BYT ngày 15/3/2011 của Bộ Y tế quy định tiêu chuẩn các ngạch viên chức hộ sinh</v>
      </c>
      <c r="Z342" s="16"/>
      <c r="AA342" s="27" t="str">
        <f>IFERROR(VLOOKUP(A342,'[3]DS UPLOAD 2026 (2)'!$A$2:$P$1111,16,0),"")</f>
        <v/>
      </c>
      <c r="AB342" s="27" t="s">
        <v>1694</v>
      </c>
      <c r="AC342" s="51"/>
    </row>
    <row r="343" spans="1:29" ht="18" customHeight="1" x14ac:dyDescent="0.3">
      <c r="A343" s="17" t="s">
        <v>1695</v>
      </c>
      <c r="B343" s="38" t="s">
        <v>1696</v>
      </c>
      <c r="C343" s="17" t="s">
        <v>1695</v>
      </c>
      <c r="D343" s="19" t="s">
        <v>38</v>
      </c>
      <c r="E343" s="19" t="s">
        <v>1661</v>
      </c>
      <c r="F343" s="16" t="str">
        <f>VLOOKUP(E343,'[1]BẢNG MÃ'!$A$2:$B$69,2,0)</f>
        <v>TĐ017</v>
      </c>
      <c r="G343" s="20" t="s">
        <v>55</v>
      </c>
      <c r="H343" s="20" t="s">
        <v>55</v>
      </c>
      <c r="I343" s="16" t="s">
        <v>1604</v>
      </c>
      <c r="J343" s="16" t="str">
        <f>VLOOKUP(I343,'[1]BẢNG MÃ'!$C$2:$D$69,2,0)</f>
        <v>KP016</v>
      </c>
      <c r="K343" s="16" t="s">
        <v>43</v>
      </c>
      <c r="L343" s="16">
        <v>0</v>
      </c>
      <c r="M343" s="16" t="s">
        <v>33</v>
      </c>
      <c r="N343" s="21">
        <f ca="1">VLOOKUP(A343,'[1]Bieu 1a'!$A$8:$AW$855,10,0)</f>
        <v>51</v>
      </c>
      <c r="O343" s="22">
        <f>VLOOKUP(A343,'[1]Bieu 1a'!$A$8:$AW$855,8,0)</f>
        <v>0</v>
      </c>
      <c r="P343" s="22" t="str">
        <f>VLOOKUP(A343,'[1]Bieu 1a'!$A$8:$AW$855,9,0)</f>
        <v>09/04/1975</v>
      </c>
      <c r="Q343" s="23" t="s">
        <v>44</v>
      </c>
      <c r="R343" s="24" t="str">
        <f>VLOOKUP(A343,'[1]Bieu 1a'!$A$8:$AW$855,23,0)</f>
        <v>01/2/1997</v>
      </c>
      <c r="S343" s="25" t="s">
        <v>1697</v>
      </c>
      <c r="T343" s="26" t="s">
        <v>1698</v>
      </c>
      <c r="U343" s="16"/>
      <c r="V343" s="16" t="str">
        <f>IFERROR(VLOOKUP(A343,'[2]19.6.2026'!$A$9:$L$1111,5,0),"")</f>
        <v>001861/LS-CCHN</v>
      </c>
      <c r="W343" s="16" t="str">
        <f>IFERROR(VLOOKUP(A343,'[2]19.6.2026'!$A$9:$L$1111,6,0),"")</f>
        <v>11/01/2023</v>
      </c>
      <c r="X343" s="16"/>
      <c r="Y343" s="21" t="str">
        <f>IFERROR(VLOOKUP(A343,'[2]19.6.2026'!$A$9:$L$1111,7,0),"")</f>
        <v>Thực hiện phạm vi hoạt động chuyên môn theo Thông tư số 26/2015/TTLT-BYT-BNV ngày 07/10/2015 quy định  mã số, tiêu chuẩn chức danh nghề nghiệp, điều dưỡng, hộ sinh, kỹ thuật y</v>
      </c>
      <c r="Z343" s="16"/>
      <c r="AA343" s="27" t="str">
        <f>IFERROR(VLOOKUP(A343,'[3]DS UPLOAD 2026 (2)'!$A$2:$P$1111,16,0),"")</f>
        <v/>
      </c>
      <c r="AB343" s="27">
        <v>945358052</v>
      </c>
      <c r="AC343" s="104" t="s">
        <v>1699</v>
      </c>
    </row>
    <row r="344" spans="1:29" ht="18" customHeight="1" x14ac:dyDescent="0.3">
      <c r="A344" s="17" t="s">
        <v>1700</v>
      </c>
      <c r="B344" s="18" t="s">
        <v>1701</v>
      </c>
      <c r="C344" s="17" t="s">
        <v>1700</v>
      </c>
      <c r="D344" s="19" t="s">
        <v>38</v>
      </c>
      <c r="E344" s="30" t="s">
        <v>1661</v>
      </c>
      <c r="F344" s="16" t="str">
        <f>VLOOKUP(E344,'[1]BẢNG MÃ'!$A$2:$B$69,2,0)</f>
        <v>TĐ017</v>
      </c>
      <c r="G344" s="105" t="s">
        <v>122</v>
      </c>
      <c r="H344" s="105" t="s">
        <v>122</v>
      </c>
      <c r="I344" s="16" t="s">
        <v>1604</v>
      </c>
      <c r="J344" s="16" t="str">
        <f>VLOOKUP(I344,'[1]BẢNG MÃ'!$C$2:$D$69,2,0)</f>
        <v>KP016</v>
      </c>
      <c r="K344" s="16" t="s">
        <v>31</v>
      </c>
      <c r="L344" s="16" t="s">
        <v>1702</v>
      </c>
      <c r="M344" s="16" t="s">
        <v>33</v>
      </c>
      <c r="N344" s="21">
        <f ca="1">VLOOKUP(A344,'[1]Bieu 1a'!$A$8:$AW$855,10,0)</f>
        <v>51</v>
      </c>
      <c r="O344" s="22">
        <f>VLOOKUP(A344,'[1]Bieu 1a'!$A$8:$AW$855,8,0)</f>
        <v>0</v>
      </c>
      <c r="P344" s="22">
        <f>VLOOKUP(A344,'[1]Bieu 1a'!$A$8:$AW$855,9,0)</f>
        <v>27326</v>
      </c>
      <c r="Q344" s="23" t="s">
        <v>50</v>
      </c>
      <c r="R344" s="24" t="str">
        <f>VLOOKUP(A344,'[1]Bieu 1a'!$A$8:$AW$855,23,0)</f>
        <v>15/10/1994</v>
      </c>
      <c r="S344" s="25" t="s">
        <v>1703</v>
      </c>
      <c r="T344" s="26" t="s">
        <v>1704</v>
      </c>
      <c r="U344" s="16"/>
      <c r="V344" s="16" t="str">
        <f>IFERROR(VLOOKUP(A344,'[2]19.6.2026'!$A$9:$L$1111,5,0),"")</f>
        <v>000981/LS-CCHN</v>
      </c>
      <c r="W344" s="16" t="str">
        <f>IFERROR(VLOOKUP(A344,'[2]19.6.2026'!$A$9:$L$1111,6,0),"")</f>
        <v>24/06/2013</v>
      </c>
      <c r="X344" s="16"/>
      <c r="Y344" s="21" t="str">
        <f>IFERROR(VLOOKUP(A344,'[2]19.6.2026'!$A$9:$L$1111,7,0),"")</f>
        <v>Theo Quy định tại Thông tư số 12/2011/TT-BYT ngày 15/3/2011 của Bộ Y tế quy định tiêu chuẩn các ngạch viên chức hộ sinh</v>
      </c>
      <c r="Z344" s="16"/>
      <c r="AA344" s="27" t="str">
        <f>IFERROR(VLOOKUP(A344,'[3]DS UPLOAD 2026 (2)'!$A$2:$P$1111,16,0),"")</f>
        <v/>
      </c>
      <c r="AB344" s="27" t="s">
        <v>1705</v>
      </c>
      <c r="AC344" s="28"/>
    </row>
    <row r="345" spans="1:29" ht="18" customHeight="1" x14ac:dyDescent="0.3">
      <c r="A345" s="17" t="s">
        <v>1706</v>
      </c>
      <c r="B345" s="29" t="s">
        <v>1707</v>
      </c>
      <c r="C345" s="17" t="s">
        <v>1706</v>
      </c>
      <c r="D345" s="19" t="s">
        <v>38</v>
      </c>
      <c r="E345" s="30" t="s">
        <v>1661</v>
      </c>
      <c r="F345" s="16" t="str">
        <f>VLOOKUP(E345,'[1]BẢNG MÃ'!$A$2:$B$69,2,0)</f>
        <v>TĐ017</v>
      </c>
      <c r="G345" s="31" t="s">
        <v>55</v>
      </c>
      <c r="H345" s="31" t="s">
        <v>55</v>
      </c>
      <c r="I345" s="16" t="s">
        <v>1604</v>
      </c>
      <c r="J345" s="16" t="str">
        <f>VLOOKUP(I345,'[1]BẢNG MÃ'!$C$2:$D$69,2,0)</f>
        <v>KP016</v>
      </c>
      <c r="K345" s="16" t="s">
        <v>43</v>
      </c>
      <c r="L345" s="16">
        <v>0</v>
      </c>
      <c r="M345" s="16" t="s">
        <v>33</v>
      </c>
      <c r="N345" s="21">
        <f ca="1">VLOOKUP(A345,'[1]Bieu 1a'!$A$8:$AW$855,10,0)</f>
        <v>40</v>
      </c>
      <c r="O345" s="22">
        <f>VLOOKUP(A345,'[1]Bieu 1a'!$A$8:$AW$855,8,0)</f>
        <v>0</v>
      </c>
      <c r="P345" s="22">
        <f>VLOOKUP(A345,'[1]Bieu 1a'!$A$8:$AW$855,9,0)</f>
        <v>31519</v>
      </c>
      <c r="Q345" s="23" t="s">
        <v>44</v>
      </c>
      <c r="R345" s="24" t="str">
        <f>VLOOKUP(A345,'[1]Bieu 1a'!$A$8:$AW$855,23,0)</f>
        <v>1/4/2007</v>
      </c>
      <c r="S345" s="25" t="s">
        <v>1708</v>
      </c>
      <c r="T345" s="26" t="s">
        <v>1709</v>
      </c>
      <c r="U345" s="16"/>
      <c r="V345" s="16" t="str">
        <f>IFERROR(VLOOKUP(A345,'[2]19.6.2026'!$A$9:$L$1111,5,0),"")</f>
        <v>000976/LS-CCHN</v>
      </c>
      <c r="W345" s="16" t="str">
        <f>IFERROR(VLOOKUP(A345,'[2]19.6.2026'!$A$9:$L$1111,6,0),"")</f>
        <v>11/01/2023</v>
      </c>
      <c r="X345" s="16"/>
      <c r="Y345" s="21" t="str">
        <f>IFERROR(VLOOKUP(A345,'[2]19.6.2026'!$A$9:$L$1111,7,0),"")</f>
        <v>Thực hiện phạm vi hoạt động chuyên môn theo Thông tư số 26/2015/TTLT-BYT-BNV ngày 07/10/2015 quy định  mã số, tiêu chuẩn chức danh nghề nghiệp, điều dưỡng, hộ sinh, kỹ thuật y</v>
      </c>
      <c r="Z345" s="16"/>
      <c r="AA345" s="27" t="str">
        <f>IFERROR(VLOOKUP(A345,'[3]DS UPLOAD 2026 (2)'!$A$2:$P$1111,16,0),"")</f>
        <v/>
      </c>
      <c r="AB345" s="27" t="s">
        <v>1710</v>
      </c>
      <c r="AC345" s="28"/>
    </row>
    <row r="346" spans="1:29" ht="18" customHeight="1" x14ac:dyDescent="0.3">
      <c r="A346" s="17" t="s">
        <v>1711</v>
      </c>
      <c r="B346" s="18" t="s">
        <v>1712</v>
      </c>
      <c r="C346" s="17" t="s">
        <v>1711</v>
      </c>
      <c r="D346" s="19" t="s">
        <v>38</v>
      </c>
      <c r="E346" s="30" t="s">
        <v>1661</v>
      </c>
      <c r="F346" s="16" t="str">
        <f>VLOOKUP(E346,'[1]BẢNG MÃ'!$A$2:$B$69,2,0)</f>
        <v>TĐ017</v>
      </c>
      <c r="G346" s="31" t="s">
        <v>55</v>
      </c>
      <c r="H346" s="31" t="s">
        <v>55</v>
      </c>
      <c r="I346" s="16" t="s">
        <v>1604</v>
      </c>
      <c r="J346" s="16" t="str">
        <f>VLOOKUP(I346,'[1]BẢNG MÃ'!$C$2:$D$69,2,0)</f>
        <v>KP016</v>
      </c>
      <c r="K346" s="16" t="s">
        <v>43</v>
      </c>
      <c r="L346" s="16">
        <v>0</v>
      </c>
      <c r="M346" s="16" t="s">
        <v>33</v>
      </c>
      <c r="N346" s="21">
        <f ca="1">VLOOKUP(A346,'[1]Bieu 1a'!$A$8:$AW$855,10,0)</f>
        <v>49</v>
      </c>
      <c r="O346" s="22">
        <f>VLOOKUP(A346,'[1]Bieu 1a'!$A$8:$AW$855,8,0)</f>
        <v>0</v>
      </c>
      <c r="P346" s="22">
        <f>VLOOKUP(A346,'[1]Bieu 1a'!$A$8:$AW$855,9,0)</f>
        <v>27995</v>
      </c>
      <c r="Q346" s="23" t="s">
        <v>50</v>
      </c>
      <c r="R346" s="24" t="str">
        <f>VLOOKUP(A346,'[1]Bieu 1a'!$A$8:$AW$855,23,0)</f>
        <v>15/3/1996</v>
      </c>
      <c r="S346" s="25" t="s">
        <v>1713</v>
      </c>
      <c r="T346" s="26" t="s">
        <v>1714</v>
      </c>
      <c r="U346" s="16"/>
      <c r="V346" s="16" t="str">
        <f>IFERROR(VLOOKUP(A346,'[2]19.6.2026'!$A$9:$L$1111,5,0),"")</f>
        <v>000980/LS-CCHN</v>
      </c>
      <c r="W346" s="16" t="str">
        <f>IFERROR(VLOOKUP(A346,'[2]19.6.2026'!$A$9:$L$1111,6,0),"")</f>
        <v>11/01/2023</v>
      </c>
      <c r="X346" s="16"/>
      <c r="Y346" s="21" t="str">
        <f>IFERROR(VLOOKUP(A346,'[2]19.6.2026'!$A$9:$L$1111,7,0),"")</f>
        <v>Thực hiện phạm vi hoạt động chuyên môn theo Thông tư số 26/2015/TTLT-BYT-BNV ngày 07/10/2015 quy định  mã số, tiêu chuẩn chức danh nghề nghiệp, điều dưỡng, hộ sinh, kỹ thuật y</v>
      </c>
      <c r="Z346" s="16"/>
      <c r="AA346" s="27" t="str">
        <f>IFERROR(VLOOKUP(A346,'[3]DS UPLOAD 2026 (2)'!$A$2:$P$1111,16,0),"")</f>
        <v/>
      </c>
      <c r="AB346" s="27" t="s">
        <v>1715</v>
      </c>
      <c r="AC346" s="28"/>
    </row>
    <row r="347" spans="1:29" ht="18" customHeight="1" x14ac:dyDescent="0.3">
      <c r="A347" s="17" t="s">
        <v>1716</v>
      </c>
      <c r="B347" s="29" t="s">
        <v>1717</v>
      </c>
      <c r="C347" s="17" t="s">
        <v>1716</v>
      </c>
      <c r="D347" s="19" t="s">
        <v>38</v>
      </c>
      <c r="E347" s="30" t="s">
        <v>1661</v>
      </c>
      <c r="F347" s="16" t="str">
        <f>VLOOKUP(E347,'[1]BẢNG MÃ'!$A$2:$B$69,2,0)</f>
        <v>TĐ017</v>
      </c>
      <c r="G347" s="31" t="s">
        <v>55</v>
      </c>
      <c r="H347" s="31" t="s">
        <v>55</v>
      </c>
      <c r="I347" s="16" t="s">
        <v>1604</v>
      </c>
      <c r="J347" s="16" t="str">
        <f>VLOOKUP(I347,'[1]BẢNG MÃ'!$C$2:$D$69,2,0)</f>
        <v>KP016</v>
      </c>
      <c r="K347" s="16" t="s">
        <v>43</v>
      </c>
      <c r="L347" s="16">
        <v>0</v>
      </c>
      <c r="M347" s="16" t="s">
        <v>33</v>
      </c>
      <c r="N347" s="21">
        <f ca="1">VLOOKUP(A347,'[1]Bieu 1a'!$A$8:$AW$855,10,0)</f>
        <v>40</v>
      </c>
      <c r="O347" s="22">
        <f>VLOOKUP(A347,'[1]Bieu 1a'!$A$8:$AW$855,8,0)</f>
        <v>0</v>
      </c>
      <c r="P347" s="22">
        <f>VLOOKUP(A347,'[1]Bieu 1a'!$A$8:$AW$855,9,0)</f>
        <v>31452</v>
      </c>
      <c r="Q347" s="23" t="s">
        <v>44</v>
      </c>
      <c r="R347" s="24" t="str">
        <f>VLOOKUP(A347,'[1]Bieu 1a'!$A$8:$AW$855,23,0)</f>
        <v>9/2/1986</v>
      </c>
      <c r="S347" s="25" t="s">
        <v>1718</v>
      </c>
      <c r="T347" s="26" t="s">
        <v>1719</v>
      </c>
      <c r="U347" s="16"/>
      <c r="V347" s="16" t="str">
        <f>IFERROR(VLOOKUP(A347,'[2]19.6.2026'!$A$9:$L$1111,5,0),"")</f>
        <v>000764/LS-CCHN</v>
      </c>
      <c r="W347" s="16" t="str">
        <f>IFERROR(VLOOKUP(A347,'[2]19.6.2026'!$A$9:$L$1111,6,0),"")</f>
        <v>11/01/2023</v>
      </c>
      <c r="X347" s="16"/>
      <c r="Y347" s="21" t="str">
        <f>IFERROR(VLOOKUP(A347,'[2]19.6.2026'!$A$9:$L$1111,7,0),"")</f>
        <v>Thực hiện phạm vi hoạt động chuyên môn theo Thông tư số 26/2015/TTLT-BYT-BNV ngày 07/10/2015 quy định  mã số, tiêu chuẩn chức danh nghề nghiệp, điều dưỡng, hộ sinh, kỹ thuật y</v>
      </c>
      <c r="Z347" s="16"/>
      <c r="AA347" s="27" t="str">
        <f>IFERROR(VLOOKUP(A347,'[3]DS UPLOAD 2026 (2)'!$A$2:$P$1111,16,0),"")</f>
        <v/>
      </c>
      <c r="AB347" s="27" t="s">
        <v>1720</v>
      </c>
      <c r="AC347" s="28"/>
    </row>
    <row r="348" spans="1:29" ht="18" customHeight="1" x14ac:dyDescent="0.3">
      <c r="A348" s="17" t="s">
        <v>1721</v>
      </c>
      <c r="B348" s="29" t="s">
        <v>1722</v>
      </c>
      <c r="C348" s="17" t="s">
        <v>1721</v>
      </c>
      <c r="D348" s="19" t="s">
        <v>38</v>
      </c>
      <c r="E348" s="30" t="s">
        <v>1661</v>
      </c>
      <c r="F348" s="16" t="str">
        <f>VLOOKUP(E348,'[1]BẢNG MÃ'!$A$2:$B$69,2,0)</f>
        <v>TĐ017</v>
      </c>
      <c r="G348" s="31" t="s">
        <v>55</v>
      </c>
      <c r="H348" s="31" t="s">
        <v>55</v>
      </c>
      <c r="I348" s="16" t="s">
        <v>1604</v>
      </c>
      <c r="J348" s="16" t="str">
        <f>VLOOKUP(I348,'[1]BẢNG MÃ'!$C$2:$D$69,2,0)</f>
        <v>KP016</v>
      </c>
      <c r="K348" s="16" t="s">
        <v>43</v>
      </c>
      <c r="L348" s="16">
        <v>0</v>
      </c>
      <c r="M348" s="16" t="s">
        <v>33</v>
      </c>
      <c r="N348" s="21">
        <f ca="1">VLOOKUP(A348,'[1]Bieu 1a'!$A$8:$AW$855,10,0)</f>
        <v>45</v>
      </c>
      <c r="O348" s="22">
        <f>VLOOKUP(A348,'[1]Bieu 1a'!$A$8:$AW$855,8,0)</f>
        <v>0</v>
      </c>
      <c r="P348" s="22">
        <f>VLOOKUP(A348,'[1]Bieu 1a'!$A$8:$AW$855,9,0)</f>
        <v>29721</v>
      </c>
      <c r="Q348" s="23" t="s">
        <v>44</v>
      </c>
      <c r="R348" s="24" t="str">
        <f>VLOOKUP(A348,'[1]Bieu 1a'!$A$8:$AW$855,23,0)</f>
        <v>30/10/2006</v>
      </c>
      <c r="S348" s="25" t="s">
        <v>1723</v>
      </c>
      <c r="T348" s="26" t="s">
        <v>1724</v>
      </c>
      <c r="U348" s="16"/>
      <c r="V348" s="16" t="str">
        <f>IFERROR(VLOOKUP(A348,'[2]19.6.2026'!$A$9:$L$1111,5,0),"")</f>
        <v>001640/LS-CCHN</v>
      </c>
      <c r="W348" s="16" t="str">
        <f>IFERROR(VLOOKUP(A348,'[2]19.6.2026'!$A$9:$L$1111,6,0),"")</f>
        <v>11/01/2023</v>
      </c>
      <c r="X348" s="16"/>
      <c r="Y348" s="21" t="str">
        <f>IFERROR(VLOOKUP(A348,'[2]19.6.2026'!$A$9:$L$1111,7,0),"")</f>
        <v>Thực hiện phạm vi hoạt động chuyên môn theo Thông tư số 26/2015/TTLT-BYT-BNV ngày 07/10/2015 quy định  mã số, tiêu chuẩn chức danh nghề nghiệp, điều dưỡng, hộ sinh, kỹ thuật y</v>
      </c>
      <c r="Z348" s="16"/>
      <c r="AA348" s="27" t="str">
        <f>IFERROR(VLOOKUP(A348,'[3]DS UPLOAD 2026 (2)'!$A$2:$P$1111,16,0),"")</f>
        <v/>
      </c>
      <c r="AB348" s="27" t="s">
        <v>1725</v>
      </c>
      <c r="AC348" s="28"/>
    </row>
    <row r="349" spans="1:29" ht="18" customHeight="1" x14ac:dyDescent="0.3">
      <c r="A349" s="17" t="s">
        <v>1726</v>
      </c>
      <c r="B349" s="29" t="s">
        <v>1727</v>
      </c>
      <c r="C349" s="17" t="s">
        <v>1726</v>
      </c>
      <c r="D349" s="19" t="s">
        <v>38</v>
      </c>
      <c r="E349" s="30" t="s">
        <v>1661</v>
      </c>
      <c r="F349" s="16" t="str">
        <f>VLOOKUP(E349,'[1]BẢNG MÃ'!$A$2:$B$69,2,0)</f>
        <v>TĐ017</v>
      </c>
      <c r="G349" s="31" t="s">
        <v>55</v>
      </c>
      <c r="H349" s="31" t="s">
        <v>55</v>
      </c>
      <c r="I349" s="16" t="s">
        <v>1604</v>
      </c>
      <c r="J349" s="16" t="str">
        <f>VLOOKUP(I349,'[1]BẢNG MÃ'!$C$2:$D$69,2,0)</f>
        <v>KP016</v>
      </c>
      <c r="K349" s="16" t="s">
        <v>43</v>
      </c>
      <c r="L349" s="16">
        <v>0</v>
      </c>
      <c r="M349" s="16" t="s">
        <v>33</v>
      </c>
      <c r="N349" s="21">
        <f ca="1">VLOOKUP(A349,'[1]Bieu 1a'!$A$8:$AW$855,10,0)</f>
        <v>41</v>
      </c>
      <c r="O349" s="22">
        <f>VLOOKUP(A349,'[1]Bieu 1a'!$A$8:$AW$855,8,0)</f>
        <v>0</v>
      </c>
      <c r="P349" s="22">
        <f>VLOOKUP(A349,'[1]Bieu 1a'!$A$8:$AW$855,9,0)</f>
        <v>31077</v>
      </c>
      <c r="Q349" s="23" t="s">
        <v>34</v>
      </c>
      <c r="R349" s="24" t="str">
        <f>VLOOKUP(A349,'[1]Bieu 1a'!$A$8:$AW$855,23,0)</f>
        <v>14/1/2011</v>
      </c>
      <c r="S349" s="25" t="s">
        <v>1728</v>
      </c>
      <c r="T349" s="26" t="s">
        <v>1729</v>
      </c>
      <c r="U349" s="16"/>
      <c r="V349" s="16" t="str">
        <f>IFERROR(VLOOKUP(A349,'[2]19.6.2026'!$A$9:$L$1111,5,0),"")</f>
        <v>000922/LS-CCHN</v>
      </c>
      <c r="W349" s="16" t="str">
        <f>IFERROR(VLOOKUP(A349,'[2]19.6.2026'!$A$9:$L$1111,6,0),"")</f>
        <v>11/01/2023</v>
      </c>
      <c r="X349" s="16"/>
      <c r="Y349" s="21" t="str">
        <f>IFERROR(VLOOKUP(A349,'[2]19.6.2026'!$A$9:$L$1111,7,0),"")</f>
        <v>Thực hiện phạm vi hoạt động chuyên môn theo Thông tư số 26/2015/TTLT-BYT-BNV ngày 07/10/2015 quy định  mã số, tiêu chuẩn chức danh nghề nghiệp, điều dưỡng, hộ sinh, kỹ thuật y</v>
      </c>
      <c r="Z349" s="16"/>
      <c r="AA349" s="27" t="str">
        <f>IFERROR(VLOOKUP(A349,'[3]DS UPLOAD 2026 (2)'!$A$2:$P$1111,16,0),"")</f>
        <v/>
      </c>
      <c r="AB349" s="27">
        <v>984313663</v>
      </c>
      <c r="AC349" s="29"/>
    </row>
    <row r="350" spans="1:29" ht="18" customHeight="1" x14ac:dyDescent="0.3">
      <c r="A350" s="17" t="s">
        <v>1730</v>
      </c>
      <c r="B350" s="38" t="s">
        <v>1731</v>
      </c>
      <c r="C350" s="17" t="s">
        <v>1730</v>
      </c>
      <c r="D350" s="19" t="s">
        <v>38</v>
      </c>
      <c r="E350" s="30" t="s">
        <v>1661</v>
      </c>
      <c r="F350" s="16" t="str">
        <f>VLOOKUP(E350,'[1]BẢNG MÃ'!$A$2:$B$69,2,0)</f>
        <v>TĐ017</v>
      </c>
      <c r="G350" s="31" t="s">
        <v>55</v>
      </c>
      <c r="H350" s="31" t="s">
        <v>55</v>
      </c>
      <c r="I350" s="16" t="s">
        <v>1604</v>
      </c>
      <c r="J350" s="16" t="str">
        <f>VLOOKUP(I350,'[1]BẢNG MÃ'!$C$2:$D$69,2,0)</f>
        <v>KP016</v>
      </c>
      <c r="K350" s="16" t="s">
        <v>43</v>
      </c>
      <c r="L350" s="16">
        <v>0</v>
      </c>
      <c r="M350" s="16" t="s">
        <v>33</v>
      </c>
      <c r="N350" s="21">
        <f ca="1">VLOOKUP(A350,'[1]Bieu 1a'!$A$8:$AW$855,10,0)</f>
        <v>50</v>
      </c>
      <c r="O350" s="22">
        <f>VLOOKUP(A350,'[1]Bieu 1a'!$A$8:$AW$855,8,0)</f>
        <v>0</v>
      </c>
      <c r="P350" s="22" t="str">
        <f>VLOOKUP(A350,'[1]Bieu 1a'!$A$8:$AW$855,9,0)</f>
        <v>19/9/1975</v>
      </c>
      <c r="Q350" s="23" t="s">
        <v>50</v>
      </c>
      <c r="R350" s="24" t="str">
        <f>VLOOKUP(A350,'[1]Bieu 1a'!$A$8:$AW$855,23,0)</f>
        <v>01/6/2017</v>
      </c>
      <c r="S350" s="25" t="s">
        <v>1732</v>
      </c>
      <c r="T350" s="26" t="s">
        <v>1733</v>
      </c>
      <c r="U350" s="16"/>
      <c r="V350" s="16" t="str">
        <f>IFERROR(VLOOKUP(A350,'[2]19.6.2026'!$A$9:$L$1111,5,0),"")</f>
        <v>001871/LS-CCHN</v>
      </c>
      <c r="W350" s="16" t="str">
        <f>IFERROR(VLOOKUP(A350,'[2]19.6.2026'!$A$9:$L$1111,6,0),"")</f>
        <v>11/01/2023</v>
      </c>
      <c r="X350" s="16"/>
      <c r="Y350" s="21" t="str">
        <f>IFERROR(VLOOKUP(A350,'[2]19.6.2026'!$A$9:$L$1111,7,0),"")</f>
        <v>Thực hiện phạm vi hoạt động chuyên môn theo Thông tư số 26/2015/TTLT-BYT-BNV ngày 07/10/2015 quy định  mã số, tiêu chuẩn chức danh nghề nghiệp, điều dưỡng, hộ sinh, kỹ thuật y</v>
      </c>
      <c r="Z350" s="16"/>
      <c r="AA350" s="27" t="str">
        <f>IFERROR(VLOOKUP(A350,'[3]DS UPLOAD 2026 (2)'!$A$2:$P$1111,16,0),"")</f>
        <v/>
      </c>
      <c r="AB350" s="27" t="s">
        <v>1734</v>
      </c>
      <c r="AC350" s="28" t="s">
        <v>1735</v>
      </c>
    </row>
    <row r="351" spans="1:29" ht="18" customHeight="1" x14ac:dyDescent="0.3">
      <c r="A351" s="17" t="s">
        <v>1736</v>
      </c>
      <c r="B351" s="38" t="s">
        <v>1737</v>
      </c>
      <c r="C351" s="17" t="s">
        <v>1736</v>
      </c>
      <c r="D351" s="19" t="s">
        <v>38</v>
      </c>
      <c r="E351" s="30" t="s">
        <v>1661</v>
      </c>
      <c r="F351" s="16" t="str">
        <f>VLOOKUP(E351,'[1]BẢNG MÃ'!$A$2:$B$69,2,0)</f>
        <v>TĐ017</v>
      </c>
      <c r="G351" s="106" t="s">
        <v>122</v>
      </c>
      <c r="H351" s="106" t="s">
        <v>122</v>
      </c>
      <c r="I351" s="16" t="s">
        <v>1604</v>
      </c>
      <c r="J351" s="16" t="str">
        <f>VLOOKUP(I351,'[1]BẢNG MÃ'!$C$2:$D$69,2,0)</f>
        <v>KP016</v>
      </c>
      <c r="K351" s="16" t="s">
        <v>43</v>
      </c>
      <c r="L351" s="16">
        <v>0</v>
      </c>
      <c r="M351" s="16" t="s">
        <v>33</v>
      </c>
      <c r="N351" s="21">
        <f ca="1">VLOOKUP(A351,'[1]Bieu 1a'!$A$8:$AW$855,10,0)</f>
        <v>31</v>
      </c>
      <c r="O351" s="22">
        <f>VLOOKUP(A351,'[1]Bieu 1a'!$A$8:$AW$855,8,0)</f>
        <v>0</v>
      </c>
      <c r="P351" s="22" t="str">
        <f>VLOOKUP(A351,'[1]Bieu 1a'!$A$8:$AW$855,9,0)</f>
        <v>17/8/1994</v>
      </c>
      <c r="Q351" s="23" t="s">
        <v>44</v>
      </c>
      <c r="R351" s="24" t="str">
        <f>VLOOKUP(A351,'[1]Bieu 1a'!$A$8:$AW$855,23,0)</f>
        <v>25/01/2016</v>
      </c>
      <c r="S351" s="25" t="s">
        <v>1738</v>
      </c>
      <c r="T351" s="26" t="s">
        <v>1739</v>
      </c>
      <c r="U351" s="22">
        <f>EDATE(R351,6)</f>
        <v>42576</v>
      </c>
      <c r="V351" s="16" t="str">
        <f>IFERROR(VLOOKUP(A351,'[2]19.6.2026'!$A$9:$L$1111,5,0),"")</f>
        <v>005683/LS-CCHN</v>
      </c>
      <c r="W351" s="16" t="str">
        <f>IFERROR(VLOOKUP(A351,'[2]19.6.2026'!$A$9:$L$1111,6,0),"")</f>
        <v>18/09/2023</v>
      </c>
      <c r="X351" s="16"/>
      <c r="Y351" s="21" t="str">
        <f>IFERROR(VLOOKUP(A351,'[2]19.6.2026'!$A$9:$L$1111,7,0),"")</f>
        <v>Thực hiện phạm vi hoạt động chuyên môn theo Thông tư số 26/2015/TTLT-BYT-BNV ngày 07/10/2015 quy định  mã số, tiêu chuẩn chức danh nghề nghiệp, điều dưỡng, hộ sinh, kỹ thuật y</v>
      </c>
      <c r="Z351" s="16"/>
      <c r="AA351" s="27" t="str">
        <f>IFERROR(VLOOKUP(A351,'[3]DS UPLOAD 2026 (2)'!$A$2:$P$1111,16,0),"")</f>
        <v/>
      </c>
      <c r="AB351" s="27" t="s">
        <v>1740</v>
      </c>
      <c r="AC351" s="28" t="s">
        <v>1741</v>
      </c>
    </row>
    <row r="352" spans="1:29" ht="18" customHeight="1" x14ac:dyDescent="0.3">
      <c r="A352" s="17" t="s">
        <v>1742</v>
      </c>
      <c r="B352" s="29" t="s">
        <v>1743</v>
      </c>
      <c r="C352" s="17" t="s">
        <v>1742</v>
      </c>
      <c r="D352" s="19" t="s">
        <v>38</v>
      </c>
      <c r="E352" s="30" t="s">
        <v>1661</v>
      </c>
      <c r="F352" s="16" t="str">
        <f>VLOOKUP(E352,'[1]BẢNG MÃ'!$A$2:$B$69,2,0)</f>
        <v>TĐ017</v>
      </c>
      <c r="G352" s="31" t="s">
        <v>55</v>
      </c>
      <c r="H352" s="31" t="s">
        <v>55</v>
      </c>
      <c r="I352" s="16" t="s">
        <v>1604</v>
      </c>
      <c r="J352" s="16" t="str">
        <f>VLOOKUP(I352,'[1]BẢNG MÃ'!$C$2:$D$69,2,0)</f>
        <v>KP016</v>
      </c>
      <c r="K352" s="16" t="s">
        <v>43</v>
      </c>
      <c r="L352" s="16">
        <v>0</v>
      </c>
      <c r="M352" s="16" t="s">
        <v>33</v>
      </c>
      <c r="N352" s="21">
        <f ca="1">VLOOKUP(A352,'[1]Bieu 1a'!$A$8:$AW$855,10,0)</f>
        <v>49</v>
      </c>
      <c r="O352" s="22">
        <f>VLOOKUP(A352,'[1]Bieu 1a'!$A$8:$AW$855,8,0)</f>
        <v>0</v>
      </c>
      <c r="P352" s="22">
        <f>VLOOKUP(A352,'[1]Bieu 1a'!$A$8:$AW$855,9,0)</f>
        <v>28080</v>
      </c>
      <c r="Q352" s="23" t="s">
        <v>44</v>
      </c>
      <c r="R352" s="24" t="str">
        <f>VLOOKUP(A352,'[1]Bieu 1a'!$A$8:$AW$855,23,0)</f>
        <v>15/1/2010</v>
      </c>
      <c r="S352" s="25" t="s">
        <v>1744</v>
      </c>
      <c r="T352" s="26" t="s">
        <v>1745</v>
      </c>
      <c r="U352" s="16"/>
      <c r="V352" s="16" t="str">
        <f>IFERROR(VLOOKUP(A352,'[2]19.6.2026'!$A$9:$L$1111,5,0),"")</f>
        <v>000972/LS-CCHN</v>
      </c>
      <c r="W352" s="16" t="str">
        <f>IFERROR(VLOOKUP(A352,'[2]19.6.2026'!$A$9:$L$1111,6,0),"")</f>
        <v>11/01/2023</v>
      </c>
      <c r="X352" s="16"/>
      <c r="Y352" s="21" t="str">
        <f>IFERROR(VLOOKUP(A352,'[2]19.6.2026'!$A$9:$L$1111,7,0),"")</f>
        <v>Thực hiện phạm vi hoạt động chuyên môn theo Thông tư số 26/2015/TTLT-BYT-BNV ngày 07/10/2015 quy định  mã số, tiêu chuẩn chức danh nghề nghiệp, điều dưỡng, hộ sinh, kỹ thuật y</v>
      </c>
      <c r="Z352" s="16"/>
      <c r="AA352" s="27" t="str">
        <f>IFERROR(VLOOKUP(A352,'[3]DS UPLOAD 2026 (2)'!$A$2:$P$1111,16,0),"")</f>
        <v/>
      </c>
      <c r="AB352" s="27" t="s">
        <v>1746</v>
      </c>
      <c r="AC352" s="28"/>
    </row>
    <row r="353" spans="1:29" ht="18" customHeight="1" x14ac:dyDescent="0.3">
      <c r="A353" s="17" t="s">
        <v>1747</v>
      </c>
      <c r="B353" s="29" t="s">
        <v>1748</v>
      </c>
      <c r="C353" s="17" t="s">
        <v>1747</v>
      </c>
      <c r="D353" s="19" t="s">
        <v>38</v>
      </c>
      <c r="E353" s="107" t="s">
        <v>1661</v>
      </c>
      <c r="F353" s="16" t="str">
        <f>VLOOKUP(E353,'[1]BẢNG MÃ'!$A$2:$B$69,2,0)</f>
        <v>TĐ017</v>
      </c>
      <c r="G353" s="31" t="s">
        <v>55</v>
      </c>
      <c r="H353" s="31" t="s">
        <v>55</v>
      </c>
      <c r="I353" s="16" t="s">
        <v>1604</v>
      </c>
      <c r="J353" s="16" t="str">
        <f>VLOOKUP(I353,'[1]BẢNG MÃ'!$C$2:$D$69,2,0)</f>
        <v>KP016</v>
      </c>
      <c r="K353" s="16" t="s">
        <v>43</v>
      </c>
      <c r="L353" s="16">
        <v>0</v>
      </c>
      <c r="M353" s="16" t="s">
        <v>33</v>
      </c>
      <c r="N353" s="21">
        <f ca="1">VLOOKUP(A353,'[1]Bieu 1a'!$A$8:$AW$855,10,0)</f>
        <v>45</v>
      </c>
      <c r="O353" s="22">
        <f>VLOOKUP(A353,'[1]Bieu 1a'!$A$8:$AW$855,8,0)</f>
        <v>0</v>
      </c>
      <c r="P353" s="22">
        <f>VLOOKUP(A353,'[1]Bieu 1a'!$A$8:$AW$855,9,0)</f>
        <v>29448</v>
      </c>
      <c r="Q353" s="23" t="s">
        <v>50</v>
      </c>
      <c r="R353" s="24" t="str">
        <f>VLOOKUP(A353,'[1]Bieu 1a'!$A$8:$AW$855,23,0)</f>
        <v>19/01/2005</v>
      </c>
      <c r="S353" s="25" t="s">
        <v>1749</v>
      </c>
      <c r="T353" s="26" t="s">
        <v>1750</v>
      </c>
      <c r="U353" s="16"/>
      <c r="V353" s="16" t="str">
        <f>IFERROR(VLOOKUP(A353,'[2]19.6.2026'!$A$9:$L$1111,5,0),"")</f>
        <v>001547/LS-CCHN</v>
      </c>
      <c r="W353" s="16" t="str">
        <f>IFERROR(VLOOKUP(A353,'[2]19.6.2026'!$A$9:$L$1111,6,0),"")</f>
        <v>11/12/2022</v>
      </c>
      <c r="X353" s="16"/>
      <c r="Y353" s="21" t="str">
        <f>IFERROR(VLOOKUP(A353,'[2]19.6.2026'!$A$9:$L$1111,7,0),"")</f>
        <v>Thực hiện phạm vi hoạt động chuyên môn theo quy định tại Thông tư số 26/2015/TTLT-BYT-BNV ngày 07/10/2015 quy định mã số, tiêu chuẩn chức danh nghề nghiệp điều dưỡng, hộ sinh, kỹ thuật y</v>
      </c>
      <c r="Z353" s="16"/>
      <c r="AA353" s="27" t="str">
        <f>IFERROR(VLOOKUP(A353,'[3]DS UPLOAD 2026 (2)'!$A$2:$P$1111,16,0),"")</f>
        <v/>
      </c>
      <c r="AB353" s="27" t="s">
        <v>1751</v>
      </c>
      <c r="AC353" s="28"/>
    </row>
    <row r="354" spans="1:29" ht="18" customHeight="1" x14ac:dyDescent="0.3">
      <c r="A354" s="17" t="s">
        <v>1752</v>
      </c>
      <c r="B354" s="38" t="s">
        <v>1753</v>
      </c>
      <c r="C354" s="17" t="s">
        <v>1752</v>
      </c>
      <c r="D354" s="19" t="s">
        <v>38</v>
      </c>
      <c r="E354" s="30" t="s">
        <v>1661</v>
      </c>
      <c r="F354" s="16" t="str">
        <f>VLOOKUP(E354,'[1]BẢNG MÃ'!$A$2:$B$69,2,0)</f>
        <v>TĐ017</v>
      </c>
      <c r="G354" s="31" t="s">
        <v>55</v>
      </c>
      <c r="H354" s="31" t="s">
        <v>55</v>
      </c>
      <c r="I354" s="16" t="s">
        <v>1604</v>
      </c>
      <c r="J354" s="16" t="str">
        <f>VLOOKUP(I354,'[1]BẢNG MÃ'!$C$2:$D$69,2,0)</f>
        <v>KP016</v>
      </c>
      <c r="K354" s="16" t="s">
        <v>43</v>
      </c>
      <c r="L354" s="16">
        <v>0</v>
      </c>
      <c r="M354" s="16" t="s">
        <v>33</v>
      </c>
      <c r="N354" s="21">
        <f ca="1">VLOOKUP(A354,'[1]Bieu 1a'!$A$8:$AW$855,10,0)</f>
        <v>40</v>
      </c>
      <c r="O354" s="22">
        <f>VLOOKUP(A354,'[1]Bieu 1a'!$A$8:$AW$855,8,0)</f>
        <v>0</v>
      </c>
      <c r="P354" s="22" t="str">
        <f>VLOOKUP(A354,'[1]Bieu 1a'!$A$8:$AW$855,9,0)</f>
        <v>04/05/1986</v>
      </c>
      <c r="Q354" s="23" t="s">
        <v>50</v>
      </c>
      <c r="R354" s="24" t="str">
        <f>VLOOKUP(A354,'[1]Bieu 1a'!$A$8:$AW$855,23,0)</f>
        <v>01/11/2014</v>
      </c>
      <c r="S354" s="25" t="s">
        <v>1754</v>
      </c>
      <c r="T354" s="26" t="s">
        <v>1755</v>
      </c>
      <c r="U354" s="16"/>
      <c r="V354" s="16" t="str">
        <f>IFERROR(VLOOKUP(A354,'[2]19.6.2026'!$A$9:$L$1111,5,0),"")</f>
        <v>000644/LS-CCHN</v>
      </c>
      <c r="W354" s="16" t="str">
        <f>IFERROR(VLOOKUP(A354,'[2]19.6.2026'!$A$9:$L$1111,6,0),"")</f>
        <v>11/01/2023</v>
      </c>
      <c r="X354" s="16"/>
      <c r="Y354" s="21" t="str">
        <f>IFERROR(VLOOKUP(A354,'[2]19.6.2026'!$A$9:$L$1111,7,0),"")</f>
        <v>Thực hiện phạm vi hoạt động chuyên môn theo Thông tư số 26/2015/TTLT-BYT-BNV ngày 07/10/2015 quy định  mã số, tiêu chuẩn chức danh nghề nghiệp, điều dưỡng, hộ sinh, kỹ thuật y</v>
      </c>
      <c r="Z354" s="16"/>
      <c r="AA354" s="27" t="str">
        <f>IFERROR(VLOOKUP(A354,'[3]DS UPLOAD 2026 (2)'!$A$2:$P$1111,16,0),"")</f>
        <v/>
      </c>
      <c r="AB354" s="108"/>
      <c r="AC354" s="29" t="s">
        <v>1756</v>
      </c>
    </row>
    <row r="355" spans="1:29" ht="18" customHeight="1" x14ac:dyDescent="0.3">
      <c r="A355" s="17" t="s">
        <v>1757</v>
      </c>
      <c r="B355" s="18" t="s">
        <v>299</v>
      </c>
      <c r="C355" s="17" t="s">
        <v>1757</v>
      </c>
      <c r="D355" s="19" t="s">
        <v>38</v>
      </c>
      <c r="E355" s="19" t="s">
        <v>121</v>
      </c>
      <c r="F355" s="16" t="str">
        <f>VLOOKUP(E355,'[1]BẢNG MÃ'!$A$2:$B$69,2,0)</f>
        <v>TĐ018</v>
      </c>
      <c r="G355" s="20" t="s">
        <v>122</v>
      </c>
      <c r="H355" s="20" t="s">
        <v>122</v>
      </c>
      <c r="I355" s="16" t="s">
        <v>1604</v>
      </c>
      <c r="J355" s="16" t="str">
        <f>VLOOKUP(I355,'[1]BẢNG MÃ'!$C$2:$D$69,2,0)</f>
        <v>KP016</v>
      </c>
      <c r="K355" s="16" t="s">
        <v>43</v>
      </c>
      <c r="L355" s="16">
        <v>0</v>
      </c>
      <c r="M355" s="16" t="s">
        <v>33</v>
      </c>
      <c r="N355" s="21">
        <f ca="1">VLOOKUP(A355,'[1]Bieu 1a'!$A$8:$AW$855,10,0)</f>
        <v>51</v>
      </c>
      <c r="O355" s="22">
        <f>VLOOKUP(A355,'[1]Bieu 1a'!$A$8:$AW$855,8,0)</f>
        <v>0</v>
      </c>
      <c r="P355" s="22">
        <f>VLOOKUP(A355,'[1]Bieu 1a'!$A$8:$AW$855,9,0)</f>
        <v>27336</v>
      </c>
      <c r="Q355" s="23" t="s">
        <v>50</v>
      </c>
      <c r="R355" s="24" t="str">
        <f>VLOOKUP(A355,'[1]Bieu 1a'!$A$8:$AW$855,23,0)</f>
        <v>1/12/2008</v>
      </c>
      <c r="S355" s="25" t="s">
        <v>1758</v>
      </c>
      <c r="T355" s="26" t="s">
        <v>1759</v>
      </c>
      <c r="U355" s="16"/>
      <c r="V355" s="16" t="str">
        <f>IFERROR(VLOOKUP(A355,'[2]19.6.2026'!$A$9:$L$1111,5,0),"")</f>
        <v>000735/LS-CCHN</v>
      </c>
      <c r="W355" s="16" t="str">
        <f>IFERROR(VLOOKUP(A355,'[2]19.6.2026'!$A$9:$L$1111,6,0),"")</f>
        <v>24/06/2013</v>
      </c>
      <c r="X355" s="16"/>
      <c r="Y355" s="21" t="str">
        <f>IFERROR(VLOOKUP(A355,'[2]19.6.2026'!$A$9:$L$1111,7,0),"")</f>
        <v>Theo Quy định tại Thông tư số 12/2011/TT-BYT ngày 15/3/2011 của Bộ Y tế quy định tiêu chuẩn các ngạch viên chức hộ sinh</v>
      </c>
      <c r="Z355" s="16"/>
      <c r="AA355" s="27" t="str">
        <f>IFERROR(VLOOKUP(A355,'[3]DS UPLOAD 2026 (2)'!$A$2:$P$1111,16,0),"")</f>
        <v/>
      </c>
      <c r="AB355" s="27" t="s">
        <v>1760</v>
      </c>
      <c r="AC355" s="28"/>
    </row>
    <row r="356" spans="1:29" ht="18" customHeight="1" x14ac:dyDescent="0.3">
      <c r="A356" s="17" t="s">
        <v>1761</v>
      </c>
      <c r="B356" s="29" t="s">
        <v>1762</v>
      </c>
      <c r="C356" s="17" t="s">
        <v>1761</v>
      </c>
      <c r="D356" s="19" t="s">
        <v>38</v>
      </c>
      <c r="E356" s="19" t="s">
        <v>121</v>
      </c>
      <c r="F356" s="16" t="str">
        <f>VLOOKUP(E356,'[1]BẢNG MÃ'!$A$2:$B$69,2,0)</f>
        <v>TĐ018</v>
      </c>
      <c r="G356" s="20" t="s">
        <v>122</v>
      </c>
      <c r="H356" s="20" t="s">
        <v>122</v>
      </c>
      <c r="I356" s="16" t="s">
        <v>1604</v>
      </c>
      <c r="J356" s="16" t="str">
        <f>VLOOKUP(I356,'[1]BẢNG MÃ'!$C$2:$D$69,2,0)</f>
        <v>KP016</v>
      </c>
      <c r="K356" s="16" t="s">
        <v>43</v>
      </c>
      <c r="L356" s="16">
        <v>0</v>
      </c>
      <c r="M356" s="16" t="s">
        <v>33</v>
      </c>
      <c r="N356" s="21">
        <f ca="1">VLOOKUP(A356,'[1]Bieu 1a'!$A$8:$AW$855,10,0)</f>
        <v>36</v>
      </c>
      <c r="O356" s="22">
        <f>VLOOKUP(A356,'[1]Bieu 1a'!$A$8:$AW$855,8,0)</f>
        <v>0</v>
      </c>
      <c r="P356" s="22">
        <f>VLOOKUP(A356,'[1]Bieu 1a'!$A$8:$AW$855,9,0)</f>
        <v>32780</v>
      </c>
      <c r="Q356" s="23" t="s">
        <v>44</v>
      </c>
      <c r="R356" s="24" t="str">
        <f>VLOOKUP(A356,'[1]Bieu 1a'!$A$8:$AW$855,23,0)</f>
        <v>10/6/2013</v>
      </c>
      <c r="S356" s="25" t="s">
        <v>1763</v>
      </c>
      <c r="T356" s="26" t="s">
        <v>1764</v>
      </c>
      <c r="U356" s="16"/>
      <c r="V356" s="16" t="str">
        <f>IFERROR(VLOOKUP(A356,'[2]19.6.2026'!$A$9:$L$1111,5,0),"")</f>
        <v>000432/LS-CCHN</v>
      </c>
      <c r="W356" s="16" t="str">
        <f>IFERROR(VLOOKUP(A356,'[2]19.6.2026'!$A$9:$L$1111,6,0),"")</f>
        <v>11/01/2023</v>
      </c>
      <c r="X356" s="16"/>
      <c r="Y356" s="21" t="str">
        <f>IFERROR(VLOOKUP(A356,'[2]19.6.2026'!$A$9:$L$1111,7,0),"")</f>
        <v>Thực hiện phạm vi hoạt động chuyên môn theo Thông tư số 26/2015/TTLT-BYT-BNV ngày 07/10/2015 quy định  mã số, tiêu chuẩn chức danh nghề nghiệp, điều dưỡng, hộ sinh, kỹ thuật y</v>
      </c>
      <c r="Z356" s="16"/>
      <c r="AA356" s="27" t="str">
        <f>IFERROR(VLOOKUP(A356,'[3]DS UPLOAD 2026 (2)'!$A$2:$P$1111,16,0),"")</f>
        <v/>
      </c>
      <c r="AB356" s="27" t="s">
        <v>1765</v>
      </c>
      <c r="AC356" s="28"/>
    </row>
    <row r="357" spans="1:29" ht="18" customHeight="1" x14ac:dyDescent="0.3">
      <c r="A357" s="17" t="s">
        <v>1766</v>
      </c>
      <c r="B357" s="18" t="s">
        <v>1767</v>
      </c>
      <c r="C357" s="17" t="s">
        <v>1766</v>
      </c>
      <c r="D357" s="19" t="s">
        <v>38</v>
      </c>
      <c r="E357" s="19" t="s">
        <v>121</v>
      </c>
      <c r="F357" s="16" t="str">
        <f>VLOOKUP(E357,'[1]BẢNG MÃ'!$A$2:$B$69,2,0)</f>
        <v>TĐ018</v>
      </c>
      <c r="G357" s="20" t="s">
        <v>122</v>
      </c>
      <c r="H357" s="20" t="s">
        <v>122</v>
      </c>
      <c r="I357" s="16" t="s">
        <v>1604</v>
      </c>
      <c r="J357" s="16" t="str">
        <f>VLOOKUP(I357,'[1]BẢNG MÃ'!$C$2:$D$69,2,0)</f>
        <v>KP016</v>
      </c>
      <c r="K357" s="16" t="s">
        <v>43</v>
      </c>
      <c r="L357" s="16">
        <v>0</v>
      </c>
      <c r="M357" s="16" t="s">
        <v>33</v>
      </c>
      <c r="N357" s="21">
        <f ca="1">VLOOKUP(A357,'[1]Bieu 1a'!$A$8:$AW$855,10,0)</f>
        <v>42</v>
      </c>
      <c r="O357" s="22">
        <f>VLOOKUP(A357,'[1]Bieu 1a'!$A$8:$AW$855,8,0)</f>
        <v>0</v>
      </c>
      <c r="P357" s="22">
        <f>VLOOKUP(A357,'[1]Bieu 1a'!$A$8:$AW$855,9,0)</f>
        <v>30601</v>
      </c>
      <c r="Q357" s="23" t="s">
        <v>44</v>
      </c>
      <c r="R357" s="24" t="str">
        <f>VLOOKUP(A357,'[1]Bieu 1a'!$A$8:$AW$855,23,0)</f>
        <v>7/11/2006</v>
      </c>
      <c r="S357" s="25" t="s">
        <v>1768</v>
      </c>
      <c r="T357" s="26" t="s">
        <v>1769</v>
      </c>
      <c r="U357" s="16"/>
      <c r="V357" s="16" t="str">
        <f>IFERROR(VLOOKUP(A357,'[2]19.6.2026'!$A$9:$L$1111,5,0),"")</f>
        <v>000965/LS-CCHN</v>
      </c>
      <c r="W357" s="16" t="str">
        <f>IFERROR(VLOOKUP(A357,'[2]19.6.2026'!$A$9:$L$1111,6,0),"")</f>
        <v>11/01/2023</v>
      </c>
      <c r="X357" s="16"/>
      <c r="Y357" s="21" t="str">
        <f>IFERROR(VLOOKUP(A357,'[2]19.6.2026'!$A$9:$L$1111,7,0),"")</f>
        <v>Thực hiện phạm vi hoạt động chuyên môn theo Thông tư số 26/2015/TTLT-BYT-BNV ngày 07/10/2015 quy định  mã số, tiêu chuẩn chức danh nghề nghiệp, điều dưỡng, hộ sinh, kỹ thuật y</v>
      </c>
      <c r="Z357" s="16"/>
      <c r="AA357" s="27" t="str">
        <f>IFERROR(VLOOKUP(A357,'[3]DS UPLOAD 2026 (2)'!$A$2:$P$1111,16,0),"")</f>
        <v/>
      </c>
      <c r="AB357" s="27" t="s">
        <v>1770</v>
      </c>
      <c r="AC357" s="28"/>
    </row>
    <row r="358" spans="1:29" ht="18" customHeight="1" x14ac:dyDescent="0.3">
      <c r="A358" s="17" t="s">
        <v>1771</v>
      </c>
      <c r="B358" s="29" t="s">
        <v>1772</v>
      </c>
      <c r="C358" s="17" t="s">
        <v>1771</v>
      </c>
      <c r="D358" s="19" t="s">
        <v>38</v>
      </c>
      <c r="E358" s="19" t="s">
        <v>121</v>
      </c>
      <c r="F358" s="16" t="str">
        <f>VLOOKUP(E358,'[1]BẢNG MÃ'!$A$2:$B$69,2,0)</f>
        <v>TĐ018</v>
      </c>
      <c r="G358" s="20" t="s">
        <v>122</v>
      </c>
      <c r="H358" s="20" t="s">
        <v>122</v>
      </c>
      <c r="I358" s="16" t="s">
        <v>1604</v>
      </c>
      <c r="J358" s="16" t="str">
        <f>VLOOKUP(I358,'[1]BẢNG MÃ'!$C$2:$D$69,2,0)</f>
        <v>KP016</v>
      </c>
      <c r="K358" s="16" t="s">
        <v>43</v>
      </c>
      <c r="L358" s="16">
        <v>0</v>
      </c>
      <c r="M358" s="16" t="s">
        <v>33</v>
      </c>
      <c r="N358" s="21">
        <f ca="1">VLOOKUP(A358,'[1]Bieu 1a'!$A$8:$AW$855,10,0)</f>
        <v>39</v>
      </c>
      <c r="O358" s="22">
        <f>VLOOKUP(A358,'[1]Bieu 1a'!$A$8:$AW$855,8,0)</f>
        <v>0</v>
      </c>
      <c r="P358" s="22">
        <f>VLOOKUP(A358,'[1]Bieu 1a'!$A$8:$AW$855,9,0)</f>
        <v>31861</v>
      </c>
      <c r="Q358" s="23" t="s">
        <v>50</v>
      </c>
      <c r="R358" s="24" t="str">
        <f>VLOOKUP(A358,'[1]Bieu 1a'!$A$8:$AW$855,23,0)</f>
        <v>15/1/2010</v>
      </c>
      <c r="S358" s="25" t="s">
        <v>1773</v>
      </c>
      <c r="T358" s="26" t="s">
        <v>1774</v>
      </c>
      <c r="U358" s="16"/>
      <c r="V358" s="16" t="str">
        <f>IFERROR(VLOOKUP(A358,'[2]19.6.2026'!$A$9:$L$1111,5,0),"")</f>
        <v>000974/LS-CCHN</v>
      </c>
      <c r="W358" s="16" t="str">
        <f>IFERROR(VLOOKUP(A358,'[2]19.6.2026'!$A$9:$L$1111,6,0),"")</f>
        <v>11/01/2023</v>
      </c>
      <c r="X358" s="16"/>
      <c r="Y358" s="21" t="str">
        <f>IFERROR(VLOOKUP(A358,'[2]19.6.2026'!$A$9:$L$1111,7,0),"")</f>
        <v>Thực hiện phạm vi hoạt động chuyên môn theo Thông tư số 26/2015/TTLT-BYT-BNV ngày 07/10/2015 quy định  mã số, tiêu chuẩn chức danh nghề nghiệp, điều dưỡng, hộ sinh, kỹ thuật y</v>
      </c>
      <c r="Z358" s="16"/>
      <c r="AA358" s="27" t="str">
        <f>IFERROR(VLOOKUP(A358,'[3]DS UPLOAD 2026 (2)'!$A$2:$P$1111,16,0),"")</f>
        <v/>
      </c>
      <c r="AB358" s="27" t="s">
        <v>1775</v>
      </c>
      <c r="AC358" s="28"/>
    </row>
    <row r="359" spans="1:29" ht="18" customHeight="1" x14ac:dyDescent="0.3">
      <c r="A359" s="17" t="s">
        <v>1776</v>
      </c>
      <c r="B359" s="29" t="s">
        <v>1777</v>
      </c>
      <c r="C359" s="17" t="s">
        <v>1776</v>
      </c>
      <c r="D359" s="19" t="s">
        <v>38</v>
      </c>
      <c r="E359" s="19" t="s">
        <v>121</v>
      </c>
      <c r="F359" s="16" t="str">
        <f>VLOOKUP(E359,'[1]BẢNG MÃ'!$A$2:$B$69,2,0)</f>
        <v>TĐ018</v>
      </c>
      <c r="G359" s="20" t="s">
        <v>122</v>
      </c>
      <c r="H359" s="20" t="s">
        <v>122</v>
      </c>
      <c r="I359" s="16" t="s">
        <v>1604</v>
      </c>
      <c r="J359" s="16" t="str">
        <f>VLOOKUP(I359,'[1]BẢNG MÃ'!$C$2:$D$69,2,0)</f>
        <v>KP016</v>
      </c>
      <c r="K359" s="16" t="s">
        <v>43</v>
      </c>
      <c r="L359" s="16">
        <v>0</v>
      </c>
      <c r="M359" s="16" t="s">
        <v>33</v>
      </c>
      <c r="N359" s="21">
        <f ca="1">VLOOKUP(A359,'[1]Bieu 1a'!$A$8:$AW$855,10,0)</f>
        <v>38</v>
      </c>
      <c r="O359" s="22">
        <f>VLOOKUP(A359,'[1]Bieu 1a'!$A$8:$AW$855,8,0)</f>
        <v>0</v>
      </c>
      <c r="P359" s="22">
        <f>VLOOKUP(A359,'[1]Bieu 1a'!$A$8:$AW$855,9,0)</f>
        <v>32282</v>
      </c>
      <c r="Q359" s="23" t="s">
        <v>50</v>
      </c>
      <c r="R359" s="24" t="str">
        <f>VLOOKUP(A359,'[1]Bieu 1a'!$A$8:$AW$855,23,0)</f>
        <v>10/6/2013</v>
      </c>
      <c r="S359" s="25" t="s">
        <v>1778</v>
      </c>
      <c r="T359" s="26" t="s">
        <v>1779</v>
      </c>
      <c r="U359" s="16"/>
      <c r="V359" s="16" t="str">
        <f>IFERROR(VLOOKUP(A359,'[2]19.6.2026'!$A$9:$L$1111,5,0),"")</f>
        <v>000991/LS-CCHN</v>
      </c>
      <c r="W359" s="16" t="str">
        <f>IFERROR(VLOOKUP(A359,'[2]19.6.2026'!$A$9:$L$1111,6,0),"")</f>
        <v>11/01/2023</v>
      </c>
      <c r="X359" s="16"/>
      <c r="Y359" s="21" t="str">
        <f>IFERROR(VLOOKUP(A359,'[2]19.6.2026'!$A$9:$L$1111,7,0),"")</f>
        <v>Thực hiện phạm vi hoạt động chuyên môn theo Thông tư số 26/2015/TTLT-BYT-BNV ngày 07/10/2015 quy định  mã số, tiêu chuẩn chức danh nghề nghiệp, điều dưỡng, hộ sinh, kỹ thuật y</v>
      </c>
      <c r="Z359" s="16"/>
      <c r="AA359" s="27" t="str">
        <f>IFERROR(VLOOKUP(A359,'[3]DS UPLOAD 2026 (2)'!$A$2:$P$1111,16,0),"")</f>
        <v/>
      </c>
      <c r="AB359" s="27" t="s">
        <v>1780</v>
      </c>
      <c r="AC359" s="28"/>
    </row>
    <row r="360" spans="1:29" ht="18" customHeight="1" x14ac:dyDescent="0.3">
      <c r="A360" s="17" t="s">
        <v>1781</v>
      </c>
      <c r="B360" s="18" t="s">
        <v>1782</v>
      </c>
      <c r="C360" s="17" t="s">
        <v>1781</v>
      </c>
      <c r="D360" s="19" t="s">
        <v>38</v>
      </c>
      <c r="E360" s="19" t="s">
        <v>121</v>
      </c>
      <c r="F360" s="16" t="str">
        <f>VLOOKUP(E360,'[1]BẢNG MÃ'!$A$2:$B$69,2,0)</f>
        <v>TĐ018</v>
      </c>
      <c r="G360" s="20" t="s">
        <v>122</v>
      </c>
      <c r="H360" s="20" t="s">
        <v>122</v>
      </c>
      <c r="I360" s="16" t="s">
        <v>1604</v>
      </c>
      <c r="J360" s="16" t="str">
        <f>VLOOKUP(I360,'[1]BẢNG MÃ'!$C$2:$D$69,2,0)</f>
        <v>KP016</v>
      </c>
      <c r="K360" s="16" t="s">
        <v>43</v>
      </c>
      <c r="L360" s="16">
        <v>0</v>
      </c>
      <c r="M360" s="16" t="s">
        <v>33</v>
      </c>
      <c r="N360" s="21">
        <f ca="1">VLOOKUP(A360,'[1]Bieu 1a'!$A$8:$AW$855,10,0)</f>
        <v>40</v>
      </c>
      <c r="O360" s="22">
        <f>VLOOKUP(A360,'[1]Bieu 1a'!$A$8:$AW$855,8,0)</f>
        <v>0</v>
      </c>
      <c r="P360" s="22">
        <f>VLOOKUP(A360,'[1]Bieu 1a'!$A$8:$AW$855,9,0)</f>
        <v>31310</v>
      </c>
      <c r="Q360" s="23" t="s">
        <v>50</v>
      </c>
      <c r="R360" s="24" t="str">
        <f>VLOOKUP(A360,'[1]Bieu 1a'!$A$8:$AW$855,23,0)</f>
        <v>15/1/2010</v>
      </c>
      <c r="S360" s="25" t="s">
        <v>1783</v>
      </c>
      <c r="T360" s="26" t="s">
        <v>1784</v>
      </c>
      <c r="U360" s="16"/>
      <c r="V360" s="16" t="str">
        <f>IFERROR(VLOOKUP(A360,'[2]19.6.2026'!$A$9:$L$1111,5,0),"")</f>
        <v>001235/LS-CCHN</v>
      </c>
      <c r="W360" s="16" t="str">
        <f>IFERROR(VLOOKUP(A360,'[2]19.6.2026'!$A$9:$L$1111,6,0),"")</f>
        <v>11/12/2022</v>
      </c>
      <c r="X360" s="16"/>
      <c r="Y360" s="21" t="str">
        <f>IFERROR(VLOOKUP(A360,'[2]19.6.2026'!$A$9:$L$1111,7,0),"")</f>
        <v>Thực hiện phạm vi hoạt động chuyên môn theo quy định tại Thông tư số 26/2015/TTLT-BYT-BNV ngày 07/10/2015 quy định mã số, tiêu chuẩn chức danh nghề nghiệp điều dưỡng, hộ sinh, kỹ thuật y</v>
      </c>
      <c r="Z360" s="16"/>
      <c r="AA360" s="27" t="str">
        <f>IFERROR(VLOOKUP(A360,'[3]DS UPLOAD 2026 (2)'!$A$2:$P$1111,16,0),"")</f>
        <v/>
      </c>
      <c r="AB360" s="27" t="s">
        <v>1785</v>
      </c>
      <c r="AC360" s="28"/>
    </row>
    <row r="361" spans="1:29" ht="18" customHeight="1" x14ac:dyDescent="0.3">
      <c r="A361" s="17" t="s">
        <v>1786</v>
      </c>
      <c r="B361" s="29" t="s">
        <v>1787</v>
      </c>
      <c r="C361" s="17" t="s">
        <v>1786</v>
      </c>
      <c r="D361" s="19" t="s">
        <v>38</v>
      </c>
      <c r="E361" s="19" t="s">
        <v>121</v>
      </c>
      <c r="F361" s="16" t="str">
        <f>VLOOKUP(E361,'[1]BẢNG MÃ'!$A$2:$B$69,2,0)</f>
        <v>TĐ018</v>
      </c>
      <c r="G361" s="20" t="s">
        <v>122</v>
      </c>
      <c r="H361" s="20" t="s">
        <v>122</v>
      </c>
      <c r="I361" s="16" t="s">
        <v>1604</v>
      </c>
      <c r="J361" s="16" t="str">
        <f>VLOOKUP(I361,'[1]BẢNG MÃ'!$C$2:$D$69,2,0)</f>
        <v>KP016</v>
      </c>
      <c r="K361" s="16" t="s">
        <v>43</v>
      </c>
      <c r="L361" s="16">
        <v>0</v>
      </c>
      <c r="M361" s="16" t="s">
        <v>33</v>
      </c>
      <c r="N361" s="21">
        <f ca="1">VLOOKUP(A361,'[1]Bieu 1a'!$A$8:$AW$855,10,0)</f>
        <v>34</v>
      </c>
      <c r="O361" s="22">
        <f>VLOOKUP(A361,'[1]Bieu 1a'!$A$8:$AW$855,8,0)</f>
        <v>0</v>
      </c>
      <c r="P361" s="22">
        <f>VLOOKUP(A361,'[1]Bieu 1a'!$A$8:$AW$855,9,0)</f>
        <v>33456</v>
      </c>
      <c r="Q361" s="23" t="s">
        <v>34</v>
      </c>
      <c r="R361" s="24" t="str">
        <f>VLOOKUP(A361,'[1]Bieu 1a'!$A$8:$AW$855,23,0)</f>
        <v>10/6/2013</v>
      </c>
      <c r="S361" s="25" t="s">
        <v>1788</v>
      </c>
      <c r="T361" s="26" t="s">
        <v>1789</v>
      </c>
      <c r="U361" s="16"/>
      <c r="V361" s="16" t="str">
        <f>IFERROR(VLOOKUP(A361,'[2]19.6.2026'!$A$9:$L$1111,5,0),"")</f>
        <v>003413/LS-CCHN</v>
      </c>
      <c r="W361" s="16" t="str">
        <f>IFERROR(VLOOKUP(A361,'[2]19.6.2026'!$A$9:$L$1111,6,0),"")</f>
        <v>11/12/2022</v>
      </c>
      <c r="X361" s="16"/>
      <c r="Y361" s="21" t="str">
        <f>IFERROR(VLOOKUP(A361,'[2]19.6.2026'!$A$9:$L$1111,7,0),"")</f>
        <v>Thực hiện phạm vi hoạt động chuyên môn theo quy định tại Thông tư số 26/2015/TTLT-BYT-BNV ngày 07/10/2015 quy định mã số, tiêu chuẩn chức danh nghề nghiệp điều dưỡng, hộ sinh, kỹ thuật y</v>
      </c>
      <c r="Z361" s="16"/>
      <c r="AA361" s="27" t="str">
        <f>IFERROR(VLOOKUP(A361,'[3]DS UPLOAD 2026 (2)'!$A$2:$P$1111,16,0),"")</f>
        <v/>
      </c>
      <c r="AB361" s="27" t="s">
        <v>1790</v>
      </c>
      <c r="AC361" s="28"/>
    </row>
    <row r="362" spans="1:29" ht="18" customHeight="1" x14ac:dyDescent="0.3">
      <c r="A362" s="17" t="s">
        <v>1791</v>
      </c>
      <c r="B362" s="18" t="s">
        <v>1792</v>
      </c>
      <c r="C362" s="17" t="s">
        <v>1791</v>
      </c>
      <c r="D362" s="19" t="s">
        <v>38</v>
      </c>
      <c r="E362" s="19" t="s">
        <v>121</v>
      </c>
      <c r="F362" s="16" t="str">
        <f>VLOOKUP(E362,'[1]BẢNG MÃ'!$A$2:$B$69,2,0)</f>
        <v>TĐ018</v>
      </c>
      <c r="G362" s="20" t="s">
        <v>122</v>
      </c>
      <c r="H362" s="20" t="s">
        <v>122</v>
      </c>
      <c r="I362" s="16" t="s">
        <v>1604</v>
      </c>
      <c r="J362" s="16" t="str">
        <f>VLOOKUP(I362,'[1]BẢNG MÃ'!$C$2:$D$69,2,0)</f>
        <v>KP016</v>
      </c>
      <c r="K362" s="16" t="s">
        <v>43</v>
      </c>
      <c r="L362" s="16">
        <v>0</v>
      </c>
      <c r="M362" s="16" t="s">
        <v>33</v>
      </c>
      <c r="N362" s="21">
        <f ca="1">VLOOKUP(A362,'[1]Bieu 1a'!$A$8:$AW$855,10,0)</f>
        <v>44</v>
      </c>
      <c r="O362" s="22">
        <f>VLOOKUP(A362,'[1]Bieu 1a'!$A$8:$AW$855,8,0)</f>
        <v>0</v>
      </c>
      <c r="P362" s="22">
        <f>VLOOKUP(A362,'[1]Bieu 1a'!$A$8:$AW$855,9,0)</f>
        <v>30118</v>
      </c>
      <c r="Q362" s="23" t="s">
        <v>44</v>
      </c>
      <c r="R362" s="24" t="str">
        <f>VLOOKUP(A362,'[1]Bieu 1a'!$A$8:$AW$855,23,0)</f>
        <v>1/12/2010</v>
      </c>
      <c r="S362" s="25" t="s">
        <v>1793</v>
      </c>
      <c r="T362" s="26" t="s">
        <v>1794</v>
      </c>
      <c r="U362" s="16"/>
      <c r="V362" s="16" t="str">
        <f>IFERROR(VLOOKUP(A362,'[2]19.6.2026'!$A$9:$L$1111,5,0),"")</f>
        <v>000985/LS-CCHN</v>
      </c>
      <c r="W362" s="16" t="str">
        <f>IFERROR(VLOOKUP(A362,'[2]19.6.2026'!$A$9:$L$1111,6,0),"")</f>
        <v>24/06/2013</v>
      </c>
      <c r="X362" s="16"/>
      <c r="Y362" s="21" t="str">
        <f>IFERROR(VLOOKUP(A362,'[2]19.6.2026'!$A$9:$L$1111,7,0),"")</f>
        <v>Theo Quy định tại Thông tư số 12/2011/TT-BYT ngày 15/3/2011 của Bộ Y tế quy định tiêu chuẩn các ngạch viên chức hộ sinh</v>
      </c>
      <c r="Z362" s="16"/>
      <c r="AA362" s="27" t="str">
        <f>IFERROR(VLOOKUP(A362,'[3]DS UPLOAD 2026 (2)'!$A$2:$P$1111,16,0),"")</f>
        <v/>
      </c>
      <c r="AB362" s="27" t="s">
        <v>1795</v>
      </c>
      <c r="AC362" s="28"/>
    </row>
    <row r="363" spans="1:29" ht="18" customHeight="1" x14ac:dyDescent="0.3">
      <c r="A363" s="17" t="s">
        <v>1796</v>
      </c>
      <c r="B363" s="18" t="s">
        <v>1797</v>
      </c>
      <c r="C363" s="17" t="s">
        <v>1796</v>
      </c>
      <c r="D363" s="19" t="s">
        <v>38</v>
      </c>
      <c r="E363" s="19" t="s">
        <v>121</v>
      </c>
      <c r="F363" s="16" t="str">
        <f>VLOOKUP(E363,'[1]BẢNG MÃ'!$A$2:$B$69,2,0)</f>
        <v>TĐ018</v>
      </c>
      <c r="G363" s="20" t="s">
        <v>122</v>
      </c>
      <c r="H363" s="20" t="s">
        <v>122</v>
      </c>
      <c r="I363" s="16" t="s">
        <v>1604</v>
      </c>
      <c r="J363" s="16" t="str">
        <f>VLOOKUP(I363,'[1]BẢNG MÃ'!$C$2:$D$69,2,0)</f>
        <v>KP016</v>
      </c>
      <c r="K363" s="16" t="s">
        <v>43</v>
      </c>
      <c r="L363" s="16">
        <v>0</v>
      </c>
      <c r="M363" s="16" t="s">
        <v>33</v>
      </c>
      <c r="N363" s="21">
        <f ca="1">VLOOKUP(A363,'[1]Bieu 1a'!$A$8:$AW$855,10,0)</f>
        <v>42</v>
      </c>
      <c r="O363" s="22">
        <f>VLOOKUP(A363,'[1]Bieu 1a'!$A$8:$AW$855,8,0)</f>
        <v>0</v>
      </c>
      <c r="P363" s="22">
        <f>VLOOKUP(A363,'[1]Bieu 1a'!$A$8:$AW$855,9,0)</f>
        <v>30771</v>
      </c>
      <c r="Q363" s="23" t="s">
        <v>34</v>
      </c>
      <c r="R363" s="24" t="str">
        <f>VLOOKUP(A363,'[1]Bieu 1a'!$A$8:$AW$855,23,0)</f>
        <v>10/6/2013</v>
      </c>
      <c r="S363" s="25" t="s">
        <v>1798</v>
      </c>
      <c r="T363" s="26" t="s">
        <v>1799</v>
      </c>
      <c r="U363" s="16"/>
      <c r="V363" s="16" t="str">
        <f>IFERROR(VLOOKUP(A363,'[2]19.6.2026'!$A$9:$L$1111,5,0),"")</f>
        <v>000989/LS-CCHN</v>
      </c>
      <c r="W363" s="16" t="str">
        <f>IFERROR(VLOOKUP(A363,'[2]19.6.2026'!$A$9:$L$1111,6,0),"")</f>
        <v>24/06/2013</v>
      </c>
      <c r="X363" s="16"/>
      <c r="Y363" s="21" t="str">
        <f>IFERROR(VLOOKUP(A363,'[2]19.6.2026'!$A$9:$L$1111,7,0),"")</f>
        <v>Theo Quy định tại Thông tư số 12/2011/TT-BYT ngày 15/3/2011 của Bộ Y tế quy định tiêu chuẩn các ngạch viên chức hộ sinh</v>
      </c>
      <c r="Z363" s="16"/>
      <c r="AA363" s="27" t="str">
        <f>IFERROR(VLOOKUP(A363,'[3]DS UPLOAD 2026 (2)'!$A$2:$P$1111,16,0),"")</f>
        <v/>
      </c>
      <c r="AB363" s="27" t="s">
        <v>1800</v>
      </c>
      <c r="AC363" s="28"/>
    </row>
    <row r="364" spans="1:29" ht="17.25" customHeight="1" x14ac:dyDescent="0.3">
      <c r="A364" s="17" t="s">
        <v>1801</v>
      </c>
      <c r="B364" s="29" t="s">
        <v>1802</v>
      </c>
      <c r="C364" s="17" t="s">
        <v>1801</v>
      </c>
      <c r="D364" s="19" t="s">
        <v>38</v>
      </c>
      <c r="E364" s="19" t="s">
        <v>121</v>
      </c>
      <c r="F364" s="16" t="str">
        <f>VLOOKUP(E364,'[1]BẢNG MÃ'!$A$2:$B$69,2,0)</f>
        <v>TĐ018</v>
      </c>
      <c r="G364" s="20" t="s">
        <v>122</v>
      </c>
      <c r="H364" s="20" t="s">
        <v>122</v>
      </c>
      <c r="I364" s="16" t="s">
        <v>1604</v>
      </c>
      <c r="J364" s="16" t="str">
        <f>VLOOKUP(I364,'[1]BẢNG MÃ'!$C$2:$D$69,2,0)</f>
        <v>KP016</v>
      </c>
      <c r="K364" s="16" t="s">
        <v>43</v>
      </c>
      <c r="L364" s="16">
        <v>0</v>
      </c>
      <c r="M364" s="16" t="s">
        <v>33</v>
      </c>
      <c r="N364" s="21">
        <f ca="1">VLOOKUP(A364,'[1]Bieu 1a'!$A$8:$AW$855,10,0)</f>
        <v>36</v>
      </c>
      <c r="O364" s="22">
        <f>VLOOKUP(A364,'[1]Bieu 1a'!$A$8:$AW$855,8,0)</f>
        <v>0</v>
      </c>
      <c r="P364" s="22">
        <f>VLOOKUP(A364,'[1]Bieu 1a'!$A$8:$AW$855,9,0)</f>
        <v>32841</v>
      </c>
      <c r="Q364" s="23" t="s">
        <v>34</v>
      </c>
      <c r="R364" s="24" t="str">
        <f>VLOOKUP(A364,'[1]Bieu 1a'!$A$8:$AW$855,23,0)</f>
        <v>10/6/2013</v>
      </c>
      <c r="S364" s="25" t="s">
        <v>1803</v>
      </c>
      <c r="T364" s="26" t="s">
        <v>1804</v>
      </c>
      <c r="U364" s="16"/>
      <c r="V364" s="16" t="str">
        <f>IFERROR(VLOOKUP(A364,'[2]19.6.2026'!$A$9:$L$1111,5,0),"")</f>
        <v>000668/LS-CCHN</v>
      </c>
      <c r="W364" s="16" t="str">
        <f>IFERROR(VLOOKUP(A364,'[2]19.6.2026'!$A$9:$L$1111,6,0),"")</f>
        <v>18/04/2017</v>
      </c>
      <c r="X364" s="16"/>
      <c r="Y364" s="21" t="str">
        <f>IFERROR(VLOOKUP(A364,'[2]19.6.2026'!$A$9:$L$1111,7,0),"")</f>
        <v>Thực hiện phạm vi hoạt động chuyên môn theo quy định tại Thông tư số 26/2015/TTLT-BYT-BNV ngày 07/10/2015 quy định mã số, tiêu chuẩn chức danh nghề nghiệp điều dưỡng, hộ sinh, kỹ thuật y</v>
      </c>
      <c r="Z364" s="16"/>
      <c r="AA364" s="27" t="str">
        <f>IFERROR(VLOOKUP(A364,'[3]DS UPLOAD 2026 (2)'!$A$2:$P$1111,16,0),"")</f>
        <v/>
      </c>
      <c r="AB364" s="27">
        <v>968362710</v>
      </c>
      <c r="AC364" s="28" t="s">
        <v>518</v>
      </c>
    </row>
    <row r="365" spans="1:29" ht="15.75" customHeight="1" x14ac:dyDescent="0.3">
      <c r="A365" s="17" t="s">
        <v>1805</v>
      </c>
      <c r="B365" s="29" t="s">
        <v>1806</v>
      </c>
      <c r="C365" s="17" t="s">
        <v>1805</v>
      </c>
      <c r="D365" s="19" t="s">
        <v>38</v>
      </c>
      <c r="E365" s="19" t="s">
        <v>121</v>
      </c>
      <c r="F365" s="16" t="str">
        <f>VLOOKUP(E365,'[1]BẢNG MÃ'!$A$2:$B$69,2,0)</f>
        <v>TĐ018</v>
      </c>
      <c r="G365" s="20" t="s">
        <v>122</v>
      </c>
      <c r="H365" s="20" t="s">
        <v>122</v>
      </c>
      <c r="I365" s="16" t="s">
        <v>1604</v>
      </c>
      <c r="J365" s="16" t="str">
        <f>VLOOKUP(I365,'[1]BẢNG MÃ'!$C$2:$D$69,2,0)</f>
        <v>KP016</v>
      </c>
      <c r="K365" s="16" t="s">
        <v>43</v>
      </c>
      <c r="L365" s="16">
        <v>0</v>
      </c>
      <c r="M365" s="16" t="s">
        <v>33</v>
      </c>
      <c r="N365" s="21">
        <f ca="1">VLOOKUP(A365,'[1]Bieu 1a'!$A$8:$AW$855,10,0)</f>
        <v>43</v>
      </c>
      <c r="O365" s="22">
        <f>VLOOKUP(A365,'[1]Bieu 1a'!$A$8:$AW$855,8,0)</f>
        <v>0</v>
      </c>
      <c r="P365" s="22">
        <f>VLOOKUP(A365,'[1]Bieu 1a'!$A$8:$AW$855,9,0)</f>
        <v>30416</v>
      </c>
      <c r="Q365" s="23" t="s">
        <v>50</v>
      </c>
      <c r="R365" s="24" t="str">
        <f>VLOOKUP(A365,'[1]Bieu 1a'!$A$8:$AW$855,23,0)</f>
        <v>15/1/2010</v>
      </c>
      <c r="S365" s="25" t="s">
        <v>1807</v>
      </c>
      <c r="T365" s="26" t="s">
        <v>1808</v>
      </c>
      <c r="U365" s="16"/>
      <c r="V365" s="16" t="str">
        <f>IFERROR(VLOOKUP(A365,'[2]19.6.2026'!$A$9:$L$1111,5,0),"")</f>
        <v>000973/LS-CCHN</v>
      </c>
      <c r="W365" s="16" t="str">
        <f>IFERROR(VLOOKUP(A365,'[2]19.6.2026'!$A$9:$L$1111,6,0),"")</f>
        <v>11/12/2022</v>
      </c>
      <c r="X365" s="16"/>
      <c r="Y365" s="21" t="str">
        <f>IFERROR(VLOOKUP(A365,'[2]19.6.2026'!$A$9:$L$1111,7,0),"")</f>
        <v>Thực hiện phạm vi hoạt động chuyên môn theo quy định tại Thông tư số 26/2015/TTLT-BYT-BNV ngày 07/10/2015 quy định mã số, tiêu chuẩn chức danh nghề nghiệp điều dưỡng, hộ sinh, kỹ thuật y</v>
      </c>
      <c r="Z365" s="16"/>
      <c r="AA365" s="27" t="str">
        <f>IFERROR(VLOOKUP(A365,'[3]DS UPLOAD 2026 (2)'!$A$2:$P$1111,16,0),"")</f>
        <v/>
      </c>
      <c r="AB365" s="27" t="s">
        <v>1809</v>
      </c>
      <c r="AC365" s="28"/>
    </row>
    <row r="366" spans="1:29" ht="18" customHeight="1" x14ac:dyDescent="0.3">
      <c r="A366" s="17" t="s">
        <v>1810</v>
      </c>
      <c r="B366" s="29" t="s">
        <v>1811</v>
      </c>
      <c r="C366" s="17" t="s">
        <v>1810</v>
      </c>
      <c r="D366" s="19" t="s">
        <v>38</v>
      </c>
      <c r="E366" s="19" t="s">
        <v>121</v>
      </c>
      <c r="F366" s="16" t="str">
        <f>VLOOKUP(E366,'[1]BẢNG MÃ'!$A$2:$B$69,2,0)</f>
        <v>TĐ018</v>
      </c>
      <c r="G366" s="20" t="s">
        <v>122</v>
      </c>
      <c r="H366" s="20" t="s">
        <v>122</v>
      </c>
      <c r="I366" s="16" t="s">
        <v>1604</v>
      </c>
      <c r="J366" s="16" t="str">
        <f>VLOOKUP(I366,'[1]BẢNG MÃ'!$C$2:$D$69,2,0)</f>
        <v>KP016</v>
      </c>
      <c r="K366" s="16" t="s">
        <v>43</v>
      </c>
      <c r="L366" s="16">
        <v>0</v>
      </c>
      <c r="M366" s="16" t="s">
        <v>33</v>
      </c>
      <c r="N366" s="21">
        <f ca="1">VLOOKUP(A366,'[1]Bieu 1a'!$A$8:$AW$855,10,0)</f>
        <v>40</v>
      </c>
      <c r="O366" s="22">
        <f>VLOOKUP(A366,'[1]Bieu 1a'!$A$8:$AW$855,8,0)</f>
        <v>0</v>
      </c>
      <c r="P366" s="22">
        <f>VLOOKUP(A366,'[1]Bieu 1a'!$A$8:$AW$855,9,0)</f>
        <v>31295</v>
      </c>
      <c r="Q366" s="23" t="s">
        <v>50</v>
      </c>
      <c r="R366" s="24" t="str">
        <f>VLOOKUP(A366,'[1]Bieu 1a'!$A$8:$AW$855,23,0)</f>
        <v>1/12/2010</v>
      </c>
      <c r="S366" s="25" t="s">
        <v>1812</v>
      </c>
      <c r="T366" s="26" t="s">
        <v>1813</v>
      </c>
      <c r="U366" s="16"/>
      <c r="V366" s="16" t="str">
        <f>IFERROR(VLOOKUP(A366,'[2]19.6.2026'!$A$9:$L$1111,5,0),"")</f>
        <v>000986/LS-CCHN</v>
      </c>
      <c r="W366" s="16" t="str">
        <f>IFERROR(VLOOKUP(A366,'[2]19.6.2026'!$A$9:$L$1111,6,0),"")</f>
        <v>11/12/2022</v>
      </c>
      <c r="X366" s="16"/>
      <c r="Y366" s="21" t="str">
        <f>IFERROR(VLOOKUP(A366,'[2]19.6.2026'!$A$9:$L$1111,7,0),"")</f>
        <v>Thực hiện phạm vi hoạt động chuyên môn theo quy định tại Thông tư số 26/2015/TTLT-BYT-BNV ngày 07/10/2015 quy định mã số, tiêu chuẩn chức danh nghề nghiệp điều dưỡng, hộ sinh, kỹ thuật y</v>
      </c>
      <c r="Z366" s="16"/>
      <c r="AA366" s="27" t="str">
        <f>IFERROR(VLOOKUP(A366,'[3]DS UPLOAD 2026 (2)'!$A$2:$P$1111,16,0),"")</f>
        <v/>
      </c>
      <c r="AB366" s="27" t="s">
        <v>1814</v>
      </c>
      <c r="AC366" s="28"/>
    </row>
    <row r="367" spans="1:29" ht="18" customHeight="1" x14ac:dyDescent="0.3">
      <c r="A367" s="17" t="s">
        <v>1815</v>
      </c>
      <c r="B367" s="18" t="s">
        <v>1816</v>
      </c>
      <c r="C367" s="17" t="s">
        <v>1815</v>
      </c>
      <c r="D367" s="19" t="s">
        <v>38</v>
      </c>
      <c r="E367" s="19" t="s">
        <v>121</v>
      </c>
      <c r="F367" s="16" t="str">
        <f>VLOOKUP(E367,'[1]BẢNG MÃ'!$A$2:$B$69,2,0)</f>
        <v>TĐ018</v>
      </c>
      <c r="G367" s="20" t="s">
        <v>122</v>
      </c>
      <c r="H367" s="20" t="s">
        <v>122</v>
      </c>
      <c r="I367" s="16" t="s">
        <v>1604</v>
      </c>
      <c r="J367" s="16" t="str">
        <f>VLOOKUP(I367,'[1]BẢNG MÃ'!$C$2:$D$69,2,0)</f>
        <v>KP016</v>
      </c>
      <c r="K367" s="16" t="s">
        <v>43</v>
      </c>
      <c r="L367" s="16">
        <v>0</v>
      </c>
      <c r="M367" s="16" t="s">
        <v>33</v>
      </c>
      <c r="N367" s="21">
        <f ca="1">VLOOKUP(A367,'[1]Bieu 1a'!$A$8:$AW$855,10,0)</f>
        <v>38</v>
      </c>
      <c r="O367" s="22">
        <f>VLOOKUP(A367,'[1]Bieu 1a'!$A$8:$AW$855,8,0)</f>
        <v>0</v>
      </c>
      <c r="P367" s="22">
        <f>VLOOKUP(A367,'[1]Bieu 1a'!$A$8:$AW$855,9,0)</f>
        <v>32075</v>
      </c>
      <c r="Q367" s="23" t="s">
        <v>50</v>
      </c>
      <c r="R367" s="24" t="str">
        <f>VLOOKUP(A367,'[1]Bieu 1a'!$A$8:$AW$855,23,0)</f>
        <v>1/12/2008</v>
      </c>
      <c r="S367" s="25" t="s">
        <v>1817</v>
      </c>
      <c r="T367" s="26" t="s">
        <v>1818</v>
      </c>
      <c r="U367" s="16"/>
      <c r="V367" s="16" t="str">
        <f>IFERROR(VLOOKUP(A367,'[2]19.6.2026'!$A$9:$L$1111,5,0),"")</f>
        <v>000970/LS-CCHN</v>
      </c>
      <c r="W367" s="16" t="str">
        <f>IFERROR(VLOOKUP(A367,'[2]19.6.2026'!$A$9:$L$1111,6,0),"")</f>
        <v>11/01/2023</v>
      </c>
      <c r="X367" s="16"/>
      <c r="Y367" s="21" t="str">
        <f>IFERROR(VLOOKUP(A367,'[2]19.6.2026'!$A$9:$L$1111,7,0),"")</f>
        <v>Thực hiện phạm vi hoạt động chuyên môn theo Thông tư số 26/2015/TTLT-BYT-BNV ngày 07/10/2015 quy định  mã số, tiêu chuẩn chức danh nghề nghiệp, điều dưỡng, hộ sinh, kỹ thuật y</v>
      </c>
      <c r="Z367" s="16"/>
      <c r="AA367" s="27" t="str">
        <f>IFERROR(VLOOKUP(A367,'[3]DS UPLOAD 2026 (2)'!$A$2:$P$1111,16,0),"")</f>
        <v/>
      </c>
      <c r="AB367" s="27" t="s">
        <v>1819</v>
      </c>
      <c r="AC367" s="28"/>
    </row>
    <row r="368" spans="1:29" ht="18" customHeight="1" x14ac:dyDescent="0.3">
      <c r="A368" s="17" t="s">
        <v>1820</v>
      </c>
      <c r="B368" s="18" t="s">
        <v>1821</v>
      </c>
      <c r="C368" s="17" t="s">
        <v>1820</v>
      </c>
      <c r="D368" s="19" t="s">
        <v>38</v>
      </c>
      <c r="E368" s="19" t="s">
        <v>121</v>
      </c>
      <c r="F368" s="16" t="str">
        <f>VLOOKUP(E368,'[1]BẢNG MÃ'!$A$2:$B$69,2,0)</f>
        <v>TĐ018</v>
      </c>
      <c r="G368" s="20" t="s">
        <v>122</v>
      </c>
      <c r="H368" s="20" t="s">
        <v>122</v>
      </c>
      <c r="I368" s="16" t="s">
        <v>1604</v>
      </c>
      <c r="J368" s="16" t="str">
        <f>VLOOKUP(I368,'[1]BẢNG MÃ'!$C$2:$D$69,2,0)</f>
        <v>KP016</v>
      </c>
      <c r="K368" s="16" t="s">
        <v>43</v>
      </c>
      <c r="L368" s="16">
        <v>0</v>
      </c>
      <c r="M368" s="16" t="s">
        <v>33</v>
      </c>
      <c r="N368" s="21">
        <f ca="1">VLOOKUP(A368,'[1]Bieu 1a'!$A$8:$AW$855,10,0)</f>
        <v>42</v>
      </c>
      <c r="O368" s="22">
        <f>VLOOKUP(A368,'[1]Bieu 1a'!$A$8:$AW$855,8,0)</f>
        <v>0</v>
      </c>
      <c r="P368" s="22">
        <f>VLOOKUP(A368,'[1]Bieu 1a'!$A$8:$AW$855,9,0)</f>
        <v>30572</v>
      </c>
      <c r="Q368" s="23" t="s">
        <v>50</v>
      </c>
      <c r="R368" s="24" t="str">
        <f>VLOOKUP(A368,'[1]Bieu 1a'!$A$8:$AW$855,23,0)</f>
        <v>2/1/2009</v>
      </c>
      <c r="S368" s="25" t="s">
        <v>1822</v>
      </c>
      <c r="T368" s="26" t="s">
        <v>1823</v>
      </c>
      <c r="U368" s="16"/>
      <c r="V368" s="16" t="str">
        <f>IFERROR(VLOOKUP(A368,'[2]19.6.2026'!$A$9:$L$1111,5,0),"")</f>
        <v>000968/LS-CCHN</v>
      </c>
      <c r="W368" s="16" t="str">
        <f>IFERROR(VLOOKUP(A368,'[2]19.6.2026'!$A$9:$L$1111,6,0),"")</f>
        <v>24/06/2013</v>
      </c>
      <c r="X368" s="16"/>
      <c r="Y368" s="21" t="str">
        <f>IFERROR(VLOOKUP(A368,'[2]19.6.2026'!$A$9:$L$1111,7,0),"")</f>
        <v>Theo Quy định tại Thông tư số 12/2011/TT-BYT ngày 15/3/2011 của Bộ Y tế quy định tiêu chuẩn các ngạch viên chức hộ sinh</v>
      </c>
      <c r="Z368" s="16"/>
      <c r="AA368" s="27" t="str">
        <f>IFERROR(VLOOKUP(A368,'[3]DS UPLOAD 2026 (2)'!$A$2:$P$1111,16,0),"")</f>
        <v/>
      </c>
      <c r="AB368" s="27" t="s">
        <v>1824</v>
      </c>
      <c r="AC368" s="28"/>
    </row>
    <row r="369" spans="1:29" ht="18" customHeight="1" x14ac:dyDescent="0.3">
      <c r="A369" s="17" t="s">
        <v>1825</v>
      </c>
      <c r="B369" s="29" t="s">
        <v>1826</v>
      </c>
      <c r="C369" s="17" t="s">
        <v>1825</v>
      </c>
      <c r="D369" s="19" t="s">
        <v>38</v>
      </c>
      <c r="E369" s="19" t="s">
        <v>121</v>
      </c>
      <c r="F369" s="16" t="str">
        <f>VLOOKUP(E369,'[1]BẢNG MÃ'!$A$2:$B$69,2,0)</f>
        <v>TĐ018</v>
      </c>
      <c r="G369" s="20" t="s">
        <v>122</v>
      </c>
      <c r="H369" s="20" t="s">
        <v>122</v>
      </c>
      <c r="I369" s="16" t="s">
        <v>1604</v>
      </c>
      <c r="J369" s="16" t="str">
        <f>VLOOKUP(I369,'[1]BẢNG MÃ'!$C$2:$D$69,2,0)</f>
        <v>KP016</v>
      </c>
      <c r="K369" s="16" t="s">
        <v>43</v>
      </c>
      <c r="L369" s="16">
        <v>0</v>
      </c>
      <c r="M369" s="16" t="s">
        <v>33</v>
      </c>
      <c r="N369" s="21">
        <f ca="1">VLOOKUP(A369,'[1]Bieu 1a'!$A$8:$AW$855,10,0)</f>
        <v>40</v>
      </c>
      <c r="O369" s="22">
        <f>VLOOKUP(A369,'[1]Bieu 1a'!$A$8:$AW$855,8,0)</f>
        <v>0</v>
      </c>
      <c r="P369" s="22">
        <f>VLOOKUP(A369,'[1]Bieu 1a'!$A$8:$AW$855,9,0)</f>
        <v>31289</v>
      </c>
      <c r="Q369" s="23" t="s">
        <v>50</v>
      </c>
      <c r="R369" s="24" t="str">
        <f>VLOOKUP(A369,'[1]Bieu 1a'!$A$8:$AW$855,23,0)</f>
        <v>15/1/2010</v>
      </c>
      <c r="S369" s="25" t="s">
        <v>1827</v>
      </c>
      <c r="T369" s="26" t="s">
        <v>1828</v>
      </c>
      <c r="U369" s="16"/>
      <c r="V369" s="16" t="str">
        <f>IFERROR(VLOOKUP(A369,'[2]19.6.2026'!$A$9:$L$1111,5,0),"")</f>
        <v>000982/LS-CCHN</v>
      </c>
      <c r="W369" s="16" t="str">
        <f>IFERROR(VLOOKUP(A369,'[2]19.6.2026'!$A$9:$L$1111,6,0),"")</f>
        <v>11/01/2023</v>
      </c>
      <c r="X369" s="16"/>
      <c r="Y369" s="21" t="str">
        <f>IFERROR(VLOOKUP(A369,'[2]19.6.2026'!$A$9:$L$1111,7,0),"")</f>
        <v>Thực hiện phạm vi hoạt động chuyên môn theo Thông tư số 26/2015/TTLT-BYT-BNV ngày 07/10/2015 quy định  mã số, tiêu chuẩn chức danh nghề nghiệp, điều dưỡng, hộ sinh, kỹ thuật y</v>
      </c>
      <c r="Z369" s="16"/>
      <c r="AA369" s="27" t="str">
        <f>IFERROR(VLOOKUP(A369,'[3]DS UPLOAD 2026 (2)'!$A$2:$P$1111,16,0),"")</f>
        <v/>
      </c>
      <c r="AB369" s="27">
        <v>912739338</v>
      </c>
      <c r="AC369" s="28"/>
    </row>
    <row r="370" spans="1:29" ht="18" customHeight="1" x14ac:dyDescent="0.3">
      <c r="A370" s="17" t="s">
        <v>1829</v>
      </c>
      <c r="B370" s="18" t="s">
        <v>1830</v>
      </c>
      <c r="C370" s="17" t="s">
        <v>1829</v>
      </c>
      <c r="D370" s="19" t="s">
        <v>38</v>
      </c>
      <c r="E370" s="19" t="s">
        <v>121</v>
      </c>
      <c r="F370" s="16" t="str">
        <f>VLOOKUP(E370,'[1]BẢNG MÃ'!$A$2:$B$69,2,0)</f>
        <v>TĐ018</v>
      </c>
      <c r="G370" s="20" t="s">
        <v>122</v>
      </c>
      <c r="H370" s="20" t="s">
        <v>122</v>
      </c>
      <c r="I370" s="16" t="s">
        <v>1604</v>
      </c>
      <c r="J370" s="16" t="str">
        <f>VLOOKUP(I370,'[1]BẢNG MÃ'!$C$2:$D$69,2,0)</f>
        <v>KP016</v>
      </c>
      <c r="K370" s="16" t="s">
        <v>43</v>
      </c>
      <c r="L370" s="16">
        <v>0</v>
      </c>
      <c r="M370" s="16" t="s">
        <v>33</v>
      </c>
      <c r="N370" s="21">
        <f ca="1">VLOOKUP(A370,'[1]Bieu 1a'!$A$8:$AW$855,10,0)</f>
        <v>39</v>
      </c>
      <c r="O370" s="22">
        <f>VLOOKUP(A370,'[1]Bieu 1a'!$A$8:$AW$855,8,0)</f>
        <v>0</v>
      </c>
      <c r="P370" s="22">
        <f>VLOOKUP(A370,'[1]Bieu 1a'!$A$8:$AW$855,9,0)</f>
        <v>31695</v>
      </c>
      <c r="Q370" s="23" t="s">
        <v>44</v>
      </c>
      <c r="R370" s="24" t="str">
        <f>VLOOKUP(A370,'[1]Bieu 1a'!$A$8:$AW$855,23,0)</f>
        <v>1/11/2014</v>
      </c>
      <c r="S370" s="25" t="s">
        <v>1831</v>
      </c>
      <c r="T370" s="26" t="s">
        <v>1832</v>
      </c>
      <c r="U370" s="16"/>
      <c r="V370" s="16" t="str">
        <f>IFERROR(VLOOKUP(A370,'[2]19.6.2026'!$A$9:$L$1111,5,0),"")</f>
        <v>000990/LS-CCHN</v>
      </c>
      <c r="W370" s="16" t="str">
        <f>IFERROR(VLOOKUP(A370,'[2]19.6.2026'!$A$9:$L$1111,6,0),"")</f>
        <v>11/01/2023</v>
      </c>
      <c r="X370" s="16"/>
      <c r="Y370" s="21" t="str">
        <f>IFERROR(VLOOKUP(A370,'[2]19.6.2026'!$A$9:$L$1111,7,0),"")</f>
        <v>Thực hiện phạm vi hoạt động chuyên môn theo Thông tư số 26/2015/TTLT-BYT-BNV ngày 07/10/2015 quy định  mã số, tiêu chuẩn chức danh nghề nghiệp, điều dưỡng, hộ sinh, kỹ thuật y</v>
      </c>
      <c r="Z370" s="16"/>
      <c r="AA370" s="27" t="str">
        <f>IFERROR(VLOOKUP(A370,'[3]DS UPLOAD 2026 (2)'!$A$2:$P$1111,16,0),"")</f>
        <v/>
      </c>
      <c r="AB370" s="27" t="s">
        <v>1833</v>
      </c>
      <c r="AC370" s="28"/>
    </row>
    <row r="371" spans="1:29" ht="18" customHeight="1" x14ac:dyDescent="0.3">
      <c r="A371" s="17" t="s">
        <v>1834</v>
      </c>
      <c r="B371" s="29" t="s">
        <v>1835</v>
      </c>
      <c r="C371" s="17" t="s">
        <v>1834</v>
      </c>
      <c r="D371" s="19" t="s">
        <v>38</v>
      </c>
      <c r="E371" s="19" t="s">
        <v>121</v>
      </c>
      <c r="F371" s="16" t="str">
        <f>VLOOKUP(E371,'[1]BẢNG MÃ'!$A$2:$B$69,2,0)</f>
        <v>TĐ018</v>
      </c>
      <c r="G371" s="20" t="s">
        <v>122</v>
      </c>
      <c r="H371" s="20" t="s">
        <v>122</v>
      </c>
      <c r="I371" s="16" t="s">
        <v>1604</v>
      </c>
      <c r="J371" s="16" t="str">
        <f>VLOOKUP(I371,'[1]BẢNG MÃ'!$C$2:$D$69,2,0)</f>
        <v>KP016</v>
      </c>
      <c r="K371" s="16" t="s">
        <v>43</v>
      </c>
      <c r="L371" s="16">
        <v>0</v>
      </c>
      <c r="M371" s="16" t="s">
        <v>33</v>
      </c>
      <c r="N371" s="21">
        <f ca="1">VLOOKUP(A371,'[1]Bieu 1a'!$A$8:$AW$855,10,0)</f>
        <v>42</v>
      </c>
      <c r="O371" s="22">
        <f>VLOOKUP(A371,'[1]Bieu 1a'!$A$8:$AW$855,8,0)</f>
        <v>0</v>
      </c>
      <c r="P371" s="22">
        <f>VLOOKUP(A371,'[1]Bieu 1a'!$A$8:$AW$855,9,0)</f>
        <v>30619</v>
      </c>
      <c r="Q371" s="23" t="s">
        <v>50</v>
      </c>
      <c r="R371" s="24" t="str">
        <f>VLOOKUP(A371,'[1]Bieu 1a'!$A$8:$AW$855,23,0)</f>
        <v>1/12/2010</v>
      </c>
      <c r="S371" s="25" t="s">
        <v>1836</v>
      </c>
      <c r="T371" s="26" t="s">
        <v>1837</v>
      </c>
      <c r="U371" s="16"/>
      <c r="V371" s="16" t="str">
        <f>IFERROR(VLOOKUP(A371,'[2]19.6.2026'!$A$9:$L$1111,5,0),"")</f>
        <v>000984/LS-CCHN</v>
      </c>
      <c r="W371" s="16" t="str">
        <f>IFERROR(VLOOKUP(A371,'[2]19.6.2026'!$A$9:$L$1111,6,0),"")</f>
        <v>11/12/2022</v>
      </c>
      <c r="X371" s="16"/>
      <c r="Y371" s="21" t="str">
        <f>IFERROR(VLOOKUP(A371,'[2]19.6.2026'!$A$9:$L$1111,7,0),"")</f>
        <v>Thực hiện phạm vi hoạt động chuyên môn theo quy định tại Thông tư số 26/2015/TTLT-BYT-BNV ngày 07/10/2015 quy định mã số, tiêu chuẩn chức danh nghề nghiệp điều dưỡng, hộ sinh, kỹ thuật y</v>
      </c>
      <c r="Z371" s="16"/>
      <c r="AA371" s="27" t="str">
        <f>IFERROR(VLOOKUP(A371,'[3]DS UPLOAD 2026 (2)'!$A$2:$P$1111,16,0),"")</f>
        <v/>
      </c>
      <c r="AB371" s="27" t="s">
        <v>1838</v>
      </c>
      <c r="AC371" s="28"/>
    </row>
    <row r="372" spans="1:29" ht="18" customHeight="1" x14ac:dyDescent="0.3">
      <c r="A372" s="17" t="s">
        <v>1839</v>
      </c>
      <c r="B372" s="18" t="s">
        <v>1840</v>
      </c>
      <c r="C372" s="17" t="s">
        <v>1839</v>
      </c>
      <c r="D372" s="19" t="s">
        <v>38</v>
      </c>
      <c r="E372" s="19" t="s">
        <v>121</v>
      </c>
      <c r="F372" s="16" t="str">
        <f>VLOOKUP(E372,'[1]BẢNG MÃ'!$A$2:$B$69,2,0)</f>
        <v>TĐ018</v>
      </c>
      <c r="G372" s="20" t="s">
        <v>122</v>
      </c>
      <c r="H372" s="20" t="s">
        <v>122</v>
      </c>
      <c r="I372" s="16" t="s">
        <v>1604</v>
      </c>
      <c r="J372" s="16" t="str">
        <f>VLOOKUP(I372,'[1]BẢNG MÃ'!$C$2:$D$69,2,0)</f>
        <v>KP016</v>
      </c>
      <c r="K372" s="16" t="s">
        <v>43</v>
      </c>
      <c r="L372" s="16">
        <v>0</v>
      </c>
      <c r="M372" s="16" t="s">
        <v>33</v>
      </c>
      <c r="N372" s="21">
        <f ca="1">VLOOKUP(A372,'[1]Bieu 1a'!$A$8:$AW$855,10,0)</f>
        <v>45</v>
      </c>
      <c r="O372" s="22">
        <f>VLOOKUP(A372,'[1]Bieu 1a'!$A$8:$AW$855,8,0)</f>
        <v>0</v>
      </c>
      <c r="P372" s="22">
        <f>VLOOKUP(A372,'[1]Bieu 1a'!$A$8:$AW$855,9,0)</f>
        <v>29416</v>
      </c>
      <c r="Q372" s="23" t="s">
        <v>50</v>
      </c>
      <c r="R372" s="24" t="str">
        <f>VLOOKUP(A372,'[1]Bieu 1a'!$A$8:$AW$855,23,0)</f>
        <v>1/9/2005</v>
      </c>
      <c r="S372" s="25" t="s">
        <v>1841</v>
      </c>
      <c r="T372" s="26" t="s">
        <v>1842</v>
      </c>
      <c r="U372" s="16"/>
      <c r="V372" s="16" t="str">
        <f>IFERROR(VLOOKUP(A372,'[2]19.6.2026'!$A$9:$L$1111,5,0),"")</f>
        <v>000971/LS-CCHN</v>
      </c>
      <c r="W372" s="16" t="str">
        <f>IFERROR(VLOOKUP(A372,'[2]19.6.2026'!$A$9:$L$1111,6,0),"")</f>
        <v>11/01/2023</v>
      </c>
      <c r="X372" s="16"/>
      <c r="Y372" s="21" t="str">
        <f>IFERROR(VLOOKUP(A372,'[2]19.6.2026'!$A$9:$L$1111,7,0),"")</f>
        <v>Thực hiện phạm vi hoạt động chuyên môn theo Thông tư số 26/2015/TTLT-BYT-BNV ngày 07/10/2015 quy định  mã số, tiêu chuẩn chức danh nghề nghiệp, điều dưỡng, hộ sinh, kỹ thuật y</v>
      </c>
      <c r="Z372" s="16"/>
      <c r="AA372" s="27" t="str">
        <f>IFERROR(VLOOKUP(A372,'[3]DS UPLOAD 2026 (2)'!$A$2:$P$1111,16,0),"")</f>
        <v/>
      </c>
      <c r="AB372" s="27" t="s">
        <v>1843</v>
      </c>
      <c r="AC372" s="28"/>
    </row>
    <row r="373" spans="1:29" ht="18" customHeight="1" x14ac:dyDescent="0.3">
      <c r="A373" s="17" t="s">
        <v>1844</v>
      </c>
      <c r="B373" s="18" t="s">
        <v>520</v>
      </c>
      <c r="C373" s="17" t="s">
        <v>1844</v>
      </c>
      <c r="D373" s="19" t="s">
        <v>38</v>
      </c>
      <c r="E373" s="19" t="s">
        <v>121</v>
      </c>
      <c r="F373" s="16" t="str">
        <f>VLOOKUP(E373,'[1]BẢNG MÃ'!$A$2:$B$69,2,0)</f>
        <v>TĐ018</v>
      </c>
      <c r="G373" s="20" t="s">
        <v>122</v>
      </c>
      <c r="H373" s="20" t="s">
        <v>122</v>
      </c>
      <c r="I373" s="16" t="s">
        <v>1604</v>
      </c>
      <c r="J373" s="16" t="str">
        <f>VLOOKUP(I373,'[1]BẢNG MÃ'!$C$2:$D$69,2,0)</f>
        <v>KP016</v>
      </c>
      <c r="K373" s="16" t="s">
        <v>43</v>
      </c>
      <c r="L373" s="16">
        <v>0</v>
      </c>
      <c r="M373" s="16" t="s">
        <v>33</v>
      </c>
      <c r="N373" s="21">
        <f ca="1">VLOOKUP(A373,'[1]Bieu 1a'!$A$8:$AW$855,10,0)</f>
        <v>54</v>
      </c>
      <c r="O373" s="22">
        <f>VLOOKUP(A373,'[1]Bieu 1a'!$A$8:$AW$855,8,0)</f>
        <v>0</v>
      </c>
      <c r="P373" s="22">
        <f>VLOOKUP(A373,'[1]Bieu 1a'!$A$8:$AW$855,9,0)</f>
        <v>26136</v>
      </c>
      <c r="Q373" s="23" t="s">
        <v>50</v>
      </c>
      <c r="R373" s="24" t="str">
        <f>VLOOKUP(A373,'[1]Bieu 1a'!$A$8:$AW$855,23,0)</f>
        <v>1/5/1996</v>
      </c>
      <c r="S373" s="25" t="s">
        <v>1845</v>
      </c>
      <c r="T373" s="26" t="s">
        <v>1846</v>
      </c>
      <c r="U373" s="16"/>
      <c r="V373" s="16" t="str">
        <f>IFERROR(VLOOKUP(A373,'[2]19.6.2026'!$A$9:$L$1111,5,0),"")</f>
        <v>000988/LS-CCHN</v>
      </c>
      <c r="W373" s="16" t="str">
        <f>IFERROR(VLOOKUP(A373,'[2]19.6.2026'!$A$9:$L$1111,6,0),"")</f>
        <v>24/06/2013</v>
      </c>
      <c r="X373" s="16"/>
      <c r="Y373" s="21" t="str">
        <f>IFERROR(VLOOKUP(A373,'[2]19.6.2026'!$A$9:$L$1111,7,0),"")</f>
        <v>Theo Quy định tại Thông tư số 12/2011/TT-BYT ngày 15/3/2011 của Bộ Y tế quy định tiêu chuẩn các ngạch viên chức hộ sinh</v>
      </c>
      <c r="Z373" s="16"/>
      <c r="AA373" s="27" t="str">
        <f>IFERROR(VLOOKUP(A373,'[3]DS UPLOAD 2026 (2)'!$A$2:$P$1111,16,0),"")</f>
        <v/>
      </c>
      <c r="AB373" s="27" t="s">
        <v>1847</v>
      </c>
      <c r="AC373" s="28"/>
    </row>
    <row r="374" spans="1:29" ht="18" customHeight="1" x14ac:dyDescent="0.3">
      <c r="A374" s="17" t="s">
        <v>1848</v>
      </c>
      <c r="B374" s="18" t="s">
        <v>1849</v>
      </c>
      <c r="C374" s="17" t="s">
        <v>1848</v>
      </c>
      <c r="D374" s="19" t="s">
        <v>38</v>
      </c>
      <c r="E374" s="19" t="s">
        <v>128</v>
      </c>
      <c r="F374" s="16" t="str">
        <f>VLOOKUP(E374,'[1]BẢNG MÃ'!$A$2:$B$69,2,0)</f>
        <v>TĐ047</v>
      </c>
      <c r="G374" s="20"/>
      <c r="H374" s="19" t="s">
        <v>128</v>
      </c>
      <c r="I374" s="16" t="s">
        <v>1604</v>
      </c>
      <c r="J374" s="16" t="str">
        <f>VLOOKUP(I374,'[1]BẢNG MÃ'!$C$2:$D$69,2,0)</f>
        <v>KP016</v>
      </c>
      <c r="K374" s="16"/>
      <c r="L374" s="16">
        <v>0</v>
      </c>
      <c r="M374" s="16" t="s">
        <v>129</v>
      </c>
      <c r="N374" s="21">
        <f ca="1">VLOOKUP(A374,'[1]Bieu 1a'!$A$8:$AW$855,10,0)</f>
        <v>48</v>
      </c>
      <c r="O374" s="22">
        <f>VLOOKUP(A374,'[1]Bieu 1a'!$A$8:$AW$855,8,0)</f>
        <v>0</v>
      </c>
      <c r="P374" s="22">
        <f>VLOOKUP(A374,'[1]Bieu 1a'!$A$8:$AW$855,9,0)</f>
        <v>28318</v>
      </c>
      <c r="Q374" s="23" t="s">
        <v>50</v>
      </c>
      <c r="R374" s="24" t="str">
        <f>VLOOKUP(A374,'[1]Bieu 1a'!$A$8:$AW$855,23,0)</f>
        <v>15/8/1998</v>
      </c>
      <c r="S374" s="25" t="s">
        <v>1850</v>
      </c>
      <c r="T374" s="26" t="s">
        <v>1851</v>
      </c>
      <c r="U374" s="16"/>
      <c r="V374" s="16" t="str">
        <f>IFERROR(VLOOKUP(A374,'[2]19.6.2026'!$A$9:$L$1111,5,0),"")</f>
        <v/>
      </c>
      <c r="W374" s="16" t="str">
        <f>IFERROR(VLOOKUP(A374,'[2]19.6.2026'!$A$9:$L$1111,6,0),"")</f>
        <v/>
      </c>
      <c r="X374" s="16"/>
      <c r="Y374" s="21" t="str">
        <f>IFERROR(VLOOKUP(A374,'[2]19.6.2026'!$A$9:$L$1111,7,0),"")</f>
        <v/>
      </c>
      <c r="Z374" s="16"/>
      <c r="AA374" s="27" t="str">
        <f>IFERROR(VLOOKUP(A374,'[3]DS UPLOAD 2026 (2)'!$A$2:$P$1111,16,0),"")</f>
        <v/>
      </c>
      <c r="AB374" s="27" t="s">
        <v>1852</v>
      </c>
      <c r="AC374" s="28" t="s">
        <v>133</v>
      </c>
    </row>
    <row r="375" spans="1:29" ht="18" customHeight="1" x14ac:dyDescent="0.3">
      <c r="A375" s="17" t="s">
        <v>1853</v>
      </c>
      <c r="B375" s="18" t="s">
        <v>1854</v>
      </c>
      <c r="C375" s="17" t="s">
        <v>1853</v>
      </c>
      <c r="D375" s="19" t="s">
        <v>38</v>
      </c>
      <c r="E375" s="19" t="s">
        <v>128</v>
      </c>
      <c r="F375" s="16" t="str">
        <f>VLOOKUP(E375,'[1]BẢNG MÃ'!$A$2:$B$69,2,0)</f>
        <v>TĐ047</v>
      </c>
      <c r="G375" s="20"/>
      <c r="H375" s="19" t="s">
        <v>128</v>
      </c>
      <c r="I375" s="16" t="s">
        <v>1604</v>
      </c>
      <c r="J375" s="16" t="str">
        <f>VLOOKUP(I375,'[1]BẢNG MÃ'!$C$2:$D$69,2,0)</f>
        <v>KP016</v>
      </c>
      <c r="K375" s="16"/>
      <c r="L375" s="16"/>
      <c r="M375" s="16" t="s">
        <v>136</v>
      </c>
      <c r="N375" s="21">
        <f ca="1">VLOOKUP(A375,'[1]Bieu 1a'!$A$8:$AW$855,10,0)</f>
        <v>31</v>
      </c>
      <c r="O375" s="22">
        <f>VLOOKUP(A375,'[1]Bieu 1a'!$A$8:$AW$855,8,0)</f>
        <v>0</v>
      </c>
      <c r="P375" s="22">
        <f>VLOOKUP(A375,'[1]Bieu 1a'!$A$8:$AW$855,9,0)</f>
        <v>34665</v>
      </c>
      <c r="Q375" s="23" t="s">
        <v>50</v>
      </c>
      <c r="R375" s="24" t="str">
        <f>VLOOKUP(A375,'[1]Bieu 1a'!$A$8:$AW$855,23,0)</f>
        <v>01/02/2018</v>
      </c>
      <c r="S375" s="25" t="s">
        <v>1855</v>
      </c>
      <c r="T375" s="26" t="s">
        <v>1856</v>
      </c>
      <c r="U375" s="16"/>
      <c r="V375" s="16" t="str">
        <f>IFERROR(VLOOKUP(A375,'[2]19.6.2026'!$A$9:$L$1111,5,0),"")</f>
        <v/>
      </c>
      <c r="W375" s="16" t="str">
        <f>IFERROR(VLOOKUP(A375,'[2]19.6.2026'!$A$9:$L$1111,6,0),"")</f>
        <v/>
      </c>
      <c r="X375" s="16"/>
      <c r="Y375" s="21" t="str">
        <f>IFERROR(VLOOKUP(A375,'[2]19.6.2026'!$A$9:$L$1111,7,0),"")</f>
        <v/>
      </c>
      <c r="Z375" s="16"/>
      <c r="AA375" s="27" t="str">
        <f>IFERROR(VLOOKUP(A375,'[3]DS UPLOAD 2026 (2)'!$A$2:$P$1111,16,0),"")</f>
        <v/>
      </c>
      <c r="AB375" s="27" t="s">
        <v>1857</v>
      </c>
      <c r="AC375" s="28" t="s">
        <v>1858</v>
      </c>
    </row>
    <row r="376" spans="1:29" ht="18" customHeight="1" x14ac:dyDescent="0.3">
      <c r="A376" s="17" t="s">
        <v>1859</v>
      </c>
      <c r="B376" s="40" t="s">
        <v>1860</v>
      </c>
      <c r="C376" s="17" t="s">
        <v>1859</v>
      </c>
      <c r="D376" s="19" t="s">
        <v>38</v>
      </c>
      <c r="E376" s="19" t="s">
        <v>128</v>
      </c>
      <c r="F376" s="16" t="str">
        <f>VLOOKUP(E376,'[1]BẢNG MÃ'!$A$2:$B$69,2,0)</f>
        <v>TĐ047</v>
      </c>
      <c r="G376" s="20"/>
      <c r="H376" s="19" t="s">
        <v>128</v>
      </c>
      <c r="I376" s="16" t="s">
        <v>1604</v>
      </c>
      <c r="J376" s="16" t="str">
        <f>VLOOKUP(I376,'[1]BẢNG MÃ'!$C$2:$D$69,2,0)</f>
        <v>KP016</v>
      </c>
      <c r="K376" s="16"/>
      <c r="L376" s="16"/>
      <c r="M376" s="16" t="s">
        <v>136</v>
      </c>
      <c r="N376" s="21">
        <f ca="1">VLOOKUP(A376,'[1]Bieu 1a'!$A$8:$AW$855,10,0)</f>
        <v>40</v>
      </c>
      <c r="O376" s="22">
        <f>VLOOKUP(A376,'[1]Bieu 1a'!$A$8:$AW$855,8,0)</f>
        <v>0</v>
      </c>
      <c r="P376" s="22" t="str">
        <f>VLOOKUP(A376,'[1]Bieu 1a'!$A$8:$AW$855,9,0)</f>
        <v>23/11/1985</v>
      </c>
      <c r="Q376" s="23" t="s">
        <v>44</v>
      </c>
      <c r="R376" s="24" t="str">
        <f>VLOOKUP(A376,'[1]Bieu 1a'!$A$8:$AW$855,23,0)</f>
        <v>12/4/2020</v>
      </c>
      <c r="S376" s="25" t="s">
        <v>1861</v>
      </c>
      <c r="T376" s="26" t="s">
        <v>1862</v>
      </c>
      <c r="U376" s="16"/>
      <c r="V376" s="16" t="str">
        <f>IFERROR(VLOOKUP(A376,'[2]19.6.2026'!$A$9:$L$1111,5,0),"")</f>
        <v/>
      </c>
      <c r="W376" s="16" t="str">
        <f>IFERROR(VLOOKUP(A376,'[2]19.6.2026'!$A$9:$L$1111,6,0),"")</f>
        <v/>
      </c>
      <c r="X376" s="16"/>
      <c r="Y376" s="21" t="str">
        <f>IFERROR(VLOOKUP(A376,'[2]19.6.2026'!$A$9:$L$1111,7,0),"")</f>
        <v/>
      </c>
      <c r="Z376" s="16"/>
      <c r="AA376" s="27" t="str">
        <f>IFERROR(VLOOKUP(A376,'[3]DS UPLOAD 2026 (2)'!$A$2:$P$1111,16,0),"")</f>
        <v/>
      </c>
      <c r="AB376" s="39" t="s">
        <v>1863</v>
      </c>
      <c r="AC376" s="29" t="s">
        <v>303</v>
      </c>
    </row>
    <row r="377" spans="1:29" ht="18" customHeight="1" x14ac:dyDescent="0.3">
      <c r="A377" s="17" t="s">
        <v>1864</v>
      </c>
      <c r="B377" s="40" t="s">
        <v>1865</v>
      </c>
      <c r="C377" s="17" t="s">
        <v>1864</v>
      </c>
      <c r="D377" s="19" t="s">
        <v>38</v>
      </c>
      <c r="E377" s="19" t="s">
        <v>128</v>
      </c>
      <c r="F377" s="16" t="str">
        <f>VLOOKUP(E377,'[1]BẢNG MÃ'!$A$2:$B$69,2,0)</f>
        <v>TĐ047</v>
      </c>
      <c r="G377" s="20"/>
      <c r="H377" s="19" t="s">
        <v>128</v>
      </c>
      <c r="I377" s="16" t="s">
        <v>1604</v>
      </c>
      <c r="J377" s="16" t="str">
        <f>VLOOKUP(I377,'[1]BẢNG MÃ'!$C$2:$D$69,2,0)</f>
        <v>KP016</v>
      </c>
      <c r="K377" s="16"/>
      <c r="L377" s="16"/>
      <c r="M377" s="16" t="s">
        <v>136</v>
      </c>
      <c r="N377" s="21">
        <f ca="1">VLOOKUP(A377,'[1]Bieu 1a'!$A$8:$AW$855,10,0)</f>
        <v>44</v>
      </c>
      <c r="O377" s="22">
        <f>VLOOKUP(A377,'[1]Bieu 1a'!$A$8:$AW$855,8,0)</f>
        <v>0</v>
      </c>
      <c r="P377" s="22" t="str">
        <f>VLOOKUP(A377,'[1]Bieu 1a'!$A$8:$AW$855,9,0)</f>
        <v>11/5/1982</v>
      </c>
      <c r="Q377" s="23" t="s">
        <v>50</v>
      </c>
      <c r="R377" s="24" t="str">
        <f>VLOOKUP(A377,'[1]Bieu 1a'!$A$8:$AW$855,23,0)</f>
        <v>12/4/2020</v>
      </c>
      <c r="S377" s="25" t="s">
        <v>1866</v>
      </c>
      <c r="T377" s="26" t="s">
        <v>1867</v>
      </c>
      <c r="U377" s="16"/>
      <c r="V377" s="16" t="str">
        <f>IFERROR(VLOOKUP(A377,'[2]19.6.2026'!$A$9:$L$1111,5,0),"")</f>
        <v/>
      </c>
      <c r="W377" s="16" t="str">
        <f>IFERROR(VLOOKUP(A377,'[2]19.6.2026'!$A$9:$L$1111,6,0),"")</f>
        <v/>
      </c>
      <c r="X377" s="16"/>
      <c r="Y377" s="21" t="str">
        <f>IFERROR(VLOOKUP(A377,'[2]19.6.2026'!$A$9:$L$1111,7,0),"")</f>
        <v/>
      </c>
      <c r="Z377" s="16"/>
      <c r="AA377" s="27" t="str">
        <f>IFERROR(VLOOKUP(A377,'[3]DS UPLOAD 2026 (2)'!$A$2:$P$1111,16,0),"")</f>
        <v/>
      </c>
      <c r="AB377" s="39" t="s">
        <v>1868</v>
      </c>
      <c r="AC377" s="29" t="s">
        <v>303</v>
      </c>
    </row>
    <row r="378" spans="1:29" ht="18" customHeight="1" x14ac:dyDescent="0.3">
      <c r="A378" s="17" t="s">
        <v>1869</v>
      </c>
      <c r="B378" s="18" t="s">
        <v>1870</v>
      </c>
      <c r="C378" s="17" t="s">
        <v>1869</v>
      </c>
      <c r="D378" s="19" t="s">
        <v>38</v>
      </c>
      <c r="E378" s="19" t="s">
        <v>142</v>
      </c>
      <c r="F378" s="16" t="str">
        <f>VLOOKUP(E378,'[1]BẢNG MÃ'!$A$2:$B$69,2,0)</f>
        <v>TĐ047</v>
      </c>
      <c r="G378" s="20"/>
      <c r="H378" s="19" t="s">
        <v>142</v>
      </c>
      <c r="I378" s="16" t="s">
        <v>1604</v>
      </c>
      <c r="J378" s="16" t="str">
        <f>VLOOKUP(I378,'[1]BẢNG MÃ'!$C$2:$D$69,2,0)</f>
        <v>KP016</v>
      </c>
      <c r="K378" s="16"/>
      <c r="L378" s="16"/>
      <c r="M378" s="16" t="s">
        <v>136</v>
      </c>
      <c r="N378" s="21">
        <f ca="1">VLOOKUP(A378,'[1]Bieu 1a'!$A$8:$AW$855,10,0)</f>
        <v>44</v>
      </c>
      <c r="O378" s="22">
        <f>VLOOKUP(A378,'[1]Bieu 1a'!$A$8:$AW$855,8,0)</f>
        <v>0</v>
      </c>
      <c r="P378" s="22" t="str">
        <f>VLOOKUP(A378,'[1]Bieu 1a'!$A$8:$AW$855,9,0)</f>
        <v>24/12/1981</v>
      </c>
      <c r="Q378" s="23" t="s">
        <v>44</v>
      </c>
      <c r="R378" s="24" t="str">
        <f>VLOOKUP(A378,'[1]Bieu 1a'!$A$8:$AW$855,23,0)</f>
        <v xml:space="preserve"> 02/10/2017</v>
      </c>
      <c r="S378" s="25" t="s">
        <v>1871</v>
      </c>
      <c r="T378" s="26" t="s">
        <v>1872</v>
      </c>
      <c r="U378" s="16"/>
      <c r="V378" s="16" t="str">
        <f>IFERROR(VLOOKUP(A378,'[2]19.6.2026'!$A$9:$L$1111,5,0),"")</f>
        <v/>
      </c>
      <c r="W378" s="16" t="str">
        <f>IFERROR(VLOOKUP(A378,'[2]19.6.2026'!$A$9:$L$1111,6,0),"")</f>
        <v/>
      </c>
      <c r="X378" s="16"/>
      <c r="Y378" s="21" t="str">
        <f>IFERROR(VLOOKUP(A378,'[2]19.6.2026'!$A$9:$L$1111,7,0),"")</f>
        <v/>
      </c>
      <c r="Z378" s="16"/>
      <c r="AA378" s="27" t="str">
        <f>IFERROR(VLOOKUP(A378,'[3]DS UPLOAD 2026 (2)'!$A$2:$P$1111,16,0),"")</f>
        <v/>
      </c>
      <c r="AB378" s="27" t="s">
        <v>1873</v>
      </c>
      <c r="AC378" s="54"/>
    </row>
    <row r="379" spans="1:29" ht="18" customHeight="1" x14ac:dyDescent="0.3">
      <c r="A379" s="17" t="s">
        <v>1874</v>
      </c>
      <c r="B379" s="18" t="s">
        <v>1875</v>
      </c>
      <c r="C379" s="17" t="s">
        <v>1874</v>
      </c>
      <c r="D379" s="19"/>
      <c r="E379" s="19" t="s">
        <v>1876</v>
      </c>
      <c r="F379" s="16" t="e">
        <f>VLOOKUP(E379,'[1]BẢNG MÃ'!$A$2:$B$69,2,0)</f>
        <v>#N/A</v>
      </c>
      <c r="G379" s="20"/>
      <c r="H379" s="23" t="s">
        <v>161</v>
      </c>
      <c r="I379" s="16" t="s">
        <v>1604</v>
      </c>
      <c r="J379" s="16" t="str">
        <f>VLOOKUP(I379,'[1]BẢNG MÃ'!$C$2:$D$69,2,0)</f>
        <v>KP016</v>
      </c>
      <c r="K379" s="16"/>
      <c r="L379" s="16"/>
      <c r="M379" s="16" t="s">
        <v>33</v>
      </c>
      <c r="N379" s="21">
        <f ca="1">VLOOKUP(A379,'[1]Bieu 1a'!$A$8:$AW$855,10,0)</f>
        <v>32</v>
      </c>
      <c r="O379" s="22" t="str">
        <f>VLOOKUP(A379,'[1]Bieu 1a'!$A$8:$AW$855,8,0)</f>
        <v>01/11/1993</v>
      </c>
      <c r="P379" s="22">
        <f>VLOOKUP(A379,'[1]Bieu 1a'!$A$8:$AW$855,9,0)</f>
        <v>0</v>
      </c>
      <c r="Q379" s="23" t="s">
        <v>44</v>
      </c>
      <c r="R379" s="24">
        <f>VLOOKUP(A379,'[1]Bieu 1a'!$A$8:$AW$855,23,0)</f>
        <v>44621</v>
      </c>
      <c r="S379" s="25" t="s">
        <v>1877</v>
      </c>
      <c r="T379" s="26" t="s">
        <v>1878</v>
      </c>
      <c r="U379" s="16"/>
      <c r="V379" s="16" t="str">
        <f>IFERROR(VLOOKUP(A379,'[2]19.6.2026'!$A$9:$L$1111,5,0),"")</f>
        <v>004562/LS-CCHN</v>
      </c>
      <c r="W379" s="16" t="str">
        <f>IFERROR(VLOOKUP(A379,'[2]19.6.2026'!$A$9:$L$1111,6,0),"")</f>
        <v>16/11/2022</v>
      </c>
      <c r="X379" s="16"/>
      <c r="Y379" s="21" t="str">
        <f>IFERROR(VLOOKUP(A379,'[2]19.6.2026'!$A$9:$L$1111,7,0),"")</f>
        <v>Khám bệnh, chữa bệnh chuyên ngành Sản phụ khoa</v>
      </c>
      <c r="Z379" s="16"/>
      <c r="AA379" s="27" t="str">
        <f>IFERROR(VLOOKUP(A379,'[3]DS UPLOAD 2026 (2)'!$A$2:$P$1111,16,0),"")</f>
        <v/>
      </c>
      <c r="AB379" s="58" t="s">
        <v>1879</v>
      </c>
      <c r="AC379" s="29" t="s">
        <v>1880</v>
      </c>
    </row>
    <row r="380" spans="1:29" ht="18" customHeight="1" x14ac:dyDescent="0.3">
      <c r="A380" s="17" t="s">
        <v>1881</v>
      </c>
      <c r="B380" s="18" t="s">
        <v>1882</v>
      </c>
      <c r="C380" s="17" t="s">
        <v>1881</v>
      </c>
      <c r="D380" s="19"/>
      <c r="E380" s="19" t="s">
        <v>28</v>
      </c>
      <c r="F380" s="16" t="str">
        <f>VLOOKUP(E380,'[1]BẢNG MÃ'!$A$2:$B$69,2,0)</f>
        <v>TĐ001</v>
      </c>
      <c r="G380" s="20" t="s">
        <v>29</v>
      </c>
      <c r="H380" s="20" t="s">
        <v>29</v>
      </c>
      <c r="I380" s="16" t="s">
        <v>1883</v>
      </c>
      <c r="J380" s="16" t="str">
        <f>VLOOKUP(I380,'[1]BẢNG MÃ'!$C$2:$D$69,2,0)</f>
        <v>KP017</v>
      </c>
      <c r="K380" s="16" t="s">
        <v>31</v>
      </c>
      <c r="L380" s="16" t="s">
        <v>1884</v>
      </c>
      <c r="M380" s="16" t="s">
        <v>33</v>
      </c>
      <c r="N380" s="21">
        <f ca="1">VLOOKUP(A380,'[1]Bieu 1a'!$A$8:$AW$855,10,0)</f>
        <v>55</v>
      </c>
      <c r="O380" s="22">
        <f>VLOOKUP(A380,'[1]Bieu 1a'!$A$8:$AW$855,8,0)</f>
        <v>26033</v>
      </c>
      <c r="P380" s="22">
        <f>VLOOKUP(A380,'[1]Bieu 1a'!$A$8:$AW$855,9,0)</f>
        <v>0</v>
      </c>
      <c r="Q380" s="23" t="s">
        <v>50</v>
      </c>
      <c r="R380" s="24" t="str">
        <f>VLOOKUP(A380,'[1]Bieu 1a'!$A$8:$AW$855,23,0)</f>
        <v>29/4/1997</v>
      </c>
      <c r="S380" s="25" t="s">
        <v>1885</v>
      </c>
      <c r="T380" s="26" t="s">
        <v>1886</v>
      </c>
      <c r="U380" s="16"/>
      <c r="V380" s="16" t="str">
        <f>IFERROR(VLOOKUP(A380,'[2]19.6.2026'!$A$9:$L$1111,5,0),"")</f>
        <v>000116/LS-CCHN</v>
      </c>
      <c r="W380" s="16" t="str">
        <f>IFERROR(VLOOKUP(A380,'[2]19.6.2026'!$A$9:$L$1111,6,0),"")</f>
        <v>28/06/2012</v>
      </c>
      <c r="X380" s="16"/>
      <c r="Y380" s="21" t="str">
        <f>IFERROR(VLOOKUP(A380,'[2]19.6.2026'!$A$9:$L$1111,7,0),"")</f>
        <v>Khám bệnh, chữa bệnh chuyên khoa Nhi</v>
      </c>
      <c r="Z380" s="16"/>
      <c r="AA380" s="27" t="str">
        <f>IFERROR(VLOOKUP(A380,'[3]DS UPLOAD 2026 (2)'!$A$2:$P$1111,16,0),"")</f>
        <v/>
      </c>
      <c r="AB380" s="27">
        <v>902229566</v>
      </c>
      <c r="AC380" s="28"/>
    </row>
    <row r="381" spans="1:29" ht="18" customHeight="1" x14ac:dyDescent="0.3">
      <c r="A381" s="17" t="s">
        <v>1887</v>
      </c>
      <c r="B381" s="36" t="s">
        <v>1888</v>
      </c>
      <c r="C381" s="17" t="s">
        <v>1887</v>
      </c>
      <c r="D381" s="16"/>
      <c r="E381" s="16" t="s">
        <v>160</v>
      </c>
      <c r="F381" s="16" t="str">
        <f>VLOOKUP(E381,'[1]BẢNG MÃ'!$A$2:$B$69,2,0)</f>
        <v>TĐ003</v>
      </c>
      <c r="G381" s="20" t="s">
        <v>161</v>
      </c>
      <c r="H381" s="20" t="s">
        <v>161</v>
      </c>
      <c r="I381" s="16" t="s">
        <v>1883</v>
      </c>
      <c r="J381" s="16" t="str">
        <f>VLOOKUP(I381,'[1]BẢNG MÃ'!$C$2:$D$69,2,0)</f>
        <v>KP017</v>
      </c>
      <c r="K381" s="16" t="s">
        <v>43</v>
      </c>
      <c r="L381" s="16">
        <v>0</v>
      </c>
      <c r="M381" s="16" t="s">
        <v>33</v>
      </c>
      <c r="N381" s="21">
        <f ca="1">VLOOKUP(A381,'[1]Bieu 1a'!$A$8:$AW$855,10,0)</f>
        <v>37</v>
      </c>
      <c r="O381" s="22" t="str">
        <f>VLOOKUP(A381,'[1]Bieu 1a'!$A$8:$AW$855,8,0)</f>
        <v>27/02/1989</v>
      </c>
      <c r="P381" s="22">
        <f>VLOOKUP(A381,'[1]Bieu 1a'!$A$8:$AW$855,9,0)</f>
        <v>0</v>
      </c>
      <c r="Q381" s="23" t="s">
        <v>34</v>
      </c>
      <c r="R381" s="24" t="str">
        <f>VLOOKUP(A381,'[1]Bieu 1a'!$A$8:$AW$855,23,0)</f>
        <v>1/11/2014</v>
      </c>
      <c r="S381" s="25" t="s">
        <v>1889</v>
      </c>
      <c r="T381" s="26" t="s">
        <v>1890</v>
      </c>
      <c r="U381" s="16"/>
      <c r="V381" s="16" t="str">
        <f>IFERROR(VLOOKUP(A381,'[2]19.6.2026'!$A$9:$L$1111,5,0),"")</f>
        <v>000622/LS-CCHN</v>
      </c>
      <c r="W381" s="16" t="str">
        <f>IFERROR(VLOOKUP(A381,'[2]19.6.2026'!$A$9:$L$1111,6,0),"")</f>
        <v>24/01/2017</v>
      </c>
      <c r="X381" s="16"/>
      <c r="Y381" s="21" t="str">
        <f>IFERROR(VLOOKUP(A381,'[2]19.6.2026'!$A$9:$L$1111,7,0),"")</f>
        <v>Khám bệnh, chữa bệnh Nhi khoa</v>
      </c>
      <c r="Z381" s="16"/>
      <c r="AA381" s="27" t="str">
        <f>IFERROR(VLOOKUP(A381,'[3]DS UPLOAD 2026 (2)'!$A$2:$P$1111,16,0),"")</f>
        <v/>
      </c>
      <c r="AB381" s="27" t="s">
        <v>1891</v>
      </c>
      <c r="AC381" s="54"/>
    </row>
    <row r="382" spans="1:29" ht="18" customHeight="1" x14ac:dyDescent="0.3">
      <c r="A382" s="17" t="s">
        <v>1892</v>
      </c>
      <c r="B382" s="40" t="s">
        <v>1893</v>
      </c>
      <c r="C382" s="17" t="s">
        <v>1892</v>
      </c>
      <c r="D382" s="19" t="s">
        <v>38</v>
      </c>
      <c r="E382" s="16" t="s">
        <v>160</v>
      </c>
      <c r="F382" s="16" t="str">
        <f>VLOOKUP(E382,'[1]BẢNG MÃ'!$A$2:$B$69,2,0)</f>
        <v>TĐ003</v>
      </c>
      <c r="G382" s="20" t="s">
        <v>161</v>
      </c>
      <c r="H382" s="20" t="s">
        <v>161</v>
      </c>
      <c r="I382" s="16" t="s">
        <v>1883</v>
      </c>
      <c r="J382" s="16" t="str">
        <f>VLOOKUP(I382,'[1]BẢNG MÃ'!$C$2:$D$69,2,0)</f>
        <v>KP017</v>
      </c>
      <c r="K382" s="16" t="s">
        <v>43</v>
      </c>
      <c r="L382" s="16">
        <v>0</v>
      </c>
      <c r="M382" s="16" t="s">
        <v>33</v>
      </c>
      <c r="N382" s="21">
        <f ca="1">VLOOKUP(A382,'[1]Bieu 1a'!$A$8:$AW$855,10,0)</f>
        <v>35</v>
      </c>
      <c r="O382" s="22">
        <f>VLOOKUP(A382,'[1]Bieu 1a'!$A$8:$AW$855,8,0)</f>
        <v>0</v>
      </c>
      <c r="P382" s="22" t="str">
        <f>VLOOKUP(A382,'[1]Bieu 1a'!$A$8:$AW$855,9,0)</f>
        <v>21/12/1990</v>
      </c>
      <c r="Q382" s="23" t="s">
        <v>44</v>
      </c>
      <c r="R382" s="24" t="str">
        <f>VLOOKUP(A382,'[1]Bieu 1a'!$A$8:$AW$855,23,0)</f>
        <v>10/01/2016</v>
      </c>
      <c r="S382" s="25" t="s">
        <v>1894</v>
      </c>
      <c r="T382" s="26" t="s">
        <v>1895</v>
      </c>
      <c r="U382" s="16"/>
      <c r="V382" s="16" t="str">
        <f>IFERROR(VLOOKUP(A382,'[2]19.6.2026'!$A$9:$L$1111,5,0),"")</f>
        <v>002126/LS-CCHN</v>
      </c>
      <c r="W382" s="16" t="str">
        <f>IFERROR(VLOOKUP(A382,'[2]19.6.2026'!$A$9:$L$1111,6,0),"")</f>
        <v>30/10/2017</v>
      </c>
      <c r="X382" s="16"/>
      <c r="Y382" s="21" t="str">
        <f>IFERROR(VLOOKUP(A382,'[2]19.6.2026'!$A$9:$L$1111,7,0),"")</f>
        <v>Khám bệnh, chữa bệnh chuyên khoa Nhi</v>
      </c>
      <c r="Z382" s="16"/>
      <c r="AA382" s="27" t="str">
        <f>IFERROR(VLOOKUP(A382,'[3]DS UPLOAD 2026 (2)'!$A$2:$P$1111,16,0),"")</f>
        <v/>
      </c>
      <c r="AB382" s="27" t="s">
        <v>1896</v>
      </c>
      <c r="AC382" s="28"/>
    </row>
    <row r="383" spans="1:29" ht="18" customHeight="1" x14ac:dyDescent="0.3">
      <c r="A383" s="17" t="s">
        <v>1897</v>
      </c>
      <c r="B383" s="18" t="s">
        <v>1898</v>
      </c>
      <c r="C383" s="17" t="s">
        <v>1897</v>
      </c>
      <c r="D383" s="19" t="s">
        <v>38</v>
      </c>
      <c r="E383" s="19" t="s">
        <v>479</v>
      </c>
      <c r="F383" s="16" t="str">
        <f>VLOOKUP(E383,'[1]BẢNG MÃ'!$A$2:$B$69,2,0)</f>
        <v>TĐ004</v>
      </c>
      <c r="G383" s="20" t="s">
        <v>29</v>
      </c>
      <c r="H383" s="20" t="s">
        <v>29</v>
      </c>
      <c r="I383" s="16" t="s">
        <v>1883</v>
      </c>
      <c r="J383" s="16" t="str">
        <f>VLOOKUP(I383,'[1]BẢNG MÃ'!$C$2:$D$69,2,0)</f>
        <v>KP017</v>
      </c>
      <c r="K383" s="16" t="s">
        <v>31</v>
      </c>
      <c r="L383" s="16" t="s">
        <v>154</v>
      </c>
      <c r="M383" s="16" t="s">
        <v>33</v>
      </c>
      <c r="N383" s="21">
        <f ca="1">VLOOKUP(A383,'[1]Bieu 1a'!$A$8:$AW$855,10,0)</f>
        <v>45</v>
      </c>
      <c r="O383" s="22">
        <f>VLOOKUP(A383,'[1]Bieu 1a'!$A$8:$AW$855,8,0)</f>
        <v>0</v>
      </c>
      <c r="P383" s="22">
        <f>VLOOKUP(A383,'[1]Bieu 1a'!$A$8:$AW$855,9,0)</f>
        <v>29452</v>
      </c>
      <c r="Q383" s="23" t="s">
        <v>44</v>
      </c>
      <c r="R383" s="24" t="str">
        <f>VLOOKUP(A383,'[1]Bieu 1a'!$A$8:$AW$855,23,0)</f>
        <v>07/11/2006</v>
      </c>
      <c r="S383" s="25" t="s">
        <v>1899</v>
      </c>
      <c r="T383" s="26" t="s">
        <v>1900</v>
      </c>
      <c r="U383" s="16"/>
      <c r="V383" s="16" t="str">
        <f>IFERROR(VLOOKUP(A383,'[2]19.6.2026'!$A$9:$L$1111,5,0),"")</f>
        <v>000401/LS-CCHN</v>
      </c>
      <c r="W383" s="16" t="str">
        <f>IFERROR(VLOOKUP(A383,'[2]19.6.2026'!$A$9:$L$1111,6,0),"")</f>
        <v>01/06/2016</v>
      </c>
      <c r="X383" s="16"/>
      <c r="Y383" s="21" t="str">
        <f>IFERROR(VLOOKUP(A383,'[2]19.6.2026'!$A$9:$L$1111,7,0),"")</f>
        <v>Khám bệnh, chữa bệnh chuyên khoa Nhi</v>
      </c>
      <c r="Z383" s="16"/>
      <c r="AA383" s="27" t="str">
        <f>IFERROR(VLOOKUP(A383,'[3]DS UPLOAD 2026 (2)'!$A$2:$P$1111,16,0),"")</f>
        <v/>
      </c>
      <c r="AB383" s="27" t="s">
        <v>1901</v>
      </c>
      <c r="AC383" s="28"/>
    </row>
    <row r="384" spans="1:29" ht="18" customHeight="1" x14ac:dyDescent="0.3">
      <c r="A384" s="17" t="s">
        <v>1902</v>
      </c>
      <c r="B384" s="18" t="s">
        <v>1903</v>
      </c>
      <c r="C384" s="17" t="s">
        <v>1902</v>
      </c>
      <c r="D384" s="19" t="s">
        <v>38</v>
      </c>
      <c r="E384" s="19" t="s">
        <v>173</v>
      </c>
      <c r="F384" s="16" t="str">
        <f>VLOOKUP(E384,'[1]BẢNG MÃ'!$A$2:$B$69,2,0)</f>
        <v>TĐ005</v>
      </c>
      <c r="G384" s="20"/>
      <c r="H384" s="23" t="s">
        <v>161</v>
      </c>
      <c r="I384" s="16" t="s">
        <v>1883</v>
      </c>
      <c r="J384" s="16" t="str">
        <f>VLOOKUP(I384,'[1]BẢNG MÃ'!$C$2:$D$69,2,0)</f>
        <v>KP017</v>
      </c>
      <c r="K384" s="16"/>
      <c r="L384" s="16"/>
      <c r="M384" s="23" t="s">
        <v>33</v>
      </c>
      <c r="N384" s="21">
        <f ca="1">VLOOKUP(A384,'[1]Bieu 1a'!$A$8:$AW$855,10,0)</f>
        <v>31</v>
      </c>
      <c r="O384" s="22">
        <f>VLOOKUP(A384,'[1]Bieu 1a'!$A$8:$AW$855,8,0)</f>
        <v>0</v>
      </c>
      <c r="P384" s="22" t="str">
        <f>VLOOKUP(A384,'[1]Bieu 1a'!$A$8:$AW$855,9,0)</f>
        <v>07/9/1994</v>
      </c>
      <c r="Q384" s="23" t="s">
        <v>50</v>
      </c>
      <c r="R384" s="24" t="str">
        <f>VLOOKUP(A384,'[1]Bieu 1a'!$A$8:$AW$855,23,0)</f>
        <v>15/8/2019</v>
      </c>
      <c r="S384" s="25" t="s">
        <v>1904</v>
      </c>
      <c r="T384" s="26" t="s">
        <v>1905</v>
      </c>
      <c r="U384" s="16"/>
      <c r="V384" s="16" t="str">
        <f>IFERROR(VLOOKUP(A384,'[2]19.6.2026'!$A$9:$L$1111,5,0),"")</f>
        <v>004314/LS-CCHN</v>
      </c>
      <c r="W384" s="16" t="str">
        <f>IFERROR(VLOOKUP(A384,'[2]19.6.2026'!$A$9:$L$1111,6,0),"")</f>
        <v>20/07/2021</v>
      </c>
      <c r="X384" s="16"/>
      <c r="Y384" s="21" t="str">
        <f>IFERROR(VLOOKUP(A384,'[2]19.6.2026'!$A$9:$L$1111,7,0),"")</f>
        <v>Khám bệnh chữa bệnh Nhi khoa</v>
      </c>
      <c r="Z384" s="16"/>
      <c r="AA384" s="27" t="str">
        <f>IFERROR(VLOOKUP(A384,'[3]DS UPLOAD 2026 (2)'!$A$2:$P$1111,16,0),"")</f>
        <v/>
      </c>
      <c r="AB384" s="41" t="s">
        <v>1906</v>
      </c>
      <c r="AC384" s="29" t="s">
        <v>732</v>
      </c>
    </row>
    <row r="385" spans="1:29" ht="18" customHeight="1" x14ac:dyDescent="0.3">
      <c r="A385" s="17" t="s">
        <v>1907</v>
      </c>
      <c r="B385" s="38" t="s">
        <v>1908</v>
      </c>
      <c r="C385" s="17" t="s">
        <v>1907</v>
      </c>
      <c r="D385" s="19" t="s">
        <v>38</v>
      </c>
      <c r="E385" s="19" t="s">
        <v>173</v>
      </c>
      <c r="F385" s="16" t="str">
        <f>VLOOKUP(E385,'[1]BẢNG MÃ'!$A$2:$B$69,2,0)</f>
        <v>TĐ005</v>
      </c>
      <c r="G385" s="42" t="s">
        <v>161</v>
      </c>
      <c r="H385" s="42" t="s">
        <v>161</v>
      </c>
      <c r="I385" s="16" t="s">
        <v>1883</v>
      </c>
      <c r="J385" s="16" t="str">
        <f>VLOOKUP(I385,'[1]BẢNG MÃ'!$C$2:$D$69,2,0)</f>
        <v>KP017</v>
      </c>
      <c r="K385" s="16" t="s">
        <v>43</v>
      </c>
      <c r="L385" s="16">
        <v>0</v>
      </c>
      <c r="M385" s="16" t="s">
        <v>33</v>
      </c>
      <c r="N385" s="21">
        <f ca="1">VLOOKUP(A385,'[1]Bieu 1a'!$A$8:$AW$855,10,0)</f>
        <v>31</v>
      </c>
      <c r="O385" s="22">
        <f>VLOOKUP(A385,'[1]Bieu 1a'!$A$8:$AW$855,8,0)</f>
        <v>0</v>
      </c>
      <c r="P385" s="22" t="str">
        <f>VLOOKUP(A385,'[1]Bieu 1a'!$A$8:$AW$855,9,0)</f>
        <v>07/11/1994</v>
      </c>
      <c r="Q385" s="23" t="s">
        <v>50</v>
      </c>
      <c r="R385" s="24" t="str">
        <f>VLOOKUP(A385,'[1]Bieu 1a'!$A$8:$AW$855,23,0)</f>
        <v>05/04/2019</v>
      </c>
      <c r="S385" s="25" t="s">
        <v>1909</v>
      </c>
      <c r="T385" s="26" t="s">
        <v>1910</v>
      </c>
      <c r="U385" s="16"/>
      <c r="V385" s="16" t="str">
        <f>IFERROR(VLOOKUP(A385,'[2]19.6.2026'!$A$9:$L$1111,5,0),"")</f>
        <v>004327/LS-CCHN</v>
      </c>
      <c r="W385" s="16" t="str">
        <f>IFERROR(VLOOKUP(A385,'[2]19.6.2026'!$A$9:$L$1111,6,0),"")</f>
        <v>20/07/2021</v>
      </c>
      <c r="X385" s="16"/>
      <c r="Y385" s="21" t="str">
        <f>IFERROR(VLOOKUP(A385,'[2]19.6.2026'!$A$9:$L$1111,7,0),"")</f>
        <v>Khám bệnh chữa bệnh Nhi khoa</v>
      </c>
      <c r="Z385" s="16"/>
      <c r="AA385" s="27" t="str">
        <f>IFERROR(VLOOKUP(A385,'[3]DS UPLOAD 2026 (2)'!$A$2:$P$1111,16,0),"")</f>
        <v/>
      </c>
      <c r="AB385" s="27" t="s">
        <v>1911</v>
      </c>
      <c r="AC385" s="29" t="s">
        <v>181</v>
      </c>
    </row>
    <row r="386" spans="1:29" ht="18" customHeight="1" x14ac:dyDescent="0.3">
      <c r="A386" s="17" t="s">
        <v>1912</v>
      </c>
      <c r="B386" s="18" t="s">
        <v>1913</v>
      </c>
      <c r="C386" s="17" t="s">
        <v>1912</v>
      </c>
      <c r="D386" s="19" t="s">
        <v>38</v>
      </c>
      <c r="E386" s="19" t="s">
        <v>173</v>
      </c>
      <c r="F386" s="16" t="str">
        <f>VLOOKUP(E386,'[1]BẢNG MÃ'!$A$2:$B$69,2,0)</f>
        <v>TĐ005</v>
      </c>
      <c r="G386" s="60"/>
      <c r="H386" s="23" t="s">
        <v>161</v>
      </c>
      <c r="I386" s="16" t="s">
        <v>1883</v>
      </c>
      <c r="J386" s="16" t="str">
        <f>VLOOKUP(I386,'[1]BẢNG MÃ'!$C$2:$D$69,2,0)</f>
        <v>KP017</v>
      </c>
      <c r="K386" s="16"/>
      <c r="L386" s="16"/>
      <c r="M386" s="16" t="s">
        <v>136</v>
      </c>
      <c r="N386" s="21">
        <f ca="1">VLOOKUP(A386,'[1]Bieu 1a'!$A$8:$AW$855,10,0)</f>
        <v>29</v>
      </c>
      <c r="O386" s="22">
        <f>VLOOKUP(A386,'[1]Bieu 1a'!$A$8:$AW$855,8,0)</f>
        <v>0</v>
      </c>
      <c r="P386" s="22">
        <f>VLOOKUP(A386,'[1]Bieu 1a'!$A$8:$AW$855,9,0)</f>
        <v>35455</v>
      </c>
      <c r="Q386" s="23" t="s">
        <v>50</v>
      </c>
      <c r="R386" s="24" t="str">
        <f>VLOOKUP(A386,'[1]Bieu 1a'!$A$8:$AW$855,23,0)</f>
        <v>01/7/2023</v>
      </c>
      <c r="S386" s="25" t="s">
        <v>1914</v>
      </c>
      <c r="T386" s="26" t="s">
        <v>1915</v>
      </c>
      <c r="U386" s="16"/>
      <c r="V386" s="16" t="str">
        <f>IFERROR(VLOOKUP(A386,'[2]19.6.2026'!$A$9:$L$1111,5,0),"")</f>
        <v>005645/LS-CCHN</v>
      </c>
      <c r="W386" s="16">
        <f>IFERROR(VLOOKUP(A386,'[2]19.6.2026'!$A$9:$L$1111,6,0),"")</f>
        <v>0</v>
      </c>
      <c r="X386" s="16"/>
      <c r="Y386" s="21" t="str">
        <f>IFERROR(VLOOKUP(A386,'[2]19.6.2026'!$A$9:$L$1111,7,0),"")</f>
        <v>Chuyên khoa Nhi</v>
      </c>
      <c r="Z386" s="16"/>
      <c r="AA386" s="27" t="str">
        <f>IFERROR(VLOOKUP(A386,'[3]DS UPLOAD 2026 (2)'!$A$2:$P$1111,16,0),"")</f>
        <v/>
      </c>
      <c r="AB386" s="27">
        <v>961897397</v>
      </c>
      <c r="AC386" s="28" t="s">
        <v>1916</v>
      </c>
    </row>
    <row r="387" spans="1:29" ht="18" customHeight="1" x14ac:dyDescent="0.3">
      <c r="A387" s="43" t="s">
        <v>1917</v>
      </c>
      <c r="B387" s="44" t="s">
        <v>1918</v>
      </c>
      <c r="C387" s="45" t="s">
        <v>1917</v>
      </c>
      <c r="D387" s="23" t="s">
        <v>38</v>
      </c>
      <c r="E387" s="23" t="s">
        <v>173</v>
      </c>
      <c r="F387" s="16" t="str">
        <f>VLOOKUP(E387,'[1]BẢNG MÃ'!$A$2:$B$69,2,0)</f>
        <v>TĐ005</v>
      </c>
      <c r="G387" s="27"/>
      <c r="H387" s="23" t="s">
        <v>161</v>
      </c>
      <c r="I387" s="27" t="s">
        <v>1883</v>
      </c>
      <c r="J387" s="16" t="str">
        <f>VLOOKUP(I387,'[1]BẢNG MÃ'!$C$2:$D$69,2,0)</f>
        <v>KP017</v>
      </c>
      <c r="K387" s="27"/>
      <c r="L387" s="27"/>
      <c r="M387" s="16" t="s">
        <v>33</v>
      </c>
      <c r="N387" s="21">
        <f ca="1">VLOOKUP(A387,'[1]Bieu 1a'!$A$8:$AW$855,10,0)</f>
        <v>28</v>
      </c>
      <c r="O387" s="22">
        <f>VLOOKUP(A387,'[1]Bieu 1a'!$A$8:$AW$855,8,0)</f>
        <v>0</v>
      </c>
      <c r="P387" s="22" t="str">
        <f>VLOOKUP(A387,'[1]Bieu 1a'!$A$8:$AW$855,9,0)</f>
        <v>28/12/1997</v>
      </c>
      <c r="Q387" s="23" t="s">
        <v>50</v>
      </c>
      <c r="R387" s="24">
        <f>VLOOKUP(A387,'[1]Bieu 1a'!$A$8:$AW$855,23,0)</f>
        <v>45260</v>
      </c>
      <c r="S387" s="25" t="s">
        <v>1919</v>
      </c>
      <c r="T387" s="26" t="s">
        <v>1920</v>
      </c>
      <c r="U387" s="67">
        <f>EDATE(R387,18)</f>
        <v>45807</v>
      </c>
      <c r="V387" s="16" t="str">
        <f>IFERROR(VLOOKUP(A387,'[2]19.6.2026'!$A$9:$L$1111,5,0),"")</f>
        <v>000107/LS-GPHN</v>
      </c>
      <c r="W387" s="16" t="str">
        <f>IFERROR(VLOOKUP(A387,'[2]19.6.2026'!$A$9:$L$1111,6,0),"")</f>
        <v/>
      </c>
      <c r="X387" s="16"/>
      <c r="Y387" s="21" t="str">
        <f>IFERROR(VLOOKUP(A387,'[2]19.6.2026'!$A$9:$L$1111,7,0),"")</f>
        <v>Chuyên khoa Nhi</v>
      </c>
      <c r="Z387" s="16"/>
      <c r="AA387" s="27" t="str">
        <f>IFERROR(VLOOKUP(A387,'[3]DS UPLOAD 2026 (2)'!$A$2:$P$1111,16,0),"")</f>
        <v/>
      </c>
      <c r="AB387" s="44" t="s">
        <v>1921</v>
      </c>
      <c r="AC387" s="29" t="s">
        <v>191</v>
      </c>
    </row>
    <row r="388" spans="1:29" ht="18" customHeight="1" x14ac:dyDescent="0.3">
      <c r="A388" s="43" t="s">
        <v>1922</v>
      </c>
      <c r="B388" s="44" t="s">
        <v>1923</v>
      </c>
      <c r="C388" s="45" t="s">
        <v>1922</v>
      </c>
      <c r="D388" s="23" t="s">
        <v>38</v>
      </c>
      <c r="E388" s="23" t="s">
        <v>173</v>
      </c>
      <c r="F388" s="16" t="str">
        <f>VLOOKUP(E388,'[1]BẢNG MÃ'!$A$2:$B$69,2,0)</f>
        <v>TĐ005</v>
      </c>
      <c r="G388" s="27"/>
      <c r="H388" s="23" t="s">
        <v>161</v>
      </c>
      <c r="I388" s="27" t="s">
        <v>1883</v>
      </c>
      <c r="J388" s="16" t="str">
        <f>VLOOKUP(I388,'[1]BẢNG MÃ'!$C$2:$D$69,2,0)</f>
        <v>KP017</v>
      </c>
      <c r="K388" s="27"/>
      <c r="L388" s="27"/>
      <c r="M388" s="16" t="s">
        <v>33</v>
      </c>
      <c r="N388" s="21">
        <f ca="1">VLOOKUP(A388,'[1]Bieu 1a'!$A$8:$AW$855,10,0)</f>
        <v>28</v>
      </c>
      <c r="O388" s="22">
        <f>VLOOKUP(A388,'[1]Bieu 1a'!$A$8:$AW$855,8,0)</f>
        <v>0</v>
      </c>
      <c r="P388" s="22" t="str">
        <f>VLOOKUP(A388,'[1]Bieu 1a'!$A$8:$AW$855,9,0)</f>
        <v>23/4/1998</v>
      </c>
      <c r="Q388" s="23" t="s">
        <v>44</v>
      </c>
      <c r="R388" s="24">
        <f>VLOOKUP(A388,'[1]Bieu 1a'!$A$8:$AW$855,23,0)</f>
        <v>45260</v>
      </c>
      <c r="S388" s="25" t="s">
        <v>1924</v>
      </c>
      <c r="T388" s="26" t="s">
        <v>1925</v>
      </c>
      <c r="U388" s="67">
        <f>EDATE(R388,18)</f>
        <v>45807</v>
      </c>
      <c r="V388" s="16" t="str">
        <f>IFERROR(VLOOKUP(A388,'[2]19.6.2026'!$A$9:$L$1111,5,0),"")</f>
        <v>000315/LS-GPHN</v>
      </c>
      <c r="W388" s="16">
        <f>IFERROR(VLOOKUP(A388,'[2]19.6.2026'!$A$9:$L$1111,6,0),"")</f>
        <v>45876</v>
      </c>
      <c r="X388" s="16"/>
      <c r="Y388" s="21" t="str">
        <f>IFERROR(VLOOKUP(A388,'[2]19.6.2026'!$A$9:$L$1111,7,0),"")</f>
        <v>Chuyên khoa Nhi</v>
      </c>
      <c r="Z388" s="16"/>
      <c r="AA388" s="27" t="str">
        <f>IFERROR(VLOOKUP(A388,'[3]DS UPLOAD 2026 (2)'!$A$2:$P$1111,16,0),"")</f>
        <v/>
      </c>
      <c r="AB388" s="44" t="s">
        <v>1926</v>
      </c>
      <c r="AC388" s="29" t="s">
        <v>191</v>
      </c>
    </row>
    <row r="389" spans="1:29" ht="18" customHeight="1" x14ac:dyDescent="0.3">
      <c r="A389" s="46" t="s">
        <v>1927</v>
      </c>
      <c r="B389" s="28" t="s">
        <v>1928</v>
      </c>
      <c r="C389" s="47" t="s">
        <v>1927</v>
      </c>
      <c r="D389" s="23" t="s">
        <v>38</v>
      </c>
      <c r="E389" s="23" t="s">
        <v>173</v>
      </c>
      <c r="F389" s="16" t="str">
        <f>VLOOKUP(E389,'[1]BẢNG MÃ'!$A$2:$B$69,2,0)</f>
        <v>TĐ005</v>
      </c>
      <c r="G389" s="48"/>
      <c r="H389" s="23" t="s">
        <v>161</v>
      </c>
      <c r="I389" s="19" t="s">
        <v>1883</v>
      </c>
      <c r="J389" s="16" t="str">
        <f>VLOOKUP(I389,'[1]BẢNG MÃ'!$C$2:$D$69,2,0)</f>
        <v>KP017</v>
      </c>
      <c r="K389" s="23"/>
      <c r="L389" s="23"/>
      <c r="M389" s="16" t="s">
        <v>33</v>
      </c>
      <c r="N389" s="21">
        <f ca="1">VLOOKUP(A389,'[1]Bieu 1a'!$A$8:$AW$855,10,0)</f>
        <v>29</v>
      </c>
      <c r="O389" s="22">
        <f>VLOOKUP(A389,'[1]Bieu 1a'!$A$8:$AW$855,8,0)</f>
        <v>0</v>
      </c>
      <c r="P389" s="22" t="str">
        <f>VLOOKUP(A389,'[1]Bieu 1a'!$A$8:$AW$855,9,0)</f>
        <v>22/02/1997</v>
      </c>
      <c r="Q389" s="23" t="s">
        <v>34</v>
      </c>
      <c r="R389" s="24" t="str">
        <f>VLOOKUP(A389,'[1]Bieu 1a'!$A$8:$AW$855,23,0)</f>
        <v>01/7/2024</v>
      </c>
      <c r="S389" s="25" t="s">
        <v>1929</v>
      </c>
      <c r="T389" s="26" t="s">
        <v>1915</v>
      </c>
      <c r="U389" s="49">
        <v>45870</v>
      </c>
      <c r="V389" s="16" t="str">
        <f>IFERROR(VLOOKUP(A389,'[2]19.6.2026'!$A$9:$L$1111,5,0),"")</f>
        <v>000002/LS-GPHN</v>
      </c>
      <c r="W389" s="16" t="str">
        <f>IFERROR(VLOOKUP(A389,'[2]19.6.2026'!$A$9:$L$1111,6,0),"")</f>
        <v/>
      </c>
      <c r="X389" s="19"/>
      <c r="Y389" s="21" t="str">
        <f>IFERROR(VLOOKUP(A389,'[2]19.6.2026'!$A$9:$L$1111,7,0),"")</f>
        <v>Chuyên khoa Nhi</v>
      </c>
      <c r="Z389" s="16"/>
      <c r="AA389" s="27" t="str">
        <f>IFERROR(VLOOKUP(A389,'[3]DS UPLOAD 2026 (2)'!$A$2:$P$1111,16,0),"")</f>
        <v/>
      </c>
      <c r="AB389" s="109"/>
      <c r="AC389" s="29" t="s">
        <v>343</v>
      </c>
    </row>
    <row r="390" spans="1:29" ht="18" customHeight="1" x14ac:dyDescent="0.3">
      <c r="A390" s="17" t="s">
        <v>1930</v>
      </c>
      <c r="B390" s="29" t="s">
        <v>1931</v>
      </c>
      <c r="C390" s="17" t="s">
        <v>1930</v>
      </c>
      <c r="D390" s="19" t="s">
        <v>38</v>
      </c>
      <c r="E390" s="19" t="s">
        <v>41</v>
      </c>
      <c r="F390" s="16" t="str">
        <f>VLOOKUP(E390,'[1]BẢNG MÃ'!$A$2:$B$69,2,0)</f>
        <v>TĐ011</v>
      </c>
      <c r="G390" s="20" t="s">
        <v>42</v>
      </c>
      <c r="H390" s="20" t="s">
        <v>42</v>
      </c>
      <c r="I390" s="16" t="s">
        <v>1883</v>
      </c>
      <c r="J390" s="16" t="str">
        <f>VLOOKUP(I390,'[1]BẢNG MÃ'!$C$2:$D$69,2,0)</f>
        <v>KP017</v>
      </c>
      <c r="K390" s="16" t="s">
        <v>43</v>
      </c>
      <c r="L390" s="16">
        <v>0</v>
      </c>
      <c r="M390" s="16" t="s">
        <v>33</v>
      </c>
      <c r="N390" s="21">
        <f ca="1">VLOOKUP(A390,'[1]Bieu 1a'!$A$8:$AW$855,10,0)</f>
        <v>44</v>
      </c>
      <c r="O390" s="22">
        <f>VLOOKUP(A390,'[1]Bieu 1a'!$A$8:$AW$855,8,0)</f>
        <v>0</v>
      </c>
      <c r="P390" s="22">
        <f>VLOOKUP(A390,'[1]Bieu 1a'!$A$8:$AW$855,9,0)</f>
        <v>29854</v>
      </c>
      <c r="Q390" s="23" t="s">
        <v>917</v>
      </c>
      <c r="R390" s="24" t="str">
        <f>VLOOKUP(A390,'[1]Bieu 1a'!$A$8:$AW$855,23,0)</f>
        <v>1/12/2008</v>
      </c>
      <c r="S390" s="25" t="s">
        <v>1932</v>
      </c>
      <c r="T390" s="26" t="s">
        <v>1933</v>
      </c>
      <c r="U390" s="16"/>
      <c r="V390" s="16" t="str">
        <f>IFERROR(VLOOKUP(A390,'[2]19.6.2026'!$A$9:$L$1111,5,0),"")</f>
        <v>000859/LS-CCHN</v>
      </c>
      <c r="W390" s="16" t="str">
        <f>IFERROR(VLOOKUP(A390,'[2]19.6.2026'!$A$9:$L$1111,6,0),"")</f>
        <v>11/01/2023</v>
      </c>
      <c r="X390" s="16"/>
      <c r="Y390" s="21" t="str">
        <f>IFERROR(VLOOKUP(A390,'[2]19.6.2026'!$A$9:$L$1111,7,0),"")</f>
        <v>Thực hiện phạm vi hoạt động chuyên môn theo Thông tư số 26/2015/TTLT-BYT-BNV ngày 07/10/2015 quy định  mã số, tiêu chuẩn chức danh nghề nghiệp, điều dưỡng, hộ sinh, kỹ thuật y</v>
      </c>
      <c r="Z390" s="16"/>
      <c r="AA390" s="27" t="str">
        <f>IFERROR(VLOOKUP(A390,'[3]DS UPLOAD 2026 (2)'!$A$2:$P$1111,16,0),"")</f>
        <v/>
      </c>
      <c r="AB390" s="27" t="s">
        <v>1934</v>
      </c>
      <c r="AC390" s="76"/>
    </row>
    <row r="391" spans="1:29" ht="18" customHeight="1" x14ac:dyDescent="0.3">
      <c r="A391" s="17" t="s">
        <v>1935</v>
      </c>
      <c r="B391" s="18" t="s">
        <v>1936</v>
      </c>
      <c r="C391" s="17" t="s">
        <v>1935</v>
      </c>
      <c r="D391" s="19" t="s">
        <v>38</v>
      </c>
      <c r="E391" s="19" t="s">
        <v>41</v>
      </c>
      <c r="F391" s="16" t="str">
        <f>VLOOKUP(E391,'[1]BẢNG MÃ'!$A$2:$B$69,2,0)</f>
        <v>TĐ011</v>
      </c>
      <c r="G391" s="20" t="s">
        <v>42</v>
      </c>
      <c r="H391" s="20" t="s">
        <v>42</v>
      </c>
      <c r="I391" s="16" t="s">
        <v>1883</v>
      </c>
      <c r="J391" s="16" t="str">
        <f>VLOOKUP(I391,'[1]BẢNG MÃ'!$C$2:$D$69,2,0)</f>
        <v>KP017</v>
      </c>
      <c r="K391" s="16" t="s">
        <v>31</v>
      </c>
      <c r="L391" s="16" t="s">
        <v>201</v>
      </c>
      <c r="M391" s="16" t="s">
        <v>33</v>
      </c>
      <c r="N391" s="21">
        <f ca="1">VLOOKUP(A391,'[1]Bieu 1a'!$A$8:$AW$855,10,0)</f>
        <v>43</v>
      </c>
      <c r="O391" s="22">
        <f>VLOOKUP(A391,'[1]Bieu 1a'!$A$8:$AW$855,8,0)</f>
        <v>0</v>
      </c>
      <c r="P391" s="22">
        <f>VLOOKUP(A391,'[1]Bieu 1a'!$A$8:$AW$855,9,0)</f>
        <v>30494</v>
      </c>
      <c r="Q391" s="23" t="s">
        <v>50</v>
      </c>
      <c r="R391" s="24" t="str">
        <f>VLOOKUP(A391,'[1]Bieu 1a'!$A$8:$AW$855,23,0)</f>
        <v>7/11/2006</v>
      </c>
      <c r="S391" s="25" t="s">
        <v>1937</v>
      </c>
      <c r="T391" s="26" t="s">
        <v>1938</v>
      </c>
      <c r="U391" s="16"/>
      <c r="V391" s="16" t="str">
        <f>IFERROR(VLOOKUP(A391,'[2]19.6.2026'!$A$9:$L$1111,5,0),"")</f>
        <v>000857/LS-CCHN</v>
      </c>
      <c r="W391" s="16" t="str">
        <f>IFERROR(VLOOKUP(A391,'[2]19.6.2026'!$A$9:$L$1111,6,0),"")</f>
        <v>24/06/2013</v>
      </c>
      <c r="X391" s="16"/>
      <c r="Y391" s="21" t="str">
        <f>IFERROR(VLOOKUP(A391,'[2]19.6.2026'!$A$9:$L$1111,7,0),"")</f>
        <v>Theo quy định tại Quyết định số 41/2005/QĐ-BNV ngày 22/4/2005 của Bộ trưởng Bộ Nội vụ về việc ban hành tiêu chuẩn nghiệp vụ các ngạch viên chức y tế điều dưỡng</v>
      </c>
      <c r="Z391" s="16"/>
      <c r="AA391" s="27" t="str">
        <f>IFERROR(VLOOKUP(A391,'[3]DS UPLOAD 2026 (2)'!$A$2:$P$1111,16,0),"")</f>
        <v/>
      </c>
      <c r="AB391" s="27">
        <v>968575600</v>
      </c>
      <c r="AC391" s="76"/>
    </row>
    <row r="392" spans="1:29" ht="18" customHeight="1" x14ac:dyDescent="0.3">
      <c r="A392" s="17" t="s">
        <v>1939</v>
      </c>
      <c r="B392" s="38" t="s">
        <v>1940</v>
      </c>
      <c r="C392" s="17" t="s">
        <v>1939</v>
      </c>
      <c r="D392" s="19" t="s">
        <v>38</v>
      </c>
      <c r="E392" s="86" t="s">
        <v>41</v>
      </c>
      <c r="F392" s="16" t="str">
        <f>VLOOKUP(E392,'[1]BẢNG MÃ'!$A$2:$B$69,2,0)</f>
        <v>TĐ011</v>
      </c>
      <c r="G392" s="38"/>
      <c r="H392" s="20" t="s">
        <v>42</v>
      </c>
      <c r="I392" s="16" t="s">
        <v>1883</v>
      </c>
      <c r="J392" s="16" t="str">
        <f>VLOOKUP(I392,'[1]BẢNG MÃ'!$C$2:$D$69,2,0)</f>
        <v>KP017</v>
      </c>
      <c r="K392" s="16"/>
      <c r="L392" s="16"/>
      <c r="M392" s="23" t="s">
        <v>33</v>
      </c>
      <c r="N392" s="21">
        <f ca="1">VLOOKUP(A392,'[1]Bieu 1a'!$A$8:$AW$855,10,0)</f>
        <v>36</v>
      </c>
      <c r="O392" s="22">
        <f>VLOOKUP(A392,'[1]Bieu 1a'!$A$8:$AW$855,8,0)</f>
        <v>0</v>
      </c>
      <c r="P392" s="22" t="str">
        <f>VLOOKUP(A392,'[1]Bieu 1a'!$A$8:$AW$855,9,0)</f>
        <v>15/11/1989</v>
      </c>
      <c r="Q392" s="23" t="s">
        <v>44</v>
      </c>
      <c r="R392" s="24" t="str">
        <f>VLOOKUP(A392,'[1]Bieu 1a'!$A$8:$AW$855,23,0)</f>
        <v>17/4/2019</v>
      </c>
      <c r="S392" s="25" t="s">
        <v>1941</v>
      </c>
      <c r="T392" s="26" t="s">
        <v>1942</v>
      </c>
      <c r="U392" s="16"/>
      <c r="V392" s="16" t="str">
        <f>IFERROR(VLOOKUP(A392,'[2]19.6.2026'!$A$9:$L$1111,5,0),"")</f>
        <v>003232/LS-CCHN</v>
      </c>
      <c r="W392" s="16" t="str">
        <f>IFERROR(VLOOKUP(A392,'[2]19.6.2026'!$A$9:$L$1111,6,0),"")</f>
        <v>20/07/2018</v>
      </c>
      <c r="X392" s="16"/>
      <c r="Y392" s="21" t="str">
        <f>IFERROR(VLOOKUP(A392,'[2]19.6.2026'!$A$9:$L$1111,7,0),"")</f>
        <v>Thực hiện phạm vi hoạt động chuyên môn theo quy định tại Thông tư số 26/2015/TTLT-BYT-BNV ngày 07/10/2015 quy định mã số, tiêu chuẩn chức danh nghề nghiệp điều dưỡng, hộ sinh, kỹ thuật y</v>
      </c>
      <c r="Z392" s="16"/>
      <c r="AA392" s="27" t="str">
        <f>IFERROR(VLOOKUP(A392,'[3]DS UPLOAD 2026 (2)'!$A$2:$P$1111,16,0),"")</f>
        <v/>
      </c>
      <c r="AB392" s="27" t="s">
        <v>1943</v>
      </c>
      <c r="AC392" s="29" t="s">
        <v>222</v>
      </c>
    </row>
    <row r="393" spans="1:29" ht="18" customHeight="1" x14ac:dyDescent="0.3">
      <c r="A393" s="17" t="s">
        <v>1944</v>
      </c>
      <c r="B393" s="29" t="s">
        <v>1945</v>
      </c>
      <c r="C393" s="17" t="s">
        <v>1944</v>
      </c>
      <c r="D393" s="19" t="s">
        <v>38</v>
      </c>
      <c r="E393" s="30" t="s">
        <v>41</v>
      </c>
      <c r="F393" s="16" t="str">
        <f>VLOOKUP(E393,'[1]BẢNG MÃ'!$A$2:$B$69,2,0)</f>
        <v>TĐ011</v>
      </c>
      <c r="G393" s="31" t="s">
        <v>42</v>
      </c>
      <c r="H393" s="31" t="s">
        <v>42</v>
      </c>
      <c r="I393" s="16" t="s">
        <v>1883</v>
      </c>
      <c r="J393" s="16" t="str">
        <f>VLOOKUP(I393,'[1]BẢNG MÃ'!$C$2:$D$69,2,0)</f>
        <v>KP017</v>
      </c>
      <c r="K393" s="16" t="s">
        <v>43</v>
      </c>
      <c r="L393" s="16">
        <v>0</v>
      </c>
      <c r="M393" s="16" t="s">
        <v>33</v>
      </c>
      <c r="N393" s="21">
        <f ca="1">VLOOKUP(A393,'[1]Bieu 1a'!$A$8:$AW$855,10,0)</f>
        <v>41</v>
      </c>
      <c r="O393" s="22">
        <f>VLOOKUP(A393,'[1]Bieu 1a'!$A$8:$AW$855,8,0)</f>
        <v>0</v>
      </c>
      <c r="P393" s="22">
        <f>VLOOKUP(A393,'[1]Bieu 1a'!$A$8:$AW$855,9,0)</f>
        <v>31171</v>
      </c>
      <c r="Q393" s="23" t="s">
        <v>435</v>
      </c>
      <c r="R393" s="24" t="str">
        <f>VLOOKUP(A393,'[1]Bieu 1a'!$A$8:$AW$855,23,0)</f>
        <v>15/1/2010</v>
      </c>
      <c r="S393" s="25" t="s">
        <v>1946</v>
      </c>
      <c r="T393" s="26" t="s">
        <v>1947</v>
      </c>
      <c r="U393" s="16"/>
      <c r="V393" s="16" t="str">
        <f>IFERROR(VLOOKUP(A393,'[2]19.6.2026'!$A$9:$L$1111,5,0),"")</f>
        <v>000860/LS-CCHN</v>
      </c>
      <c r="W393" s="16" t="str">
        <f>IFERROR(VLOOKUP(A393,'[2]19.6.2026'!$A$9:$L$1111,6,0),"")</f>
        <v>11/01/2023</v>
      </c>
      <c r="X393" s="16"/>
      <c r="Y393" s="21" t="str">
        <f>IFERROR(VLOOKUP(A393,'[2]19.6.2026'!$A$9:$L$1111,7,0),"")</f>
        <v>Thực hiện phạm vi hoạt động chuyên môn theo Thông tư số 26/2015/TTLT-BYT-BNV ngày 07/10/2015 quy định  mã số, tiêu chuẩn chức danh nghề nghiệp, điều dưỡng, hộ sinh, kỹ thuật y</v>
      </c>
      <c r="Z393" s="16"/>
      <c r="AA393" s="27" t="str">
        <f>IFERROR(VLOOKUP(A393,'[3]DS UPLOAD 2026 (2)'!$A$2:$P$1111,16,0),"")</f>
        <v/>
      </c>
      <c r="AB393" s="27" t="s">
        <v>1948</v>
      </c>
      <c r="AC393" s="29"/>
    </row>
    <row r="394" spans="1:29" ht="18" customHeight="1" x14ac:dyDescent="0.3">
      <c r="A394" s="17" t="s">
        <v>1949</v>
      </c>
      <c r="B394" s="18" t="s">
        <v>1950</v>
      </c>
      <c r="C394" s="17" t="s">
        <v>1949</v>
      </c>
      <c r="D394" s="19" t="s">
        <v>38</v>
      </c>
      <c r="E394" s="110" t="s">
        <v>41</v>
      </c>
      <c r="F394" s="16" t="str">
        <f>VLOOKUP(E394,'[1]BẢNG MÃ'!$A$2:$B$69,2,0)</f>
        <v>TĐ011</v>
      </c>
      <c r="G394" s="31" t="s">
        <v>42</v>
      </c>
      <c r="H394" s="31" t="s">
        <v>42</v>
      </c>
      <c r="I394" s="16" t="s">
        <v>1883</v>
      </c>
      <c r="J394" s="16" t="str">
        <f>VLOOKUP(I394,'[1]BẢNG MÃ'!$C$2:$D$69,2,0)</f>
        <v>KP017</v>
      </c>
      <c r="K394" s="16" t="s">
        <v>43</v>
      </c>
      <c r="L394" s="16">
        <v>0</v>
      </c>
      <c r="M394" s="16" t="s">
        <v>33</v>
      </c>
      <c r="N394" s="21">
        <f ca="1">VLOOKUP(A394,'[1]Bieu 1a'!$A$8:$AW$855,10,0)</f>
        <v>39</v>
      </c>
      <c r="O394" s="22">
        <f>VLOOKUP(A394,'[1]Bieu 1a'!$A$8:$AW$855,8,0)</f>
        <v>0</v>
      </c>
      <c r="P394" s="22">
        <f>VLOOKUP(A394,'[1]Bieu 1a'!$A$8:$AW$855,9,0)</f>
        <v>31772</v>
      </c>
      <c r="Q394" s="23" t="s">
        <v>50</v>
      </c>
      <c r="R394" s="24" t="str">
        <f>VLOOKUP(A394,'[1]Bieu 1a'!$A$8:$AW$855,23,0)</f>
        <v>1/12/2008</v>
      </c>
      <c r="S394" s="25" t="s">
        <v>1951</v>
      </c>
      <c r="T394" s="26" t="s">
        <v>1952</v>
      </c>
      <c r="U394" s="16"/>
      <c r="V394" s="16" t="str">
        <f>IFERROR(VLOOKUP(A394,'[2]19.6.2026'!$A$9:$L$1111,5,0),"")</f>
        <v>000863/LS-CCHN</v>
      </c>
      <c r="W394" s="16" t="str">
        <f>IFERROR(VLOOKUP(A394,'[2]19.6.2026'!$A$9:$L$1111,6,0),"")</f>
        <v>11/01/2023</v>
      </c>
      <c r="X394" s="16"/>
      <c r="Y394" s="21" t="str">
        <f>IFERROR(VLOOKUP(A394,'[2]19.6.2026'!$A$9:$L$1111,7,0),"")</f>
        <v>Thực hiện phạm vi hoạt động chuyên môn theo Thông tư số 26/2015/TTLT-BYT-BNV ngày 07/10/2015 quy định  mã số, tiêu chuẩn chức danh nghề nghiệp, điều dưỡng, hộ sinh, kỹ thuật y</v>
      </c>
      <c r="Z394" s="16"/>
      <c r="AA394" s="27" t="str">
        <f>IFERROR(VLOOKUP(A394,'[3]DS UPLOAD 2026 (2)'!$A$2:$P$1111,16,0),"")</f>
        <v/>
      </c>
      <c r="AB394" s="27" t="s">
        <v>1953</v>
      </c>
      <c r="AC394" s="28"/>
    </row>
    <row r="395" spans="1:29" ht="18" customHeight="1" x14ac:dyDescent="0.3">
      <c r="A395" s="17" t="s">
        <v>1954</v>
      </c>
      <c r="B395" s="29" t="s">
        <v>1955</v>
      </c>
      <c r="C395" s="17" t="s">
        <v>1954</v>
      </c>
      <c r="D395" s="19" t="s">
        <v>38</v>
      </c>
      <c r="E395" s="110" t="s">
        <v>41</v>
      </c>
      <c r="F395" s="16" t="str">
        <f>VLOOKUP(E395,'[1]BẢNG MÃ'!$A$2:$B$69,2,0)</f>
        <v>TĐ011</v>
      </c>
      <c r="G395" s="31" t="s">
        <v>42</v>
      </c>
      <c r="H395" s="31" t="s">
        <v>42</v>
      </c>
      <c r="I395" s="16" t="s">
        <v>1883</v>
      </c>
      <c r="J395" s="16" t="str">
        <f>VLOOKUP(I395,'[1]BẢNG MÃ'!$C$2:$D$69,2,0)</f>
        <v>KP017</v>
      </c>
      <c r="K395" s="16" t="s">
        <v>43</v>
      </c>
      <c r="L395" s="16">
        <v>0</v>
      </c>
      <c r="M395" s="16" t="s">
        <v>33</v>
      </c>
      <c r="N395" s="21">
        <f ca="1">VLOOKUP(A395,'[1]Bieu 1a'!$A$8:$AW$855,10,0)</f>
        <v>37</v>
      </c>
      <c r="O395" s="22">
        <f>VLOOKUP(A395,'[1]Bieu 1a'!$A$8:$AW$855,8,0)</f>
        <v>0</v>
      </c>
      <c r="P395" s="22">
        <f>VLOOKUP(A395,'[1]Bieu 1a'!$A$8:$AW$855,9,0)</f>
        <v>32367</v>
      </c>
      <c r="Q395" s="23" t="s">
        <v>44</v>
      </c>
      <c r="R395" s="24" t="str">
        <f>VLOOKUP(A395,'[1]Bieu 1a'!$A$8:$AW$855,23,0)</f>
        <v>02/01/2009</v>
      </c>
      <c r="S395" s="25" t="s">
        <v>1956</v>
      </c>
      <c r="T395" s="26" t="s">
        <v>1957</v>
      </c>
      <c r="U395" s="16"/>
      <c r="V395" s="16" t="str">
        <f>IFERROR(VLOOKUP(A395,'[2]19.6.2026'!$A$9:$L$1111,5,0),"")</f>
        <v>000858/LS-CCHN</v>
      </c>
      <c r="W395" s="16" t="str">
        <f>IFERROR(VLOOKUP(A395,'[2]19.6.2026'!$A$9:$L$1111,6,0),"")</f>
        <v>11/01/2023</v>
      </c>
      <c r="X395" s="16"/>
      <c r="Y395" s="21" t="str">
        <f>IFERROR(VLOOKUP(A395,'[2]19.6.2026'!$A$9:$L$1111,7,0),"")</f>
        <v>Thực hiện phạm vi hoạt động chuyên môn theo Thông tư số 26/2015/TTLT-BYT-BNV ngày 07/10/2015 quy định  mã số, tiêu chuẩn chức danh nghề nghiệp, điều dưỡng, hộ sinh, kỹ thuật y</v>
      </c>
      <c r="Z395" s="16"/>
      <c r="AA395" s="27" t="str">
        <f>IFERROR(VLOOKUP(A395,'[3]DS UPLOAD 2026 (2)'!$A$2:$P$1111,16,0),"")</f>
        <v/>
      </c>
      <c r="AB395" s="27" t="s">
        <v>1958</v>
      </c>
      <c r="AC395" s="28"/>
    </row>
    <row r="396" spans="1:29" ht="18" customHeight="1" x14ac:dyDescent="0.3">
      <c r="A396" s="17" t="s">
        <v>1959</v>
      </c>
      <c r="B396" s="59" t="s">
        <v>1960</v>
      </c>
      <c r="C396" s="17" t="s">
        <v>1959</v>
      </c>
      <c r="D396" s="19" t="s">
        <v>38</v>
      </c>
      <c r="E396" s="19" t="s">
        <v>61</v>
      </c>
      <c r="F396" s="16" t="str">
        <f>VLOOKUP(E396,'[1]BẢNG MÃ'!$A$2:$B$69,2,0)</f>
        <v>TĐ012</v>
      </c>
      <c r="G396" s="20"/>
      <c r="H396" s="20" t="s">
        <v>62</v>
      </c>
      <c r="I396" s="16" t="s">
        <v>1883</v>
      </c>
      <c r="J396" s="16" t="str">
        <f>VLOOKUP(I396,'[1]BẢNG MÃ'!$C$2:$D$69,2,0)</f>
        <v>KP017</v>
      </c>
      <c r="K396" s="16"/>
      <c r="L396" s="16"/>
      <c r="M396" s="23" t="s">
        <v>33</v>
      </c>
      <c r="N396" s="21">
        <f ca="1">VLOOKUP(A396,'[1]Bieu 1a'!$A$8:$AW$855,10,0)</f>
        <v>34</v>
      </c>
      <c r="O396" s="22">
        <f>VLOOKUP(A396,'[1]Bieu 1a'!$A$8:$AW$855,8,0)</f>
        <v>0</v>
      </c>
      <c r="P396" s="22">
        <f>VLOOKUP(A396,'[1]Bieu 1a'!$A$8:$AW$855,9,0)</f>
        <v>33442</v>
      </c>
      <c r="Q396" s="23" t="s">
        <v>44</v>
      </c>
      <c r="R396" s="24" t="str">
        <f>VLOOKUP(A396,'[1]Bieu 1a'!$A$8:$AW$855,23,0)</f>
        <v xml:space="preserve"> 02/10/2017</v>
      </c>
      <c r="S396" s="25" t="s">
        <v>1961</v>
      </c>
      <c r="T396" s="26" t="s">
        <v>1895</v>
      </c>
      <c r="U396" s="16"/>
      <c r="V396" s="16" t="str">
        <f>IFERROR(VLOOKUP(A396,'[2]19.6.2026'!$A$9:$L$1111,5,0),"")</f>
        <v>003334/LS-CCHN</v>
      </c>
      <c r="W396" s="16" t="str">
        <f>IFERROR(VLOOKUP(A396,'[2]19.6.2026'!$A$9:$L$1111,6,0),"")</f>
        <v>17/08/2018</v>
      </c>
      <c r="X396" s="16"/>
      <c r="Y396" s="21" t="str">
        <f>IFERROR(VLOOKUP(A396,'[2]19.6.2026'!$A$9:$L$1111,7,0),"")</f>
        <v>Thực hiện phạm vi hoạt động chuyên môn theo quy định tại Thông tư số 26/2015/TTLT-BYT-BNV ngày 07/10/2015 quy định mã số, tiêu chuẩn chức danh nghề nghiệp điều dưỡng, hộ sinh, kỹ thuật y</v>
      </c>
      <c r="Z396" s="16"/>
      <c r="AA396" s="27" t="str">
        <f>IFERROR(VLOOKUP(A396,'[3]DS UPLOAD 2026 (2)'!$A$2:$P$1111,16,0),"")</f>
        <v/>
      </c>
      <c r="AB396" s="27" t="s">
        <v>1962</v>
      </c>
      <c r="AC396" s="29" t="s">
        <v>1963</v>
      </c>
    </row>
    <row r="397" spans="1:29" ht="18" customHeight="1" x14ac:dyDescent="0.3">
      <c r="A397" s="17" t="s">
        <v>1964</v>
      </c>
      <c r="B397" s="29" t="s">
        <v>1965</v>
      </c>
      <c r="C397" s="17" t="s">
        <v>1964</v>
      </c>
      <c r="D397" s="19" t="s">
        <v>38</v>
      </c>
      <c r="E397" s="100" t="s">
        <v>41</v>
      </c>
      <c r="F397" s="16" t="str">
        <f>VLOOKUP(E397,'[1]BẢNG MÃ'!$A$2:$B$69,2,0)</f>
        <v>TĐ011</v>
      </c>
      <c r="G397" s="111" t="s">
        <v>42</v>
      </c>
      <c r="H397" s="31" t="s">
        <v>42</v>
      </c>
      <c r="I397" s="16" t="s">
        <v>1883</v>
      </c>
      <c r="J397" s="16" t="str">
        <f>VLOOKUP(I397,'[1]BẢNG MÃ'!$C$2:$D$69,2,0)</f>
        <v>KP017</v>
      </c>
      <c r="K397" s="16" t="s">
        <v>43</v>
      </c>
      <c r="L397" s="16">
        <v>0</v>
      </c>
      <c r="M397" s="16" t="s">
        <v>33</v>
      </c>
      <c r="N397" s="21">
        <f ca="1">VLOOKUP(A397,'[1]Bieu 1a'!$A$8:$AW$855,10,0)</f>
        <v>36</v>
      </c>
      <c r="O397" s="22">
        <f>VLOOKUP(A397,'[1]Bieu 1a'!$A$8:$AW$855,8,0)</f>
        <v>0</v>
      </c>
      <c r="P397" s="22">
        <f>VLOOKUP(A397,'[1]Bieu 1a'!$A$8:$AW$855,9,0)</f>
        <v>32932</v>
      </c>
      <c r="Q397" s="23" t="s">
        <v>44</v>
      </c>
      <c r="R397" s="24" t="str">
        <f>VLOOKUP(A397,'[1]Bieu 1a'!$A$8:$AW$855,23,0)</f>
        <v>05/6/2013</v>
      </c>
      <c r="S397" s="25" t="s">
        <v>1966</v>
      </c>
      <c r="T397" s="26" t="s">
        <v>1967</v>
      </c>
      <c r="U397" s="16"/>
      <c r="V397" s="16" t="str">
        <f>IFERROR(VLOOKUP(A397,'[2]19.6.2026'!$A$9:$L$1111,5,0),"")</f>
        <v>000400/LS-CCHN</v>
      </c>
      <c r="W397" s="16" t="str">
        <f>IFERROR(VLOOKUP(A397,'[2]19.6.2026'!$A$9:$L$1111,6,0),"")</f>
        <v>11/01/2023</v>
      </c>
      <c r="X397" s="16"/>
      <c r="Y397" s="21" t="str">
        <f>IFERROR(VLOOKUP(A397,'[2]19.6.2026'!$A$9:$L$1111,7,0),"")</f>
        <v>Thực hiện phạm vi hoạt động chuyên môn theo Thông tư số 26/2015/TTLT-BYT-BNV ngày 07/10/2015 quy định  mã số, tiêu chuẩn chức danh nghề nghiệp, điều dưỡng, hộ sinh, kỹ thuật y</v>
      </c>
      <c r="Z397" s="16"/>
      <c r="AA397" s="27" t="str">
        <f>IFERROR(VLOOKUP(A397,'[3]DS UPLOAD 2026 (2)'!$A$2:$P$1111,16,0),"")</f>
        <v/>
      </c>
      <c r="AB397" s="27" t="s">
        <v>1968</v>
      </c>
      <c r="AC397" s="112" t="s">
        <v>1969</v>
      </c>
    </row>
    <row r="398" spans="1:29" ht="18" customHeight="1" x14ac:dyDescent="0.3">
      <c r="A398" s="17" t="s">
        <v>1970</v>
      </c>
      <c r="B398" s="40" t="s">
        <v>1971</v>
      </c>
      <c r="C398" s="17" t="s">
        <v>1970</v>
      </c>
      <c r="D398" s="19" t="s">
        <v>38</v>
      </c>
      <c r="E398" s="19" t="s">
        <v>61</v>
      </c>
      <c r="F398" s="16" t="str">
        <f>VLOOKUP(E398,'[1]BẢNG MÃ'!$A$2:$B$69,2,0)</f>
        <v>TĐ012</v>
      </c>
      <c r="G398" s="20"/>
      <c r="H398" s="20" t="s">
        <v>62</v>
      </c>
      <c r="I398" s="16" t="s">
        <v>1883</v>
      </c>
      <c r="J398" s="16" t="str">
        <f>VLOOKUP(I398,'[1]BẢNG MÃ'!$C$2:$D$69,2,0)</f>
        <v>KP017</v>
      </c>
      <c r="K398" s="16"/>
      <c r="L398" s="16"/>
      <c r="M398" s="23" t="s">
        <v>33</v>
      </c>
      <c r="N398" s="21">
        <f ca="1">VLOOKUP(A398,'[1]Bieu 1a'!$A$8:$AW$855,10,0)</f>
        <v>33</v>
      </c>
      <c r="O398" s="22">
        <f>VLOOKUP(A398,'[1]Bieu 1a'!$A$8:$AW$855,8,0)</f>
        <v>0</v>
      </c>
      <c r="P398" s="22" t="str">
        <f>VLOOKUP(A398,'[1]Bieu 1a'!$A$8:$AW$855,9,0)</f>
        <v>26/9/1992</v>
      </c>
      <c r="Q398" s="23" t="s">
        <v>50</v>
      </c>
      <c r="R398" s="24" t="str">
        <f>VLOOKUP(A398,'[1]Bieu 1a'!$A$8:$AW$855,23,0)</f>
        <v xml:space="preserve"> 29/8/2016</v>
      </c>
      <c r="S398" s="25" t="s">
        <v>1972</v>
      </c>
      <c r="T398" s="26" t="s">
        <v>1973</v>
      </c>
      <c r="U398" s="16"/>
      <c r="V398" s="16" t="str">
        <f>IFERROR(VLOOKUP(A398,'[2]19.6.2026'!$A$9:$L$1111,5,0),"")</f>
        <v>002163/LS-CCHN</v>
      </c>
      <c r="W398" s="16" t="str">
        <f>IFERROR(VLOOKUP(A398,'[2]19.6.2026'!$A$9:$L$1111,6,0),"")</f>
        <v>29/12/2017</v>
      </c>
      <c r="X398" s="16"/>
      <c r="Y398" s="21" t="str">
        <f>IFERROR(VLOOKUP(A398,'[2]19.6.2026'!$A$9:$L$1111,7,0),"")</f>
        <v>Thực hiện phạm vi hoạt động chuyên môn theo quy định tại Thông tư số 26/2015/TTLT-BYT-BNV ngày 07/10/2015 quy định mã số, tiêu chuẩn chức danh nghề nghiệp điều dưỡng, hộ sinh, kỹ thuật y</v>
      </c>
      <c r="Z398" s="16"/>
      <c r="AA398" s="27" t="str">
        <f>IFERROR(VLOOKUP(A398,'[3]DS UPLOAD 2026 (2)'!$A$2:$P$1111,16,0),"")</f>
        <v/>
      </c>
      <c r="AB398" s="27" t="s">
        <v>1974</v>
      </c>
      <c r="AC398" s="29" t="s">
        <v>239</v>
      </c>
    </row>
    <row r="399" spans="1:29" ht="18" customHeight="1" x14ac:dyDescent="0.3">
      <c r="A399" s="17" t="s">
        <v>1975</v>
      </c>
      <c r="B399" s="40" t="s">
        <v>1976</v>
      </c>
      <c r="C399" s="17" t="s">
        <v>1975</v>
      </c>
      <c r="D399" s="19" t="s">
        <v>38</v>
      </c>
      <c r="E399" s="19" t="s">
        <v>61</v>
      </c>
      <c r="F399" s="16" t="str">
        <f>VLOOKUP(E399,'[1]BẢNG MÃ'!$A$2:$B$69,2,0)</f>
        <v>TĐ012</v>
      </c>
      <c r="G399" s="20"/>
      <c r="H399" s="20" t="s">
        <v>62</v>
      </c>
      <c r="I399" s="16" t="s">
        <v>1883</v>
      </c>
      <c r="J399" s="16" t="str">
        <f>VLOOKUP(I399,'[1]BẢNG MÃ'!$C$2:$D$69,2,0)</f>
        <v>KP017</v>
      </c>
      <c r="K399" s="16"/>
      <c r="L399" s="16"/>
      <c r="M399" s="16" t="s">
        <v>33</v>
      </c>
      <c r="N399" s="21">
        <f ca="1">VLOOKUP(A399,'[1]Bieu 1a'!$A$8:$AW$855,10,0)</f>
        <v>35</v>
      </c>
      <c r="O399" s="22">
        <f>VLOOKUP(A399,'[1]Bieu 1a'!$A$8:$AW$855,8,0)</f>
        <v>0</v>
      </c>
      <c r="P399" s="22" t="str">
        <f>VLOOKUP(A399,'[1]Bieu 1a'!$A$8:$AW$855,9,0)</f>
        <v>07/11/1990</v>
      </c>
      <c r="Q399" s="23" t="s">
        <v>50</v>
      </c>
      <c r="R399" s="24" t="str">
        <f>VLOOKUP(A399,'[1]Bieu 1a'!$A$8:$AW$855,23,0)</f>
        <v xml:space="preserve"> 29/8/2016</v>
      </c>
      <c r="S399" s="25" t="s">
        <v>1977</v>
      </c>
      <c r="T399" s="26" t="s">
        <v>1978</v>
      </c>
      <c r="U399" s="16"/>
      <c r="V399" s="16" t="str">
        <f>IFERROR(VLOOKUP(A399,'[2]19.6.2026'!$A$9:$L$1111,5,0),"")</f>
        <v>002172/LS-CCHN</v>
      </c>
      <c r="W399" s="16" t="str">
        <f>IFERROR(VLOOKUP(A399,'[2]19.6.2026'!$A$9:$L$1111,6,0),"")</f>
        <v>29/12/2017</v>
      </c>
      <c r="X399" s="16"/>
      <c r="Y399" s="21" t="str">
        <f>IFERROR(VLOOKUP(A399,'[2]19.6.2026'!$A$9:$L$1111,7,0),"")</f>
        <v>Thực hiện phạm vi hoạt động chuyên môn theo quy định tại Thông tư số 26/2015/TTLT-BYT-BNV ngày 07/10/2015 quy định mã số, tiêu chuẩn chức danh nghề nghiệp điều dưỡng, hộ sinh, kỹ thuật y</v>
      </c>
      <c r="Z399" s="16"/>
      <c r="AA399" s="27" t="str">
        <f>IFERROR(VLOOKUP(A399,'[3]DS UPLOAD 2026 (2)'!$A$2:$P$1111,16,0),"")</f>
        <v/>
      </c>
      <c r="AB399" s="27" t="s">
        <v>1979</v>
      </c>
      <c r="AC399" s="29" t="s">
        <v>1658</v>
      </c>
    </row>
    <row r="400" spans="1:29" ht="18" customHeight="1" x14ac:dyDescent="0.3">
      <c r="A400" s="17" t="s">
        <v>1980</v>
      </c>
      <c r="B400" s="29" t="s">
        <v>1981</v>
      </c>
      <c r="C400" s="17" t="s">
        <v>1980</v>
      </c>
      <c r="D400" s="19" t="s">
        <v>38</v>
      </c>
      <c r="E400" s="19" t="s">
        <v>61</v>
      </c>
      <c r="F400" s="16" t="str">
        <f>VLOOKUP(E400,'[1]BẢNG MÃ'!$A$2:$B$69,2,0)</f>
        <v>TĐ012</v>
      </c>
      <c r="G400" s="20"/>
      <c r="H400" s="20" t="s">
        <v>62</v>
      </c>
      <c r="I400" s="16" t="s">
        <v>1883</v>
      </c>
      <c r="J400" s="16" t="str">
        <f>VLOOKUP(I400,'[1]BẢNG MÃ'!$C$2:$D$69,2,0)</f>
        <v>KP017</v>
      </c>
      <c r="K400" s="16"/>
      <c r="L400" s="16"/>
      <c r="M400" s="16" t="s">
        <v>33</v>
      </c>
      <c r="N400" s="21">
        <f ca="1">VLOOKUP(A400,'[1]Bieu 1a'!$A$8:$AW$855,10,0)</f>
        <v>34</v>
      </c>
      <c r="O400" s="22">
        <f>VLOOKUP(A400,'[1]Bieu 1a'!$A$8:$AW$855,8,0)</f>
        <v>0</v>
      </c>
      <c r="P400" s="22">
        <f>VLOOKUP(A400,'[1]Bieu 1a'!$A$8:$AW$855,9,0)</f>
        <v>33531</v>
      </c>
      <c r="Q400" s="23" t="s">
        <v>44</v>
      </c>
      <c r="R400" s="24">
        <f>VLOOKUP(A400,'[1]Bieu 1a'!$A$8:$AW$855,23,0)</f>
        <v>41008</v>
      </c>
      <c r="S400" s="25" t="s">
        <v>1982</v>
      </c>
      <c r="T400" s="26" t="s">
        <v>1983</v>
      </c>
      <c r="U400" s="16"/>
      <c r="V400" s="16" t="str">
        <f>IFERROR(VLOOKUP(A400,'[2]19.6.2026'!$A$9:$L$1111,5,0),"")</f>
        <v>000760/LS-CCHN</v>
      </c>
      <c r="W400" s="16" t="str">
        <f>IFERROR(VLOOKUP(A400,'[2]19.6.2026'!$A$9:$L$1111,6,0),"")</f>
        <v>11/01/2023</v>
      </c>
      <c r="X400" s="16"/>
      <c r="Y400" s="21" t="str">
        <f>IFERROR(VLOOKUP(A400,'[2]19.6.2026'!$A$9:$L$1111,7,0),"")</f>
        <v>Thực hiện phạm vi hoạt động chuyên môn theo Thông tư số 26/2015/TTLT-BYT-BNV ngày 07/10/2015 quy định  mã số, tiêu chuẩn chức danh nghề nghiệp, điều dưỡng, hộ sinh, kỹ thuật y</v>
      </c>
      <c r="Z400" s="16"/>
      <c r="AA400" s="27" t="str">
        <f>IFERROR(VLOOKUP(A400,'[3]DS UPLOAD 2026 (2)'!$A$2:$P$1111,16,0),"")</f>
        <v/>
      </c>
      <c r="AB400" s="27" t="s">
        <v>1984</v>
      </c>
      <c r="AC400" s="29" t="s">
        <v>1658</v>
      </c>
    </row>
    <row r="401" spans="1:29" ht="18" customHeight="1" x14ac:dyDescent="0.3">
      <c r="A401" s="17" t="s">
        <v>1985</v>
      </c>
      <c r="B401" s="36" t="s">
        <v>1986</v>
      </c>
      <c r="C401" s="17" t="s">
        <v>1985</v>
      </c>
      <c r="D401" s="19" t="s">
        <v>38</v>
      </c>
      <c r="E401" s="19" t="s">
        <v>61</v>
      </c>
      <c r="F401" s="16" t="str">
        <f>VLOOKUP(E401,'[1]BẢNG MÃ'!$A$2:$B$69,2,0)</f>
        <v>TĐ012</v>
      </c>
      <c r="G401" s="20"/>
      <c r="H401" s="20" t="s">
        <v>62</v>
      </c>
      <c r="I401" s="16" t="s">
        <v>1883</v>
      </c>
      <c r="J401" s="16" t="str">
        <f>VLOOKUP(I401,'[1]BẢNG MÃ'!$C$2:$D$69,2,0)</f>
        <v>KP017</v>
      </c>
      <c r="K401" s="37"/>
      <c r="L401" s="16"/>
      <c r="M401" s="23" t="s">
        <v>33</v>
      </c>
      <c r="N401" s="21">
        <f ca="1">VLOOKUP(A401,'[1]Bieu 1a'!$A$8:$AW$855,10,0)</f>
        <v>34</v>
      </c>
      <c r="O401" s="22">
        <f>VLOOKUP(A401,'[1]Bieu 1a'!$A$8:$AW$855,8,0)</f>
        <v>0</v>
      </c>
      <c r="P401" s="22">
        <f>VLOOKUP(A401,'[1]Bieu 1a'!$A$8:$AW$855,9,0)</f>
        <v>33581</v>
      </c>
      <c r="Q401" s="23" t="s">
        <v>50</v>
      </c>
      <c r="R401" s="24" t="str">
        <f>VLOOKUP(A401,'[1]Bieu 1a'!$A$8:$AW$855,23,0)</f>
        <v>01/11/2018</v>
      </c>
      <c r="S401" s="25" t="s">
        <v>1987</v>
      </c>
      <c r="T401" s="26" t="s">
        <v>1988</v>
      </c>
      <c r="U401" s="16"/>
      <c r="V401" s="16" t="str">
        <f>IFERROR(VLOOKUP(A401,'[2]19.6.2026'!$A$9:$L$1111,5,0),"")</f>
        <v>003807/LS-CCHN</v>
      </c>
      <c r="W401" s="16" t="str">
        <f>IFERROR(VLOOKUP(A401,'[2]19.6.2026'!$A$9:$L$1111,6,0),"")</f>
        <v>21/07/2020</v>
      </c>
      <c r="X401" s="16"/>
      <c r="Y401" s="21" t="str">
        <f>IFERROR(VLOOKUP(A401,'[2]19.6.2026'!$A$9:$L$1111,7,0),"")</f>
        <v>Thực hiện phạm vi hoạt động chuyên môn theo quy định tại Thông tư số 26/2015/TTLT-BYT-BNV ngày 07/10/2015 quy định mã số, tiêu chuẩn chức danh nghề nghiệp điều dưỡng, hộ sinh, kỹ thuật y</v>
      </c>
      <c r="Z401" s="16"/>
      <c r="AA401" s="27" t="str">
        <f>IFERROR(VLOOKUP(A401,'[3]DS UPLOAD 2026 (2)'!$A$2:$P$1111,16,0),"")</f>
        <v/>
      </c>
      <c r="AB401" s="27" t="s">
        <v>1989</v>
      </c>
      <c r="AC401" s="29" t="s">
        <v>85</v>
      </c>
    </row>
    <row r="402" spans="1:29" ht="18" customHeight="1" x14ac:dyDescent="0.3">
      <c r="A402" s="17" t="s">
        <v>1990</v>
      </c>
      <c r="B402" s="38" t="s">
        <v>1991</v>
      </c>
      <c r="C402" s="17" t="s">
        <v>1990</v>
      </c>
      <c r="D402" s="39"/>
      <c r="E402" s="19" t="s">
        <v>61</v>
      </c>
      <c r="F402" s="16" t="str">
        <f>VLOOKUP(E402,'[1]BẢNG MÃ'!$A$2:$B$69,2,0)</f>
        <v>TĐ012</v>
      </c>
      <c r="G402" s="38"/>
      <c r="H402" s="20" t="s">
        <v>62</v>
      </c>
      <c r="I402" s="16" t="s">
        <v>1883</v>
      </c>
      <c r="J402" s="16" t="str">
        <f>VLOOKUP(I402,'[1]BẢNG MÃ'!$C$2:$D$69,2,0)</f>
        <v>KP017</v>
      </c>
      <c r="K402" s="16"/>
      <c r="L402" s="16"/>
      <c r="M402" s="23" t="s">
        <v>33</v>
      </c>
      <c r="N402" s="21">
        <f ca="1">VLOOKUP(A402,'[1]Bieu 1a'!$A$8:$AW$855,10,0)</f>
        <v>28</v>
      </c>
      <c r="O402" s="22" t="str">
        <f>VLOOKUP(A402,'[1]Bieu 1a'!$A$8:$AW$855,8,0)</f>
        <v>16/08/1997</v>
      </c>
      <c r="P402" s="22">
        <f>VLOOKUP(A402,'[1]Bieu 1a'!$A$8:$AW$855,9,0)</f>
        <v>0</v>
      </c>
      <c r="Q402" s="23" t="s">
        <v>44</v>
      </c>
      <c r="R402" s="24" t="str">
        <f>VLOOKUP(A402,'[1]Bieu 1a'!$A$8:$AW$855,23,0)</f>
        <v>17/4/2019</v>
      </c>
      <c r="S402" s="25" t="s">
        <v>1992</v>
      </c>
      <c r="T402" s="26" t="s">
        <v>1993</v>
      </c>
      <c r="U402" s="16"/>
      <c r="V402" s="16" t="str">
        <f>IFERROR(VLOOKUP(A402,'[2]19.6.2026'!$A$9:$L$1111,5,0),"")</f>
        <v>004494/LS-CCHN</v>
      </c>
      <c r="W402" s="16" t="str">
        <f>IFERROR(VLOOKUP(A402,'[2]19.6.2026'!$A$9:$L$1111,6,0),"")</f>
        <v>06/04/2022</v>
      </c>
      <c r="X402" s="16"/>
      <c r="Y402" s="21" t="str">
        <f>IFERROR(VLOOKUP(A402,'[2]19.6.2026'!$A$9:$L$1111,7,0),"")</f>
        <v>Thực hiện phạm vi hoạt động chuyên môn theo quy định tại Thông tư số 26/2015/TTLT-BYT-BNV ngày 07/10/2015 quy định mã số, tiêu chuẩn chức danh nghề nghiệp điều dưỡng, hộ sinh, kỹ thuật y</v>
      </c>
      <c r="Z402" s="16"/>
      <c r="AA402" s="27" t="str">
        <f>IFERROR(VLOOKUP(A402,'[3]DS UPLOAD 2026 (2)'!$A$2:$P$1111,16,0),"")</f>
        <v/>
      </c>
      <c r="AB402" s="27" t="s">
        <v>1994</v>
      </c>
      <c r="AC402" s="29" t="s">
        <v>222</v>
      </c>
    </row>
    <row r="403" spans="1:29" ht="18" customHeight="1" x14ac:dyDescent="0.3">
      <c r="A403" s="29" t="s">
        <v>1995</v>
      </c>
      <c r="B403" s="29" t="s">
        <v>1996</v>
      </c>
      <c r="C403" s="29" t="s">
        <v>1995</v>
      </c>
      <c r="D403" s="53"/>
      <c r="E403" s="19" t="s">
        <v>61</v>
      </c>
      <c r="F403" s="16" t="str">
        <f>VLOOKUP(E403,'[1]BẢNG MÃ'!$A$2:$B$69,2,0)</f>
        <v>TĐ012</v>
      </c>
      <c r="G403" s="20"/>
      <c r="H403" s="20" t="s">
        <v>62</v>
      </c>
      <c r="I403" s="16" t="s">
        <v>1883</v>
      </c>
      <c r="J403" s="16" t="str">
        <f>VLOOKUP(I403,'[1]BẢNG MÃ'!$C$2:$D$69,2,0)</f>
        <v>KP017</v>
      </c>
      <c r="K403" s="16"/>
      <c r="L403" s="16"/>
      <c r="M403" s="23" t="s">
        <v>33</v>
      </c>
      <c r="N403" s="21">
        <f ca="1">VLOOKUP(A403,'[1]Bieu 1a'!$A$8:$AW$855,10,0)</f>
        <v>28</v>
      </c>
      <c r="O403" s="22" t="str">
        <f>VLOOKUP(A403,'[1]Bieu 1a'!$A$8:$AW$855,8,0)</f>
        <v>17/01/1998</v>
      </c>
      <c r="P403" s="22">
        <f>VLOOKUP(A403,'[1]Bieu 1a'!$A$8:$AW$855,9,0)</f>
        <v>0</v>
      </c>
      <c r="Q403" s="23" t="s">
        <v>44</v>
      </c>
      <c r="R403" s="24" t="str">
        <f>VLOOKUP(A403,'[1]Bieu 1a'!$A$8:$AW$855,23,0)</f>
        <v>02/12/2019</v>
      </c>
      <c r="S403" s="25" t="s">
        <v>1997</v>
      </c>
      <c r="T403" s="26" t="s">
        <v>1998</v>
      </c>
      <c r="U403" s="16"/>
      <c r="V403" s="16" t="str">
        <f>IFERROR(VLOOKUP(A403,'[2]19.6.2026'!$A$9:$L$1111,5,0),"")</f>
        <v>005538/LS-CCHN</v>
      </c>
      <c r="W403" s="16" t="str">
        <f>IFERROR(VLOOKUP(A403,'[2]19.6.2026'!$A$9:$L$1111,6,0),"")</f>
        <v>11/01/2023</v>
      </c>
      <c r="X403" s="16"/>
      <c r="Y403" s="21" t="str">
        <f>IFERROR(VLOOKUP(A403,'[2]19.6.2026'!$A$9:$L$1111,7,0),"")</f>
        <v>Thực hiện phạm vi hoạt động chuyên môn theo Thông tư số 26/2015/TTLT-BYT-BNV ngày 07/10/2015 quy định  mã số, tiêu chuẩn chức danh nghề nghiệp, điều dưỡng, hộ sinh, kỹ thuật y</v>
      </c>
      <c r="Z403" s="16"/>
      <c r="AA403" s="27" t="str">
        <f>IFERROR(VLOOKUP(A403,'[3]DS UPLOAD 2026 (2)'!$A$2:$P$1111,16,0),"")</f>
        <v/>
      </c>
      <c r="AB403" s="27"/>
      <c r="AC403" s="29" t="s">
        <v>327</v>
      </c>
    </row>
    <row r="404" spans="1:29" ht="18" customHeight="1" x14ac:dyDescent="0.3">
      <c r="A404" s="17" t="s">
        <v>1999</v>
      </c>
      <c r="B404" s="29" t="s">
        <v>2000</v>
      </c>
      <c r="C404" s="17" t="s">
        <v>1999</v>
      </c>
      <c r="D404" s="19" t="s">
        <v>38</v>
      </c>
      <c r="E404" s="19" t="s">
        <v>61</v>
      </c>
      <c r="F404" s="16" t="str">
        <f>VLOOKUP(E404,'[1]BẢNG MÃ'!$A$2:$B$69,2,0)</f>
        <v>TĐ012</v>
      </c>
      <c r="G404" s="20" t="s">
        <v>62</v>
      </c>
      <c r="H404" s="20" t="s">
        <v>62</v>
      </c>
      <c r="I404" s="16" t="s">
        <v>1883</v>
      </c>
      <c r="J404" s="16" t="str">
        <f>VLOOKUP(I404,'[1]BẢNG MÃ'!$C$2:$D$69,2,0)</f>
        <v>KP017</v>
      </c>
      <c r="K404" s="16" t="s">
        <v>43</v>
      </c>
      <c r="L404" s="16">
        <v>0</v>
      </c>
      <c r="M404" s="16" t="s">
        <v>33</v>
      </c>
      <c r="N404" s="21">
        <f ca="1">VLOOKUP(A404,'[1]Bieu 1a'!$A$8:$AW$855,10,0)</f>
        <v>39</v>
      </c>
      <c r="O404" s="22">
        <f>VLOOKUP(A404,'[1]Bieu 1a'!$A$8:$AW$855,8,0)</f>
        <v>0</v>
      </c>
      <c r="P404" s="22">
        <f>VLOOKUP(A404,'[1]Bieu 1a'!$A$8:$AW$855,9,0)</f>
        <v>31644</v>
      </c>
      <c r="Q404" s="23" t="s">
        <v>44</v>
      </c>
      <c r="R404" s="24" t="str">
        <f>VLOOKUP(A404,'[1]Bieu 1a'!$A$8:$AW$855,23,0)</f>
        <v>15/1/2010</v>
      </c>
      <c r="S404" s="25" t="s">
        <v>2001</v>
      </c>
      <c r="T404" s="26" t="s">
        <v>2002</v>
      </c>
      <c r="U404" s="16"/>
      <c r="V404" s="16" t="str">
        <f>IFERROR(VLOOKUP(A404,'[2]19.6.2026'!$A$9:$L$1111,5,0),"")</f>
        <v>000853/LS-CCHN</v>
      </c>
      <c r="W404" s="16" t="str">
        <f>IFERROR(VLOOKUP(A404,'[2]19.6.2026'!$A$9:$L$1111,6,0),"")</f>
        <v>11/01/2023</v>
      </c>
      <c r="X404" s="16"/>
      <c r="Y404" s="21" t="str">
        <f>IFERROR(VLOOKUP(A404,'[2]19.6.2026'!$A$9:$L$1111,7,0),"")</f>
        <v>Thực hiện phạm vi hoạt động chuyên môn theo Thông tư số 26/2015/TTLT-BYT-BNV ngày 07/10/2015 quy định  mã số, tiêu chuẩn chức danh nghề nghiệp, điều dưỡng, hộ sinh, kỹ thuật y</v>
      </c>
      <c r="Z404" s="16"/>
      <c r="AA404" s="27" t="str">
        <f>IFERROR(VLOOKUP(A404,'[3]DS UPLOAD 2026 (2)'!$A$2:$P$1111,16,0),"")</f>
        <v/>
      </c>
      <c r="AB404" s="27" t="s">
        <v>2003</v>
      </c>
      <c r="AC404" s="28"/>
    </row>
    <row r="405" spans="1:29" ht="18" customHeight="1" x14ac:dyDescent="0.3">
      <c r="A405" s="17" t="s">
        <v>2004</v>
      </c>
      <c r="B405" s="36" t="s">
        <v>2005</v>
      </c>
      <c r="C405" s="17" t="s">
        <v>2004</v>
      </c>
      <c r="D405" s="53" t="s">
        <v>38</v>
      </c>
      <c r="E405" s="19" t="s">
        <v>61</v>
      </c>
      <c r="F405" s="16" t="str">
        <f>VLOOKUP(E405,'[1]BẢNG MÃ'!$A$2:$B$69,2,0)</f>
        <v>TĐ012</v>
      </c>
      <c r="G405" s="20"/>
      <c r="H405" s="20" t="s">
        <v>62</v>
      </c>
      <c r="I405" s="16" t="s">
        <v>1883</v>
      </c>
      <c r="J405" s="16" t="str">
        <f>VLOOKUP(I405,'[1]BẢNG MÃ'!$C$2:$D$69,2,0)</f>
        <v>KP017</v>
      </c>
      <c r="K405" s="16"/>
      <c r="L405" s="16"/>
      <c r="M405" s="16" t="s">
        <v>33</v>
      </c>
      <c r="N405" s="21">
        <f ca="1">VLOOKUP(A405,'[1]Bieu 1a'!$A$8:$AW$855,10,0)</f>
        <v>35</v>
      </c>
      <c r="O405" s="22">
        <f>VLOOKUP(A405,'[1]Bieu 1a'!$A$8:$AW$855,8,0)</f>
        <v>0</v>
      </c>
      <c r="P405" s="22" t="str">
        <f>VLOOKUP(A405,'[1]Bieu 1a'!$A$8:$AW$855,9,0)</f>
        <v>25/02/1991</v>
      </c>
      <c r="Q405" s="23" t="s">
        <v>44</v>
      </c>
      <c r="R405" s="24" t="str">
        <f>VLOOKUP(A405,'[1]Bieu 1a'!$A$8:$AW$855,23,0)</f>
        <v>13/7/2020</v>
      </c>
      <c r="S405" s="25" t="s">
        <v>2006</v>
      </c>
      <c r="T405" s="26" t="s">
        <v>2007</v>
      </c>
      <c r="U405" s="16"/>
      <c r="V405" s="16" t="str">
        <f>IFERROR(VLOOKUP(A405,'[2]19.6.2026'!$A$9:$L$1111,5,0),"")</f>
        <v>005553/LS-CCHN</v>
      </c>
      <c r="W405" s="16" t="str">
        <f>IFERROR(VLOOKUP(A405,'[2]19.6.2026'!$A$9:$L$1111,6,0),"")</f>
        <v>16/02/2023</v>
      </c>
      <c r="X405" s="16"/>
      <c r="Y405" s="21" t="str">
        <f>IFERROR(VLOOKUP(A405,'[2]19.6.2026'!$A$9:$L$1111,7,0),"")</f>
        <v>Thực hiện phạm vi hoạt động chuyên môn theo quy định tại Thông tư số 26/2015/TTLT-BYT-BNV ngày 07/10/2015 quy định mã số, tiêu chuẩn chức danh nghề nghiệp điều dưỡng, hộ sinh, kỹ thuật y</v>
      </c>
      <c r="Z405" s="16"/>
      <c r="AA405" s="27" t="str">
        <f>IFERROR(VLOOKUP(A405,'[3]DS UPLOAD 2026 (2)'!$A$2:$P$1111,16,0),"")</f>
        <v/>
      </c>
      <c r="AB405" s="50" t="s">
        <v>2008</v>
      </c>
      <c r="AC405" s="29" t="s">
        <v>244</v>
      </c>
    </row>
    <row r="406" spans="1:29" ht="18" customHeight="1" x14ac:dyDescent="0.3">
      <c r="A406" s="17" t="s">
        <v>2009</v>
      </c>
      <c r="B406" s="38" t="s">
        <v>2010</v>
      </c>
      <c r="C406" s="17" t="s">
        <v>2009</v>
      </c>
      <c r="D406" s="19" t="s">
        <v>38</v>
      </c>
      <c r="E406" s="19" t="s">
        <v>61</v>
      </c>
      <c r="F406" s="16" t="str">
        <f>VLOOKUP(E406,'[1]BẢNG MÃ'!$A$2:$B$69,2,0)</f>
        <v>TĐ012</v>
      </c>
      <c r="G406" s="20"/>
      <c r="H406" s="20" t="s">
        <v>62</v>
      </c>
      <c r="I406" s="16" t="s">
        <v>1883</v>
      </c>
      <c r="J406" s="16" t="str">
        <f>VLOOKUP(I406,'[1]BẢNG MÃ'!$C$2:$D$69,2,0)</f>
        <v>KP017</v>
      </c>
      <c r="K406" s="19"/>
      <c r="L406" s="16"/>
      <c r="M406" s="16" t="s">
        <v>33</v>
      </c>
      <c r="N406" s="21">
        <f ca="1">VLOOKUP(A406,'[1]Bieu 1a'!$A$8:$AW$855,10,0)</f>
        <v>27</v>
      </c>
      <c r="O406" s="22">
        <f>VLOOKUP(A406,'[1]Bieu 1a'!$A$8:$AW$855,8,0)</f>
        <v>0</v>
      </c>
      <c r="P406" s="22">
        <f>VLOOKUP(A406,'[1]Bieu 1a'!$A$8:$AW$855,9,0)</f>
        <v>36220</v>
      </c>
      <c r="Q406" s="23" t="s">
        <v>44</v>
      </c>
      <c r="R406" s="24">
        <f>VLOOKUP(A406,'[1]Bieu 1a'!$A$8:$AW$855,23,0)</f>
        <v>44151</v>
      </c>
      <c r="S406" s="25" t="s">
        <v>2011</v>
      </c>
      <c r="T406" s="26" t="s">
        <v>2012</v>
      </c>
      <c r="U406" s="16"/>
      <c r="V406" s="16" t="str">
        <f>IFERROR(VLOOKUP(A406,'[2]19.6.2026'!$A$9:$L$1111,5,0),"")</f>
        <v>004372/LS-CCHN</v>
      </c>
      <c r="W406" s="16" t="str">
        <f>IFERROR(VLOOKUP(A406,'[2]19.6.2026'!$A$9:$L$1111,6,0),"")</f>
        <v>05/11/2021</v>
      </c>
      <c r="X406" s="16"/>
      <c r="Y406" s="21" t="str">
        <f>IFERROR(VLOOKUP(A406,'[2]19.6.2026'!$A$9:$L$1111,7,0),"")</f>
        <v>Thực hiện phạm vi hoạt động chuyên môn theo quy định tại Thông tư số 26/2015/TTLT-BYT-BNV ngày 07/10/2015 quy định mã số, tiêu chuẩn chức danh nghề nghiệp điều dưỡng, hộ sinh, kỹ thuật y</v>
      </c>
      <c r="Z406" s="16"/>
      <c r="AA406" s="27" t="str">
        <f>IFERROR(VLOOKUP(A406,'[3]DS UPLOAD 2026 (2)'!$A$2:$P$1111,16,0),"")</f>
        <v/>
      </c>
      <c r="AB406" s="27">
        <v>829936338</v>
      </c>
      <c r="AC406" s="29" t="s">
        <v>2013</v>
      </c>
    </row>
    <row r="407" spans="1:29" ht="18.75" customHeight="1" x14ac:dyDescent="0.3">
      <c r="A407" s="17" t="s">
        <v>2014</v>
      </c>
      <c r="B407" s="36" t="s">
        <v>2015</v>
      </c>
      <c r="C407" s="17" t="s">
        <v>2014</v>
      </c>
      <c r="D407" s="53" t="s">
        <v>38</v>
      </c>
      <c r="E407" s="19" t="s">
        <v>61</v>
      </c>
      <c r="F407" s="16" t="str">
        <f>VLOOKUP(E407,'[1]BẢNG MÃ'!$A$2:$B$69,2,0)</f>
        <v>TĐ012</v>
      </c>
      <c r="G407" s="20"/>
      <c r="H407" s="20" t="s">
        <v>62</v>
      </c>
      <c r="I407" s="16" t="s">
        <v>1883</v>
      </c>
      <c r="J407" s="16" t="str">
        <f>VLOOKUP(I407,'[1]BẢNG MÃ'!$C$2:$D$69,2,0)</f>
        <v>KP017</v>
      </c>
      <c r="K407" s="16"/>
      <c r="L407" s="16"/>
      <c r="M407" s="23" t="s">
        <v>33</v>
      </c>
      <c r="N407" s="21">
        <f ca="1">VLOOKUP(A407,'[1]Bieu 1a'!$A$8:$AW$855,10,0)</f>
        <v>33</v>
      </c>
      <c r="O407" s="22">
        <f>VLOOKUP(A407,'[1]Bieu 1a'!$A$8:$AW$855,8,0)</f>
        <v>0</v>
      </c>
      <c r="P407" s="22" t="str">
        <f>VLOOKUP(A407,'[1]Bieu 1a'!$A$8:$AW$855,9,0)</f>
        <v>26/8/1992</v>
      </c>
      <c r="Q407" s="23" t="s">
        <v>50</v>
      </c>
      <c r="R407" s="24">
        <f>VLOOKUP(A407,'[1]Bieu 1a'!$A$8:$AW$855,23,0)</f>
        <v>44445</v>
      </c>
      <c r="S407" s="25" t="s">
        <v>2016</v>
      </c>
      <c r="T407" s="26" t="s">
        <v>2017</v>
      </c>
      <c r="U407" s="16"/>
      <c r="V407" s="16" t="str">
        <f>IFERROR(VLOOKUP(A407,'[2]19.6.2026'!$A$9:$L$1111,5,0),"")</f>
        <v>004318/LS-CCHN</v>
      </c>
      <c r="W407" s="16" t="str">
        <f>IFERROR(VLOOKUP(A407,'[2]19.6.2026'!$A$9:$L$1111,6,0),"")</f>
        <v>20/07/2021</v>
      </c>
      <c r="X407" s="16"/>
      <c r="Y407" s="21" t="str">
        <f>IFERROR(VLOOKUP(A407,'[2]19.6.2026'!$A$9:$L$1111,7,0),"")</f>
        <v>Thực hiện phạm vi hoạt động chuyên môn theo quy định tại Thông tư số 26/2015/TTLT-BYT-BNV ngày 07/10/2015 quy định mã số, tiêu chuẩn chức danh nghề nghiệp điều dưỡng, hộ sinh, kỹ thuật y</v>
      </c>
      <c r="Z407" s="16"/>
      <c r="AA407" s="27" t="str">
        <f>IFERROR(VLOOKUP(A407,'[3]DS UPLOAD 2026 (2)'!$A$2:$P$1111,16,0),"")</f>
        <v/>
      </c>
      <c r="AB407" s="39" t="s">
        <v>2018</v>
      </c>
      <c r="AC407" s="29" t="s">
        <v>2019</v>
      </c>
    </row>
    <row r="408" spans="1:29" ht="18" customHeight="1" x14ac:dyDescent="0.3">
      <c r="A408" s="43" t="s">
        <v>2020</v>
      </c>
      <c r="B408" s="44" t="s">
        <v>2021</v>
      </c>
      <c r="C408" s="45" t="s">
        <v>2020</v>
      </c>
      <c r="D408" s="19" t="s">
        <v>38</v>
      </c>
      <c r="E408" s="19" t="s">
        <v>61</v>
      </c>
      <c r="F408" s="16" t="str">
        <f>VLOOKUP(E408,'[1]BẢNG MÃ'!$A$2:$B$69,2,0)</f>
        <v>TĐ012</v>
      </c>
      <c r="G408" s="20"/>
      <c r="H408" s="20" t="s">
        <v>62</v>
      </c>
      <c r="I408" s="55" t="s">
        <v>1883</v>
      </c>
      <c r="J408" s="16" t="str">
        <f>VLOOKUP(I408,'[1]BẢNG MÃ'!$C$2:$D$69,2,0)</f>
        <v>KP017</v>
      </c>
      <c r="K408" s="16"/>
      <c r="L408" s="16"/>
      <c r="M408" s="16" t="s">
        <v>33</v>
      </c>
      <c r="N408" s="21">
        <f ca="1">VLOOKUP(A408,'[1]Bieu 1a'!$A$8:$AW$855,10,0)</f>
        <v>24</v>
      </c>
      <c r="O408" s="22">
        <f>VLOOKUP(A408,'[1]Bieu 1a'!$A$8:$AW$855,8,0)</f>
        <v>0</v>
      </c>
      <c r="P408" s="22" t="str">
        <f>VLOOKUP(A408,'[1]Bieu 1a'!$A$8:$AW$855,9,0)</f>
        <v>15/10/2001</v>
      </c>
      <c r="Q408" s="23" t="s">
        <v>44</v>
      </c>
      <c r="R408" s="24">
        <f>VLOOKUP(A408,'[1]Bieu 1a'!$A$8:$AW$855,23,0)</f>
        <v>44837</v>
      </c>
      <c r="S408" s="25" t="s">
        <v>2022</v>
      </c>
      <c r="T408" s="26" t="s">
        <v>2023</v>
      </c>
      <c r="U408" s="16"/>
      <c r="V408" s="16" t="str">
        <f>IFERROR(VLOOKUP(A408,'[2]19.6.2026'!$A$9:$L$1111,5,0),"")</f>
        <v>005728/LS-CCHN</v>
      </c>
      <c r="W408" s="16" t="str">
        <f>IFERROR(VLOOKUP(A408,'[2]19.6.2026'!$A$9:$L$1111,6,0),"")</f>
        <v>10/01/2024</v>
      </c>
      <c r="X408" s="16"/>
      <c r="Y408" s="21" t="str">
        <f>IFERROR(VLOOKUP(A408,'[2]19.6.2026'!$A$9:$L$1111,7,0),"")</f>
        <v>Thực hiện phạm vi hoạt động chuyên môn theo Thông tư số 26/2015/TTLT-BYT-BNV ngày 07/10/2015 quy định  mã số, tiêu chuẩn chức danh nghề nghiệp, điều dưỡng, hộ sinh, kỹ thuật y</v>
      </c>
      <c r="Z408" s="16"/>
      <c r="AA408" s="27" t="str">
        <f>IFERROR(VLOOKUP(A408,'[3]DS UPLOAD 2026 (2)'!$A$2:$P$1111,16,0),"")</f>
        <v/>
      </c>
      <c r="AB408" s="27" t="s">
        <v>2024</v>
      </c>
      <c r="AC408" s="29" t="s">
        <v>439</v>
      </c>
    </row>
    <row r="409" spans="1:29" ht="18" customHeight="1" x14ac:dyDescent="0.3">
      <c r="A409" s="17" t="s">
        <v>2025</v>
      </c>
      <c r="B409" s="29" t="s">
        <v>2026</v>
      </c>
      <c r="C409" s="17" t="s">
        <v>2025</v>
      </c>
      <c r="D409" s="19" t="s">
        <v>38</v>
      </c>
      <c r="E409" s="19" t="s">
        <v>61</v>
      </c>
      <c r="F409" s="16" t="str">
        <f>VLOOKUP(E409,'[1]BẢNG MÃ'!$A$2:$B$69,2,0)</f>
        <v>TĐ012</v>
      </c>
      <c r="G409" s="20" t="s">
        <v>62</v>
      </c>
      <c r="H409" s="20" t="s">
        <v>62</v>
      </c>
      <c r="I409" s="16" t="s">
        <v>1883</v>
      </c>
      <c r="J409" s="16" t="str">
        <f>VLOOKUP(I409,'[1]BẢNG MÃ'!$C$2:$D$69,2,0)</f>
        <v>KP017</v>
      </c>
      <c r="K409" s="16" t="s">
        <v>43</v>
      </c>
      <c r="L409" s="16">
        <v>0</v>
      </c>
      <c r="M409" s="16" t="s">
        <v>33</v>
      </c>
      <c r="N409" s="21">
        <f ca="1">VLOOKUP(A409,'[1]Bieu 1a'!$A$8:$AW$855,10,0)</f>
        <v>38</v>
      </c>
      <c r="O409" s="22">
        <f>VLOOKUP(A409,'[1]Bieu 1a'!$A$8:$AW$855,8,0)</f>
        <v>0</v>
      </c>
      <c r="P409" s="22">
        <f>VLOOKUP(A409,'[1]Bieu 1a'!$A$8:$AW$855,9,0)</f>
        <v>31973</v>
      </c>
      <c r="Q409" s="23" t="s">
        <v>44</v>
      </c>
      <c r="R409" s="24" t="str">
        <f>VLOOKUP(A409,'[1]Bieu 1a'!$A$8:$AW$855,23,0)</f>
        <v>1/12/2010</v>
      </c>
      <c r="S409" s="25" t="s">
        <v>2027</v>
      </c>
      <c r="T409" s="26" t="s">
        <v>2028</v>
      </c>
      <c r="U409" s="22"/>
      <c r="V409" s="16" t="str">
        <f>IFERROR(VLOOKUP(A409,'[2]19.6.2026'!$A$9:$L$1111,5,0),"")</f>
        <v>000865/LS-CCHN</v>
      </c>
      <c r="W409" s="16" t="str">
        <f>IFERROR(VLOOKUP(A409,'[2]19.6.2026'!$A$9:$L$1111,6,0),"")</f>
        <v>11/01/2023</v>
      </c>
      <c r="X409" s="16"/>
      <c r="Y409" s="21" t="str">
        <f>IFERROR(VLOOKUP(A409,'[2]19.6.2026'!$A$9:$L$1111,7,0),"")</f>
        <v>Thực hiện phạm vi hoạt động chuyên môn theo Thông tư số 26/2015/TTLT-BYT-BNV ngày 07/10/2015 quy định  mã số, tiêu chuẩn chức danh nghề nghiệp, điều dưỡng, hộ sinh, kỹ thuật y</v>
      </c>
      <c r="Z409" s="16"/>
      <c r="AA409" s="27" t="str">
        <f>IFERROR(VLOOKUP(A409,'[3]DS UPLOAD 2026 (2)'!$A$2:$P$1111,16,0),"")</f>
        <v/>
      </c>
      <c r="AB409" s="27" t="s">
        <v>2029</v>
      </c>
      <c r="AC409" s="28"/>
    </row>
    <row r="410" spans="1:29" ht="18" customHeight="1" x14ac:dyDescent="0.3">
      <c r="A410" s="17" t="s">
        <v>2030</v>
      </c>
      <c r="B410" s="29" t="s">
        <v>2031</v>
      </c>
      <c r="C410" s="17" t="s">
        <v>2030</v>
      </c>
      <c r="D410" s="19"/>
      <c r="E410" s="19" t="s">
        <v>61</v>
      </c>
      <c r="F410" s="16" t="str">
        <f>VLOOKUP(E410,'[1]BẢNG MÃ'!$A$2:$B$69,2,0)</f>
        <v>TĐ012</v>
      </c>
      <c r="G410" s="20" t="s">
        <v>62</v>
      </c>
      <c r="H410" s="20" t="s">
        <v>62</v>
      </c>
      <c r="I410" s="16" t="s">
        <v>1883</v>
      </c>
      <c r="J410" s="16" t="str">
        <f>VLOOKUP(I410,'[1]BẢNG MÃ'!$C$2:$D$69,2,0)</f>
        <v>KP017</v>
      </c>
      <c r="K410" s="16" t="s">
        <v>43</v>
      </c>
      <c r="L410" s="16">
        <v>0</v>
      </c>
      <c r="M410" s="16" t="s">
        <v>33</v>
      </c>
      <c r="N410" s="21">
        <f ca="1">VLOOKUP(A410,'[1]Bieu 1a'!$A$8:$AW$855,10,0)</f>
        <v>42</v>
      </c>
      <c r="O410" s="22">
        <f>VLOOKUP(A410,'[1]Bieu 1a'!$A$8:$AW$855,8,0)</f>
        <v>30689</v>
      </c>
      <c r="P410" s="22">
        <f>VLOOKUP(A410,'[1]Bieu 1a'!$A$8:$AW$855,9,0)</f>
        <v>0</v>
      </c>
      <c r="Q410" s="23" t="s">
        <v>50</v>
      </c>
      <c r="R410" s="24" t="str">
        <f>VLOOKUP(A410,'[1]Bieu 1a'!$A$8:$AW$855,23,0)</f>
        <v>1/1/2009</v>
      </c>
      <c r="S410" s="25" t="s">
        <v>2032</v>
      </c>
      <c r="T410" s="26" t="s">
        <v>2033</v>
      </c>
      <c r="U410" s="16"/>
      <c r="V410" s="16" t="str">
        <f>IFERROR(VLOOKUP(A410,'[2]19.6.2026'!$A$9:$L$1111,5,0),"")</f>
        <v>000855/LS-CCHN</v>
      </c>
      <c r="W410" s="16" t="str">
        <f>IFERROR(VLOOKUP(A410,'[2]19.6.2026'!$A$9:$L$1111,6,0),"")</f>
        <v>11/01/2023</v>
      </c>
      <c r="X410" s="16"/>
      <c r="Y410" s="21" t="str">
        <f>IFERROR(VLOOKUP(A410,'[2]19.6.2026'!$A$9:$L$1111,7,0),"")</f>
        <v>Thực hiện phạm vi hoạt động chuyên môn theo Thông tư số 26/2015/TTLT-BYT-BNV ngày 07/10/2015 quy định  mã số, tiêu chuẩn chức danh nghề nghiệp, điều dưỡng, hộ sinh, kỹ thuật y</v>
      </c>
      <c r="Z410" s="16"/>
      <c r="AA410" s="27" t="str">
        <f>IFERROR(VLOOKUP(A410,'[3]DS UPLOAD 2026 (2)'!$A$2:$P$1111,16,0),"")</f>
        <v/>
      </c>
      <c r="AB410" s="27" t="s">
        <v>2034</v>
      </c>
      <c r="AC410" s="28"/>
    </row>
    <row r="411" spans="1:29" ht="18" customHeight="1" x14ac:dyDescent="0.3">
      <c r="A411" s="17" t="s">
        <v>2035</v>
      </c>
      <c r="B411" s="36" t="s">
        <v>2036</v>
      </c>
      <c r="C411" s="17" t="s">
        <v>2035</v>
      </c>
      <c r="D411" s="19" t="s">
        <v>38</v>
      </c>
      <c r="E411" s="19" t="s">
        <v>61</v>
      </c>
      <c r="F411" s="16" t="str">
        <f>VLOOKUP(E411,'[1]BẢNG MÃ'!$A$2:$B$69,2,0)</f>
        <v>TĐ012</v>
      </c>
      <c r="G411" s="20"/>
      <c r="H411" s="20" t="s">
        <v>62</v>
      </c>
      <c r="I411" s="16" t="s">
        <v>1883</v>
      </c>
      <c r="J411" s="16" t="str">
        <f>VLOOKUP(I411,'[1]BẢNG MÃ'!$C$2:$D$69,2,0)</f>
        <v>KP017</v>
      </c>
      <c r="K411" s="16"/>
      <c r="L411" s="16"/>
      <c r="M411" s="23" t="s">
        <v>33</v>
      </c>
      <c r="N411" s="21">
        <f ca="1">VLOOKUP(A411,'[1]Bieu 1a'!$A$8:$AW$855,10,0)</f>
        <v>41</v>
      </c>
      <c r="O411" s="22">
        <f>VLOOKUP(A411,'[1]Bieu 1a'!$A$8:$AW$855,8,0)</f>
        <v>0</v>
      </c>
      <c r="P411" s="22">
        <f>VLOOKUP(A411,'[1]Bieu 1a'!$A$8:$AW$855,9,0)</f>
        <v>31158</v>
      </c>
      <c r="Q411" s="23" t="s">
        <v>50</v>
      </c>
      <c r="R411" s="24" t="str">
        <f>VLOOKUP(A411,'[1]Bieu 1a'!$A$8:$AW$855,23,0)</f>
        <v>16/3/2011</v>
      </c>
      <c r="S411" s="25" t="s">
        <v>2037</v>
      </c>
      <c r="T411" s="26" t="s">
        <v>2038</v>
      </c>
      <c r="U411" s="16"/>
      <c r="V411" s="16" t="str">
        <f>IFERROR(VLOOKUP(A411,'[2]19.6.2026'!$A$9:$L$1111,5,0),"")</f>
        <v>000837/LS-CCHN</v>
      </c>
      <c r="W411" s="16" t="str">
        <f>IFERROR(VLOOKUP(A411,'[2]19.6.2026'!$A$9:$L$1111,6,0),"")</f>
        <v>11/01/2023</v>
      </c>
      <c r="X411" s="16"/>
      <c r="Y411" s="21" t="str">
        <f>IFERROR(VLOOKUP(A411,'[2]19.6.2026'!$A$9:$L$1111,7,0),"")</f>
        <v>Thực hiện phạm vi hoạt động chuyên môn theo Thông tư số 26/2015/TTLT-BYT-BNV ngày 07/10/2015 quy định  mã số, tiêu chuẩn chức danh nghề nghiệp, điều dưỡng, hộ sinh, kỹ thuật y</v>
      </c>
      <c r="Z411" s="16"/>
      <c r="AA411" s="27" t="str">
        <f>IFERROR(VLOOKUP(A411,'[3]DS UPLOAD 2026 (2)'!$A$2:$P$1111,16,0),"")</f>
        <v/>
      </c>
      <c r="AB411" s="27" t="s">
        <v>2039</v>
      </c>
      <c r="AC411" s="29" t="s">
        <v>698</v>
      </c>
    </row>
    <row r="412" spans="1:29" ht="18" customHeight="1" x14ac:dyDescent="0.3">
      <c r="A412" s="17" t="s">
        <v>2040</v>
      </c>
      <c r="B412" s="18" t="s">
        <v>2041</v>
      </c>
      <c r="C412" s="17" t="s">
        <v>2040</v>
      </c>
      <c r="D412" s="19"/>
      <c r="E412" s="19" t="s">
        <v>61</v>
      </c>
      <c r="F412" s="16" t="str">
        <f>VLOOKUP(E412,'[1]BẢNG MÃ'!$A$2:$B$69,2,0)</f>
        <v>TĐ012</v>
      </c>
      <c r="G412" s="20" t="s">
        <v>62</v>
      </c>
      <c r="H412" s="20" t="s">
        <v>62</v>
      </c>
      <c r="I412" s="16" t="s">
        <v>1883</v>
      </c>
      <c r="J412" s="16" t="str">
        <f>VLOOKUP(I412,'[1]BẢNG MÃ'!$C$2:$D$69,2,0)</f>
        <v>KP017</v>
      </c>
      <c r="K412" s="16" t="s">
        <v>43</v>
      </c>
      <c r="L412" s="16">
        <v>0</v>
      </c>
      <c r="M412" s="16" t="s">
        <v>33</v>
      </c>
      <c r="N412" s="21">
        <f ca="1">VLOOKUP(A412,'[1]Bieu 1a'!$A$8:$AW$855,10,0)</f>
        <v>38</v>
      </c>
      <c r="O412" s="22">
        <f>VLOOKUP(A412,'[1]Bieu 1a'!$A$8:$AW$855,8,0)</f>
        <v>32175</v>
      </c>
      <c r="P412" s="22">
        <f>VLOOKUP(A412,'[1]Bieu 1a'!$A$8:$AW$855,9,0)</f>
        <v>0</v>
      </c>
      <c r="Q412" s="23" t="s">
        <v>50</v>
      </c>
      <c r="R412" s="24" t="str">
        <f>VLOOKUP(A412,'[1]Bieu 1a'!$A$8:$AW$855,23,0)</f>
        <v>07/11/2006</v>
      </c>
      <c r="S412" s="25" t="s">
        <v>2042</v>
      </c>
      <c r="T412" s="26" t="s">
        <v>2043</v>
      </c>
      <c r="U412" s="16"/>
      <c r="V412" s="16" t="str">
        <f>IFERROR(VLOOKUP(A412,'[2]19.6.2026'!$A$9:$L$1111,5,0),"")</f>
        <v>001236/LS-CCHN</v>
      </c>
      <c r="W412" s="16" t="str">
        <f>IFERROR(VLOOKUP(A412,'[2]19.6.2026'!$A$9:$L$1111,6,0),"")</f>
        <v>11/01/2023</v>
      </c>
      <c r="X412" s="16"/>
      <c r="Y412" s="21" t="str">
        <f>IFERROR(VLOOKUP(A412,'[2]19.6.2026'!$A$9:$L$1111,7,0),"")</f>
        <v>Thực hiện phạm vi hoạt động chuyên môn theo Thông tư số 26/2015/TTLT-BYT-BNV ngày 07/10/2015 quy định  mã số, tiêu chuẩn chức danh nghề nghiệp, điều dưỡng, hộ sinh, kỹ thuật y</v>
      </c>
      <c r="Z412" s="16"/>
      <c r="AA412" s="27" t="str">
        <f>IFERROR(VLOOKUP(A412,'[3]DS UPLOAD 2026 (2)'!$A$2:$P$1111,16,0),"")</f>
        <v/>
      </c>
      <c r="AB412" s="27" t="s">
        <v>2044</v>
      </c>
      <c r="AC412" s="28"/>
    </row>
    <row r="413" spans="1:29" ht="18" customHeight="1" x14ac:dyDescent="0.3">
      <c r="A413" s="17" t="s">
        <v>2045</v>
      </c>
      <c r="B413" s="18" t="s">
        <v>2046</v>
      </c>
      <c r="C413" s="17" t="s">
        <v>2045</v>
      </c>
      <c r="D413" s="19" t="s">
        <v>38</v>
      </c>
      <c r="E413" s="19" t="s">
        <v>61</v>
      </c>
      <c r="F413" s="16" t="str">
        <f>VLOOKUP(E413,'[1]BẢNG MÃ'!$A$2:$B$69,2,0)</f>
        <v>TĐ012</v>
      </c>
      <c r="G413" s="20" t="s">
        <v>62</v>
      </c>
      <c r="H413" s="20" t="s">
        <v>62</v>
      </c>
      <c r="I413" s="16" t="s">
        <v>1883</v>
      </c>
      <c r="J413" s="16" t="str">
        <f>VLOOKUP(I413,'[1]BẢNG MÃ'!$C$2:$D$69,2,0)</f>
        <v>KP017</v>
      </c>
      <c r="K413" s="16" t="s">
        <v>43</v>
      </c>
      <c r="L413" s="16">
        <v>0</v>
      </c>
      <c r="M413" s="16" t="s">
        <v>33</v>
      </c>
      <c r="N413" s="21">
        <f ca="1">VLOOKUP(A413,'[1]Bieu 1a'!$A$8:$AW$855,10,0)</f>
        <v>38</v>
      </c>
      <c r="O413" s="22">
        <f>VLOOKUP(A413,'[1]Bieu 1a'!$A$8:$AW$855,8,0)</f>
        <v>0</v>
      </c>
      <c r="P413" s="22">
        <f>VLOOKUP(A413,'[1]Bieu 1a'!$A$8:$AW$855,9,0)</f>
        <v>32077</v>
      </c>
      <c r="Q413" s="23" t="s">
        <v>44</v>
      </c>
      <c r="R413" s="24" t="str">
        <f>VLOOKUP(A413,'[1]Bieu 1a'!$A$8:$AW$855,23,0)</f>
        <v>01/11/2014</v>
      </c>
      <c r="S413" s="25" t="s">
        <v>2047</v>
      </c>
      <c r="T413" s="26" t="s">
        <v>2048</v>
      </c>
      <c r="U413" s="16"/>
      <c r="V413" s="16" t="str">
        <f>IFERROR(VLOOKUP(A413,'[2]19.6.2026'!$A$9:$L$1111,5,0),"")</f>
        <v>000430/LS-CCHN</v>
      </c>
      <c r="W413" s="16" t="str">
        <f>IFERROR(VLOOKUP(A413,'[2]19.6.2026'!$A$9:$L$1111,6,0),"")</f>
        <v>11/01/2023</v>
      </c>
      <c r="X413" s="16"/>
      <c r="Y413" s="21" t="str">
        <f>IFERROR(VLOOKUP(A413,'[2]19.6.2026'!$A$9:$L$1111,7,0),"")</f>
        <v>Thực hiện phạm vi hoạt động chuyên môn theo Thông tư số 26/2015/TTLT-BYT-BNV ngày 07/10/2015 quy định  mã số, tiêu chuẩn chức danh nghề nghiệp, điều dưỡng, hộ sinh, kỹ thuật y</v>
      </c>
      <c r="Z413" s="16"/>
      <c r="AA413" s="27" t="str">
        <f>IFERROR(VLOOKUP(A413,'[3]DS UPLOAD 2026 (2)'!$A$2:$P$1111,16,0),"")</f>
        <v/>
      </c>
      <c r="AB413" s="27" t="s">
        <v>2049</v>
      </c>
      <c r="AC413" s="28"/>
    </row>
    <row r="414" spans="1:29" ht="18" customHeight="1" x14ac:dyDescent="0.3">
      <c r="A414" s="17" t="s">
        <v>2050</v>
      </c>
      <c r="B414" s="29" t="s">
        <v>2051</v>
      </c>
      <c r="C414" s="17" t="s">
        <v>2050</v>
      </c>
      <c r="D414" s="19" t="s">
        <v>38</v>
      </c>
      <c r="E414" s="19" t="s">
        <v>61</v>
      </c>
      <c r="F414" s="16" t="str">
        <f>VLOOKUP(E414,'[1]BẢNG MÃ'!$A$2:$B$69,2,0)</f>
        <v>TĐ012</v>
      </c>
      <c r="G414" s="20" t="s">
        <v>62</v>
      </c>
      <c r="H414" s="20" t="s">
        <v>62</v>
      </c>
      <c r="I414" s="16" t="s">
        <v>1883</v>
      </c>
      <c r="J414" s="16" t="str">
        <f>VLOOKUP(I414,'[1]BẢNG MÃ'!$C$2:$D$69,2,0)</f>
        <v>KP017</v>
      </c>
      <c r="K414" s="16" t="s">
        <v>43</v>
      </c>
      <c r="L414" s="16">
        <v>0</v>
      </c>
      <c r="M414" s="16" t="s">
        <v>33</v>
      </c>
      <c r="N414" s="21">
        <f ca="1">VLOOKUP(A414,'[1]Bieu 1a'!$A$8:$AW$855,10,0)</f>
        <v>39</v>
      </c>
      <c r="O414" s="22">
        <f>VLOOKUP(A414,'[1]Bieu 1a'!$A$8:$AW$855,8,0)</f>
        <v>0</v>
      </c>
      <c r="P414" s="22">
        <f>VLOOKUP(A414,'[1]Bieu 1a'!$A$8:$AW$855,9,0)</f>
        <v>31692</v>
      </c>
      <c r="Q414" s="23" t="s">
        <v>50</v>
      </c>
      <c r="R414" s="24" t="str">
        <f>VLOOKUP(A414,'[1]Bieu 1a'!$A$8:$AW$855,23,0)</f>
        <v>15/1/2010</v>
      </c>
      <c r="S414" s="25" t="s">
        <v>2052</v>
      </c>
      <c r="T414" s="26" t="s">
        <v>2053</v>
      </c>
      <c r="U414" s="16"/>
      <c r="V414" s="16" t="str">
        <f>IFERROR(VLOOKUP(A414,'[2]19.6.2026'!$A$9:$L$1111,5,0),"")</f>
        <v>000755/LS-CCHN</v>
      </c>
      <c r="W414" s="16" t="str">
        <f>IFERROR(VLOOKUP(A414,'[2]19.6.2026'!$A$9:$L$1111,6,0),"")</f>
        <v>11/01/2023</v>
      </c>
      <c r="X414" s="16"/>
      <c r="Y414" s="21" t="str">
        <f>IFERROR(VLOOKUP(A414,'[2]19.6.2026'!$A$9:$L$1111,7,0),"")</f>
        <v>Thực hiện phạm vi hoạt động chuyên môn theo Thông tư số 26/2015/TTLT-BYT-BNV ngày 07/10/2015 quy định  mã số, tiêu chuẩn chức danh nghề nghiệp, điều dưỡng, hộ sinh, kỹ thuật y</v>
      </c>
      <c r="Z414" s="16"/>
      <c r="AA414" s="27" t="str">
        <f>IFERROR(VLOOKUP(A414,'[3]DS UPLOAD 2026 (2)'!$A$2:$P$1111,16,0),"")</f>
        <v/>
      </c>
      <c r="AB414" s="27" t="s">
        <v>2054</v>
      </c>
      <c r="AC414" s="28"/>
    </row>
    <row r="415" spans="1:29" ht="18" customHeight="1" x14ac:dyDescent="0.3">
      <c r="A415" s="17" t="s">
        <v>2055</v>
      </c>
      <c r="B415" s="29" t="s">
        <v>2056</v>
      </c>
      <c r="C415" s="17" t="s">
        <v>2055</v>
      </c>
      <c r="D415" s="19" t="s">
        <v>38</v>
      </c>
      <c r="E415" s="19" t="s">
        <v>61</v>
      </c>
      <c r="F415" s="16" t="str">
        <f>VLOOKUP(E415,'[1]BẢNG MÃ'!$A$2:$B$69,2,0)</f>
        <v>TĐ012</v>
      </c>
      <c r="G415" s="20" t="s">
        <v>62</v>
      </c>
      <c r="H415" s="20" t="s">
        <v>62</v>
      </c>
      <c r="I415" s="16" t="s">
        <v>1883</v>
      </c>
      <c r="J415" s="16" t="str">
        <f>VLOOKUP(I415,'[1]BẢNG MÃ'!$C$2:$D$69,2,0)</f>
        <v>KP017</v>
      </c>
      <c r="K415" s="16" t="s">
        <v>43</v>
      </c>
      <c r="L415" s="16">
        <v>0</v>
      </c>
      <c r="M415" s="16" t="s">
        <v>33</v>
      </c>
      <c r="N415" s="21">
        <f ca="1">VLOOKUP(A415,'[1]Bieu 1a'!$A$8:$AW$855,10,0)</f>
        <v>41</v>
      </c>
      <c r="O415" s="22">
        <f>VLOOKUP(A415,'[1]Bieu 1a'!$A$8:$AW$855,8,0)</f>
        <v>0</v>
      </c>
      <c r="P415" s="22">
        <f>VLOOKUP(A415,'[1]Bieu 1a'!$A$8:$AW$855,9,0)</f>
        <v>31002</v>
      </c>
      <c r="Q415" s="23" t="s">
        <v>50</v>
      </c>
      <c r="R415" s="24" t="str">
        <f>VLOOKUP(A415,'[1]Bieu 1a'!$A$8:$AW$855,23,0)</f>
        <v>1/12/2010</v>
      </c>
      <c r="S415" s="25" t="s">
        <v>2057</v>
      </c>
      <c r="T415" s="26" t="s">
        <v>2058</v>
      </c>
      <c r="U415" s="16"/>
      <c r="V415" s="16" t="str">
        <f>IFERROR(VLOOKUP(A415,'[2]19.6.2026'!$A$9:$L$1111,5,0),"")</f>
        <v>000866/LS-CCHN</v>
      </c>
      <c r="W415" s="16" t="str">
        <f>IFERROR(VLOOKUP(A415,'[2]19.6.2026'!$A$9:$L$1111,6,0),"")</f>
        <v>11/01/2023</v>
      </c>
      <c r="X415" s="16"/>
      <c r="Y415" s="21" t="str">
        <f>IFERROR(VLOOKUP(A415,'[2]19.6.2026'!$A$9:$L$1111,7,0),"")</f>
        <v>Thực hiện phạm vi hoạt động chuyên môn theo Thông tư số 26/2015/TTLT-BYT-BNV ngày 07/10/2015 quy định  mã số, tiêu chuẩn chức danh nghề nghiệp, điều dưỡng, hộ sinh, kỹ thuật y</v>
      </c>
      <c r="Z415" s="16"/>
      <c r="AA415" s="27" t="str">
        <f>IFERROR(VLOOKUP(A415,'[3]DS UPLOAD 2026 (2)'!$A$2:$P$1111,16,0),"")</f>
        <v/>
      </c>
      <c r="AB415" s="27" t="s">
        <v>2059</v>
      </c>
      <c r="AC415" s="28"/>
    </row>
    <row r="416" spans="1:29" ht="18" customHeight="1" x14ac:dyDescent="0.3">
      <c r="A416" s="17" t="s">
        <v>2060</v>
      </c>
      <c r="B416" s="29" t="s">
        <v>2061</v>
      </c>
      <c r="C416" s="17" t="s">
        <v>2060</v>
      </c>
      <c r="D416" s="19" t="s">
        <v>38</v>
      </c>
      <c r="E416" s="19" t="s">
        <v>61</v>
      </c>
      <c r="F416" s="16" t="str">
        <f>VLOOKUP(E416,'[1]BẢNG MÃ'!$A$2:$B$69,2,0)</f>
        <v>TĐ012</v>
      </c>
      <c r="G416" s="20" t="s">
        <v>62</v>
      </c>
      <c r="H416" s="20" t="s">
        <v>62</v>
      </c>
      <c r="I416" s="16" t="s">
        <v>1883</v>
      </c>
      <c r="J416" s="16" t="str">
        <f>VLOOKUP(I416,'[1]BẢNG MÃ'!$C$2:$D$69,2,0)</f>
        <v>KP017</v>
      </c>
      <c r="K416" s="16" t="s">
        <v>43</v>
      </c>
      <c r="L416" s="16">
        <v>0</v>
      </c>
      <c r="M416" s="16" t="s">
        <v>33</v>
      </c>
      <c r="N416" s="21">
        <f ca="1">VLOOKUP(A416,'[1]Bieu 1a'!$A$8:$AW$855,10,0)</f>
        <v>39</v>
      </c>
      <c r="O416" s="22">
        <f>VLOOKUP(A416,'[1]Bieu 1a'!$A$8:$AW$855,8,0)</f>
        <v>0</v>
      </c>
      <c r="P416" s="22">
        <f>VLOOKUP(A416,'[1]Bieu 1a'!$A$8:$AW$855,9,0)</f>
        <v>31820</v>
      </c>
      <c r="Q416" s="23" t="s">
        <v>44</v>
      </c>
      <c r="R416" s="24" t="str">
        <f>VLOOKUP(A416,'[1]Bieu 1a'!$A$8:$AW$855,23,0)</f>
        <v>10/6/2013</v>
      </c>
      <c r="S416" s="25" t="s">
        <v>2062</v>
      </c>
      <c r="T416" s="26" t="s">
        <v>2063</v>
      </c>
      <c r="U416" s="16"/>
      <c r="V416" s="16" t="str">
        <f>IFERROR(VLOOKUP(A416,'[2]19.6.2026'!$A$9:$L$1111,5,0),"")</f>
        <v>000871/LS-CCHN</v>
      </c>
      <c r="W416" s="16" t="str">
        <f>IFERROR(VLOOKUP(A416,'[2]19.6.2026'!$A$9:$L$1111,6,0),"")</f>
        <v>11/01/2023</v>
      </c>
      <c r="X416" s="16"/>
      <c r="Y416" s="21" t="str">
        <f>IFERROR(VLOOKUP(A416,'[2]19.6.2026'!$A$9:$L$1111,7,0),"")</f>
        <v>Thực hiện phạm vi hoạt động chuyên môn theo Thông tư số 26/2015/TTLT-BYT-BNV ngày 07/10/2015 quy định  mã số, tiêu chuẩn chức danh nghề nghiệp, điều dưỡng, hộ sinh, kỹ thuật y</v>
      </c>
      <c r="Z416" s="16"/>
      <c r="AA416" s="27" t="str">
        <f>IFERROR(VLOOKUP(A416,'[3]DS UPLOAD 2026 (2)'!$A$2:$P$1111,16,0),"")</f>
        <v/>
      </c>
      <c r="AB416" s="27" t="s">
        <v>2064</v>
      </c>
      <c r="AC416" s="28"/>
    </row>
    <row r="417" spans="1:29" ht="18" customHeight="1" x14ac:dyDescent="0.3">
      <c r="A417" s="17" t="s">
        <v>2065</v>
      </c>
      <c r="B417" s="18" t="s">
        <v>2066</v>
      </c>
      <c r="C417" s="17" t="s">
        <v>2065</v>
      </c>
      <c r="D417" s="19" t="s">
        <v>38</v>
      </c>
      <c r="E417" s="19" t="s">
        <v>61</v>
      </c>
      <c r="F417" s="16" t="str">
        <f>VLOOKUP(E417,'[1]BẢNG MÃ'!$A$2:$B$69,2,0)</f>
        <v>TĐ012</v>
      </c>
      <c r="G417" s="20" t="s">
        <v>62</v>
      </c>
      <c r="H417" s="20" t="s">
        <v>62</v>
      </c>
      <c r="I417" s="16" t="s">
        <v>1883</v>
      </c>
      <c r="J417" s="16" t="str">
        <f>VLOOKUP(I417,'[1]BẢNG MÃ'!$C$2:$D$69,2,0)</f>
        <v>KP017</v>
      </c>
      <c r="K417" s="16" t="s">
        <v>43</v>
      </c>
      <c r="L417" s="16">
        <v>0</v>
      </c>
      <c r="M417" s="16" t="s">
        <v>33</v>
      </c>
      <c r="N417" s="21">
        <f ca="1">VLOOKUP(A417,'[1]Bieu 1a'!$A$8:$AW$855,10,0)</f>
        <v>38</v>
      </c>
      <c r="O417" s="22">
        <f>VLOOKUP(A417,'[1]Bieu 1a'!$A$8:$AW$855,8,0)</f>
        <v>0</v>
      </c>
      <c r="P417" s="22">
        <f>VLOOKUP(A417,'[1]Bieu 1a'!$A$8:$AW$855,9,0)</f>
        <v>32012</v>
      </c>
      <c r="Q417" s="23" t="s">
        <v>34</v>
      </c>
      <c r="R417" s="24" t="str">
        <f>VLOOKUP(A417,'[1]Bieu 1a'!$A$8:$AW$855,23,0)</f>
        <v>14/1/2011</v>
      </c>
      <c r="S417" s="25" t="s">
        <v>2067</v>
      </c>
      <c r="T417" s="26" t="s">
        <v>2068</v>
      </c>
      <c r="U417" s="16"/>
      <c r="V417" s="16" t="str">
        <f>IFERROR(VLOOKUP(A417,'[2]19.6.2026'!$A$9:$L$1111,5,0),"")</f>
        <v>000392/LS-CCHN</v>
      </c>
      <c r="W417" s="16" t="str">
        <f>IFERROR(VLOOKUP(A417,'[2]19.6.2026'!$A$9:$L$1111,6,0),"")</f>
        <v>11/01/2023</v>
      </c>
      <c r="X417" s="16"/>
      <c r="Y417" s="21" t="str">
        <f>IFERROR(VLOOKUP(A417,'[2]19.6.2026'!$A$9:$L$1111,7,0),"")</f>
        <v>Thực hiện phạm vi hoạt động chuyên môn theo Thông tư số 26/2015/TTLT-BYT-BNV ngày 07/10/2015 quy định  mã số, tiêu chuẩn chức danh nghề nghiệp, điều dưỡng, hộ sinh, kỹ thuật y</v>
      </c>
      <c r="Z417" s="16"/>
      <c r="AA417" s="27" t="str">
        <f>IFERROR(VLOOKUP(A417,'[3]DS UPLOAD 2026 (2)'!$A$2:$P$1111,16,0),"")</f>
        <v/>
      </c>
      <c r="AB417" s="27" t="s">
        <v>2069</v>
      </c>
      <c r="AC417" s="28"/>
    </row>
    <row r="418" spans="1:29" ht="18" customHeight="1" x14ac:dyDescent="0.3">
      <c r="A418" s="17" t="s">
        <v>2070</v>
      </c>
      <c r="B418" s="29" t="s">
        <v>2071</v>
      </c>
      <c r="C418" s="17" t="s">
        <v>2070</v>
      </c>
      <c r="D418" s="19" t="s">
        <v>38</v>
      </c>
      <c r="E418" s="19" t="s">
        <v>61</v>
      </c>
      <c r="F418" s="16" t="str">
        <f>VLOOKUP(E418,'[1]BẢNG MÃ'!$A$2:$B$69,2,0)</f>
        <v>TĐ012</v>
      </c>
      <c r="G418" s="20" t="s">
        <v>62</v>
      </c>
      <c r="H418" s="20" t="s">
        <v>62</v>
      </c>
      <c r="I418" s="16" t="s">
        <v>1883</v>
      </c>
      <c r="J418" s="16" t="str">
        <f>VLOOKUP(I418,'[1]BẢNG MÃ'!$C$2:$D$69,2,0)</f>
        <v>KP017</v>
      </c>
      <c r="K418" s="16" t="s">
        <v>43</v>
      </c>
      <c r="L418" s="16">
        <v>0</v>
      </c>
      <c r="M418" s="16" t="s">
        <v>33</v>
      </c>
      <c r="N418" s="21">
        <f ca="1">VLOOKUP(A418,'[1]Bieu 1a'!$A$8:$AW$855,10,0)</f>
        <v>38</v>
      </c>
      <c r="O418" s="22">
        <f>VLOOKUP(A418,'[1]Bieu 1a'!$A$8:$AW$855,8,0)</f>
        <v>0</v>
      </c>
      <c r="P418" s="22">
        <f>VLOOKUP(A418,'[1]Bieu 1a'!$A$8:$AW$855,9,0)</f>
        <v>31978</v>
      </c>
      <c r="Q418" s="23" t="s">
        <v>44</v>
      </c>
      <c r="R418" s="24" t="str">
        <f>VLOOKUP(A418,'[1]Bieu 1a'!$A$8:$AW$855,23,0)</f>
        <v>15/1/2010</v>
      </c>
      <c r="S418" s="25" t="s">
        <v>2072</v>
      </c>
      <c r="T418" s="26" t="s">
        <v>2073</v>
      </c>
      <c r="U418" s="16"/>
      <c r="V418" s="16" t="str">
        <f>IFERROR(VLOOKUP(A418,'[2]19.6.2026'!$A$9:$L$1111,5,0),"")</f>
        <v>000862/LS-CCHN</v>
      </c>
      <c r="W418" s="16" t="str">
        <f>IFERROR(VLOOKUP(A418,'[2]19.6.2026'!$A$9:$L$1111,6,0),"")</f>
        <v>11/01/2023</v>
      </c>
      <c r="X418" s="16"/>
      <c r="Y418" s="21" t="str">
        <f>IFERROR(VLOOKUP(A418,'[2]19.6.2026'!$A$9:$L$1111,7,0),"")</f>
        <v>Thực hiện phạm vi hoạt động chuyên môn theo Thông tư số 26/2015/TTLT-BYT-BNV ngày 07/10/2015 quy định  mã số, tiêu chuẩn chức danh nghề nghiệp, điều dưỡng, hộ sinh, kỹ thuật y</v>
      </c>
      <c r="Z418" s="16"/>
      <c r="AA418" s="27" t="str">
        <f>IFERROR(VLOOKUP(A418,'[3]DS UPLOAD 2026 (2)'!$A$2:$P$1111,16,0),"")</f>
        <v/>
      </c>
      <c r="AB418" s="27" t="s">
        <v>2074</v>
      </c>
      <c r="AC418" s="28"/>
    </row>
    <row r="419" spans="1:29" ht="18" customHeight="1" x14ac:dyDescent="0.3">
      <c r="A419" s="17" t="s">
        <v>2075</v>
      </c>
      <c r="B419" s="18" t="s">
        <v>2076</v>
      </c>
      <c r="C419" s="17" t="s">
        <v>2075</v>
      </c>
      <c r="D419" s="19" t="s">
        <v>38</v>
      </c>
      <c r="E419" s="19" t="s">
        <v>128</v>
      </c>
      <c r="F419" s="16" t="str">
        <f>VLOOKUP(E419,'[1]BẢNG MÃ'!$A$2:$B$69,2,0)</f>
        <v>TĐ047</v>
      </c>
      <c r="G419" s="20"/>
      <c r="H419" s="19" t="s">
        <v>128</v>
      </c>
      <c r="I419" s="16" t="s">
        <v>1883</v>
      </c>
      <c r="J419" s="16" t="str">
        <f>VLOOKUP(I419,'[1]BẢNG MÃ'!$C$2:$D$69,2,0)</f>
        <v>KP017</v>
      </c>
      <c r="K419" s="16"/>
      <c r="L419" s="16"/>
      <c r="M419" s="16" t="s">
        <v>136</v>
      </c>
      <c r="N419" s="21">
        <f ca="1">VLOOKUP(A419,'[1]Bieu 1a'!$A$8:$AW$855,10,0)</f>
        <v>45</v>
      </c>
      <c r="O419" s="22">
        <f>VLOOKUP(A419,'[1]Bieu 1a'!$A$8:$AW$855,8,0)</f>
        <v>0</v>
      </c>
      <c r="P419" s="22">
        <f>VLOOKUP(A419,'[1]Bieu 1a'!$A$8:$AW$855,9,0)</f>
        <v>29735</v>
      </c>
      <c r="Q419" s="23" t="s">
        <v>50</v>
      </c>
      <c r="R419" s="24" t="str">
        <f>VLOOKUP(A419,'[1]Bieu 1a'!$A$8:$AW$855,23,0)</f>
        <v xml:space="preserve"> 01/02/2016</v>
      </c>
      <c r="S419" s="25" t="s">
        <v>2077</v>
      </c>
      <c r="T419" s="26" t="s">
        <v>2078</v>
      </c>
      <c r="U419" s="16"/>
      <c r="V419" s="16" t="str">
        <f>IFERROR(VLOOKUP(A419,'[2]19.6.2026'!$A$9:$L$1111,5,0),"")</f>
        <v/>
      </c>
      <c r="W419" s="16" t="str">
        <f>IFERROR(VLOOKUP(A419,'[2]19.6.2026'!$A$9:$L$1111,6,0),"")</f>
        <v/>
      </c>
      <c r="X419" s="16"/>
      <c r="Y419" s="21" t="str">
        <f>IFERROR(VLOOKUP(A419,'[2]19.6.2026'!$A$9:$L$1111,7,0),"")</f>
        <v/>
      </c>
      <c r="Z419" s="16"/>
      <c r="AA419" s="27" t="str">
        <f>IFERROR(VLOOKUP(A419,'[3]DS UPLOAD 2026 (2)'!$A$2:$P$1111,16,0),"")</f>
        <v/>
      </c>
      <c r="AB419" s="39" t="s">
        <v>2079</v>
      </c>
      <c r="AC419" s="29" t="s">
        <v>303</v>
      </c>
    </row>
    <row r="420" spans="1:29" ht="18" customHeight="1" x14ac:dyDescent="0.3">
      <c r="A420" s="17" t="s">
        <v>2080</v>
      </c>
      <c r="B420" s="29" t="s">
        <v>2081</v>
      </c>
      <c r="C420" s="17" t="s">
        <v>2080</v>
      </c>
      <c r="D420" s="19" t="s">
        <v>38</v>
      </c>
      <c r="E420" s="19" t="s">
        <v>128</v>
      </c>
      <c r="F420" s="16" t="str">
        <f>VLOOKUP(E420,'[1]BẢNG MÃ'!$A$2:$B$69,2,0)</f>
        <v>TĐ047</v>
      </c>
      <c r="G420" s="20"/>
      <c r="H420" s="19" t="s">
        <v>128</v>
      </c>
      <c r="I420" s="16" t="s">
        <v>1883</v>
      </c>
      <c r="J420" s="16" t="str">
        <f>VLOOKUP(I420,'[1]BẢNG MÃ'!$C$2:$D$69,2,0)</f>
        <v>KP017</v>
      </c>
      <c r="K420" s="16"/>
      <c r="L420" s="16"/>
      <c r="M420" s="16" t="s">
        <v>136</v>
      </c>
      <c r="N420" s="21">
        <f ca="1">VLOOKUP(A420,'[1]Bieu 1a'!$A$8:$AW$855,10,0)</f>
        <v>51</v>
      </c>
      <c r="O420" s="22">
        <f>VLOOKUP(A420,'[1]Bieu 1a'!$A$8:$AW$855,8,0)</f>
        <v>0</v>
      </c>
      <c r="P420" s="22" t="str">
        <f>VLOOKUP(A420,'[1]Bieu 1a'!$A$8:$AW$855,9,0)</f>
        <v>13/6/1975</v>
      </c>
      <c r="Q420" s="23" t="s">
        <v>44</v>
      </c>
      <c r="R420" s="24" t="str">
        <f>VLOOKUP(A420,'[1]Bieu 1a'!$A$8:$AW$855,23,0)</f>
        <v xml:space="preserve"> 01/11/2016</v>
      </c>
      <c r="S420" s="25" t="s">
        <v>2082</v>
      </c>
      <c r="T420" s="26" t="s">
        <v>2083</v>
      </c>
      <c r="U420" s="16"/>
      <c r="V420" s="16" t="str">
        <f>IFERROR(VLOOKUP(A420,'[2]19.6.2026'!$A$9:$L$1111,5,0),"")</f>
        <v/>
      </c>
      <c r="W420" s="16" t="str">
        <f>IFERROR(VLOOKUP(A420,'[2]19.6.2026'!$A$9:$L$1111,6,0),"")</f>
        <v/>
      </c>
      <c r="X420" s="16"/>
      <c r="Y420" s="21" t="str">
        <f>IFERROR(VLOOKUP(A420,'[2]19.6.2026'!$A$9:$L$1111,7,0),"")</f>
        <v/>
      </c>
      <c r="Z420" s="16"/>
      <c r="AA420" s="27" t="str">
        <f>IFERROR(VLOOKUP(A420,'[3]DS UPLOAD 2026 (2)'!$A$2:$P$1111,16,0),"")</f>
        <v/>
      </c>
      <c r="AB420" s="27" t="s">
        <v>2084</v>
      </c>
      <c r="AC420" s="28"/>
    </row>
    <row r="421" spans="1:29" ht="18" customHeight="1" x14ac:dyDescent="0.3">
      <c r="A421" s="43" t="s">
        <v>2085</v>
      </c>
      <c r="B421" s="44" t="s">
        <v>520</v>
      </c>
      <c r="C421" s="45" t="s">
        <v>2085</v>
      </c>
      <c r="D421" s="19" t="s">
        <v>38</v>
      </c>
      <c r="E421" s="19" t="s">
        <v>142</v>
      </c>
      <c r="F421" s="16" t="str">
        <f>VLOOKUP(E421,'[1]BẢNG MÃ'!$A$2:$B$69,2,0)</f>
        <v>TĐ047</v>
      </c>
      <c r="G421" s="20"/>
      <c r="H421" s="19" t="s">
        <v>142</v>
      </c>
      <c r="I421" s="55" t="s">
        <v>1883</v>
      </c>
      <c r="J421" s="16" t="str">
        <f>VLOOKUP(I421,'[1]BẢNG MÃ'!$C$2:$D$69,2,0)</f>
        <v>KP017</v>
      </c>
      <c r="K421" s="16"/>
      <c r="L421" s="16"/>
      <c r="M421" s="16" t="s">
        <v>136</v>
      </c>
      <c r="N421" s="21">
        <f ca="1">VLOOKUP(A421,'[1]Bieu 1a'!$A$8:$AW$855,10,0)</f>
        <v>39</v>
      </c>
      <c r="O421" s="22">
        <f>VLOOKUP(A421,'[1]Bieu 1a'!$A$8:$AW$855,8,0)</f>
        <v>0</v>
      </c>
      <c r="P421" s="22" t="str">
        <f>VLOOKUP(A421,'[1]Bieu 1a'!$A$8:$AW$855,9,0)</f>
        <v>28/9/1986</v>
      </c>
      <c r="Q421" s="23" t="s">
        <v>50</v>
      </c>
      <c r="R421" s="24">
        <f>VLOOKUP(A421,'[1]Bieu 1a'!$A$8:$AW$855,23,0)</f>
        <v>44837</v>
      </c>
      <c r="S421" s="25" t="s">
        <v>2086</v>
      </c>
      <c r="T421" s="26" t="s">
        <v>2087</v>
      </c>
      <c r="U421" s="16"/>
      <c r="V421" s="16" t="str">
        <f>IFERROR(VLOOKUP(A421,'[2]19.6.2026'!$A$9:$L$1111,5,0),"")</f>
        <v/>
      </c>
      <c r="W421" s="16" t="str">
        <f>IFERROR(VLOOKUP(A421,'[2]19.6.2026'!$A$9:$L$1111,6,0),"")</f>
        <v/>
      </c>
      <c r="X421" s="16"/>
      <c r="Y421" s="21" t="str">
        <f>IFERROR(VLOOKUP(A421,'[2]19.6.2026'!$A$9:$L$1111,7,0),"")</f>
        <v/>
      </c>
      <c r="Z421" s="16"/>
      <c r="AA421" s="27" t="str">
        <f>IFERROR(VLOOKUP(A421,'[3]DS UPLOAD 2026 (2)'!$A$2:$P$1111,16,0),"")</f>
        <v/>
      </c>
      <c r="AB421" s="27">
        <v>981669587</v>
      </c>
      <c r="AC421" s="28" t="s">
        <v>280</v>
      </c>
    </row>
    <row r="422" spans="1:29" ht="18" customHeight="1" x14ac:dyDescent="0.3">
      <c r="A422" s="17" t="s">
        <v>2088</v>
      </c>
      <c r="B422" s="18" t="s">
        <v>2089</v>
      </c>
      <c r="C422" s="17" t="s">
        <v>2088</v>
      </c>
      <c r="D422" s="19"/>
      <c r="E422" s="16" t="s">
        <v>160</v>
      </c>
      <c r="F422" s="16" t="str">
        <f>VLOOKUP(E422,'[1]BẢNG MÃ'!$A$2:$B$69,2,0)</f>
        <v>TĐ003</v>
      </c>
      <c r="G422" s="20" t="s">
        <v>161</v>
      </c>
      <c r="H422" s="20" t="s">
        <v>161</v>
      </c>
      <c r="I422" s="16" t="s">
        <v>2090</v>
      </c>
      <c r="J422" s="16" t="str">
        <f>VLOOKUP(I422,'[1]BẢNG MÃ'!$C$2:$D$69,2,0)</f>
        <v>KP018</v>
      </c>
      <c r="K422" s="16" t="s">
        <v>31</v>
      </c>
      <c r="L422" s="16" t="s">
        <v>148</v>
      </c>
      <c r="M422" s="16" t="s">
        <v>33</v>
      </c>
      <c r="N422" s="21">
        <f ca="1">VLOOKUP(A422,'[1]Bieu 1a'!$A$8:$AW$855,10,0)</f>
        <v>58</v>
      </c>
      <c r="O422" s="22">
        <f>VLOOKUP(A422,'[1]Bieu 1a'!$A$8:$AW$855,8,0)</f>
        <v>24795</v>
      </c>
      <c r="P422" s="22">
        <f>VLOOKUP(A422,'[1]Bieu 1a'!$A$8:$AW$855,9,0)</f>
        <v>0</v>
      </c>
      <c r="Q422" s="23" t="s">
        <v>50</v>
      </c>
      <c r="R422" s="24" t="str">
        <f>VLOOKUP(A422,'[1]Bieu 1a'!$A$8:$AW$855,23,0)</f>
        <v>1/3/1994</v>
      </c>
      <c r="S422" s="25" t="s">
        <v>2091</v>
      </c>
      <c r="T422" s="26" t="s">
        <v>2092</v>
      </c>
      <c r="U422" s="16"/>
      <c r="V422" s="16" t="str">
        <f>IFERROR(VLOOKUP(A422,'[2]19.6.2026'!$A$9:$L$1111,5,0),"")</f>
        <v>000874/LS-CCHN</v>
      </c>
      <c r="W422" s="16" t="str">
        <f>IFERROR(VLOOKUP(A422,'[2]19.6.2026'!$A$9:$L$1111,6,0),"")</f>
        <v>24/06/2013</v>
      </c>
      <c r="X422" s="16"/>
      <c r="Y422" s="21" t="str">
        <f>IFERROR(VLOOKUP(A422,'[2]19.6.2026'!$A$9:$L$1111,7,0),"")</f>
        <v>Khám bệnh, chữa bệnh chuyên khoa Truyền nhiễm</v>
      </c>
      <c r="Z422" s="16"/>
      <c r="AA422" s="27" t="str">
        <f>IFERROR(VLOOKUP(A422,'[3]DS UPLOAD 2026 (2)'!$A$2:$P$1111,16,0),"")</f>
        <v/>
      </c>
      <c r="AB422" s="58" t="s">
        <v>2093</v>
      </c>
      <c r="AC422" s="28"/>
    </row>
    <row r="423" spans="1:29" ht="18" customHeight="1" x14ac:dyDescent="0.3">
      <c r="A423" s="17" t="s">
        <v>2094</v>
      </c>
      <c r="B423" s="36" t="s">
        <v>2095</v>
      </c>
      <c r="C423" s="17" t="s">
        <v>2094</v>
      </c>
      <c r="D423" s="19" t="s">
        <v>38</v>
      </c>
      <c r="E423" s="16" t="s">
        <v>160</v>
      </c>
      <c r="F423" s="16" t="str">
        <f>VLOOKUP(E423,'[1]BẢNG MÃ'!$A$2:$B$69,2,0)</f>
        <v>TĐ003</v>
      </c>
      <c r="G423" s="20" t="s">
        <v>161</v>
      </c>
      <c r="H423" s="20" t="s">
        <v>161</v>
      </c>
      <c r="I423" s="16" t="s">
        <v>2090</v>
      </c>
      <c r="J423" s="16" t="str">
        <f>VLOOKUP(I423,'[1]BẢNG MÃ'!$C$2:$D$69,2,0)</f>
        <v>KP018</v>
      </c>
      <c r="K423" s="16" t="s">
        <v>31</v>
      </c>
      <c r="L423" s="16" t="s">
        <v>154</v>
      </c>
      <c r="M423" s="16" t="s">
        <v>33</v>
      </c>
      <c r="N423" s="21">
        <f ca="1">VLOOKUP(A423,'[1]Bieu 1a'!$A$8:$AW$855,10,0)</f>
        <v>35</v>
      </c>
      <c r="O423" s="22">
        <f>VLOOKUP(A423,'[1]Bieu 1a'!$A$8:$AW$855,8,0)</f>
        <v>0</v>
      </c>
      <c r="P423" s="22">
        <f>VLOOKUP(A423,'[1]Bieu 1a'!$A$8:$AW$855,9,0)</f>
        <v>33162</v>
      </c>
      <c r="Q423" s="23" t="s">
        <v>50</v>
      </c>
      <c r="R423" s="24" t="str">
        <f>VLOOKUP(A423,'[1]Bieu 1a'!$A$8:$AW$855,23,0)</f>
        <v>17/8/2015</v>
      </c>
      <c r="S423" s="25" t="s">
        <v>2096</v>
      </c>
      <c r="T423" s="26" t="s">
        <v>1221</v>
      </c>
      <c r="U423" s="16"/>
      <c r="V423" s="16" t="str">
        <f>IFERROR(VLOOKUP(A423,'[2]19.6.2026'!$A$9:$L$1111,5,0),"")</f>
        <v>002939/LS-CCHN</v>
      </c>
      <c r="W423" s="16" t="str">
        <f>IFERROR(VLOOKUP(A423,'[2]19.6.2026'!$A$9:$L$1111,6,0),"")</f>
        <v>30/01/2018</v>
      </c>
      <c r="X423" s="16"/>
      <c r="Y423" s="21" t="str">
        <f>IFERROR(VLOOKUP(A423,'[2]19.6.2026'!$A$9:$L$1111,7,0),"")</f>
        <v>Khám bệnh chữa bệnh Nội khoa</v>
      </c>
      <c r="Z423" s="16"/>
      <c r="AA423" s="27" t="str">
        <f>IFERROR(VLOOKUP(A423,'[3]DS UPLOAD 2026 (2)'!$A$2:$P$1111,16,0),"")</f>
        <v/>
      </c>
      <c r="AB423" s="27" t="s">
        <v>2097</v>
      </c>
      <c r="AC423" s="28"/>
    </row>
    <row r="424" spans="1:29" ht="18" customHeight="1" x14ac:dyDescent="0.3">
      <c r="A424" s="17" t="s">
        <v>2098</v>
      </c>
      <c r="B424" s="18" t="s">
        <v>2099</v>
      </c>
      <c r="C424" s="17" t="s">
        <v>2098</v>
      </c>
      <c r="D424" s="19" t="s">
        <v>38</v>
      </c>
      <c r="E424" s="19" t="s">
        <v>173</v>
      </c>
      <c r="F424" s="16" t="str">
        <f>VLOOKUP(E424,'[1]BẢNG MÃ'!$A$2:$B$69,2,0)</f>
        <v>TĐ005</v>
      </c>
      <c r="G424" s="20"/>
      <c r="H424" s="23" t="s">
        <v>161</v>
      </c>
      <c r="I424" s="16" t="s">
        <v>2090</v>
      </c>
      <c r="J424" s="16" t="str">
        <f>VLOOKUP(I424,'[1]BẢNG MÃ'!$C$2:$D$69,2,0)</f>
        <v>KP018</v>
      </c>
      <c r="K424" s="16"/>
      <c r="L424" s="16"/>
      <c r="M424" s="23" t="s">
        <v>33</v>
      </c>
      <c r="N424" s="21">
        <f ca="1">VLOOKUP(A424,'[1]Bieu 1a'!$A$8:$AW$855,10,0)</f>
        <v>31</v>
      </c>
      <c r="O424" s="22">
        <f>VLOOKUP(A424,'[1]Bieu 1a'!$A$8:$AW$855,8,0)</f>
        <v>0</v>
      </c>
      <c r="P424" s="22" t="str">
        <f>VLOOKUP(A424,'[1]Bieu 1a'!$A$8:$AW$855,9,0)</f>
        <v>26/3/1995</v>
      </c>
      <c r="Q424" s="23" t="s">
        <v>50</v>
      </c>
      <c r="R424" s="24" t="str">
        <f>VLOOKUP(A424,'[1]Bieu 1a'!$A$8:$AW$855,23,0)</f>
        <v>19/8/2019</v>
      </c>
      <c r="S424" s="25" t="s">
        <v>2100</v>
      </c>
      <c r="T424" s="26" t="s">
        <v>2092</v>
      </c>
      <c r="U424" s="16"/>
      <c r="V424" s="16" t="str">
        <f>IFERROR(VLOOKUP(A424,'[2]19.6.2026'!$A$9:$L$1111,5,0),"")</f>
        <v>004247/LS-CCHN</v>
      </c>
      <c r="W424" s="16" t="str">
        <f>IFERROR(VLOOKUP(A424,'[2]19.6.2026'!$A$9:$L$1111,6,0),"")</f>
        <v>10/06/2021</v>
      </c>
      <c r="X424" s="16"/>
      <c r="Y424" s="21" t="str">
        <f>IFERROR(VLOOKUP(A424,'[2]19.6.2026'!$A$9:$L$1111,7,0),"")</f>
        <v>Khám bệnh, chữa bệnh Nội khoa</v>
      </c>
      <c r="Z424" s="16"/>
      <c r="AA424" s="27" t="str">
        <f>IFERROR(VLOOKUP(A424,'[3]DS UPLOAD 2026 (2)'!$A$2:$P$1111,16,0),"")</f>
        <v/>
      </c>
      <c r="AB424" s="41" t="s">
        <v>2101</v>
      </c>
      <c r="AC424" s="29" t="s">
        <v>177</v>
      </c>
    </row>
    <row r="425" spans="1:29" ht="18" customHeight="1" x14ac:dyDescent="0.3">
      <c r="A425" s="17" t="s">
        <v>2102</v>
      </c>
      <c r="B425" s="18" t="s">
        <v>2103</v>
      </c>
      <c r="C425" s="17" t="s">
        <v>2102</v>
      </c>
      <c r="D425" s="19" t="s">
        <v>38</v>
      </c>
      <c r="E425" s="19" t="s">
        <v>160</v>
      </c>
      <c r="F425" s="16" t="str">
        <f>VLOOKUP(E425,'[1]BẢNG MÃ'!$A$2:$B$69,2,0)</f>
        <v>TĐ003</v>
      </c>
      <c r="G425" s="20" t="s">
        <v>161</v>
      </c>
      <c r="H425" s="20" t="s">
        <v>161</v>
      </c>
      <c r="I425" s="16" t="s">
        <v>2090</v>
      </c>
      <c r="J425" s="16" t="str">
        <f>VLOOKUP(I425,'[1]BẢNG MÃ'!$C$2:$D$69,2,0)</f>
        <v>KP018</v>
      </c>
      <c r="K425" s="16" t="s">
        <v>43</v>
      </c>
      <c r="L425" s="16">
        <v>0</v>
      </c>
      <c r="M425" s="16" t="s">
        <v>33</v>
      </c>
      <c r="N425" s="21">
        <f ca="1">VLOOKUP(A425,'[1]Bieu 1a'!$A$8:$AW$855,10,0)</f>
        <v>42</v>
      </c>
      <c r="O425" s="22">
        <f>VLOOKUP(A425,'[1]Bieu 1a'!$A$8:$AW$855,8,0)</f>
        <v>0</v>
      </c>
      <c r="P425" s="22">
        <f>VLOOKUP(A425,'[1]Bieu 1a'!$A$8:$AW$855,9,0)</f>
        <v>30818</v>
      </c>
      <c r="Q425" s="23" t="s">
        <v>50</v>
      </c>
      <c r="R425" s="24" t="str">
        <f>VLOOKUP(A425,'[1]Bieu 1a'!$A$8:$AW$855,23,0)</f>
        <v>7/11/2006</v>
      </c>
      <c r="S425" s="25" t="s">
        <v>2104</v>
      </c>
      <c r="T425" s="26" t="s">
        <v>2105</v>
      </c>
      <c r="U425" s="16"/>
      <c r="V425" s="16" t="str">
        <f>IFERROR(VLOOKUP(A425,'[2]19.6.2026'!$A$9:$L$1111,5,0),"")</f>
        <v>000741/LS-CCHN</v>
      </c>
      <c r="W425" s="16" t="str">
        <f>IFERROR(VLOOKUP(A425,'[2]19.6.2026'!$A$9:$L$1111,6,0),"")</f>
        <v>24/06/2013</v>
      </c>
      <c r="X425" s="16"/>
      <c r="Y425" s="21" t="str">
        <f>IFERROR(VLOOKUP(A425,'[2]19.6.2026'!$A$9:$L$1111,7,0),"")</f>
        <v>Khám bệnh chữa bệnh Nội khoa; Truyền nhiễm</v>
      </c>
      <c r="Z425" s="16"/>
      <c r="AA425" s="27" t="str">
        <f>IFERROR(VLOOKUP(A425,'[3]DS UPLOAD 2026 (2)'!$A$2:$P$1111,16,0),"")</f>
        <v/>
      </c>
      <c r="AB425" s="27" t="s">
        <v>2106</v>
      </c>
      <c r="AC425" s="28"/>
    </row>
    <row r="426" spans="1:29" ht="18" customHeight="1" x14ac:dyDescent="0.3">
      <c r="A426" s="16" t="s">
        <v>2107</v>
      </c>
      <c r="B426" s="36" t="s">
        <v>2108</v>
      </c>
      <c r="C426" s="16" t="s">
        <v>2107</v>
      </c>
      <c r="D426" s="53" t="s">
        <v>38</v>
      </c>
      <c r="E426" s="19" t="s">
        <v>173</v>
      </c>
      <c r="F426" s="16" t="str">
        <f>VLOOKUP(E426,'[1]BẢNG MÃ'!$A$2:$B$69,2,0)</f>
        <v>TĐ005</v>
      </c>
      <c r="G426" s="20"/>
      <c r="H426" s="23" t="s">
        <v>161</v>
      </c>
      <c r="I426" s="16" t="s">
        <v>2090</v>
      </c>
      <c r="J426" s="16" t="str">
        <f>VLOOKUP(I426,'[1]BẢNG MÃ'!$C$2:$D$69,2,0)</f>
        <v>KP018</v>
      </c>
      <c r="K426" s="16"/>
      <c r="L426" s="16"/>
      <c r="M426" s="16" t="s">
        <v>33</v>
      </c>
      <c r="N426" s="21">
        <f ca="1">VLOOKUP(A426,'[1]Bieu 1a'!$A$8:$AW$855,10,0)</f>
        <v>30</v>
      </c>
      <c r="O426" s="22">
        <f>VLOOKUP(A426,'[1]Bieu 1a'!$A$8:$AW$855,8,0)</f>
        <v>0</v>
      </c>
      <c r="P426" s="22" t="str">
        <f>VLOOKUP(A426,'[1]Bieu 1a'!$A$8:$AW$855,9,0)</f>
        <v>14/5/1996</v>
      </c>
      <c r="Q426" s="23">
        <v>0</v>
      </c>
      <c r="R426" s="24">
        <f>VLOOKUP(A426,'[1]Bieu 1a'!$A$8:$AW$855,23,0)</f>
        <v>44445</v>
      </c>
      <c r="S426" s="25" t="s">
        <v>2109</v>
      </c>
      <c r="T426" s="26" t="s">
        <v>1221</v>
      </c>
      <c r="U426" s="16"/>
      <c r="V426" s="16" t="str">
        <f>IFERROR(VLOOKUP(A426,'[2]19.6.2026'!$A$9:$L$1111,5,0),"")</f>
        <v>005731/LS-CCHN</v>
      </c>
      <c r="W426" s="16" t="str">
        <f>IFERROR(VLOOKUP(A426,'[2]19.6.2026'!$A$9:$L$1111,6,0),"")</f>
        <v>10/01/2024</v>
      </c>
      <c r="X426" s="16"/>
      <c r="Y426" s="21" t="str">
        <f>IFERROR(VLOOKUP(A426,'[2]19.6.2026'!$A$9:$L$1111,7,0),"")</f>
        <v>Khám bệnh, chữa bệnh chuyên khoa Nội</v>
      </c>
      <c r="Z426" s="16"/>
      <c r="AA426" s="27" t="str">
        <f>IFERROR(VLOOKUP(A426,'[3]DS UPLOAD 2026 (2)'!$A$2:$P$1111,16,0),"")</f>
        <v/>
      </c>
      <c r="AB426" s="39" t="s">
        <v>2110</v>
      </c>
      <c r="AC426" s="29" t="s">
        <v>554</v>
      </c>
    </row>
    <row r="427" spans="1:29" ht="18" customHeight="1" x14ac:dyDescent="0.3">
      <c r="A427" s="16" t="s">
        <v>2111</v>
      </c>
      <c r="B427" s="29" t="s">
        <v>2112</v>
      </c>
      <c r="C427" s="16" t="s">
        <v>2111</v>
      </c>
      <c r="D427" s="53" t="s">
        <v>38</v>
      </c>
      <c r="E427" s="19" t="s">
        <v>173</v>
      </c>
      <c r="F427" s="16" t="str">
        <f>VLOOKUP(E427,'[1]BẢNG MÃ'!$A$2:$B$69,2,0)</f>
        <v>TĐ005</v>
      </c>
      <c r="G427" s="20" t="s">
        <v>161</v>
      </c>
      <c r="H427" s="20" t="s">
        <v>161</v>
      </c>
      <c r="I427" s="16" t="s">
        <v>2090</v>
      </c>
      <c r="J427" s="16" t="str">
        <f>VLOOKUP(I427,'[1]BẢNG MÃ'!$C$2:$D$69,2,0)</f>
        <v>KP018</v>
      </c>
      <c r="K427" s="16"/>
      <c r="L427" s="16"/>
      <c r="M427" s="16" t="s">
        <v>33</v>
      </c>
      <c r="N427" s="21">
        <f ca="1">VLOOKUP(A427,'[1]Bieu 1a'!$A$8:$AW$855,10,0)</f>
        <v>29</v>
      </c>
      <c r="O427" s="22">
        <f>VLOOKUP(A427,'[1]Bieu 1a'!$A$8:$AW$855,8,0)</f>
        <v>0</v>
      </c>
      <c r="P427" s="22" t="str">
        <f>VLOOKUP(A427,'[1]Bieu 1a'!$A$8:$AW$855,9,0)</f>
        <v>15/7/1996</v>
      </c>
      <c r="Q427" s="23" t="s">
        <v>44</v>
      </c>
      <c r="R427" s="24">
        <f>VLOOKUP(A427,'[1]Bieu 1a'!$A$8:$AW$855,23,0)</f>
        <v>45691</v>
      </c>
      <c r="S427" s="25" t="s">
        <v>2113</v>
      </c>
      <c r="T427" s="26" t="s">
        <v>1221</v>
      </c>
      <c r="U427" s="16">
        <f>VLOOKUP(A427,'[1]Bieu 1a'!$A$8:$BD$951,51,0)</f>
        <v>0</v>
      </c>
      <c r="V427" s="16" t="str">
        <f>IFERROR(VLOOKUP(A427,'[2]19.6.2026'!$A$9:$L$1111,5,0),"")</f>
        <v>005649/LS-CCHN</v>
      </c>
      <c r="W427" s="16">
        <f>IFERROR(VLOOKUP(A427,'[2]19.6.2026'!$A$9:$L$1111,6,0),"")</f>
        <v>45134</v>
      </c>
      <c r="X427" s="16"/>
      <c r="Y427" s="21" t="str">
        <f>IFERROR(VLOOKUP(A427,'[2]19.6.2026'!$A$9:$L$1111,7,0),"")</f>
        <v>Khám bệnh, chữa bệnh Nội khoa</v>
      </c>
      <c r="Z427" s="16"/>
      <c r="AA427" s="27" t="str">
        <f>IFERROR(VLOOKUP(A427,'[3]DS UPLOAD 2026 (2)'!$A$2:$P$1111,16,0),"")</f>
        <v/>
      </c>
      <c r="AB427" s="39" t="s">
        <v>2114</v>
      </c>
      <c r="AC427" s="113" t="s">
        <v>2115</v>
      </c>
    </row>
    <row r="428" spans="1:29" ht="18" customHeight="1" x14ac:dyDescent="0.3">
      <c r="A428" s="56" t="s">
        <v>2116</v>
      </c>
      <c r="B428" s="61" t="s">
        <v>2117</v>
      </c>
      <c r="C428" s="23" t="s">
        <v>2116</v>
      </c>
      <c r="D428" s="23" t="s">
        <v>38</v>
      </c>
      <c r="E428" s="27" t="s">
        <v>173</v>
      </c>
      <c r="F428" s="27" t="str">
        <f>VLOOKUP(E428,'[1]BẢNG MÃ'!$A$2:$B$69,2,0)</f>
        <v>TĐ005</v>
      </c>
      <c r="G428" s="48"/>
      <c r="H428" s="23" t="s">
        <v>161</v>
      </c>
      <c r="I428" s="27" t="s">
        <v>2090</v>
      </c>
      <c r="J428" s="27" t="str">
        <f>VLOOKUP(I428,'[1]BẢNG MÃ'!$C$2:$D$69,2,0)</f>
        <v>KP018</v>
      </c>
      <c r="K428" s="23"/>
      <c r="L428" s="23"/>
      <c r="M428" s="16" t="s">
        <v>33</v>
      </c>
      <c r="N428" s="21">
        <f ca="1">VLOOKUP(A428,'[1]Bieu 1a'!$A$8:$AW$855,10,0)</f>
        <v>31</v>
      </c>
      <c r="O428" s="22">
        <f>VLOOKUP(A428,'[1]Bieu 1a'!$A$8:$AW$855,8,0)</f>
        <v>0</v>
      </c>
      <c r="P428" s="22" t="str">
        <f>VLOOKUP(A428,'[1]Bieu 1a'!$A$8:$AW$855,9,0)</f>
        <v>25/2/1995</v>
      </c>
      <c r="Q428" s="23" t="s">
        <v>50</v>
      </c>
      <c r="R428" s="24">
        <f>VLOOKUP(A428,'[1]Bieu 1a'!$A$8:$AW$855,23,0)</f>
        <v>45783</v>
      </c>
      <c r="S428" s="25" t="s">
        <v>2118</v>
      </c>
      <c r="T428" s="26" t="s">
        <v>2105</v>
      </c>
      <c r="U428" s="23"/>
      <c r="V428" s="16" t="str">
        <f>IFERROR(VLOOKUP(A428,'[2]19.6.2026'!$A$9:$L$1111,5,0),"")</f>
        <v>005597/LS-CCHN</v>
      </c>
      <c r="W428" s="16">
        <f>IFERROR(VLOOKUP(A428,'[2]19.6.2026'!$A$9:$L$1111,6,0),"")</f>
        <v>45069</v>
      </c>
      <c r="X428" s="23"/>
      <c r="Y428" s="21" t="str">
        <f>IFERROR(VLOOKUP(A428,'[2]19.6.2026'!$A$9:$L$1111,7,0),"")</f>
        <v>Khám bệnh, chữa bệnh Nội khoa</v>
      </c>
      <c r="Z428" s="16"/>
      <c r="AA428" s="27" t="str">
        <f>IFERROR(VLOOKUP(A428,'[3]DS UPLOAD 2026 (2)'!$A$2:$P$1111,16,0),"")</f>
        <v/>
      </c>
      <c r="AB428" s="58" t="s">
        <v>2119</v>
      </c>
      <c r="AC428" s="29" t="s">
        <v>802</v>
      </c>
    </row>
    <row r="429" spans="1:29" ht="18" customHeight="1" x14ac:dyDescent="0.3">
      <c r="A429" s="17" t="s">
        <v>2120</v>
      </c>
      <c r="B429" s="29" t="s">
        <v>2121</v>
      </c>
      <c r="C429" s="17" t="s">
        <v>2120</v>
      </c>
      <c r="D429" s="19" t="s">
        <v>38</v>
      </c>
      <c r="E429" s="19" t="s">
        <v>41</v>
      </c>
      <c r="F429" s="16" t="str">
        <f>VLOOKUP(E429,'[1]BẢNG MÃ'!$A$2:$B$69,2,0)</f>
        <v>TĐ011</v>
      </c>
      <c r="G429" s="20" t="s">
        <v>42</v>
      </c>
      <c r="H429" s="20" t="s">
        <v>42</v>
      </c>
      <c r="I429" s="16" t="s">
        <v>2090</v>
      </c>
      <c r="J429" s="16" t="str">
        <f>VLOOKUP(I429,'[1]BẢNG MÃ'!$C$2:$D$69,2,0)</f>
        <v>KP018</v>
      </c>
      <c r="K429" s="16" t="s">
        <v>31</v>
      </c>
      <c r="L429" s="16" t="s">
        <v>201</v>
      </c>
      <c r="M429" s="16" t="s">
        <v>33</v>
      </c>
      <c r="N429" s="21">
        <f ca="1">VLOOKUP(A429,'[1]Bieu 1a'!$A$8:$AW$855,10,0)</f>
        <v>45</v>
      </c>
      <c r="O429" s="22">
        <f>VLOOKUP(A429,'[1]Bieu 1a'!$A$8:$AW$855,8,0)</f>
        <v>0</v>
      </c>
      <c r="P429" s="22">
        <f>VLOOKUP(A429,'[1]Bieu 1a'!$A$8:$AW$855,9,0)</f>
        <v>29580</v>
      </c>
      <c r="Q429" s="23" t="s">
        <v>34</v>
      </c>
      <c r="R429" s="24" t="str">
        <f>VLOOKUP(A429,'[1]Bieu 1a'!$A$8:$AW$855,23,0)</f>
        <v>19/01/2005</v>
      </c>
      <c r="S429" s="25" t="s">
        <v>2122</v>
      </c>
      <c r="T429" s="26" t="s">
        <v>1221</v>
      </c>
      <c r="U429" s="16"/>
      <c r="V429" s="16" t="str">
        <f>IFERROR(VLOOKUP(A429,'[2]19.6.2026'!$A$9:$L$1111,5,0),"")</f>
        <v>001042/LS-CCHN</v>
      </c>
      <c r="W429" s="16" t="str">
        <f>IFERROR(VLOOKUP(A429,'[2]19.6.2026'!$A$9:$L$1111,6,0),"")</f>
        <v>11/01/2023</v>
      </c>
      <c r="X429" s="16"/>
      <c r="Y429" s="21" t="str">
        <f>IFERROR(VLOOKUP(A429,'[2]19.6.2026'!$A$9:$L$1111,7,0),"")</f>
        <v>Thực hiện phạm vi hoạt động chuyên môn theo Thông tư số 26/2015/TTLT-BYT-BNV ngày 07/10/2015 quy định  mã số, tiêu chuẩn chức danh nghề nghiệp, điều dưỡng, hộ sinh, kỹ thuật y</v>
      </c>
      <c r="Z429" s="16"/>
      <c r="AA429" s="27" t="str">
        <f>IFERROR(VLOOKUP(A429,'[3]DS UPLOAD 2026 (2)'!$A$2:$P$1111,16,0),"")</f>
        <v/>
      </c>
      <c r="AB429" s="58" t="s">
        <v>2123</v>
      </c>
      <c r="AC429" s="114"/>
    </row>
    <row r="430" spans="1:29" ht="18" customHeight="1" x14ac:dyDescent="0.3">
      <c r="A430" s="17" t="s">
        <v>2124</v>
      </c>
      <c r="B430" s="18" t="s">
        <v>2125</v>
      </c>
      <c r="C430" s="17" t="s">
        <v>2124</v>
      </c>
      <c r="D430" s="19" t="s">
        <v>38</v>
      </c>
      <c r="E430" s="30" t="s">
        <v>41</v>
      </c>
      <c r="F430" s="16" t="str">
        <f>VLOOKUP(E430,'[1]BẢNG MÃ'!$A$2:$B$69,2,0)</f>
        <v>TĐ011</v>
      </c>
      <c r="G430" s="20" t="s">
        <v>42</v>
      </c>
      <c r="H430" s="20" t="s">
        <v>42</v>
      </c>
      <c r="I430" s="16" t="s">
        <v>2090</v>
      </c>
      <c r="J430" s="16" t="str">
        <f>VLOOKUP(I430,'[1]BẢNG MÃ'!$C$2:$D$69,2,0)</f>
        <v>KP018</v>
      </c>
      <c r="K430" s="16" t="s">
        <v>43</v>
      </c>
      <c r="L430" s="16">
        <v>0</v>
      </c>
      <c r="M430" s="16" t="s">
        <v>33</v>
      </c>
      <c r="N430" s="21">
        <f ca="1">VLOOKUP(A430,'[1]Bieu 1a'!$A$8:$AW$855,10,0)</f>
        <v>40</v>
      </c>
      <c r="O430" s="22">
        <f>VLOOKUP(A430,'[1]Bieu 1a'!$A$8:$AW$855,8,0)</f>
        <v>0</v>
      </c>
      <c r="P430" s="22">
        <f>VLOOKUP(A430,'[1]Bieu 1a'!$A$8:$AW$855,9,0)</f>
        <v>31423</v>
      </c>
      <c r="Q430" s="23" t="s">
        <v>44</v>
      </c>
      <c r="R430" s="24" t="str">
        <f>VLOOKUP(A430,'[1]Bieu 1a'!$A$8:$AW$855,23,0)</f>
        <v>15/1/2010</v>
      </c>
      <c r="S430" s="25" t="s">
        <v>2126</v>
      </c>
      <c r="T430" s="26" t="s">
        <v>2092</v>
      </c>
      <c r="U430" s="16"/>
      <c r="V430" s="16" t="str">
        <f>IFERROR(VLOOKUP(A430,'[2]19.6.2026'!$A$9:$L$1111,5,0),"")</f>
        <v>000877/LS-CCHN</v>
      </c>
      <c r="W430" s="16" t="str">
        <f>IFERROR(VLOOKUP(A430,'[2]19.6.2026'!$A$9:$L$1111,6,0),"")</f>
        <v>11/01/2023</v>
      </c>
      <c r="X430" s="16"/>
      <c r="Y430" s="21" t="str">
        <f>IFERROR(VLOOKUP(A430,'[2]19.6.2026'!$A$9:$L$1111,7,0),"")</f>
        <v>Thực hiện phạm vi hoạt động chuyên môn theo Thông tư số 26/2015/TTLT-BYT-BNV ngày 07/10/2015 quy định  mã số, tiêu chuẩn chức danh nghề nghiệp, điều dưỡng, hộ sinh, kỹ thuật y</v>
      </c>
      <c r="Z430" s="16"/>
      <c r="AA430" s="27" t="str">
        <f>IFERROR(VLOOKUP(A430,'[3]DS UPLOAD 2026 (2)'!$A$2:$P$1111,16,0),"")</f>
        <v/>
      </c>
      <c r="AB430" s="27" t="s">
        <v>2127</v>
      </c>
      <c r="AC430" s="28"/>
    </row>
    <row r="431" spans="1:29" ht="18" customHeight="1" x14ac:dyDescent="0.3">
      <c r="A431" s="17" t="s">
        <v>2128</v>
      </c>
      <c r="B431" s="18" t="s">
        <v>2129</v>
      </c>
      <c r="C431" s="17" t="s">
        <v>2128</v>
      </c>
      <c r="D431" s="19" t="s">
        <v>38</v>
      </c>
      <c r="E431" s="68" t="s">
        <v>41</v>
      </c>
      <c r="F431" s="16" t="str">
        <f>VLOOKUP(E431,'[1]BẢNG MÃ'!$A$2:$B$69,2,0)</f>
        <v>TĐ011</v>
      </c>
      <c r="G431" s="31" t="s">
        <v>42</v>
      </c>
      <c r="H431" s="31" t="s">
        <v>42</v>
      </c>
      <c r="I431" s="16" t="s">
        <v>2090</v>
      </c>
      <c r="J431" s="16" t="str">
        <f>VLOOKUP(I431,'[1]BẢNG MÃ'!$C$2:$D$69,2,0)</f>
        <v>KP018</v>
      </c>
      <c r="K431" s="16" t="s">
        <v>43</v>
      </c>
      <c r="L431" s="16">
        <v>0</v>
      </c>
      <c r="M431" s="16" t="s">
        <v>33</v>
      </c>
      <c r="N431" s="21">
        <f ca="1">VLOOKUP(A431,'[1]Bieu 1a'!$A$8:$AW$855,10,0)</f>
        <v>47</v>
      </c>
      <c r="O431" s="22">
        <f>VLOOKUP(A431,'[1]Bieu 1a'!$A$8:$AW$855,8,0)</f>
        <v>0</v>
      </c>
      <c r="P431" s="22">
        <f>VLOOKUP(A431,'[1]Bieu 1a'!$A$8:$AW$855,9,0)</f>
        <v>28781</v>
      </c>
      <c r="Q431" s="23" t="s">
        <v>50</v>
      </c>
      <c r="R431" s="24" t="str">
        <f>VLOOKUP(A431,'[1]Bieu 1a'!$A$8:$AW$855,23,0)</f>
        <v>19/1/2005</v>
      </c>
      <c r="S431" s="25" t="s">
        <v>2130</v>
      </c>
      <c r="T431" s="26" t="s">
        <v>1221</v>
      </c>
      <c r="U431" s="16"/>
      <c r="V431" s="16" t="str">
        <f>IFERROR(VLOOKUP(A431,'[2]19.6.2026'!$A$9:$L$1111,5,0),"")</f>
        <v>000743/LS-CCHN</v>
      </c>
      <c r="W431" s="16" t="str">
        <f>IFERROR(VLOOKUP(A431,'[2]19.6.2026'!$A$9:$L$1111,6,0),"")</f>
        <v>11/01/2023</v>
      </c>
      <c r="X431" s="16"/>
      <c r="Y431" s="21" t="str">
        <f>IFERROR(VLOOKUP(A431,'[2]19.6.2026'!$A$9:$L$1111,7,0),"")</f>
        <v>Thực hiện phạm vi hoạt động chuyên môn theo Thông tư số 26/2015/TTLT-BYT-BNV ngày 07/10/2015 quy định  mã số, tiêu chuẩn chức danh nghề nghiệp, điều dưỡng, hộ sinh, kỹ thuật y</v>
      </c>
      <c r="Z431" s="16"/>
      <c r="AA431" s="27" t="str">
        <f>IFERROR(VLOOKUP(A431,'[3]DS UPLOAD 2026 (2)'!$A$2:$P$1111,16,0),"")</f>
        <v/>
      </c>
      <c r="AB431" s="27">
        <v>918555618</v>
      </c>
      <c r="AC431" s="51"/>
    </row>
    <row r="432" spans="1:29" ht="18" customHeight="1" x14ac:dyDescent="0.3">
      <c r="A432" s="43" t="s">
        <v>2131</v>
      </c>
      <c r="B432" s="44" t="s">
        <v>2132</v>
      </c>
      <c r="C432" s="45" t="s">
        <v>2131</v>
      </c>
      <c r="D432" s="19" t="s">
        <v>38</v>
      </c>
      <c r="E432" s="55" t="s">
        <v>41</v>
      </c>
      <c r="F432" s="16" t="str">
        <f>VLOOKUP(E432,'[1]BẢNG MÃ'!$A$2:$B$69,2,0)</f>
        <v>TĐ011</v>
      </c>
      <c r="G432" s="20"/>
      <c r="H432" s="20" t="s">
        <v>42</v>
      </c>
      <c r="I432" s="55" t="s">
        <v>2090</v>
      </c>
      <c r="J432" s="16" t="str">
        <f>VLOOKUP(I432,'[1]BẢNG MÃ'!$C$2:$D$69,2,0)</f>
        <v>KP018</v>
      </c>
      <c r="K432" s="16"/>
      <c r="L432" s="16"/>
      <c r="M432" s="16" t="s">
        <v>33</v>
      </c>
      <c r="N432" s="21">
        <f ca="1">VLOOKUP(A432,'[1]Bieu 1a'!$A$8:$AW$855,10,0)</f>
        <v>27</v>
      </c>
      <c r="O432" s="22">
        <f>VLOOKUP(A432,'[1]Bieu 1a'!$A$8:$AW$855,8,0)</f>
        <v>0</v>
      </c>
      <c r="P432" s="22" t="str">
        <f>VLOOKUP(A432,'[1]Bieu 1a'!$A$8:$AW$855,9,0)</f>
        <v>23/12/1998</v>
      </c>
      <c r="Q432" s="23" t="s">
        <v>50</v>
      </c>
      <c r="R432" s="24">
        <f>VLOOKUP(A432,'[1]Bieu 1a'!$A$8:$AW$855,23,0)</f>
        <v>44837</v>
      </c>
      <c r="S432" s="25" t="s">
        <v>2133</v>
      </c>
      <c r="T432" s="26" t="s">
        <v>2105</v>
      </c>
      <c r="U432" s="78">
        <f>EDATE(R432,9)</f>
        <v>45110</v>
      </c>
      <c r="V432" s="16" t="str">
        <f>IFERROR(VLOOKUP(A432,'[2]19.6.2026'!$A$9:$L$1111,5,0),"")</f>
        <v>000134/LS-GPHN</v>
      </c>
      <c r="W432" s="16">
        <f>IFERROR(VLOOKUP(A432,'[2]19.6.2026'!$A$9:$L$1111,6,0),"")</f>
        <v>45546</v>
      </c>
      <c r="X432" s="16"/>
      <c r="Y432" s="21" t="str">
        <f>IFERROR(VLOOKUP(A432,'[2]19.6.2026'!$A$9:$L$1111,7,0),"")</f>
        <v>Điều dưỡng</v>
      </c>
      <c r="Z432" s="16"/>
      <c r="AA432" s="27" t="str">
        <f>IFERROR(VLOOKUP(A432,'[3]DS UPLOAD 2026 (2)'!$A$2:$P$1111,16,0),"")</f>
        <v/>
      </c>
      <c r="AB432" s="27" t="s">
        <v>2134</v>
      </c>
      <c r="AC432" s="29" t="s">
        <v>439</v>
      </c>
    </row>
    <row r="433" spans="1:29" ht="18" customHeight="1" x14ac:dyDescent="0.3">
      <c r="A433" s="17" t="s">
        <v>2135</v>
      </c>
      <c r="B433" s="29" t="s">
        <v>2136</v>
      </c>
      <c r="C433" s="17" t="s">
        <v>2135</v>
      </c>
      <c r="D433" s="19"/>
      <c r="E433" s="19" t="s">
        <v>61</v>
      </c>
      <c r="F433" s="16" t="str">
        <f>VLOOKUP(E433,'[1]BẢNG MÃ'!$A$2:$B$69,2,0)</f>
        <v>TĐ012</v>
      </c>
      <c r="G433" s="20" t="s">
        <v>62</v>
      </c>
      <c r="H433" s="20" t="s">
        <v>62</v>
      </c>
      <c r="I433" s="16" t="s">
        <v>2090</v>
      </c>
      <c r="J433" s="16" t="str">
        <f>VLOOKUP(I433,'[1]BẢNG MÃ'!$C$2:$D$69,2,0)</f>
        <v>KP018</v>
      </c>
      <c r="K433" s="16" t="s">
        <v>43</v>
      </c>
      <c r="L433" s="16">
        <v>0</v>
      </c>
      <c r="M433" s="16" t="s">
        <v>33</v>
      </c>
      <c r="N433" s="21">
        <f ca="1">VLOOKUP(A433,'[1]Bieu 1a'!$A$8:$AW$855,10,0)</f>
        <v>34</v>
      </c>
      <c r="O433" s="22" t="str">
        <f>VLOOKUP(A433,'[1]Bieu 1a'!$A$8:$AW$855,8,0)</f>
        <v>03/01/1992</v>
      </c>
      <c r="P433" s="22">
        <f>VLOOKUP(A433,'[1]Bieu 1a'!$A$8:$AW$855,9,0)</f>
        <v>0</v>
      </c>
      <c r="Q433" s="23" t="s">
        <v>44</v>
      </c>
      <c r="R433" s="24" t="str">
        <f>VLOOKUP(A433,'[1]Bieu 1a'!$A$8:$AW$855,23,0)</f>
        <v>01/11/2016</v>
      </c>
      <c r="S433" s="25" t="s">
        <v>2137</v>
      </c>
      <c r="T433" s="26" t="s">
        <v>2138</v>
      </c>
      <c r="U433" s="16"/>
      <c r="V433" s="16" t="str">
        <f>IFERROR(VLOOKUP(A433,'[2]19.6.2026'!$A$9:$L$1111,5,0),"")</f>
        <v>003315/LS-CCHN</v>
      </c>
      <c r="W433" s="16" t="str">
        <f>IFERROR(VLOOKUP(A433,'[2]19.6.2026'!$A$9:$L$1111,6,0),"")</f>
        <v>28/06/2019</v>
      </c>
      <c r="X433" s="16"/>
      <c r="Y433" s="21" t="str">
        <f>IFERROR(VLOOKUP(A433,'[2]19.6.2026'!$A$9:$L$1111,7,0),"")</f>
        <v>Thực hiện phạm vi hoạt động chuyên môn theo quy định tại Thông tư số 26/2015/TTLT-BYT-BNV ngày 07/10/2015 quy định mã số, tiêu chuẩn chức danh nghề nghiệp điều dưỡng, hộ sinh, kỹ thuật y</v>
      </c>
      <c r="Z433" s="16"/>
      <c r="AA433" s="27" t="str">
        <f>IFERROR(VLOOKUP(A433,'[3]DS UPLOAD 2026 (2)'!$A$2:$P$1111,16,0),"")</f>
        <v/>
      </c>
      <c r="AB433" s="27" t="s">
        <v>2139</v>
      </c>
      <c r="AC433" s="28"/>
    </row>
    <row r="434" spans="1:29" ht="18" customHeight="1" x14ac:dyDescent="0.3">
      <c r="A434" s="17" t="s">
        <v>2140</v>
      </c>
      <c r="B434" s="18" t="s">
        <v>2141</v>
      </c>
      <c r="C434" s="17" t="s">
        <v>2140</v>
      </c>
      <c r="D434" s="19"/>
      <c r="E434" s="19" t="s">
        <v>61</v>
      </c>
      <c r="F434" s="16" t="str">
        <f>VLOOKUP(E434,'[1]BẢNG MÃ'!$A$2:$B$69,2,0)</f>
        <v>TĐ012</v>
      </c>
      <c r="G434" s="20" t="s">
        <v>62</v>
      </c>
      <c r="H434" s="20" t="s">
        <v>62</v>
      </c>
      <c r="I434" s="16" t="s">
        <v>2090</v>
      </c>
      <c r="J434" s="16" t="str">
        <f>VLOOKUP(I434,'[1]BẢNG MÃ'!$C$2:$D$69,2,0)</f>
        <v>KP018</v>
      </c>
      <c r="K434" s="16" t="s">
        <v>43</v>
      </c>
      <c r="L434" s="16">
        <v>0</v>
      </c>
      <c r="M434" s="16" t="s">
        <v>33</v>
      </c>
      <c r="N434" s="21">
        <f ca="1">VLOOKUP(A434,'[1]Bieu 1a'!$A$8:$AW$855,10,0)</f>
        <v>40</v>
      </c>
      <c r="O434" s="22">
        <f>VLOOKUP(A434,'[1]Bieu 1a'!$A$8:$AW$855,8,0)</f>
        <v>31532</v>
      </c>
      <c r="P434" s="22">
        <f>VLOOKUP(A434,'[1]Bieu 1a'!$A$8:$AW$855,9,0)</f>
        <v>0</v>
      </c>
      <c r="Q434" s="23" t="s">
        <v>44</v>
      </c>
      <c r="R434" s="24" t="str">
        <f>VLOOKUP(A434,'[1]Bieu 1a'!$A$8:$AW$855,23,0)</f>
        <v>1/12/2008</v>
      </c>
      <c r="S434" s="25" t="s">
        <v>2142</v>
      </c>
      <c r="T434" s="26" t="s">
        <v>2092</v>
      </c>
      <c r="U434" s="16"/>
      <c r="V434" s="16" t="str">
        <f>IFERROR(VLOOKUP(A434,'[2]19.6.2026'!$A$9:$L$1111,5,0),"")</f>
        <v>000830/LS-CCHN</v>
      </c>
      <c r="W434" s="16" t="str">
        <f>IFERROR(VLOOKUP(A434,'[2]19.6.2026'!$A$9:$L$1111,6,0),"")</f>
        <v>11/01/2023</v>
      </c>
      <c r="X434" s="16"/>
      <c r="Y434" s="21" t="str">
        <f>IFERROR(VLOOKUP(A434,'[2]19.6.2026'!$A$9:$L$1111,7,0),"")</f>
        <v>Thực hiện phạm vi hoạt động chuyên môn theo Thông tư số 26/2015/TTLT-BYT-BNV ngày 07/10/2015 quy định  mã số, tiêu chuẩn chức danh nghề nghiệp, điều dưỡng, hộ sinh, kỹ thuật y</v>
      </c>
      <c r="Z434" s="16"/>
      <c r="AA434" s="27" t="str">
        <f>IFERROR(VLOOKUP(A434,'[3]DS UPLOAD 2026 (2)'!$A$2:$P$1111,16,0),"")</f>
        <v/>
      </c>
      <c r="AB434" s="27" t="s">
        <v>2143</v>
      </c>
      <c r="AC434" s="28"/>
    </row>
    <row r="435" spans="1:29" ht="18" customHeight="1" x14ac:dyDescent="0.3">
      <c r="A435" s="17" t="s">
        <v>2144</v>
      </c>
      <c r="B435" s="18" t="s">
        <v>2145</v>
      </c>
      <c r="C435" s="17" t="s">
        <v>2144</v>
      </c>
      <c r="D435" s="19" t="s">
        <v>38</v>
      </c>
      <c r="E435" s="19" t="s">
        <v>61</v>
      </c>
      <c r="F435" s="16" t="str">
        <f>VLOOKUP(E435,'[1]BẢNG MÃ'!$A$2:$B$69,2,0)</f>
        <v>TĐ012</v>
      </c>
      <c r="G435" s="20" t="s">
        <v>62</v>
      </c>
      <c r="H435" s="20" t="s">
        <v>62</v>
      </c>
      <c r="I435" s="16" t="s">
        <v>2090</v>
      </c>
      <c r="J435" s="16" t="str">
        <f>VLOOKUP(I435,'[1]BẢNG MÃ'!$C$2:$D$69,2,0)</f>
        <v>KP018</v>
      </c>
      <c r="K435" s="16" t="s">
        <v>43</v>
      </c>
      <c r="L435" s="16">
        <v>0</v>
      </c>
      <c r="M435" s="16" t="s">
        <v>33</v>
      </c>
      <c r="N435" s="21">
        <f ca="1">VLOOKUP(A435,'[1]Bieu 1a'!$A$8:$AW$855,10,0)</f>
        <v>42</v>
      </c>
      <c r="O435" s="22">
        <f>VLOOKUP(A435,'[1]Bieu 1a'!$A$8:$AW$855,8,0)</f>
        <v>0</v>
      </c>
      <c r="P435" s="22">
        <f>VLOOKUP(A435,'[1]Bieu 1a'!$A$8:$AW$855,9,0)</f>
        <v>30845</v>
      </c>
      <c r="Q435" s="23" t="s">
        <v>34</v>
      </c>
      <c r="R435" s="24" t="str">
        <f>VLOOKUP(A435,'[1]Bieu 1a'!$A$8:$AW$855,23,0)</f>
        <v>15/1/2010</v>
      </c>
      <c r="S435" s="25" t="s">
        <v>2146</v>
      </c>
      <c r="T435" s="26" t="s">
        <v>2092</v>
      </c>
      <c r="U435" s="16"/>
      <c r="V435" s="16" t="str">
        <f>IFERROR(VLOOKUP(A435,'[2]19.6.2026'!$A$9:$L$1111,5,0),"")</f>
        <v>000915/LS-CCHN</v>
      </c>
      <c r="W435" s="16" t="str">
        <f>IFERROR(VLOOKUP(A435,'[2]19.6.2026'!$A$9:$L$1111,6,0),"")</f>
        <v>11/01/2023</v>
      </c>
      <c r="X435" s="16"/>
      <c r="Y435" s="21" t="str">
        <f>IFERROR(VLOOKUP(A435,'[2]19.6.2026'!$A$9:$L$1111,7,0),"")</f>
        <v>Thực hiện phạm vi hoạt động chuyên môn theo Thông tư số 26/2015/TTLT-BYT-BNV ngày 07/10/2015 quy định  mã số, tiêu chuẩn chức danh nghề nghiệp, điều dưỡng, hộ sinh, kỹ thuật y</v>
      </c>
      <c r="Z435" s="16"/>
      <c r="AA435" s="27" t="str">
        <f>IFERROR(VLOOKUP(A435,'[3]DS UPLOAD 2026 (2)'!$A$2:$P$1111,16,0),"")</f>
        <v/>
      </c>
      <c r="AB435" s="27" t="s">
        <v>2147</v>
      </c>
      <c r="AC435" s="28"/>
    </row>
    <row r="436" spans="1:29" ht="18" customHeight="1" x14ac:dyDescent="0.3">
      <c r="A436" s="17" t="s">
        <v>2148</v>
      </c>
      <c r="B436" s="18" t="s">
        <v>2149</v>
      </c>
      <c r="C436" s="17" t="s">
        <v>2148</v>
      </c>
      <c r="D436" s="19" t="s">
        <v>38</v>
      </c>
      <c r="E436" s="19" t="s">
        <v>61</v>
      </c>
      <c r="F436" s="16" t="str">
        <f>VLOOKUP(E436,'[1]BẢNG MÃ'!$A$2:$B$69,2,0)</f>
        <v>TĐ012</v>
      </c>
      <c r="G436" s="20" t="s">
        <v>62</v>
      </c>
      <c r="H436" s="20" t="s">
        <v>62</v>
      </c>
      <c r="I436" s="16" t="s">
        <v>2090</v>
      </c>
      <c r="J436" s="16" t="str">
        <f>VLOOKUP(I436,'[1]BẢNG MÃ'!$C$2:$D$69,2,0)</f>
        <v>KP018</v>
      </c>
      <c r="K436" s="16" t="s">
        <v>43</v>
      </c>
      <c r="L436" s="16">
        <v>0</v>
      </c>
      <c r="M436" s="16" t="s">
        <v>33</v>
      </c>
      <c r="N436" s="21">
        <f ca="1">VLOOKUP(A436,'[1]Bieu 1a'!$A$8:$AW$855,10,0)</f>
        <v>39</v>
      </c>
      <c r="O436" s="22">
        <f>VLOOKUP(A436,'[1]Bieu 1a'!$A$8:$AW$855,8,0)</f>
        <v>0</v>
      </c>
      <c r="P436" s="22">
        <f>VLOOKUP(A436,'[1]Bieu 1a'!$A$8:$AW$855,9,0)</f>
        <v>31699</v>
      </c>
      <c r="Q436" s="23" t="s">
        <v>50</v>
      </c>
      <c r="R436" s="24" t="str">
        <f>VLOOKUP(A436,'[1]Bieu 1a'!$A$8:$AW$855,23,0)</f>
        <v>10/6/2013</v>
      </c>
      <c r="S436" s="25" t="s">
        <v>2150</v>
      </c>
      <c r="T436" s="26" t="s">
        <v>2105</v>
      </c>
      <c r="U436" s="16"/>
      <c r="V436" s="16" t="str">
        <f>IFERROR(VLOOKUP(A436,'[2]19.6.2026'!$A$9:$L$1111,5,0),"")</f>
        <v>000386/LS-CCHN</v>
      </c>
      <c r="W436" s="16" t="str">
        <f>IFERROR(VLOOKUP(A436,'[2]19.6.2026'!$A$9:$L$1111,6,0),"")</f>
        <v>11/01/2023</v>
      </c>
      <c r="X436" s="16"/>
      <c r="Y436" s="21" t="str">
        <f>IFERROR(VLOOKUP(A436,'[2]19.6.2026'!$A$9:$L$1111,7,0),"")</f>
        <v>Thực hiện phạm vi hoạt động chuyên môn theo Thông tư số 26/2015/TTLT-BYT-BNV ngày 07/10/2015 quy định  mã số, tiêu chuẩn chức danh nghề nghiệp, điều dưỡng, hộ sinh, kỹ thuật y</v>
      </c>
      <c r="Z436" s="16"/>
      <c r="AA436" s="27" t="str">
        <f>IFERROR(VLOOKUP(A436,'[3]DS UPLOAD 2026 (2)'!$A$2:$P$1111,16,0),"")</f>
        <v/>
      </c>
      <c r="AB436" s="27" t="s">
        <v>2151</v>
      </c>
      <c r="AC436" s="28"/>
    </row>
    <row r="437" spans="1:29" ht="17.25" customHeight="1" x14ac:dyDescent="0.3">
      <c r="A437" s="17" t="s">
        <v>2152</v>
      </c>
      <c r="B437" s="18" t="s">
        <v>2153</v>
      </c>
      <c r="C437" s="17" t="s">
        <v>2152</v>
      </c>
      <c r="D437" s="19" t="s">
        <v>38</v>
      </c>
      <c r="E437" s="19" t="s">
        <v>61</v>
      </c>
      <c r="F437" s="16" t="str">
        <f>VLOOKUP(E437,'[1]BẢNG MÃ'!$A$2:$B$69,2,0)</f>
        <v>TĐ012</v>
      </c>
      <c r="G437" s="20" t="s">
        <v>62</v>
      </c>
      <c r="H437" s="20" t="s">
        <v>62</v>
      </c>
      <c r="I437" s="16" t="s">
        <v>2090</v>
      </c>
      <c r="J437" s="16" t="str">
        <f>VLOOKUP(I437,'[1]BẢNG MÃ'!$C$2:$D$69,2,0)</f>
        <v>KP018</v>
      </c>
      <c r="K437" s="16" t="s">
        <v>43</v>
      </c>
      <c r="L437" s="16">
        <v>0</v>
      </c>
      <c r="M437" s="16" t="s">
        <v>33</v>
      </c>
      <c r="N437" s="21">
        <f ca="1">VLOOKUP(A437,'[1]Bieu 1a'!$A$8:$AW$855,10,0)</f>
        <v>35</v>
      </c>
      <c r="O437" s="22">
        <f>VLOOKUP(A437,'[1]Bieu 1a'!$A$8:$AW$855,8,0)</f>
        <v>0</v>
      </c>
      <c r="P437" s="22">
        <f>VLOOKUP(A437,'[1]Bieu 1a'!$A$8:$AW$855,9,0)</f>
        <v>33161</v>
      </c>
      <c r="Q437" s="23" t="s">
        <v>44</v>
      </c>
      <c r="R437" s="24" t="str">
        <f>VLOOKUP(A437,'[1]Bieu 1a'!$A$8:$AW$855,23,0)</f>
        <v>10/6/2013</v>
      </c>
      <c r="S437" s="25" t="s">
        <v>2154</v>
      </c>
      <c r="T437" s="26" t="s">
        <v>2155</v>
      </c>
      <c r="U437" s="16"/>
      <c r="V437" s="16" t="str">
        <f>IFERROR(VLOOKUP(A437,'[2]19.6.2026'!$A$9:$L$1111,5,0),"")</f>
        <v>000384/LS-CCHN</v>
      </c>
      <c r="W437" s="16" t="str">
        <f>IFERROR(VLOOKUP(A437,'[2]19.6.2026'!$A$9:$L$1111,6,0),"")</f>
        <v>11/01/2023</v>
      </c>
      <c r="X437" s="16"/>
      <c r="Y437" s="21" t="str">
        <f>IFERROR(VLOOKUP(A437,'[2]19.6.2026'!$A$9:$L$1111,7,0),"")</f>
        <v>Thực hiện phạm vi hoạt động chuyên môn theo Thông tư số 26/2015/TTLT-BYT-BNV ngày 07/10/2015 quy định  mã số, tiêu chuẩn chức danh nghề nghiệp, điều dưỡng, hộ sinh, kỹ thuật y</v>
      </c>
      <c r="Z437" s="16"/>
      <c r="AA437" s="27" t="str">
        <f>IFERROR(VLOOKUP(A437,'[3]DS UPLOAD 2026 (2)'!$A$2:$P$1111,16,0),"")</f>
        <v/>
      </c>
      <c r="AB437" s="27">
        <v>916049826</v>
      </c>
      <c r="AC437" s="28"/>
    </row>
    <row r="438" spans="1:29" ht="18" customHeight="1" x14ac:dyDescent="0.3">
      <c r="A438" s="17" t="s">
        <v>2156</v>
      </c>
      <c r="B438" s="18" t="s">
        <v>2157</v>
      </c>
      <c r="C438" s="17" t="s">
        <v>2156</v>
      </c>
      <c r="D438" s="19" t="s">
        <v>38</v>
      </c>
      <c r="E438" s="19" t="s">
        <v>61</v>
      </c>
      <c r="F438" s="16" t="str">
        <f>VLOOKUP(E438,'[1]BẢNG MÃ'!$A$2:$B$69,2,0)</f>
        <v>TĐ012</v>
      </c>
      <c r="G438" s="20" t="s">
        <v>62</v>
      </c>
      <c r="H438" s="20" t="s">
        <v>62</v>
      </c>
      <c r="I438" s="16" t="s">
        <v>2090</v>
      </c>
      <c r="J438" s="16" t="str">
        <f>VLOOKUP(I438,'[1]BẢNG MÃ'!$C$2:$D$69,2,0)</f>
        <v>KP018</v>
      </c>
      <c r="K438" s="16" t="s">
        <v>43</v>
      </c>
      <c r="L438" s="16">
        <v>0</v>
      </c>
      <c r="M438" s="16" t="s">
        <v>33</v>
      </c>
      <c r="N438" s="21">
        <f ca="1">VLOOKUP(A438,'[1]Bieu 1a'!$A$8:$AW$855,10,0)</f>
        <v>37</v>
      </c>
      <c r="O438" s="22">
        <f>VLOOKUP(A438,'[1]Bieu 1a'!$A$8:$AW$855,8,0)</f>
        <v>0</v>
      </c>
      <c r="P438" s="22">
        <f>VLOOKUP(A438,'[1]Bieu 1a'!$A$8:$AW$855,9,0)</f>
        <v>32510</v>
      </c>
      <c r="Q438" s="23" t="s">
        <v>50</v>
      </c>
      <c r="R438" s="24" t="str">
        <f>VLOOKUP(A438,'[1]Bieu 1a'!$A$8:$AW$855,23,0)</f>
        <v>10/6/2013</v>
      </c>
      <c r="S438" s="25" t="s">
        <v>2158</v>
      </c>
      <c r="T438" s="26" t="s">
        <v>2092</v>
      </c>
      <c r="U438" s="16"/>
      <c r="V438" s="16" t="str">
        <f>IFERROR(VLOOKUP(A438,'[2]19.6.2026'!$A$9:$L$1111,5,0),"")</f>
        <v>000383/LS-CCHN</v>
      </c>
      <c r="W438" s="16" t="str">
        <f>IFERROR(VLOOKUP(A438,'[2]19.6.2026'!$A$9:$L$1111,6,0),"")</f>
        <v>11/01/2023</v>
      </c>
      <c r="X438" s="16"/>
      <c r="Y438" s="21" t="str">
        <f>IFERROR(VLOOKUP(A438,'[2]19.6.2026'!$A$9:$L$1111,7,0),"")</f>
        <v>Thực hiện phạm vi hoạt động chuyên môn theo Thông tư số 26/2015/TTLT-BYT-BNV ngày 07/10/2015 quy định  mã số, tiêu chuẩn chức danh nghề nghiệp, điều dưỡng, hộ sinh, kỹ thuật y</v>
      </c>
      <c r="Z438" s="16"/>
      <c r="AA438" s="27" t="str">
        <f>IFERROR(VLOOKUP(A438,'[3]DS UPLOAD 2026 (2)'!$A$2:$P$1111,16,0),"")</f>
        <v/>
      </c>
      <c r="AB438" s="27" t="s">
        <v>2159</v>
      </c>
      <c r="AC438" s="28"/>
    </row>
    <row r="439" spans="1:29" ht="18" customHeight="1" x14ac:dyDescent="0.3">
      <c r="A439" s="56" t="s">
        <v>2160</v>
      </c>
      <c r="B439" s="61" t="s">
        <v>2161</v>
      </c>
      <c r="C439" s="23" t="s">
        <v>2160</v>
      </c>
      <c r="D439" s="23" t="s">
        <v>38</v>
      </c>
      <c r="E439" s="27" t="s">
        <v>61</v>
      </c>
      <c r="F439" s="27" t="str">
        <f>VLOOKUP(E439,'[1]BẢNG MÃ'!$A$2:$B$69,2,0)</f>
        <v>TĐ012</v>
      </c>
      <c r="G439" s="48"/>
      <c r="H439" s="20" t="s">
        <v>62</v>
      </c>
      <c r="I439" s="27" t="s">
        <v>2090</v>
      </c>
      <c r="J439" s="27" t="str">
        <f>VLOOKUP(I439,'[1]BẢNG MÃ'!$C$2:$D$69,2,0)</f>
        <v>KP018</v>
      </c>
      <c r="K439" s="23"/>
      <c r="L439" s="23"/>
      <c r="M439" s="16" t="s">
        <v>33</v>
      </c>
      <c r="N439" s="21">
        <f ca="1">VLOOKUP(A439,'[1]Bieu 1a'!$A$8:$AW$855,10,0)</f>
        <v>24</v>
      </c>
      <c r="O439" s="22">
        <f>VLOOKUP(A439,'[1]Bieu 1a'!$A$8:$AW$855,8,0)</f>
        <v>0</v>
      </c>
      <c r="P439" s="22" t="str">
        <f>VLOOKUP(A439,'[1]Bieu 1a'!$A$8:$AW$855,9,0)</f>
        <v>26/3/2002</v>
      </c>
      <c r="Q439" s="23" t="s">
        <v>44</v>
      </c>
      <c r="R439" s="24">
        <f>VLOOKUP(A439,'[1]Bieu 1a'!$A$8:$AW$855,23,0)</f>
        <v>45783</v>
      </c>
      <c r="S439" s="25" t="s">
        <v>2162</v>
      </c>
      <c r="T439" s="26">
        <v>0</v>
      </c>
      <c r="U439" s="23"/>
      <c r="V439" s="16" t="str">
        <f>IFERROR(VLOOKUP(A439,'[2]19.6.2026'!$A$9:$L$1111,5,0),"")</f>
        <v>000167/LS-GPHN</v>
      </c>
      <c r="W439" s="16">
        <f>IFERROR(VLOOKUP(A439,'[2]19.6.2026'!$A$9:$L$1111,6,0),"")</f>
        <v>45609</v>
      </c>
      <c r="X439" s="23"/>
      <c r="Y439" s="21" t="str">
        <f>IFERROR(VLOOKUP(A439,'[2]19.6.2026'!$A$9:$L$1111,7,0),"")</f>
        <v>Điều dưỡng</v>
      </c>
      <c r="Z439" s="16"/>
      <c r="AA439" s="27" t="str">
        <f>IFERROR(VLOOKUP(A439,'[3]DS UPLOAD 2026 (2)'!$A$2:$P$1111,16,0),"")</f>
        <v/>
      </c>
      <c r="AB439" s="58" t="s">
        <v>2163</v>
      </c>
      <c r="AC439" s="29" t="s">
        <v>802</v>
      </c>
    </row>
    <row r="440" spans="1:29" ht="18" customHeight="1" x14ac:dyDescent="0.3">
      <c r="A440" s="17" t="s">
        <v>2164</v>
      </c>
      <c r="B440" s="18" t="s">
        <v>2165</v>
      </c>
      <c r="C440" s="17" t="s">
        <v>2164</v>
      </c>
      <c r="D440" s="19"/>
      <c r="E440" s="19" t="s">
        <v>61</v>
      </c>
      <c r="F440" s="16" t="str">
        <f>VLOOKUP(E440,'[1]BẢNG MÃ'!$A$2:$B$69,2,0)</f>
        <v>TĐ012</v>
      </c>
      <c r="G440" s="20" t="s">
        <v>62</v>
      </c>
      <c r="H440" s="20" t="s">
        <v>62</v>
      </c>
      <c r="I440" s="16" t="s">
        <v>2090</v>
      </c>
      <c r="J440" s="16" t="str">
        <f>VLOOKUP(I440,'[1]BẢNG MÃ'!$C$2:$D$69,2,0)</f>
        <v>KP018</v>
      </c>
      <c r="K440" s="16" t="s">
        <v>43</v>
      </c>
      <c r="L440" s="16">
        <v>0</v>
      </c>
      <c r="M440" s="16" t="s">
        <v>33</v>
      </c>
      <c r="N440" s="21">
        <f ca="1">VLOOKUP(A440,'[1]Bieu 1a'!$A$8:$AW$855,10,0)</f>
        <v>54</v>
      </c>
      <c r="O440" s="22">
        <f>VLOOKUP(A440,'[1]Bieu 1a'!$A$8:$AW$855,8,0)</f>
        <v>26470</v>
      </c>
      <c r="P440" s="22">
        <f>VLOOKUP(A440,'[1]Bieu 1a'!$A$8:$AW$855,9,0)</f>
        <v>0</v>
      </c>
      <c r="Q440" s="23">
        <v>0</v>
      </c>
      <c r="R440" s="24" t="str">
        <f>VLOOKUP(A440,'[1]Bieu 1a'!$A$8:$AW$855,23,0)</f>
        <v>1/11/1994</v>
      </c>
      <c r="S440" s="25" t="s">
        <v>2166</v>
      </c>
      <c r="T440" s="26" t="s">
        <v>2092</v>
      </c>
      <c r="U440" s="16"/>
      <c r="V440" s="16" t="str">
        <f>IFERROR(VLOOKUP(A440,'[2]19.6.2026'!$A$9:$L$1111,5,0),"")</f>
        <v>000796/LS-CCHN</v>
      </c>
      <c r="W440" s="16" t="str">
        <f>IFERROR(VLOOKUP(A440,'[2]19.6.2026'!$A$9:$L$1111,6,0),"")</f>
        <v>24/06/2013</v>
      </c>
      <c r="X440" s="16"/>
      <c r="Y440" s="21" t="str">
        <f>IFERROR(VLOOKUP(A440,'[2]19.6.2026'!$A$9:$L$1111,7,0),"")</f>
        <v>Theo quy định tại Quyết định số 41/2005/QĐ-BNV ngày 22/4/2005 của Bộ trưởng Bộ Nội vụ về việc ban hành tiêu chuẩn nghiệp vụ các ngạch viên chức y tế điều dưỡng</v>
      </c>
      <c r="Z440" s="16"/>
      <c r="AA440" s="27" t="str">
        <f>IFERROR(VLOOKUP(A440,'[3]DS UPLOAD 2026 (2)'!$A$2:$P$1111,16,0),"")</f>
        <v/>
      </c>
      <c r="AB440" s="27" t="s">
        <v>2167</v>
      </c>
      <c r="AC440" s="28"/>
    </row>
    <row r="441" spans="1:29" ht="18" customHeight="1" x14ac:dyDescent="0.3">
      <c r="A441" s="17" t="s">
        <v>2168</v>
      </c>
      <c r="B441" s="40" t="s">
        <v>2169</v>
      </c>
      <c r="C441" s="17" t="s">
        <v>2168</v>
      </c>
      <c r="D441" s="19" t="s">
        <v>38</v>
      </c>
      <c r="E441" s="19" t="s">
        <v>128</v>
      </c>
      <c r="F441" s="16" t="str">
        <f>VLOOKUP(E441,'[1]BẢNG MÃ'!$A$2:$B$69,2,0)</f>
        <v>TĐ047</v>
      </c>
      <c r="G441" s="20"/>
      <c r="H441" s="20" t="s">
        <v>128</v>
      </c>
      <c r="I441" s="16" t="s">
        <v>2090</v>
      </c>
      <c r="J441" s="16" t="str">
        <f>VLOOKUP(I441,'[1]BẢNG MÃ'!$C$2:$D$69,2,0)</f>
        <v>KP018</v>
      </c>
      <c r="K441" s="16"/>
      <c r="L441" s="16"/>
      <c r="M441" s="16" t="s">
        <v>136</v>
      </c>
      <c r="N441" s="21">
        <f ca="1">VLOOKUP(A441,'[1]Bieu 1a'!$A$8:$AW$855,10,0)</f>
        <v>42</v>
      </c>
      <c r="O441" s="22">
        <f>VLOOKUP(A441,'[1]Bieu 1a'!$A$8:$AW$855,8,0)</f>
        <v>0</v>
      </c>
      <c r="P441" s="22" t="str">
        <f>VLOOKUP(A441,'[1]Bieu 1a'!$A$8:$AW$855,9,0)</f>
        <v>23/7/1983</v>
      </c>
      <c r="Q441" s="23" t="s">
        <v>34</v>
      </c>
      <c r="R441" s="24" t="str">
        <f>VLOOKUP(A441,'[1]Bieu 1a'!$A$8:$AW$855,23,0)</f>
        <v>12/4/2020</v>
      </c>
      <c r="S441" s="25" t="s">
        <v>2170</v>
      </c>
      <c r="T441" s="26" t="s">
        <v>774</v>
      </c>
      <c r="U441" s="16"/>
      <c r="V441" s="16" t="str">
        <f>IFERROR(VLOOKUP(A441,'[2]19.6.2026'!$A$9:$L$1111,5,0),"")</f>
        <v/>
      </c>
      <c r="W441" s="16" t="str">
        <f>IFERROR(VLOOKUP(A441,'[2]19.6.2026'!$A$9:$L$1111,6,0),"")</f>
        <v/>
      </c>
      <c r="X441" s="16"/>
      <c r="Y441" s="21" t="str">
        <f>IFERROR(VLOOKUP(A441,'[2]19.6.2026'!$A$9:$L$1111,7,0),"")</f>
        <v/>
      </c>
      <c r="Z441" s="16"/>
      <c r="AA441" s="27" t="str">
        <f>IFERROR(VLOOKUP(A441,'[3]DS UPLOAD 2026 (2)'!$A$2:$P$1111,16,0),"")</f>
        <v/>
      </c>
      <c r="AB441" s="39"/>
      <c r="AC441" s="29" t="s">
        <v>303</v>
      </c>
    </row>
    <row r="442" spans="1:29" ht="18" customHeight="1" x14ac:dyDescent="0.35">
      <c r="A442" s="17" t="s">
        <v>2171</v>
      </c>
      <c r="B442" s="18" t="s">
        <v>2172</v>
      </c>
      <c r="C442" s="17" t="s">
        <v>2171</v>
      </c>
      <c r="D442" s="19" t="s">
        <v>38</v>
      </c>
      <c r="E442" s="19" t="s">
        <v>128</v>
      </c>
      <c r="F442" s="16" t="str">
        <f>VLOOKUP(E442,'[1]BẢNG MÃ'!$A$2:$B$69,2,0)</f>
        <v>TĐ047</v>
      </c>
      <c r="G442" s="20"/>
      <c r="H442" s="19" t="s">
        <v>128</v>
      </c>
      <c r="I442" s="16" t="s">
        <v>2090</v>
      </c>
      <c r="J442" s="16" t="str">
        <f>VLOOKUP(I442,'[1]BẢNG MÃ'!$C$2:$D$69,2,0)</f>
        <v>KP018</v>
      </c>
      <c r="K442" s="16"/>
      <c r="L442" s="16"/>
      <c r="M442" s="16" t="s">
        <v>136</v>
      </c>
      <c r="N442" s="21">
        <f ca="1">VLOOKUP(A442,'[1]Bieu 1a'!$A$8:$AW$855,10,0)</f>
        <v>41</v>
      </c>
      <c r="O442" s="22">
        <f>VLOOKUP(A442,'[1]Bieu 1a'!$A$8:$AW$855,8,0)</f>
        <v>0</v>
      </c>
      <c r="P442" s="22" t="str">
        <f>VLOOKUP(A442,'[1]Bieu 1a'!$A$8:$AW$855,9,0)</f>
        <v>13/4/1985</v>
      </c>
      <c r="Q442" s="23" t="s">
        <v>50</v>
      </c>
      <c r="R442" s="24">
        <f>VLOOKUP(A442,'[1]Bieu 1a'!$A$8:$AW$855,23,0)</f>
        <v>44774</v>
      </c>
      <c r="S442" s="25" t="s">
        <v>2173</v>
      </c>
      <c r="T442" s="26" t="s">
        <v>2174</v>
      </c>
      <c r="U442" s="16"/>
      <c r="V442" s="16" t="str">
        <f>IFERROR(VLOOKUP(A442,'[2]19.6.2026'!$A$9:$L$1111,5,0),"")</f>
        <v/>
      </c>
      <c r="W442" s="16" t="str">
        <f>IFERROR(VLOOKUP(A442,'[2]19.6.2026'!$A$9:$L$1111,6,0),"")</f>
        <v/>
      </c>
      <c r="X442" s="16"/>
      <c r="Y442" s="21" t="str">
        <f>IFERROR(VLOOKUP(A442,'[2]19.6.2026'!$A$9:$L$1111,7,0),"")</f>
        <v/>
      </c>
      <c r="Z442" s="16"/>
      <c r="AA442" s="27" t="str">
        <f>IFERROR(VLOOKUP(A442,'[3]DS UPLOAD 2026 (2)'!$A$2:$P$1111,16,0),"")</f>
        <v/>
      </c>
      <c r="AB442" s="115" t="s">
        <v>2175</v>
      </c>
      <c r="AC442" s="28" t="s">
        <v>2176</v>
      </c>
    </row>
    <row r="443" spans="1:29" ht="18" customHeight="1" x14ac:dyDescent="0.3">
      <c r="A443" s="17" t="s">
        <v>2177</v>
      </c>
      <c r="B443" s="18" t="s">
        <v>1519</v>
      </c>
      <c r="C443" s="17" t="s">
        <v>2177</v>
      </c>
      <c r="D443" s="19"/>
      <c r="E443" s="19" t="s">
        <v>160</v>
      </c>
      <c r="F443" s="16" t="str">
        <f>VLOOKUP(E443,'[1]BẢNG MÃ'!$A$2:$B$69,2,0)</f>
        <v>TĐ003</v>
      </c>
      <c r="G443" s="20" t="s">
        <v>161</v>
      </c>
      <c r="H443" s="20" t="s">
        <v>161</v>
      </c>
      <c r="I443" s="16" t="s">
        <v>2178</v>
      </c>
      <c r="J443" s="16" t="str">
        <f>VLOOKUP(I443,'[1]BẢNG MÃ'!$C$2:$D$69,2,0)</f>
        <v>KP019</v>
      </c>
      <c r="K443" s="16" t="s">
        <v>31</v>
      </c>
      <c r="L443" s="16" t="s">
        <v>154</v>
      </c>
      <c r="M443" s="16" t="s">
        <v>33</v>
      </c>
      <c r="N443" s="21">
        <f ca="1">VLOOKUP(A443,'[1]Bieu 1a'!$A$8:$AW$855,10,0)</f>
        <v>56</v>
      </c>
      <c r="O443" s="22">
        <f>VLOOKUP(A443,'[1]Bieu 1a'!$A$8:$AW$855,8,0)</f>
        <v>25516</v>
      </c>
      <c r="P443" s="22">
        <f>VLOOKUP(A443,'[1]Bieu 1a'!$A$8:$AW$855,9,0)</f>
        <v>0</v>
      </c>
      <c r="Q443" s="23" t="s">
        <v>34</v>
      </c>
      <c r="R443" s="24" t="str">
        <f>VLOOKUP(A443,'[1]Bieu 1a'!$A$8:$AW$855,23,0)</f>
        <v>11/10/1994</v>
      </c>
      <c r="S443" s="25" t="s">
        <v>2179</v>
      </c>
      <c r="T443" s="26" t="s">
        <v>2180</v>
      </c>
      <c r="U443" s="16"/>
      <c r="V443" s="16" t="str">
        <f>IFERROR(VLOOKUP(A443,'[2]19.6.2026'!$A$9:$L$1111,5,0),"")</f>
        <v>000880/LS-CCHN</v>
      </c>
      <c r="W443" s="16" t="str">
        <f>IFERROR(VLOOKUP(A443,'[2]19.6.2026'!$A$9:$L$1111,6,0),"")</f>
        <v>24/06/2013</v>
      </c>
      <c r="X443" s="16"/>
      <c r="Y443" s="21" t="str">
        <f>IFERROR(VLOOKUP(A443,'[2]19.6.2026'!$A$9:$L$1111,7,0),"")</f>
        <v>Khám bệnh chữa bệnh nội khoa, chuyên khoa Da liễu</v>
      </c>
      <c r="Z443" s="16"/>
      <c r="AA443" s="27" t="str">
        <f>IFERROR(VLOOKUP(A443,'[3]DS UPLOAD 2026 (2)'!$A$2:$P$1111,16,0),"")</f>
        <v/>
      </c>
      <c r="AB443" s="27">
        <v>384881656</v>
      </c>
      <c r="AC443" s="28"/>
    </row>
    <row r="444" spans="1:29" ht="18" customHeight="1" x14ac:dyDescent="0.3">
      <c r="A444" s="17" t="s">
        <v>2181</v>
      </c>
      <c r="B444" s="18" t="s">
        <v>2182</v>
      </c>
      <c r="C444" s="17" t="s">
        <v>2181</v>
      </c>
      <c r="D444" s="19"/>
      <c r="E444" s="16" t="s">
        <v>160</v>
      </c>
      <c r="F444" s="16" t="str">
        <f>VLOOKUP(E444,'[1]BẢNG MÃ'!$A$2:$B$69,2,0)</f>
        <v>TĐ003</v>
      </c>
      <c r="G444" s="20" t="s">
        <v>29</v>
      </c>
      <c r="H444" s="20" t="s">
        <v>29</v>
      </c>
      <c r="I444" s="16" t="s">
        <v>2178</v>
      </c>
      <c r="J444" s="16" t="str">
        <f>VLOOKUP(I444,'[1]BẢNG MÃ'!$C$2:$D$69,2,0)</f>
        <v>KP019</v>
      </c>
      <c r="K444" s="16" t="s">
        <v>31</v>
      </c>
      <c r="L444" s="16" t="s">
        <v>148</v>
      </c>
      <c r="M444" s="16" t="s">
        <v>33</v>
      </c>
      <c r="N444" s="21">
        <f ca="1">VLOOKUP(A444,'[1]Bieu 1a'!$A$8:$AW$855,10,0)</f>
        <v>54</v>
      </c>
      <c r="O444" s="22">
        <f>VLOOKUP(A444,'[1]Bieu 1a'!$A$8:$AW$855,8,0)</f>
        <v>26245</v>
      </c>
      <c r="P444" s="22">
        <f>VLOOKUP(A444,'[1]Bieu 1a'!$A$8:$AW$855,9,0)</f>
        <v>0</v>
      </c>
      <c r="Q444" s="23" t="s">
        <v>44</v>
      </c>
      <c r="R444" s="24" t="str">
        <f>VLOOKUP(A444,'[1]Bieu 1a'!$A$8:$AW$855,23,0)</f>
        <v>4/1/1996</v>
      </c>
      <c r="S444" s="25" t="s">
        <v>2183</v>
      </c>
      <c r="T444" s="26" t="s">
        <v>2184</v>
      </c>
      <c r="U444" s="16"/>
      <c r="V444" s="16" t="str">
        <f>IFERROR(VLOOKUP(A444,'[2]19.6.2026'!$A$9:$L$1111,5,0),"")</f>
        <v>000110/LS-CCHN</v>
      </c>
      <c r="W444" s="16" t="str">
        <f>IFERROR(VLOOKUP(A444,'[2]19.6.2026'!$A$9:$L$1111,6,0),"")</f>
        <v>28/06/2012</v>
      </c>
      <c r="X444" s="16"/>
      <c r="Y444" s="21" t="str">
        <f>IFERROR(VLOOKUP(A444,'[2]19.6.2026'!$A$9:$L$1111,7,0),"")</f>
        <v>Khám bệnh, chữa bệnh chuyên khoa Da liễu</v>
      </c>
      <c r="Z444" s="16"/>
      <c r="AA444" s="27" t="str">
        <f>IFERROR(VLOOKUP(A444,'[3]DS UPLOAD 2026 (2)'!$A$2:$P$1111,16,0),"")</f>
        <v/>
      </c>
      <c r="AB444" s="27">
        <v>912110369</v>
      </c>
      <c r="AC444" s="28"/>
    </row>
    <row r="445" spans="1:29" ht="16.5" customHeight="1" x14ac:dyDescent="0.3">
      <c r="A445" s="16" t="s">
        <v>2185</v>
      </c>
      <c r="B445" s="18" t="s">
        <v>2186</v>
      </c>
      <c r="C445" s="16" t="s">
        <v>2185</v>
      </c>
      <c r="D445" s="53" t="s">
        <v>38</v>
      </c>
      <c r="E445" s="19" t="s">
        <v>173</v>
      </c>
      <c r="F445" s="16" t="str">
        <f>VLOOKUP(E445,'[1]BẢNG MÃ'!$A$2:$B$69,2,0)</f>
        <v>TĐ005</v>
      </c>
      <c r="G445" s="20" t="s">
        <v>161</v>
      </c>
      <c r="H445" s="20" t="s">
        <v>161</v>
      </c>
      <c r="I445" s="16" t="s">
        <v>2178</v>
      </c>
      <c r="J445" s="16" t="str">
        <f>VLOOKUP(I445,'[1]BẢNG MÃ'!$C$2:$D$69,2,0)</f>
        <v>KP019</v>
      </c>
      <c r="K445" s="16" t="s">
        <v>43</v>
      </c>
      <c r="L445" s="16">
        <v>0</v>
      </c>
      <c r="M445" s="16" t="s">
        <v>33</v>
      </c>
      <c r="N445" s="21">
        <f ca="1">VLOOKUP(A445,'[1]Bieu 1a'!$A$8:$AW$855,10,0)</f>
        <v>36</v>
      </c>
      <c r="O445" s="22">
        <f>VLOOKUP(A445,'[1]Bieu 1a'!$A$8:$AW$855,8,0)</f>
        <v>0</v>
      </c>
      <c r="P445" s="22" t="str">
        <f>VLOOKUP(A445,'[1]Bieu 1a'!$A$8:$AW$855,9,0)</f>
        <v>01/05/1990</v>
      </c>
      <c r="Q445" s="23" t="s">
        <v>44</v>
      </c>
      <c r="R445" s="24">
        <f>VLOOKUP(A445,'[1]Bieu 1a'!$A$8:$AW$855,23,0)</f>
        <v>42744</v>
      </c>
      <c r="S445" s="25" t="s">
        <v>2187</v>
      </c>
      <c r="T445" s="26" t="s">
        <v>2188</v>
      </c>
      <c r="U445" s="16"/>
      <c r="V445" s="16" t="str">
        <f>IFERROR(VLOOKUP(A445,'[2]19.6.2026'!$A$9:$L$1111,5,0),"")</f>
        <v>004362/LS-CCHN</v>
      </c>
      <c r="W445" s="16" t="str">
        <f>IFERROR(VLOOKUP(A445,'[2]19.6.2026'!$A$9:$L$1111,6,0),"")</f>
        <v>07/10/2021</v>
      </c>
      <c r="X445" s="16"/>
      <c r="Y445" s="21" t="str">
        <f>IFERROR(VLOOKUP(A445,'[2]19.6.2026'!$A$9:$L$1111,7,0),"")</f>
        <v>Khám bệnh chữa bệnh Nội khoa; Da liễu</v>
      </c>
      <c r="Z445" s="16"/>
      <c r="AA445" s="27" t="str">
        <f>IFERROR(VLOOKUP(A445,'[3]DS UPLOAD 2026 (2)'!$A$2:$P$1111,16,0),"")</f>
        <v/>
      </c>
      <c r="AB445" s="116" t="s">
        <v>2189</v>
      </c>
      <c r="AC445" s="28" t="s">
        <v>2190</v>
      </c>
    </row>
    <row r="446" spans="1:29" ht="18" customHeight="1" x14ac:dyDescent="0.3">
      <c r="A446" s="17" t="s">
        <v>2191</v>
      </c>
      <c r="B446" s="38" t="s">
        <v>2192</v>
      </c>
      <c r="C446" s="17" t="s">
        <v>2191</v>
      </c>
      <c r="D446" s="19" t="s">
        <v>38</v>
      </c>
      <c r="E446" s="19" t="s">
        <v>173</v>
      </c>
      <c r="F446" s="16" t="str">
        <f>VLOOKUP(E446,'[1]BẢNG MÃ'!$A$2:$B$69,2,0)</f>
        <v>TĐ005</v>
      </c>
      <c r="G446" s="20" t="s">
        <v>161</v>
      </c>
      <c r="H446" s="20" t="s">
        <v>161</v>
      </c>
      <c r="I446" s="16" t="s">
        <v>2178</v>
      </c>
      <c r="J446" s="16" t="str">
        <f>VLOOKUP(I446,'[1]BẢNG MÃ'!$C$2:$D$69,2,0)</f>
        <v>KP019</v>
      </c>
      <c r="K446" s="16" t="s">
        <v>43</v>
      </c>
      <c r="L446" s="16">
        <v>0</v>
      </c>
      <c r="M446" s="16" t="s">
        <v>33</v>
      </c>
      <c r="N446" s="21">
        <f ca="1">VLOOKUP(A446,'[1]Bieu 1a'!$A$8:$AW$855,10,0)</f>
        <v>52</v>
      </c>
      <c r="O446" s="22">
        <f>VLOOKUP(A446,'[1]Bieu 1a'!$A$8:$AW$855,8,0)</f>
        <v>0</v>
      </c>
      <c r="P446" s="22" t="str">
        <f>VLOOKUP(A446,'[1]Bieu 1a'!$A$8:$AW$855,9,0)</f>
        <v>21/4/1974</v>
      </c>
      <c r="Q446" s="23" t="s">
        <v>50</v>
      </c>
      <c r="R446" s="24" t="str">
        <f>VLOOKUP(A446,'[1]Bieu 1a'!$A$8:$AW$855,23,0)</f>
        <v>20/10/1995</v>
      </c>
      <c r="S446" s="25" t="s">
        <v>2193</v>
      </c>
      <c r="T446" s="26" t="s">
        <v>2194</v>
      </c>
      <c r="U446" s="16"/>
      <c r="V446" s="16" t="str">
        <f>IFERROR(VLOOKUP(A446,'[2]19.6.2026'!$A$9:$L$1111,5,0),"")</f>
        <v>000518/LS-CCHN</v>
      </c>
      <c r="W446" s="16" t="str">
        <f>IFERROR(VLOOKUP(A446,'[2]19.6.2026'!$A$9:$L$1111,6,0),"")</f>
        <v>13/10/2016</v>
      </c>
      <c r="X446" s="16"/>
      <c r="Y446" s="21" t="str">
        <f>IFERROR(VLOOKUP(A446,'[2]19.6.2026'!$A$9:$L$1111,7,0),"")</f>
        <v>Khám bệnh, chữa bệnh chuyên khoa Da liễu</v>
      </c>
      <c r="Z446" s="16"/>
      <c r="AA446" s="27" t="str">
        <f>IFERROR(VLOOKUP(A446,'[3]DS UPLOAD 2026 (2)'!$A$2:$P$1111,16,0),"")</f>
        <v/>
      </c>
      <c r="AB446" s="27" t="s">
        <v>2195</v>
      </c>
      <c r="AC446" s="28" t="s">
        <v>1045</v>
      </c>
    </row>
    <row r="447" spans="1:29" ht="18" customHeight="1" x14ac:dyDescent="0.3">
      <c r="A447" s="17" t="s">
        <v>2196</v>
      </c>
      <c r="B447" s="18" t="s">
        <v>2197</v>
      </c>
      <c r="C447" s="17" t="s">
        <v>2196</v>
      </c>
      <c r="D447" s="19" t="s">
        <v>38</v>
      </c>
      <c r="E447" s="19" t="s">
        <v>41</v>
      </c>
      <c r="F447" s="16" t="str">
        <f>VLOOKUP(E447,'[1]BẢNG MÃ'!$A$2:$B$69,2,0)</f>
        <v>TĐ011</v>
      </c>
      <c r="G447" s="20" t="s">
        <v>42</v>
      </c>
      <c r="H447" s="20" t="s">
        <v>42</v>
      </c>
      <c r="I447" s="16" t="s">
        <v>2178</v>
      </c>
      <c r="J447" s="16" t="str">
        <f>VLOOKUP(I447,'[1]BẢNG MÃ'!$C$2:$D$69,2,0)</f>
        <v>KP019</v>
      </c>
      <c r="K447" s="16" t="s">
        <v>31</v>
      </c>
      <c r="L447" s="16" t="s">
        <v>201</v>
      </c>
      <c r="M447" s="16" t="s">
        <v>33</v>
      </c>
      <c r="N447" s="21">
        <f ca="1">VLOOKUP(A447,'[1]Bieu 1a'!$A$8:$AW$855,10,0)</f>
        <v>44</v>
      </c>
      <c r="O447" s="22">
        <f>VLOOKUP(A447,'[1]Bieu 1a'!$A$8:$AW$855,8,0)</f>
        <v>0</v>
      </c>
      <c r="P447" s="22">
        <f>VLOOKUP(A447,'[1]Bieu 1a'!$A$8:$AW$855,9,0)</f>
        <v>30032</v>
      </c>
      <c r="Q447" s="23" t="s">
        <v>34</v>
      </c>
      <c r="R447" s="24" t="str">
        <f>VLOOKUP(A447,'[1]Bieu 1a'!$A$8:$AW$855,23,0)</f>
        <v>16/2/2005</v>
      </c>
      <c r="S447" s="25" t="s">
        <v>2198</v>
      </c>
      <c r="T447" s="26" t="s">
        <v>2199</v>
      </c>
      <c r="U447" s="16"/>
      <c r="V447" s="16" t="str">
        <f>IFERROR(VLOOKUP(A447,'[2]19.6.2026'!$A$9:$L$1111,5,0),"")</f>
        <v>000387/LS-CCHN</v>
      </c>
      <c r="W447" s="16" t="str">
        <f>IFERROR(VLOOKUP(A447,'[2]19.6.2026'!$A$9:$L$1111,6,0),"")</f>
        <v>01/06/2016</v>
      </c>
      <c r="X447" s="16"/>
      <c r="Y447" s="21" t="str">
        <f>IFERROR(VLOOKUP(A447,'[2]19.6.2026'!$A$9:$L$1111,7,0),"")</f>
        <v>Theo quy định tại Quyết định số 41/2005/QĐ-BNV ngày 22/4/2005 của Bộ trưởng Bộ Nội vụ về việc ban hành tiêu chuẩn nghiệp vụ các ngạch viên chức y tế điều dưỡng</v>
      </c>
      <c r="Z447" s="16"/>
      <c r="AA447" s="27" t="str">
        <f>IFERROR(VLOOKUP(A447,'[3]DS UPLOAD 2026 (2)'!$A$2:$P$1111,16,0),"")</f>
        <v/>
      </c>
      <c r="AB447" s="27" t="s">
        <v>2200</v>
      </c>
      <c r="AC447" s="76"/>
    </row>
    <row r="448" spans="1:29" ht="18" customHeight="1" x14ac:dyDescent="0.3">
      <c r="A448" s="17" t="s">
        <v>2201</v>
      </c>
      <c r="B448" s="18" t="s">
        <v>2202</v>
      </c>
      <c r="C448" s="17" t="s">
        <v>2201</v>
      </c>
      <c r="D448" s="19" t="s">
        <v>38</v>
      </c>
      <c r="E448" s="30" t="s">
        <v>41</v>
      </c>
      <c r="F448" s="16" t="str">
        <f>VLOOKUP(E448,'[1]BẢNG MÃ'!$A$2:$B$69,2,0)</f>
        <v>TĐ011</v>
      </c>
      <c r="G448" s="31" t="s">
        <v>42</v>
      </c>
      <c r="H448" s="31" t="s">
        <v>42</v>
      </c>
      <c r="I448" s="16" t="s">
        <v>2178</v>
      </c>
      <c r="J448" s="16" t="str">
        <f>VLOOKUP(I448,'[1]BẢNG MÃ'!$C$2:$D$69,2,0)</f>
        <v>KP019</v>
      </c>
      <c r="K448" s="16" t="s">
        <v>43</v>
      </c>
      <c r="L448" s="16">
        <v>0</v>
      </c>
      <c r="M448" s="16" t="s">
        <v>33</v>
      </c>
      <c r="N448" s="21">
        <f ca="1">VLOOKUP(A448,'[1]Bieu 1a'!$A$8:$AW$855,10,0)</f>
        <v>38</v>
      </c>
      <c r="O448" s="22">
        <f>VLOOKUP(A448,'[1]Bieu 1a'!$A$8:$AW$855,8,0)</f>
        <v>0</v>
      </c>
      <c r="P448" s="22">
        <f>VLOOKUP(A448,'[1]Bieu 1a'!$A$8:$AW$855,9,0)</f>
        <v>32010</v>
      </c>
      <c r="Q448" s="23" t="s">
        <v>50</v>
      </c>
      <c r="R448" s="24" t="str">
        <f>VLOOKUP(A448,'[1]Bieu 1a'!$A$8:$AW$855,23,0)</f>
        <v>15/1/2010</v>
      </c>
      <c r="S448" s="25" t="s">
        <v>2203</v>
      </c>
      <c r="T448" s="26" t="s">
        <v>2204</v>
      </c>
      <c r="U448" s="16"/>
      <c r="V448" s="16" t="str">
        <f>IFERROR(VLOOKUP(A448,'[2]19.6.2026'!$A$9:$L$1111,5,0),"")</f>
        <v>000883/LS-CCHN</v>
      </c>
      <c r="W448" s="16" t="str">
        <f>IFERROR(VLOOKUP(A448,'[2]19.6.2026'!$A$9:$L$1111,6,0),"")</f>
        <v>11/01/2023</v>
      </c>
      <c r="X448" s="16"/>
      <c r="Y448" s="21" t="str">
        <f>IFERROR(VLOOKUP(A448,'[2]19.6.2026'!$A$9:$L$1111,7,0),"")</f>
        <v>Thực hiện phạm vi hoạt động chuyên môn theo Thông tư số 26/2015/TTLT-BYT-BNV ngày 07/10/2015 quy định  mã số, tiêu chuẩn chức danh nghề nghiệp, điều dưỡng, hộ sinh, kỹ thuật y</v>
      </c>
      <c r="Z448" s="16"/>
      <c r="AA448" s="27" t="str">
        <f>IFERROR(VLOOKUP(A448,'[3]DS UPLOAD 2026 (2)'!$A$2:$P$1111,16,0),"")</f>
        <v/>
      </c>
      <c r="AB448" s="27" t="s">
        <v>2205</v>
      </c>
      <c r="AC448" s="28"/>
    </row>
    <row r="449" spans="1:29" ht="18" customHeight="1" x14ac:dyDescent="0.3">
      <c r="A449" s="17" t="s">
        <v>2206</v>
      </c>
      <c r="B449" s="18" t="s">
        <v>2207</v>
      </c>
      <c r="C449" s="17" t="s">
        <v>2206</v>
      </c>
      <c r="D449" s="19" t="s">
        <v>38</v>
      </c>
      <c r="E449" s="19" t="s">
        <v>61</v>
      </c>
      <c r="F449" s="16" t="str">
        <f>VLOOKUP(E449,'[1]BẢNG MÃ'!$A$2:$B$69,2,0)</f>
        <v>TĐ012</v>
      </c>
      <c r="G449" s="20" t="s">
        <v>62</v>
      </c>
      <c r="H449" s="20" t="s">
        <v>62</v>
      </c>
      <c r="I449" s="16" t="s">
        <v>2178</v>
      </c>
      <c r="J449" s="16" t="str">
        <f>VLOOKUP(I449,'[1]BẢNG MÃ'!$C$2:$D$69,2,0)</f>
        <v>KP019</v>
      </c>
      <c r="K449" s="16" t="s">
        <v>43</v>
      </c>
      <c r="L449" s="16">
        <v>0</v>
      </c>
      <c r="M449" s="16" t="s">
        <v>33</v>
      </c>
      <c r="N449" s="21">
        <f ca="1">VLOOKUP(A449,'[1]Bieu 1a'!$A$8:$AW$855,10,0)</f>
        <v>43</v>
      </c>
      <c r="O449" s="22">
        <f>VLOOKUP(A449,'[1]Bieu 1a'!$A$8:$AW$855,8,0)</f>
        <v>0</v>
      </c>
      <c r="P449" s="22">
        <f>VLOOKUP(A449,'[1]Bieu 1a'!$A$8:$AW$855,9,0)</f>
        <v>30429</v>
      </c>
      <c r="Q449" s="23" t="s">
        <v>44</v>
      </c>
      <c r="R449" s="24" t="str">
        <f>VLOOKUP(A449,'[1]Bieu 1a'!$A$8:$AW$855,23,0)</f>
        <v>15/1/2010</v>
      </c>
      <c r="S449" s="25" t="s">
        <v>2208</v>
      </c>
      <c r="T449" s="26" t="s">
        <v>2209</v>
      </c>
      <c r="U449" s="22"/>
      <c r="V449" s="16" t="str">
        <f>IFERROR(VLOOKUP(A449,'[2]19.6.2026'!$A$9:$L$1111,5,0),"")</f>
        <v>000812/LS-CCHN</v>
      </c>
      <c r="W449" s="16" t="str">
        <f>IFERROR(VLOOKUP(A449,'[2]19.6.2026'!$A$9:$L$1111,6,0),"")</f>
        <v>11/01/2023</v>
      </c>
      <c r="X449" s="16"/>
      <c r="Y449" s="21" t="str">
        <f>IFERROR(VLOOKUP(A449,'[2]19.6.2026'!$A$9:$L$1111,7,0),"")</f>
        <v>Thực hiện phạm vi hoạt động chuyên môn theo Thông tư số 26/2015/TTLT-BYT-BNV ngày 07/10/2015 quy định  mã số, tiêu chuẩn chức danh nghề nghiệp, điều dưỡng, hộ sinh, kỹ thuật y</v>
      </c>
      <c r="Z449" s="16"/>
      <c r="AA449" s="27" t="str">
        <f>IFERROR(VLOOKUP(A449,'[3]DS UPLOAD 2026 (2)'!$A$2:$P$1111,16,0),"")</f>
        <v/>
      </c>
      <c r="AB449" s="27" t="s">
        <v>2210</v>
      </c>
      <c r="AC449" s="29"/>
    </row>
    <row r="450" spans="1:29" ht="18" customHeight="1" x14ac:dyDescent="0.3">
      <c r="A450" s="17" t="s">
        <v>2211</v>
      </c>
      <c r="B450" s="18" t="s">
        <v>2212</v>
      </c>
      <c r="C450" s="17" t="s">
        <v>2211</v>
      </c>
      <c r="D450" s="19" t="s">
        <v>38</v>
      </c>
      <c r="E450" s="19" t="s">
        <v>61</v>
      </c>
      <c r="F450" s="16" t="str">
        <f>VLOOKUP(E450,'[1]BẢNG MÃ'!$A$2:$B$69,2,0)</f>
        <v>TĐ012</v>
      </c>
      <c r="G450" s="20" t="s">
        <v>62</v>
      </c>
      <c r="H450" s="20" t="s">
        <v>62</v>
      </c>
      <c r="I450" s="16" t="s">
        <v>2178</v>
      </c>
      <c r="J450" s="16" t="str">
        <f>VLOOKUP(I450,'[1]BẢNG MÃ'!$C$2:$D$69,2,0)</f>
        <v>KP019</v>
      </c>
      <c r="K450" s="16" t="s">
        <v>43</v>
      </c>
      <c r="L450" s="16">
        <v>0</v>
      </c>
      <c r="M450" s="16" t="s">
        <v>33</v>
      </c>
      <c r="N450" s="21">
        <f ca="1">VLOOKUP(A450,'[1]Bieu 1a'!$A$8:$AW$855,10,0)</f>
        <v>39</v>
      </c>
      <c r="O450" s="22">
        <f>VLOOKUP(A450,'[1]Bieu 1a'!$A$8:$AW$855,8,0)</f>
        <v>0</v>
      </c>
      <c r="P450" s="22">
        <f>VLOOKUP(A450,'[1]Bieu 1a'!$A$8:$AW$855,9,0)</f>
        <v>31759</v>
      </c>
      <c r="Q450" s="23" t="s">
        <v>44</v>
      </c>
      <c r="R450" s="24" t="str">
        <f>VLOOKUP(A450,'[1]Bieu 1a'!$A$8:$AW$855,23,0)</f>
        <v>15/1/2010</v>
      </c>
      <c r="S450" s="25" t="s">
        <v>2213</v>
      </c>
      <c r="T450" s="26" t="s">
        <v>2214</v>
      </c>
      <c r="U450" s="16"/>
      <c r="V450" s="16" t="str">
        <f>IFERROR(VLOOKUP(A450,'[2]19.6.2026'!$A$9:$L$1111,5,0),"")</f>
        <v>000939/LS-CCHN</v>
      </c>
      <c r="W450" s="16" t="str">
        <f>IFERROR(VLOOKUP(A450,'[2]19.6.2026'!$A$9:$L$1111,6,0),"")</f>
        <v>24/06/2013</v>
      </c>
      <c r="X450" s="16"/>
      <c r="Y450" s="21" t="str">
        <f>IFERROR(VLOOKUP(A450,'[2]19.6.2026'!$A$9:$L$1111,7,0),"")</f>
        <v>Theo quy định tại Quyết định số 41/2005/QĐ-BNV ngày 22/4/2005 của Bộ trưởng Bộ Nội vụ về việc ban hành tiêu chuẩn nghiệp vụ các ngạch viên chức y tế điều dưỡng</v>
      </c>
      <c r="Z450" s="16"/>
      <c r="AA450" s="27" t="str">
        <f>IFERROR(VLOOKUP(A450,'[3]DS UPLOAD 2026 (2)'!$A$2:$P$1111,16,0),"")</f>
        <v/>
      </c>
      <c r="AB450" s="27" t="s">
        <v>2215</v>
      </c>
      <c r="AC450" s="29"/>
    </row>
    <row r="451" spans="1:29" ht="18" customHeight="1" x14ac:dyDescent="0.3">
      <c r="A451" s="17" t="s">
        <v>2216</v>
      </c>
      <c r="B451" s="18" t="s">
        <v>2217</v>
      </c>
      <c r="C451" s="17" t="s">
        <v>2216</v>
      </c>
      <c r="D451" s="19" t="s">
        <v>38</v>
      </c>
      <c r="E451" s="100" t="s">
        <v>41</v>
      </c>
      <c r="F451" s="16" t="str">
        <f>VLOOKUP(E451,'[1]BẢNG MÃ'!$A$2:$B$69,2,0)</f>
        <v>TĐ011</v>
      </c>
      <c r="G451" s="111" t="s">
        <v>42</v>
      </c>
      <c r="H451" s="31" t="s">
        <v>42</v>
      </c>
      <c r="I451" s="16" t="s">
        <v>2178</v>
      </c>
      <c r="J451" s="16" t="str">
        <f>VLOOKUP(I451,'[1]BẢNG MÃ'!$C$2:$D$69,2,0)</f>
        <v>KP019</v>
      </c>
      <c r="K451" s="16" t="s">
        <v>43</v>
      </c>
      <c r="L451" s="16">
        <v>0</v>
      </c>
      <c r="M451" s="16" t="s">
        <v>33</v>
      </c>
      <c r="N451" s="21">
        <f ca="1">VLOOKUP(A451,'[1]Bieu 1a'!$A$8:$AW$855,10,0)</f>
        <v>34</v>
      </c>
      <c r="O451" s="22">
        <f>VLOOKUP(A451,'[1]Bieu 1a'!$A$8:$AW$855,8,0)</f>
        <v>0</v>
      </c>
      <c r="P451" s="22">
        <f>VLOOKUP(A451,'[1]Bieu 1a'!$A$8:$AW$855,9,0)</f>
        <v>33673</v>
      </c>
      <c r="Q451" s="23" t="s">
        <v>34</v>
      </c>
      <c r="R451" s="24" t="str">
        <f>VLOOKUP(A451,'[1]Bieu 1a'!$A$8:$AW$855,23,0)</f>
        <v>10/6/2013</v>
      </c>
      <c r="S451" s="25" t="s">
        <v>2218</v>
      </c>
      <c r="T451" s="26" t="s">
        <v>2219</v>
      </c>
      <c r="U451" s="16"/>
      <c r="V451" s="16" t="str">
        <f>IFERROR(VLOOKUP(A451,'[2]19.6.2026'!$A$9:$L$1111,5,0),"")</f>
        <v>000377/LS-CCHN</v>
      </c>
      <c r="W451" s="16" t="str">
        <f>IFERROR(VLOOKUP(A451,'[2]19.6.2026'!$A$9:$L$1111,6,0),"")</f>
        <v>11/01/2023</v>
      </c>
      <c r="X451" s="16"/>
      <c r="Y451" s="21" t="str">
        <f>IFERROR(VLOOKUP(A451,'[2]19.6.2026'!$A$9:$L$1111,7,0),"")</f>
        <v>Thực hiện phạm vi hoạt động chuyên môn theo Thông tư số 26/2015/TTLT-BYT-BNV ngày 07/10/2015 quy định  mã số, tiêu chuẩn chức danh nghề nghiệp, điều dưỡng, hộ sinh, kỹ thuật y</v>
      </c>
      <c r="Z451" s="16"/>
      <c r="AA451" s="27" t="str">
        <f>IFERROR(VLOOKUP(A451,'[3]DS UPLOAD 2026 (2)'!$A$2:$P$1111,16,0),"")</f>
        <v/>
      </c>
      <c r="AB451" s="27" t="s">
        <v>2220</v>
      </c>
      <c r="AC451" s="28"/>
    </row>
    <row r="452" spans="1:29" ht="18" customHeight="1" x14ac:dyDescent="0.3">
      <c r="A452" s="17" t="s">
        <v>2221</v>
      </c>
      <c r="B452" s="18" t="s">
        <v>2222</v>
      </c>
      <c r="C452" s="17" t="s">
        <v>2221</v>
      </c>
      <c r="D452" s="19" t="s">
        <v>38</v>
      </c>
      <c r="E452" s="19" t="s">
        <v>61</v>
      </c>
      <c r="F452" s="16" t="str">
        <f>VLOOKUP(E452,'[1]BẢNG MÃ'!$A$2:$B$69,2,0)</f>
        <v>TĐ012</v>
      </c>
      <c r="G452" s="20" t="s">
        <v>62</v>
      </c>
      <c r="H452" s="20" t="s">
        <v>62</v>
      </c>
      <c r="I452" s="16" t="s">
        <v>2178</v>
      </c>
      <c r="J452" s="16" t="str">
        <f>VLOOKUP(I452,'[1]BẢNG MÃ'!$C$2:$D$69,2,0)</f>
        <v>KP019</v>
      </c>
      <c r="K452" s="16" t="s">
        <v>43</v>
      </c>
      <c r="L452" s="16">
        <v>0</v>
      </c>
      <c r="M452" s="16" t="s">
        <v>33</v>
      </c>
      <c r="N452" s="21">
        <f ca="1">VLOOKUP(A452,'[1]Bieu 1a'!$A$8:$AW$855,10,0)</f>
        <v>46</v>
      </c>
      <c r="O452" s="22">
        <f>VLOOKUP(A452,'[1]Bieu 1a'!$A$8:$AW$855,8,0)</f>
        <v>0</v>
      </c>
      <c r="P452" s="22">
        <f>VLOOKUP(A452,'[1]Bieu 1a'!$A$8:$AW$855,9,0)</f>
        <v>29143</v>
      </c>
      <c r="Q452" s="23" t="s">
        <v>44</v>
      </c>
      <c r="R452" s="24" t="str">
        <f>VLOOKUP(A452,'[1]Bieu 1a'!$A$8:$AW$855,23,0)</f>
        <v>1/12/2008</v>
      </c>
      <c r="S452" s="25" t="s">
        <v>2223</v>
      </c>
      <c r="T452" s="26" t="s">
        <v>2224</v>
      </c>
      <c r="U452" s="16"/>
      <c r="V452" s="16" t="str">
        <f>IFERROR(VLOOKUP(A452,'[2]19.6.2026'!$A$9:$L$1111,5,0),"")</f>
        <v>000831/LS-CCHN</v>
      </c>
      <c r="W452" s="16" t="str">
        <f>IFERROR(VLOOKUP(A452,'[2]19.6.2026'!$A$9:$L$1111,6,0),"")</f>
        <v>24/06/2013</v>
      </c>
      <c r="X452" s="16"/>
      <c r="Y452" s="21" t="str">
        <f>IFERROR(VLOOKUP(A452,'[2]19.6.2026'!$A$9:$L$1111,7,0),"")</f>
        <v>Theo quy định tại Quyết định số 41/2005/QĐ-BNV ngày 22/4/2005 của Bộ trưởng Bộ Nội vụ về việc ban hành tiêu chuẩn nghiệp vụ các ngạch viên chức y tế điều dưỡng</v>
      </c>
      <c r="Z452" s="16"/>
      <c r="AA452" s="27" t="str">
        <f>IFERROR(VLOOKUP(A452,'[3]DS UPLOAD 2026 (2)'!$A$2:$P$1111,16,0),"")</f>
        <v/>
      </c>
      <c r="AB452" s="27" t="s">
        <v>2225</v>
      </c>
      <c r="AC452" s="36"/>
    </row>
    <row r="453" spans="1:29" ht="18" customHeight="1" x14ac:dyDescent="0.3">
      <c r="A453" s="17" t="s">
        <v>2226</v>
      </c>
      <c r="B453" s="40" t="s">
        <v>2227</v>
      </c>
      <c r="C453" s="17" t="s">
        <v>2226</v>
      </c>
      <c r="D453" s="19" t="s">
        <v>38</v>
      </c>
      <c r="E453" s="16" t="s">
        <v>128</v>
      </c>
      <c r="F453" s="16" t="str">
        <f>VLOOKUP(E453,'[1]BẢNG MÃ'!$A$2:$B$69,2,0)</f>
        <v>TĐ047</v>
      </c>
      <c r="G453" s="20"/>
      <c r="H453" s="16" t="s">
        <v>128</v>
      </c>
      <c r="I453" s="16" t="s">
        <v>2178</v>
      </c>
      <c r="J453" s="16" t="str">
        <f>VLOOKUP(I453,'[1]BẢNG MÃ'!$C$2:$D$69,2,0)</f>
        <v>KP019</v>
      </c>
      <c r="K453" s="16"/>
      <c r="L453" s="16"/>
      <c r="M453" s="16" t="s">
        <v>136</v>
      </c>
      <c r="N453" s="21">
        <f ca="1">VLOOKUP(A453,'[1]Bieu 1a'!$A$8:$AW$855,10,0)</f>
        <v>37</v>
      </c>
      <c r="O453" s="22">
        <f>VLOOKUP(A453,'[1]Bieu 1a'!$A$8:$AW$855,8,0)</f>
        <v>0</v>
      </c>
      <c r="P453" s="22">
        <f>VLOOKUP(A453,'[1]Bieu 1a'!$A$8:$AW$855,9,0)</f>
        <v>32338</v>
      </c>
      <c r="Q453" s="23" t="s">
        <v>44</v>
      </c>
      <c r="R453" s="24" t="str">
        <f>VLOOKUP(A453,'[1]Bieu 1a'!$A$8:$AW$855,23,0)</f>
        <v>16/11/2015</v>
      </c>
      <c r="S453" s="25" t="s">
        <v>2228</v>
      </c>
      <c r="T453" s="26" t="s">
        <v>2229</v>
      </c>
      <c r="U453" s="16"/>
      <c r="V453" s="16" t="str">
        <f>IFERROR(VLOOKUP(A453,'[2]19.6.2026'!$A$9:$L$1111,5,0),"")</f>
        <v/>
      </c>
      <c r="W453" s="16" t="str">
        <f>IFERROR(VLOOKUP(A453,'[2]19.6.2026'!$A$9:$L$1111,6,0),"")</f>
        <v/>
      </c>
      <c r="X453" s="16"/>
      <c r="Y453" s="21" t="str">
        <f>IFERROR(VLOOKUP(A453,'[2]19.6.2026'!$A$9:$L$1111,7,0),"")</f>
        <v/>
      </c>
      <c r="Z453" s="16"/>
      <c r="AA453" s="27" t="str">
        <f>IFERROR(VLOOKUP(A453,'[3]DS UPLOAD 2026 (2)'!$A$2:$P$1111,16,0),"")</f>
        <v/>
      </c>
      <c r="AB453" s="27" t="s">
        <v>2230</v>
      </c>
      <c r="AC453" s="28"/>
    </row>
    <row r="454" spans="1:29" ht="18" customHeight="1" x14ac:dyDescent="0.3">
      <c r="A454" s="17" t="s">
        <v>2231</v>
      </c>
      <c r="B454" s="18" t="s">
        <v>2232</v>
      </c>
      <c r="C454" s="17" t="s">
        <v>2231</v>
      </c>
      <c r="D454" s="19" t="s">
        <v>38</v>
      </c>
      <c r="E454" s="16" t="s">
        <v>160</v>
      </c>
      <c r="F454" s="16" t="str">
        <f>VLOOKUP(E454,'[1]BẢNG MÃ'!$A$2:$B$69,2,0)</f>
        <v>TĐ003</v>
      </c>
      <c r="G454" s="20" t="s">
        <v>161</v>
      </c>
      <c r="H454" s="20" t="s">
        <v>161</v>
      </c>
      <c r="I454" s="16" t="s">
        <v>2233</v>
      </c>
      <c r="J454" s="16" t="str">
        <f>VLOOKUP(I454,'[1]BẢNG MÃ'!$C$2:$D$69,2,0)</f>
        <v>KP020</v>
      </c>
      <c r="K454" s="16" t="s">
        <v>43</v>
      </c>
      <c r="L454" s="16">
        <v>0</v>
      </c>
      <c r="M454" s="16" t="s">
        <v>33</v>
      </c>
      <c r="N454" s="21">
        <f ca="1">VLOOKUP(A454,'[1]Bieu 1a'!$A$8:$AW$855,10,0)</f>
        <v>36</v>
      </c>
      <c r="O454" s="22">
        <f>VLOOKUP(A454,'[1]Bieu 1a'!$A$8:$AW$855,8,0)</f>
        <v>0</v>
      </c>
      <c r="P454" s="22">
        <f>VLOOKUP(A454,'[1]Bieu 1a'!$A$8:$AW$855,9,0)</f>
        <v>32890</v>
      </c>
      <c r="Q454" s="23" t="s">
        <v>809</v>
      </c>
      <c r="R454" s="24" t="str">
        <f>VLOOKUP(A454,'[1]Bieu 1a'!$A$8:$AW$855,23,0)</f>
        <v>01/11/2014</v>
      </c>
      <c r="S454" s="25" t="s">
        <v>2234</v>
      </c>
      <c r="T454" s="26" t="s">
        <v>2235</v>
      </c>
      <c r="U454" s="16"/>
      <c r="V454" s="16" t="str">
        <f>IFERROR(VLOOKUP(A454,'[2]19.6.2026'!$A$9:$L$1111,5,0),"")</f>
        <v>000341/LS-CCHN</v>
      </c>
      <c r="W454" s="16" t="str">
        <f>IFERROR(VLOOKUP(A454,'[2]19.6.2026'!$A$9:$L$1111,6,0),"")</f>
        <v>14/04/2016</v>
      </c>
      <c r="X454" s="16"/>
      <c r="Y454" s="21" t="str">
        <f>IFERROR(VLOOKUP(A454,'[2]19.6.2026'!$A$9:$L$1111,7,0),"")</f>
        <v>Khám bệnh chữa bệnh bằng Y học cổ truyền</v>
      </c>
      <c r="Z454" s="16"/>
      <c r="AA454" s="27" t="str">
        <f>IFERROR(VLOOKUP(A454,'[3]DS UPLOAD 2026 (2)'!$A$2:$P$1111,16,0),"")</f>
        <v/>
      </c>
      <c r="AB454" s="27" t="s">
        <v>2236</v>
      </c>
      <c r="AC454" s="28"/>
    </row>
    <row r="455" spans="1:29" ht="18" customHeight="1" x14ac:dyDescent="0.3">
      <c r="A455" s="17" t="s">
        <v>2237</v>
      </c>
      <c r="B455" s="29" t="s">
        <v>2238</v>
      </c>
      <c r="C455" s="17" t="s">
        <v>2237</v>
      </c>
      <c r="D455" s="19"/>
      <c r="E455" s="30" t="s">
        <v>173</v>
      </c>
      <c r="F455" s="16" t="str">
        <f>VLOOKUP(E455,'[1]BẢNG MÃ'!$A$2:$B$69,2,0)</f>
        <v>TĐ005</v>
      </c>
      <c r="G455" s="117" t="s">
        <v>161</v>
      </c>
      <c r="H455" s="117" t="s">
        <v>161</v>
      </c>
      <c r="I455" s="16" t="s">
        <v>2233</v>
      </c>
      <c r="J455" s="16" t="str">
        <f>VLOOKUP(I455,'[1]BẢNG MÃ'!$C$2:$D$69,2,0)</f>
        <v>KP020</v>
      </c>
      <c r="K455" s="16" t="s">
        <v>43</v>
      </c>
      <c r="L455" s="16">
        <v>0</v>
      </c>
      <c r="M455" s="16" t="s">
        <v>33</v>
      </c>
      <c r="N455" s="21">
        <f>VLOOKUP(A455,'[1]Bieu 1a'!$A$8:$AW$855,10,0)</f>
        <v>0</v>
      </c>
      <c r="O455" s="22">
        <f>VLOOKUP(A455,'[1]Bieu 1a'!$A$8:$AW$855,8,0)</f>
        <v>29834</v>
      </c>
      <c r="P455" s="22">
        <f>VLOOKUP(A455,'[1]Bieu 1a'!$A$8:$AW$855,9,0)</f>
        <v>0</v>
      </c>
      <c r="Q455" s="23" t="s">
        <v>34</v>
      </c>
      <c r="R455" s="24" t="str">
        <f>VLOOKUP(A455,'[1]Bieu 1a'!$A$8:$AW$855,23,0)</f>
        <v>30/12/2005</v>
      </c>
      <c r="S455" s="25" t="s">
        <v>2239</v>
      </c>
      <c r="T455" s="26" t="s">
        <v>2240</v>
      </c>
      <c r="U455" s="16"/>
      <c r="V455" s="16" t="str">
        <f>IFERROR(VLOOKUP(A455,'[2]19.6.2026'!$A$9:$L$1111,5,0),"")</f>
        <v>005496/LS-CCHN</v>
      </c>
      <c r="W455" s="16" t="str">
        <f>IFERROR(VLOOKUP(A455,'[2]19.6.2026'!$A$9:$L$1111,6,0),"")</f>
        <v>16/11/2022</v>
      </c>
      <c r="X455" s="16"/>
      <c r="Y455" s="21" t="str">
        <f>IFERROR(VLOOKUP(A455,'[2]19.6.2026'!$A$9:$L$1111,7,0),"")</f>
        <v>Khám bệnh, chữa bệnh bằng Y học cổ truyền</v>
      </c>
      <c r="Z455" s="16"/>
      <c r="AA455" s="27" t="str">
        <f>IFERROR(VLOOKUP(A455,'[3]DS UPLOAD 2026 (2)'!$A$2:$P$1111,16,0),"")</f>
        <v/>
      </c>
      <c r="AB455" s="27">
        <v>917375778</v>
      </c>
      <c r="AC455" s="28" t="s">
        <v>2241</v>
      </c>
    </row>
    <row r="456" spans="1:29" ht="18" customHeight="1" x14ac:dyDescent="0.3">
      <c r="A456" s="16" t="s">
        <v>2242</v>
      </c>
      <c r="B456" s="38" t="s">
        <v>2243</v>
      </c>
      <c r="C456" s="16" t="s">
        <v>2242</v>
      </c>
      <c r="D456" s="53" t="s">
        <v>38</v>
      </c>
      <c r="E456" s="19" t="s">
        <v>173</v>
      </c>
      <c r="F456" s="16" t="str">
        <f>VLOOKUP(E456,'[1]BẢNG MÃ'!$A$2:$B$69,2,0)</f>
        <v>TĐ005</v>
      </c>
      <c r="G456" s="20" t="s">
        <v>161</v>
      </c>
      <c r="H456" s="20" t="s">
        <v>161</v>
      </c>
      <c r="I456" s="16" t="s">
        <v>2233</v>
      </c>
      <c r="J456" s="16" t="str">
        <f>VLOOKUP(I456,'[1]BẢNG MÃ'!$C$2:$D$69,2,0)</f>
        <v>KP020</v>
      </c>
      <c r="K456" s="16" t="s">
        <v>43</v>
      </c>
      <c r="L456" s="16">
        <v>0</v>
      </c>
      <c r="M456" s="16" t="s">
        <v>33</v>
      </c>
      <c r="N456" s="21">
        <f ca="1">VLOOKUP(A456,'[1]Bieu 1a'!$A$8:$AW$855,10,0)</f>
        <v>32</v>
      </c>
      <c r="O456" s="22">
        <f>VLOOKUP(A456,'[1]Bieu 1a'!$A$8:$AW$855,8,0)</f>
        <v>0</v>
      </c>
      <c r="P456" s="22" t="str">
        <f>VLOOKUP(A456,'[1]Bieu 1a'!$A$8:$AW$855,9,0)</f>
        <v>24/08/1993</v>
      </c>
      <c r="Q456" s="23" t="s">
        <v>44</v>
      </c>
      <c r="R456" s="24">
        <f>VLOOKUP(A456,'[1]Bieu 1a'!$A$8:$AW$855,23,0)</f>
        <v>43179</v>
      </c>
      <c r="S456" s="25" t="s">
        <v>2244</v>
      </c>
      <c r="T456" s="26" t="s">
        <v>2245</v>
      </c>
      <c r="U456" s="16"/>
      <c r="V456" s="16" t="str">
        <f>IFERROR(VLOOKUP(A456,'[2]19.6.2026'!$A$9:$L$1111,5,0),"")</f>
        <v>003631/LS-CCHN</v>
      </c>
      <c r="W456" s="16" t="str">
        <f>IFERROR(VLOOKUP(A456,'[2]19.6.2026'!$A$9:$L$1111,6,0),"")</f>
        <v>21/11/2019</v>
      </c>
      <c r="X456" s="16"/>
      <c r="Y456" s="21" t="str">
        <f>IFERROR(VLOOKUP(A456,'[2]19.6.2026'!$A$9:$L$1111,7,0),"")</f>
        <v>Khám bệnh, chữa bệnh bằng Y học cổ truyền</v>
      </c>
      <c r="Z456" s="16"/>
      <c r="AA456" s="27" t="str">
        <f>IFERROR(VLOOKUP(A456,'[3]DS UPLOAD 2026 (2)'!$A$2:$P$1111,16,0),"")</f>
        <v/>
      </c>
      <c r="AB456" s="50" t="s">
        <v>2246</v>
      </c>
      <c r="AC456" s="28" t="s">
        <v>2247</v>
      </c>
    </row>
    <row r="457" spans="1:29" ht="18" customHeight="1" x14ac:dyDescent="0.3">
      <c r="A457" s="17" t="s">
        <v>2248</v>
      </c>
      <c r="B457" s="18" t="s">
        <v>2249</v>
      </c>
      <c r="C457" s="17" t="s">
        <v>2248</v>
      </c>
      <c r="D457" s="19" t="s">
        <v>38</v>
      </c>
      <c r="E457" s="19" t="s">
        <v>41</v>
      </c>
      <c r="F457" s="16" t="str">
        <f>VLOOKUP(E457,'[1]BẢNG MÃ'!$A$2:$B$69,2,0)</f>
        <v>TĐ011</v>
      </c>
      <c r="G457" s="20" t="s">
        <v>42</v>
      </c>
      <c r="H457" s="20" t="s">
        <v>42</v>
      </c>
      <c r="I457" s="16" t="s">
        <v>2233</v>
      </c>
      <c r="J457" s="16" t="str">
        <f>VLOOKUP(I457,'[1]BẢNG MÃ'!$C$2:$D$69,2,0)</f>
        <v>KP020</v>
      </c>
      <c r="K457" s="16" t="s">
        <v>43</v>
      </c>
      <c r="L457" s="16">
        <v>0</v>
      </c>
      <c r="M457" s="16" t="s">
        <v>33</v>
      </c>
      <c r="N457" s="21">
        <f ca="1">VLOOKUP(A457,'[1]Bieu 1a'!$A$8:$AW$855,10,0)</f>
        <v>45</v>
      </c>
      <c r="O457" s="22">
        <f>VLOOKUP(A457,'[1]Bieu 1a'!$A$8:$AW$855,8,0)</f>
        <v>0</v>
      </c>
      <c r="P457" s="22">
        <f>VLOOKUP(A457,'[1]Bieu 1a'!$A$8:$AW$855,9,0)</f>
        <v>29573</v>
      </c>
      <c r="Q457" s="23" t="s">
        <v>435</v>
      </c>
      <c r="R457" s="24" t="str">
        <f>VLOOKUP(A457,'[1]Bieu 1a'!$A$8:$AW$855,23,0)</f>
        <v>16/2/2005</v>
      </c>
      <c r="S457" s="25" t="s">
        <v>2250</v>
      </c>
      <c r="T457" s="26" t="s">
        <v>2251</v>
      </c>
      <c r="U457" s="16"/>
      <c r="V457" s="16" t="str">
        <f>IFERROR(VLOOKUP(A457,'[2]19.6.2026'!$A$9:$L$1111,5,0),"")</f>
        <v>001053/LS-CCHN</v>
      </c>
      <c r="W457" s="16" t="str">
        <f>IFERROR(VLOOKUP(A457,'[2]19.6.2026'!$A$9:$L$1111,6,0),"")</f>
        <v>24/06/2013</v>
      </c>
      <c r="X457" s="16"/>
      <c r="Y457" s="21" t="str">
        <f>IFERROR(VLOOKUP(A457,'[2]19.6.2026'!$A$9:$L$1111,7,0),"")</f>
        <v>Theo quy định tại Quyết định số 41/2005/QĐ-BNV ngày 22/4/2005 của Bộ trưởng Bộ Nội vụ về việc ban hành tiêu chuẩn nghiệp vụ các ngạch viên chức y tế điều dưỡng</v>
      </c>
      <c r="Z457" s="16"/>
      <c r="AA457" s="27" t="str">
        <f>IFERROR(VLOOKUP(A457,'[3]DS UPLOAD 2026 (2)'!$A$2:$P$1111,16,0),"")</f>
        <v>08B;08C;08D;08Đ;08E;08G;08H;08I;08.0001;08.0002;08.0003;08.0004;08.0008;08.0010;08.0011;08.0012;08.0013;08.0014;08.0015;08.0016;08.0017;08.0018;08.0019;08.0020;08.0021;08.0022;08.0023;08.0024;08.0025;08.0026;08.0027;08.0028;08.0479;08.0480;08.0481;08.0482;08.0485;08.0486</v>
      </c>
      <c r="AB457" s="27" t="s">
        <v>2252</v>
      </c>
      <c r="AC457" s="51"/>
    </row>
    <row r="458" spans="1:29" ht="18" customHeight="1" x14ac:dyDescent="0.3">
      <c r="A458" s="17" t="s">
        <v>2253</v>
      </c>
      <c r="B458" s="18" t="s">
        <v>2254</v>
      </c>
      <c r="C458" s="17" t="s">
        <v>2253</v>
      </c>
      <c r="D458" s="19" t="s">
        <v>38</v>
      </c>
      <c r="E458" s="30" t="s">
        <v>41</v>
      </c>
      <c r="F458" s="16" t="str">
        <f>VLOOKUP(E458,'[1]BẢNG MÃ'!$A$2:$B$69,2,0)</f>
        <v>TĐ011</v>
      </c>
      <c r="G458" s="31" t="s">
        <v>42</v>
      </c>
      <c r="H458" s="31" t="s">
        <v>42</v>
      </c>
      <c r="I458" s="16" t="s">
        <v>2233</v>
      </c>
      <c r="J458" s="16" t="str">
        <f>VLOOKUP(I458,'[1]BẢNG MÃ'!$C$2:$D$69,2,0)</f>
        <v>KP020</v>
      </c>
      <c r="K458" s="16" t="s">
        <v>43</v>
      </c>
      <c r="L458" s="16">
        <v>0</v>
      </c>
      <c r="M458" s="16" t="s">
        <v>33</v>
      </c>
      <c r="N458" s="21">
        <f ca="1">VLOOKUP(A458,'[1]Bieu 1a'!$A$8:$AW$855,10,0)</f>
        <v>39</v>
      </c>
      <c r="O458" s="22">
        <f>VLOOKUP(A458,'[1]Bieu 1a'!$A$8:$AW$855,8,0)</f>
        <v>0</v>
      </c>
      <c r="P458" s="22">
        <f>VLOOKUP(A458,'[1]Bieu 1a'!$A$8:$AW$855,9,0)</f>
        <v>31924</v>
      </c>
      <c r="Q458" s="23" t="s">
        <v>50</v>
      </c>
      <c r="R458" s="24" t="str">
        <f>VLOOKUP(A458,'[1]Bieu 1a'!$A$8:$AW$855,23,0)</f>
        <v>15/01/2010</v>
      </c>
      <c r="S458" s="25" t="s">
        <v>2255</v>
      </c>
      <c r="T458" s="26" t="s">
        <v>2256</v>
      </c>
      <c r="U458" s="16"/>
      <c r="V458" s="16" t="str">
        <f>IFERROR(VLOOKUP(A458,'[2]19.6.2026'!$A$9:$L$1111,5,0),"")</f>
        <v>000757/LS-CCHN</v>
      </c>
      <c r="W458" s="16" t="str">
        <f>IFERROR(VLOOKUP(A458,'[2]19.6.2026'!$A$9:$L$1111,6,0),"")</f>
        <v>11/01/2023</v>
      </c>
      <c r="X458" s="16"/>
      <c r="Y458" s="21" t="str">
        <f>IFERROR(VLOOKUP(A458,'[2]19.6.2026'!$A$9:$L$1111,7,0),"")</f>
        <v>Thực hiện phạm vi hoạt động chuyên môn theo Thông tư số 26/2015/TTLT-BYT-BNV ngày 07/10/2015 quy định  mã số, tiêu chuẩn chức danh nghề nghiệp, điều dưỡng, hộ sinh, kỹ thuật y</v>
      </c>
      <c r="Z458" s="16"/>
      <c r="AA458" s="27" t="str">
        <f>IFERROR(VLOOKUP(A458,'[3]DS UPLOAD 2026 (2)'!$A$2:$P$1111,16,0),"")</f>
        <v>08.0026;08.0009;08.0010;08.0027;08.0025;08.0481;08.0482;08.0479;08.0480;08.0486;08.0013;08.0014;08.0028;08.0485;08.0024;08.0015;08.0022;08.0006;08.0483;08.0020;08.0021;08.0019</v>
      </c>
      <c r="AB458" s="27" t="s">
        <v>2257</v>
      </c>
      <c r="AC458" s="28"/>
    </row>
    <row r="459" spans="1:29" ht="18" customHeight="1" x14ac:dyDescent="0.3">
      <c r="A459" s="17" t="s">
        <v>2258</v>
      </c>
      <c r="B459" s="18" t="s">
        <v>2259</v>
      </c>
      <c r="C459" s="17" t="s">
        <v>2258</v>
      </c>
      <c r="D459" s="19" t="s">
        <v>38</v>
      </c>
      <c r="E459" s="19" t="s">
        <v>61</v>
      </c>
      <c r="F459" s="16" t="str">
        <f>VLOOKUP(E459,'[1]BẢNG MÃ'!$A$2:$B$69,2,0)</f>
        <v>TĐ012</v>
      </c>
      <c r="G459" s="20" t="s">
        <v>62</v>
      </c>
      <c r="H459" s="20" t="s">
        <v>62</v>
      </c>
      <c r="I459" s="16" t="s">
        <v>2233</v>
      </c>
      <c r="J459" s="16" t="str">
        <f>VLOOKUP(I459,'[1]BẢNG MÃ'!$C$2:$D$69,2,0)</f>
        <v>KP020</v>
      </c>
      <c r="K459" s="16" t="s">
        <v>43</v>
      </c>
      <c r="L459" s="16">
        <v>0</v>
      </c>
      <c r="M459" s="16" t="s">
        <v>33</v>
      </c>
      <c r="N459" s="21">
        <f ca="1">VLOOKUP(A459,'[1]Bieu 1a'!$A$8:$AW$855,10,0)</f>
        <v>42</v>
      </c>
      <c r="O459" s="22">
        <f>VLOOKUP(A459,'[1]Bieu 1a'!$A$8:$AW$855,8,0)</f>
        <v>0</v>
      </c>
      <c r="P459" s="22">
        <f>VLOOKUP(A459,'[1]Bieu 1a'!$A$8:$AW$855,9,0)</f>
        <v>30694</v>
      </c>
      <c r="Q459" s="23" t="s">
        <v>44</v>
      </c>
      <c r="R459" s="24" t="str">
        <f>VLOOKUP(A459,'[1]Bieu 1a'!$A$8:$AW$855,23,0)</f>
        <v>8/12/2008</v>
      </c>
      <c r="S459" s="25" t="s">
        <v>2260</v>
      </c>
      <c r="T459" s="26" t="s">
        <v>2261</v>
      </c>
      <c r="U459" s="16"/>
      <c r="V459" s="16" t="str">
        <f>IFERROR(VLOOKUP(A459,'[2]19.6.2026'!$A$9:$L$1111,5,0),"")</f>
        <v>000933/LS-CCHN</v>
      </c>
      <c r="W459" s="16" t="str">
        <f>IFERROR(VLOOKUP(A459,'[2]19.6.2026'!$A$9:$L$1111,6,0),"")</f>
        <v>11/01/2023</v>
      </c>
      <c r="X459" s="16"/>
      <c r="Y459" s="21" t="str">
        <f>IFERROR(VLOOKUP(A459,'[2]19.6.2026'!$A$9:$L$1111,7,0),"")</f>
        <v>Thực hiện phạm vi hoạt động chuyên môn theo Thông tư số 26/2015/TTLT-BYT-BNV ngày 07/10/2015 quy định  mã số, tiêu chuẩn chức danh nghề nghiệp, điều dưỡng, hộ sinh, kỹ thuật y</v>
      </c>
      <c r="Z459" s="16"/>
      <c r="AA459" s="27" t="str">
        <f>IFERROR(VLOOKUP(A459,'[3]DS UPLOAD 2026 (2)'!$A$2:$P$1111,16,0),"")</f>
        <v/>
      </c>
      <c r="AB459" s="27" t="s">
        <v>2262</v>
      </c>
      <c r="AC459" s="28"/>
    </row>
    <row r="460" spans="1:29" ht="18" customHeight="1" x14ac:dyDescent="0.3">
      <c r="A460" s="17" t="s">
        <v>2263</v>
      </c>
      <c r="B460" s="18" t="s">
        <v>2264</v>
      </c>
      <c r="C460" s="17" t="s">
        <v>2263</v>
      </c>
      <c r="D460" s="19" t="s">
        <v>38</v>
      </c>
      <c r="E460" s="19" t="s">
        <v>61</v>
      </c>
      <c r="F460" s="16" t="str">
        <f>VLOOKUP(E460,'[1]BẢNG MÃ'!$A$2:$B$69,2,0)</f>
        <v>TĐ012</v>
      </c>
      <c r="G460" s="20" t="s">
        <v>62</v>
      </c>
      <c r="H460" s="20" t="s">
        <v>62</v>
      </c>
      <c r="I460" s="16" t="s">
        <v>2233</v>
      </c>
      <c r="J460" s="16" t="str">
        <f>VLOOKUP(I460,'[1]BẢNG MÃ'!$C$2:$D$69,2,0)</f>
        <v>KP020</v>
      </c>
      <c r="K460" s="16" t="s">
        <v>43</v>
      </c>
      <c r="L460" s="16">
        <v>0</v>
      </c>
      <c r="M460" s="16" t="s">
        <v>33</v>
      </c>
      <c r="N460" s="21">
        <f ca="1">VLOOKUP(A460,'[1]Bieu 1a'!$A$8:$AW$855,10,0)</f>
        <v>39</v>
      </c>
      <c r="O460" s="22">
        <f>VLOOKUP(A460,'[1]Bieu 1a'!$A$8:$AW$855,8,0)</f>
        <v>0</v>
      </c>
      <c r="P460" s="22">
        <f>VLOOKUP(A460,'[1]Bieu 1a'!$A$8:$AW$855,9,0)</f>
        <v>31802</v>
      </c>
      <c r="Q460" s="23" t="s">
        <v>50</v>
      </c>
      <c r="R460" s="24" t="str">
        <f>VLOOKUP(A460,'[1]Bieu 1a'!$A$8:$AW$855,23,0)</f>
        <v>15/1/2010</v>
      </c>
      <c r="S460" s="25" t="s">
        <v>2265</v>
      </c>
      <c r="T460" s="26" t="s">
        <v>2266</v>
      </c>
      <c r="U460" s="16"/>
      <c r="V460" s="16" t="str">
        <f>IFERROR(VLOOKUP(A460,'[2]19.6.2026'!$A$9:$L$1111,5,0),"")</f>
        <v>000894/LS-CCHN</v>
      </c>
      <c r="W460" s="16" t="str">
        <f>IFERROR(VLOOKUP(A460,'[2]19.6.2026'!$A$9:$L$1111,6,0),"")</f>
        <v>11/01/2023</v>
      </c>
      <c r="X460" s="16"/>
      <c r="Y460" s="21" t="str">
        <f>IFERROR(VLOOKUP(A460,'[2]19.6.2026'!$A$9:$L$1111,7,0),"")</f>
        <v>Thực hiện phạm vi hoạt động chuyên môn theo Thông tư số 26/2015/TTLT-BYT-BNV ngày 07/10/2015 quy định  mã số, tiêu chuẩn chức danh nghề nghiệp, điều dưỡng, hộ sinh, kỹ thuật y</v>
      </c>
      <c r="Z460" s="16"/>
      <c r="AA460" s="27" t="str">
        <f>IFERROR(VLOOKUP(A460,'[3]DS UPLOAD 2026 (2)'!$A$2:$P$1111,16,0),"")</f>
        <v/>
      </c>
      <c r="AB460" s="27" t="s">
        <v>2267</v>
      </c>
      <c r="AC460" s="28"/>
    </row>
    <row r="461" spans="1:29" ht="18" customHeight="1" x14ac:dyDescent="0.3">
      <c r="A461" s="17" t="s">
        <v>2268</v>
      </c>
      <c r="B461" s="29" t="s">
        <v>2269</v>
      </c>
      <c r="C461" s="17" t="s">
        <v>2268</v>
      </c>
      <c r="D461" s="19"/>
      <c r="E461" s="19" t="s">
        <v>61</v>
      </c>
      <c r="F461" s="16" t="str">
        <f>VLOOKUP(E461,'[1]BẢNG MÃ'!$A$2:$B$69,2,0)</f>
        <v>TĐ012</v>
      </c>
      <c r="G461" s="20" t="s">
        <v>62</v>
      </c>
      <c r="H461" s="20" t="s">
        <v>62</v>
      </c>
      <c r="I461" s="16" t="s">
        <v>2233</v>
      </c>
      <c r="J461" s="16" t="str">
        <f>VLOOKUP(I461,'[1]BẢNG MÃ'!$C$2:$D$69,2,0)</f>
        <v>KP020</v>
      </c>
      <c r="K461" s="16" t="s">
        <v>43</v>
      </c>
      <c r="L461" s="16">
        <v>0</v>
      </c>
      <c r="M461" s="16" t="s">
        <v>33</v>
      </c>
      <c r="N461" s="21">
        <f ca="1">VLOOKUP(A461,'[1]Bieu 1a'!$A$8:$AW$855,10,0)</f>
        <v>49</v>
      </c>
      <c r="O461" s="22">
        <f>VLOOKUP(A461,'[1]Bieu 1a'!$A$8:$AW$855,8,0)</f>
        <v>28060</v>
      </c>
      <c r="P461" s="22">
        <f>VLOOKUP(A461,'[1]Bieu 1a'!$A$8:$AW$855,9,0)</f>
        <v>0</v>
      </c>
      <c r="Q461" s="23" t="s">
        <v>44</v>
      </c>
      <c r="R461" s="24" t="str">
        <f>VLOOKUP(A461,'[1]Bieu 1a'!$A$8:$AW$855,23,0)</f>
        <v>25/12/2008</v>
      </c>
      <c r="S461" s="25" t="s">
        <v>2270</v>
      </c>
      <c r="T461" s="26" t="s">
        <v>2271</v>
      </c>
      <c r="U461" s="16"/>
      <c r="V461" s="16" t="str">
        <f>IFERROR(VLOOKUP(A461,'[2]19.6.2026'!$A$9:$L$1111,5,0),"")</f>
        <v>000893/LS-CCHN</v>
      </c>
      <c r="W461" s="16" t="str">
        <f>IFERROR(VLOOKUP(A461,'[2]19.6.2026'!$A$9:$L$1111,6,0),"")</f>
        <v>11/01/2023</v>
      </c>
      <c r="X461" s="16"/>
      <c r="Y461" s="21" t="str">
        <f>IFERROR(VLOOKUP(A461,'[2]19.6.2026'!$A$9:$L$1111,7,0),"")</f>
        <v>Thực hiện phạm vi hoạt động chuyên môn theo Thông tư số 26/2015/TTLT-BYT-BNV ngày 07/10/2015 quy định  mã số, tiêu chuẩn chức danh nghề nghiệp, điều dưỡng, hộ sinh, kỹ thuật y</v>
      </c>
      <c r="Z461" s="16"/>
      <c r="AA461" s="27" t="str">
        <f>IFERROR(VLOOKUP(A461,'[3]DS UPLOAD 2026 (2)'!$A$2:$P$1111,16,0),"")</f>
        <v/>
      </c>
      <c r="AB461" s="27" t="s">
        <v>2272</v>
      </c>
      <c r="AC461" s="28"/>
    </row>
    <row r="462" spans="1:29" ht="18" customHeight="1" x14ac:dyDescent="0.3">
      <c r="A462" s="17" t="s">
        <v>2273</v>
      </c>
      <c r="B462" s="29" t="s">
        <v>2274</v>
      </c>
      <c r="C462" s="17" t="s">
        <v>2273</v>
      </c>
      <c r="D462" s="19" t="s">
        <v>38</v>
      </c>
      <c r="E462" s="19" t="s">
        <v>61</v>
      </c>
      <c r="F462" s="16" t="str">
        <f>VLOOKUP(E462,'[1]BẢNG MÃ'!$A$2:$B$69,2,0)</f>
        <v>TĐ012</v>
      </c>
      <c r="G462" s="20" t="s">
        <v>62</v>
      </c>
      <c r="H462" s="20" t="s">
        <v>62</v>
      </c>
      <c r="I462" s="16" t="s">
        <v>2233</v>
      </c>
      <c r="J462" s="16" t="str">
        <f>VLOOKUP(I462,'[1]BẢNG MÃ'!$C$2:$D$69,2,0)</f>
        <v>KP020</v>
      </c>
      <c r="K462" s="16" t="s">
        <v>31</v>
      </c>
      <c r="L462" s="16" t="s">
        <v>201</v>
      </c>
      <c r="M462" s="16" t="s">
        <v>33</v>
      </c>
      <c r="N462" s="21">
        <f ca="1">VLOOKUP(A462,'[1]Bieu 1a'!$A$8:$AW$855,10,0)</f>
        <v>49</v>
      </c>
      <c r="O462" s="22">
        <f>VLOOKUP(A462,'[1]Bieu 1a'!$A$8:$AW$855,8,0)</f>
        <v>0</v>
      </c>
      <c r="P462" s="22">
        <f>VLOOKUP(A462,'[1]Bieu 1a'!$A$8:$AW$855,9,0)</f>
        <v>28257</v>
      </c>
      <c r="Q462" s="23" t="s">
        <v>50</v>
      </c>
      <c r="R462" s="24" t="str">
        <f>VLOOKUP(A462,'[1]Bieu 1a'!$A$8:$AW$855,23,0)</f>
        <v>1/12/2008</v>
      </c>
      <c r="S462" s="25" t="s">
        <v>2275</v>
      </c>
      <c r="T462" s="26" t="s">
        <v>2276</v>
      </c>
      <c r="U462" s="16"/>
      <c r="V462" s="16" t="str">
        <f>IFERROR(VLOOKUP(A462,'[2]19.6.2026'!$A$9:$L$1111,5,0),"")</f>
        <v>000420/LS-GPHN</v>
      </c>
      <c r="W462" s="16">
        <f>IFERROR(VLOOKUP(A462,'[2]19.6.2026'!$A$9:$L$1111,6,0),"")</f>
        <v>45994</v>
      </c>
      <c r="X462" s="16"/>
      <c r="Y462" s="21" t="str">
        <f>IFERROR(VLOOKUP(A462,'[2]19.6.2026'!$A$9:$L$1111,7,0),"")</f>
        <v>Điều dưỡng</v>
      </c>
      <c r="Z462" s="16"/>
      <c r="AA462" s="27" t="str">
        <f>IFERROR(VLOOKUP(A462,'[3]DS UPLOAD 2026 (2)'!$A$2:$P$1111,16,0),"")</f>
        <v/>
      </c>
      <c r="AB462" s="58" t="s">
        <v>2277</v>
      </c>
      <c r="AC462" s="28"/>
    </row>
    <row r="463" spans="1:29" ht="18" customHeight="1" x14ac:dyDescent="0.3">
      <c r="A463" s="17" t="s">
        <v>2278</v>
      </c>
      <c r="B463" s="29" t="s">
        <v>2279</v>
      </c>
      <c r="C463" s="17" t="s">
        <v>2278</v>
      </c>
      <c r="D463" s="19" t="s">
        <v>38</v>
      </c>
      <c r="E463" s="19" t="s">
        <v>61</v>
      </c>
      <c r="F463" s="16" t="str">
        <f>VLOOKUP(E463,'[1]BẢNG MÃ'!$A$2:$B$69,2,0)</f>
        <v>TĐ012</v>
      </c>
      <c r="G463" s="20" t="s">
        <v>62</v>
      </c>
      <c r="H463" s="20" t="s">
        <v>62</v>
      </c>
      <c r="I463" s="16" t="s">
        <v>2233</v>
      </c>
      <c r="J463" s="16" t="str">
        <f>VLOOKUP(I463,'[1]BẢNG MÃ'!$C$2:$D$69,2,0)</f>
        <v>KP020</v>
      </c>
      <c r="K463" s="16" t="s">
        <v>43</v>
      </c>
      <c r="L463" s="16">
        <v>0</v>
      </c>
      <c r="M463" s="16" t="s">
        <v>33</v>
      </c>
      <c r="N463" s="21">
        <f ca="1">VLOOKUP(A463,'[1]Bieu 1a'!$A$8:$AW$855,10,0)</f>
        <v>37</v>
      </c>
      <c r="O463" s="22">
        <f>VLOOKUP(A463,'[1]Bieu 1a'!$A$8:$AW$855,8,0)</f>
        <v>0</v>
      </c>
      <c r="P463" s="22">
        <f>VLOOKUP(A463,'[1]Bieu 1a'!$A$8:$AW$855,9,0)</f>
        <v>32357</v>
      </c>
      <c r="Q463" s="23" t="s">
        <v>34</v>
      </c>
      <c r="R463" s="24" t="str">
        <f>VLOOKUP(A463,'[1]Bieu 1a'!$A$8:$AW$855,23,0)</f>
        <v>10/6/2013</v>
      </c>
      <c r="S463" s="25" t="s">
        <v>2280</v>
      </c>
      <c r="T463" s="26" t="s">
        <v>2281</v>
      </c>
      <c r="U463" s="16"/>
      <c r="V463" s="16" t="str">
        <f>IFERROR(VLOOKUP(A463,'[2]19.6.2026'!$A$9:$L$1111,5,0),"")</f>
        <v>000390/LS-CCHN</v>
      </c>
      <c r="W463" s="16" t="str">
        <f>IFERROR(VLOOKUP(A463,'[2]19.6.2026'!$A$9:$L$1111,6,0),"")</f>
        <v>06/01/2016</v>
      </c>
      <c r="X463" s="16"/>
      <c r="Y463" s="21" t="str">
        <f>IFERROR(VLOOKUP(A463,'[2]19.6.2026'!$A$9:$L$1111,7,0),"")</f>
        <v>Khám bệnh, chữa bệnh bằng Y học cổ truyền</v>
      </c>
      <c r="Z463" s="16"/>
      <c r="AA463" s="27" t="str">
        <f>IFERROR(VLOOKUP(A463,'[3]DS UPLOAD 2026 (2)'!$A$2:$P$1111,16,0),"")</f>
        <v/>
      </c>
      <c r="AB463" s="27" t="s">
        <v>2282</v>
      </c>
      <c r="AC463" s="28"/>
    </row>
    <row r="464" spans="1:29" ht="18" customHeight="1" x14ac:dyDescent="0.3">
      <c r="A464" s="17" t="s">
        <v>2283</v>
      </c>
      <c r="B464" s="18" t="s">
        <v>2284</v>
      </c>
      <c r="C464" s="17" t="s">
        <v>2283</v>
      </c>
      <c r="D464" s="19" t="s">
        <v>38</v>
      </c>
      <c r="E464" s="19" t="s">
        <v>61</v>
      </c>
      <c r="F464" s="16" t="str">
        <f>VLOOKUP(E464,'[1]BẢNG MÃ'!$A$2:$B$69,2,0)</f>
        <v>TĐ012</v>
      </c>
      <c r="G464" s="20" t="s">
        <v>62</v>
      </c>
      <c r="H464" s="20" t="s">
        <v>62</v>
      </c>
      <c r="I464" s="16" t="s">
        <v>2233</v>
      </c>
      <c r="J464" s="16" t="str">
        <f>VLOOKUP(I464,'[1]BẢNG MÃ'!$C$2:$D$69,2,0)</f>
        <v>KP020</v>
      </c>
      <c r="K464" s="16" t="s">
        <v>43</v>
      </c>
      <c r="L464" s="16">
        <v>0</v>
      </c>
      <c r="M464" s="16" t="s">
        <v>33</v>
      </c>
      <c r="N464" s="21">
        <f ca="1">VLOOKUP(A464,'[1]Bieu 1a'!$A$8:$AW$855,10,0)</f>
        <v>52</v>
      </c>
      <c r="O464" s="22">
        <f>VLOOKUP(A464,'[1]Bieu 1a'!$A$8:$AW$855,8,0)</f>
        <v>0</v>
      </c>
      <c r="P464" s="22">
        <f>VLOOKUP(A464,'[1]Bieu 1a'!$A$8:$AW$855,9,0)</f>
        <v>27217</v>
      </c>
      <c r="Q464" s="23" t="s">
        <v>50</v>
      </c>
      <c r="R464" s="24" t="str">
        <f>VLOOKUP(A464,'[1]Bieu 1a'!$A$8:$AW$855,23,0)</f>
        <v>1/2/2005</v>
      </c>
      <c r="S464" s="25" t="s">
        <v>2285</v>
      </c>
      <c r="T464" s="26" t="s">
        <v>2286</v>
      </c>
      <c r="U464" s="16"/>
      <c r="V464" s="16" t="str">
        <f>IFERROR(VLOOKUP(A464,'[2]19.6.2026'!$A$9:$L$1111,5,0),"")</f>
        <v>000892/LS-CCHN</v>
      </c>
      <c r="W464" s="16" t="str">
        <f>IFERROR(VLOOKUP(A464,'[2]19.6.2026'!$A$9:$L$1111,6,0),"")</f>
        <v>24/06/2013</v>
      </c>
      <c r="X464" s="16"/>
      <c r="Y464" s="21" t="str">
        <f>IFERROR(VLOOKUP(A464,'[2]19.6.2026'!$A$9:$L$1111,7,0),"")</f>
        <v>Khám bệnh, chữa bệnh bằng Y học cổ truyền</v>
      </c>
      <c r="Z464" s="16"/>
      <c r="AA464" s="27" t="str">
        <f>IFERROR(VLOOKUP(A464,'[3]DS UPLOAD 2026 (2)'!$A$2:$P$1111,16,0),"")</f>
        <v/>
      </c>
      <c r="AB464" s="27" t="s">
        <v>2287</v>
      </c>
      <c r="AC464" s="28"/>
    </row>
    <row r="465" spans="1:29" ht="18" customHeight="1" x14ac:dyDescent="0.3">
      <c r="A465" s="17" t="s">
        <v>2288</v>
      </c>
      <c r="B465" s="40" t="s">
        <v>2289</v>
      </c>
      <c r="C465" s="17" t="s">
        <v>2288</v>
      </c>
      <c r="D465" s="19" t="s">
        <v>38</v>
      </c>
      <c r="E465" s="16" t="s">
        <v>128</v>
      </c>
      <c r="F465" s="16" t="str">
        <f>VLOOKUP(E465,'[1]BẢNG MÃ'!$A$2:$B$69,2,0)</f>
        <v>TĐ047</v>
      </c>
      <c r="G465" s="20"/>
      <c r="H465" s="19" t="s">
        <v>128</v>
      </c>
      <c r="I465" s="16" t="s">
        <v>2233</v>
      </c>
      <c r="J465" s="16" t="str">
        <f>VLOOKUP(I465,'[1]BẢNG MÃ'!$C$2:$D$69,2,0)</f>
        <v>KP020</v>
      </c>
      <c r="K465" s="16"/>
      <c r="L465" s="16"/>
      <c r="M465" s="16" t="s">
        <v>136</v>
      </c>
      <c r="N465" s="21">
        <f ca="1">VLOOKUP(A465,'[1]Bieu 1a'!$A$8:$AW$855,10,0)</f>
        <v>51</v>
      </c>
      <c r="O465" s="22">
        <f>VLOOKUP(A465,'[1]Bieu 1a'!$A$8:$AW$855,8,0)</f>
        <v>0</v>
      </c>
      <c r="P465" s="22">
        <f>VLOOKUP(A465,'[1]Bieu 1a'!$A$8:$AW$855,9,0)</f>
        <v>27504</v>
      </c>
      <c r="Q465" s="23" t="s">
        <v>948</v>
      </c>
      <c r="R465" s="24" t="str">
        <f>VLOOKUP(A465,'[1]Bieu 1a'!$A$8:$AW$855,23,0)</f>
        <v>16/11/2015</v>
      </c>
      <c r="S465" s="25" t="s">
        <v>2290</v>
      </c>
      <c r="T465" s="26" t="s">
        <v>2291</v>
      </c>
      <c r="U465" s="16"/>
      <c r="V465" s="16" t="str">
        <f>IFERROR(VLOOKUP(A465,'[2]19.6.2026'!$A$9:$L$1111,5,0),"")</f>
        <v/>
      </c>
      <c r="W465" s="16" t="str">
        <f>IFERROR(VLOOKUP(A465,'[2]19.6.2026'!$A$9:$L$1111,6,0),"")</f>
        <v/>
      </c>
      <c r="X465" s="16"/>
      <c r="Y465" s="21" t="str">
        <f>IFERROR(VLOOKUP(A465,'[2]19.6.2026'!$A$9:$L$1111,7,0),"")</f>
        <v/>
      </c>
      <c r="Z465" s="16"/>
      <c r="AA465" s="27" t="str">
        <f>IFERROR(VLOOKUP(A465,'[3]DS UPLOAD 2026 (2)'!$A$2:$P$1111,16,0),"")</f>
        <v/>
      </c>
      <c r="AB465" s="27">
        <v>335644909</v>
      </c>
      <c r="AC465" s="28"/>
    </row>
    <row r="466" spans="1:29" ht="18" customHeight="1" x14ac:dyDescent="0.3">
      <c r="A466" s="17" t="s">
        <v>2292</v>
      </c>
      <c r="B466" s="69" t="s">
        <v>2293</v>
      </c>
      <c r="C466" s="17" t="s">
        <v>2292</v>
      </c>
      <c r="D466" s="39"/>
      <c r="E466" s="19" t="s">
        <v>160</v>
      </c>
      <c r="F466" s="16" t="str">
        <f>VLOOKUP(E466,'[1]BẢNG MÃ'!$A$2:$B$69,2,0)</f>
        <v>TĐ003</v>
      </c>
      <c r="G466" s="20" t="s">
        <v>161</v>
      </c>
      <c r="H466" s="20" t="s">
        <v>161</v>
      </c>
      <c r="I466" s="16" t="s">
        <v>2294</v>
      </c>
      <c r="J466" s="16" t="str">
        <f>VLOOKUP(I466,'[1]BẢNG MÃ'!$C$2:$D$69,2,0)</f>
        <v>KP021</v>
      </c>
      <c r="K466" s="16" t="s">
        <v>31</v>
      </c>
      <c r="L466" s="16" t="s">
        <v>148</v>
      </c>
      <c r="M466" s="16" t="s">
        <v>33</v>
      </c>
      <c r="N466" s="21">
        <f ca="1">VLOOKUP(A466,'[1]Bieu 1a'!$A$8:$AW$855,10,0)</f>
        <v>35</v>
      </c>
      <c r="O466" s="22" t="str">
        <f>VLOOKUP(A466,'[1]Bieu 1a'!$A$8:$AW$855,8,0)</f>
        <v>02/9/1990</v>
      </c>
      <c r="P466" s="22">
        <f>VLOOKUP(A466,'[1]Bieu 1a'!$A$8:$AW$855,9,0)</f>
        <v>0</v>
      </c>
      <c r="Q466" s="23" t="s">
        <v>50</v>
      </c>
      <c r="R466" s="24" t="str">
        <f>VLOOKUP(A466,'[1]Bieu 1a'!$A$8:$AW$855,23,0)</f>
        <v>10/01/2016</v>
      </c>
      <c r="S466" s="25" t="s">
        <v>2295</v>
      </c>
      <c r="T466" s="26" t="s">
        <v>2296</v>
      </c>
      <c r="U466" s="16"/>
      <c r="V466" s="16" t="str">
        <f>IFERROR(VLOOKUP(A466,'[2]19.6.2026'!$A$9:$L$1111,5,0),"")</f>
        <v>003327/LS-CCHN</v>
      </c>
      <c r="W466" s="16" t="str">
        <f>IFERROR(VLOOKUP(A466,'[2]19.6.2026'!$A$9:$L$1111,6,0),"")</f>
        <v>20/07/2018</v>
      </c>
      <c r="X466" s="16"/>
      <c r="Y466" s="21" t="str">
        <f>IFERROR(VLOOKUP(A466,'[2]19.6.2026'!$A$9:$L$1111,7,0),"")</f>
        <v>Khám bệnh, chữa bệnh chuyên khoa PHCN</v>
      </c>
      <c r="Z466" s="16"/>
      <c r="AA466" s="27" t="str">
        <f>IFERROR(VLOOKUP(A466,'[3]DS UPLOAD 2026 (2)'!$A$2:$P$1111,16,0),"")</f>
        <v/>
      </c>
      <c r="AB466" s="27">
        <v>389923328</v>
      </c>
      <c r="AC466" s="28"/>
    </row>
    <row r="467" spans="1:29" ht="18" customHeight="1" x14ac:dyDescent="0.3">
      <c r="A467" s="17" t="s">
        <v>2297</v>
      </c>
      <c r="B467" s="18" t="s">
        <v>2298</v>
      </c>
      <c r="C467" s="17" t="s">
        <v>2297</v>
      </c>
      <c r="D467" s="19"/>
      <c r="E467" s="19" t="s">
        <v>160</v>
      </c>
      <c r="F467" s="16" t="str">
        <f>VLOOKUP(E467,'[1]BẢNG MÃ'!$A$2:$B$69,2,0)</f>
        <v>TĐ003</v>
      </c>
      <c r="G467" s="20" t="s">
        <v>161</v>
      </c>
      <c r="H467" s="20" t="s">
        <v>161</v>
      </c>
      <c r="I467" s="16" t="s">
        <v>2233</v>
      </c>
      <c r="J467" s="16" t="str">
        <f>VLOOKUP(I467,'[1]BẢNG MÃ'!$C$2:$D$69,2,0)</f>
        <v>KP020</v>
      </c>
      <c r="K467" s="16" t="s">
        <v>43</v>
      </c>
      <c r="L467" s="16" t="s">
        <v>2299</v>
      </c>
      <c r="M467" s="16" t="s">
        <v>33</v>
      </c>
      <c r="N467" s="21">
        <f ca="1">VLOOKUP(A467,'[1]Bieu 1a'!$A$8:$AW$855,10,0)</f>
        <v>43</v>
      </c>
      <c r="O467" s="22">
        <f>VLOOKUP(A467,'[1]Bieu 1a'!$A$8:$AW$855,8,0)</f>
        <v>30465</v>
      </c>
      <c r="P467" s="22">
        <f>VLOOKUP(A467,'[1]Bieu 1a'!$A$8:$AW$855,9,0)</f>
        <v>0</v>
      </c>
      <c r="Q467" s="23" t="s">
        <v>34</v>
      </c>
      <c r="R467" s="24" t="str">
        <f>VLOOKUP(A467,'[1]Bieu 1a'!$A$8:$AW$855,23,0)</f>
        <v>10/6/2013</v>
      </c>
      <c r="S467" s="25" t="s">
        <v>2300</v>
      </c>
      <c r="T467" s="26" t="s">
        <v>2301</v>
      </c>
      <c r="U467" s="16"/>
      <c r="V467" s="16" t="str">
        <f>IFERROR(VLOOKUP(A467,'[2]19.6.2026'!$A$9:$L$1111,5,0),"")</f>
        <v>000929/LS-CCHN</v>
      </c>
      <c r="W467" s="16" t="str">
        <f>IFERROR(VLOOKUP(A467,'[2]19.6.2026'!$A$9:$L$1111,6,0),"")</f>
        <v>24/06/2013</v>
      </c>
      <c r="X467" s="16"/>
      <c r="Y467" s="21" t="str">
        <f>IFERROR(VLOOKUP(A467,'[2]19.6.2026'!$A$9:$L$1111,7,0),"")</f>
        <v>Khám bệnh chữa bệnh bằng Y học cổ truyền</v>
      </c>
      <c r="Z467" s="16"/>
      <c r="AA467" s="27" t="str">
        <f>IFERROR(VLOOKUP(A467,'[3]DS UPLOAD 2026 (2)'!$A$2:$P$1111,16,0),"")</f>
        <v>17B;17.0001;17.0002;17.0003;17.0004;17.0005;17.0006;17.0007;17.0008;17.0009;17.0010;17.0012;17.0013;17.0014;17.0015;17.0018;17.0019;17.0022;17.0023;17.0024;17.0025;17.0026;17.0027;17.0028;17.0030;17.0102;17.0104;17.0104;17.0108;17.0109;17.0111;17.0124;17.0125;17.0126;17.0129;17.0130;17.0131;17.0132;17.0133;17.0134;17.0135;17.0141;17.0142;17.0143;17.0144;17.0145;17.0146;17.0147;17.0148;17.0149;17.0150;17.0151;17.0152;17.0153;17.0158;17.0159;17.0160;17.0161;17.0162;17.0163;17.0195;17.0215;17.0216;17.0232;17.0233;17.0250</v>
      </c>
      <c r="AB467" s="27" t="s">
        <v>2302</v>
      </c>
      <c r="AC467" s="28"/>
    </row>
    <row r="468" spans="1:29" ht="18" customHeight="1" x14ac:dyDescent="0.3">
      <c r="A468" s="17" t="s">
        <v>2303</v>
      </c>
      <c r="B468" s="40" t="s">
        <v>2304</v>
      </c>
      <c r="C468" s="17" t="s">
        <v>2303</v>
      </c>
      <c r="D468" s="19" t="s">
        <v>38</v>
      </c>
      <c r="E468" s="19" t="s">
        <v>160</v>
      </c>
      <c r="F468" s="16" t="str">
        <f>VLOOKUP(E468,'[1]BẢNG MÃ'!$A$2:$B$69,2,0)</f>
        <v>TĐ003</v>
      </c>
      <c r="G468" s="20" t="s">
        <v>161</v>
      </c>
      <c r="H468" s="20" t="s">
        <v>161</v>
      </c>
      <c r="I468" s="16" t="s">
        <v>2294</v>
      </c>
      <c r="J468" s="16" t="str">
        <f>VLOOKUP(I468,'[1]BẢNG MÃ'!$C$2:$D$69,2,0)</f>
        <v>KP021</v>
      </c>
      <c r="K468" s="16" t="s">
        <v>43</v>
      </c>
      <c r="L468" s="16">
        <v>0</v>
      </c>
      <c r="M468" s="16" t="s">
        <v>33</v>
      </c>
      <c r="N468" s="21">
        <f ca="1">VLOOKUP(A468,'[1]Bieu 1a'!$A$8:$AW$855,10,0)</f>
        <v>35</v>
      </c>
      <c r="O468" s="22">
        <f>VLOOKUP(A468,'[1]Bieu 1a'!$A$8:$AW$855,8,0)</f>
        <v>0</v>
      </c>
      <c r="P468" s="22" t="str">
        <f>VLOOKUP(A468,'[1]Bieu 1a'!$A$8:$AW$855,9,0)</f>
        <v>21/12/1990</v>
      </c>
      <c r="Q468" s="23" t="s">
        <v>50</v>
      </c>
      <c r="R468" s="24" t="str">
        <f>VLOOKUP(A468,'[1]Bieu 1a'!$A$8:$AW$855,23,0)</f>
        <v>10/01/2016</v>
      </c>
      <c r="S468" s="25" t="s">
        <v>2305</v>
      </c>
      <c r="T468" s="26" t="s">
        <v>2306</v>
      </c>
      <c r="U468" s="16"/>
      <c r="V468" s="16" t="str">
        <f>IFERROR(VLOOKUP(A468,'[2]19.6.2026'!$A$9:$L$1111,5,0),"")</f>
        <v>003455/LS-CCHN</v>
      </c>
      <c r="W468" s="16" t="str">
        <f>IFERROR(VLOOKUP(A468,'[2]19.6.2026'!$A$9:$L$1111,6,0),"")</f>
        <v>17/05/2019</v>
      </c>
      <c r="X468" s="16"/>
      <c r="Y468" s="21" t="str">
        <f>IFERROR(VLOOKUP(A468,'[2]19.6.2026'!$A$9:$L$1111,7,0),"")</f>
        <v>Khám bệnh, chữa bệnh Nội khoa; Khám bệnh, chữa bệnh chuyên khoa Phục hồi chức năng</v>
      </c>
      <c r="Z468" s="16"/>
      <c r="AA468" s="27" t="str">
        <f>IFERROR(VLOOKUP(A468,'[3]DS UPLOAD 2026 (2)'!$A$2:$P$1111,16,0),"")</f>
        <v/>
      </c>
      <c r="AB468" s="27">
        <v>365198190</v>
      </c>
      <c r="AC468" s="28"/>
    </row>
    <row r="469" spans="1:29" ht="18" customHeight="1" x14ac:dyDescent="0.3">
      <c r="A469" s="17" t="s">
        <v>2307</v>
      </c>
      <c r="B469" s="69" t="s">
        <v>2308</v>
      </c>
      <c r="C469" s="17" t="s">
        <v>2307</v>
      </c>
      <c r="D469" s="19" t="s">
        <v>38</v>
      </c>
      <c r="E469" s="19" t="s">
        <v>173</v>
      </c>
      <c r="F469" s="16" t="str">
        <f>VLOOKUP(E469,'[1]BẢNG MÃ'!$A$2:$B$69,2,0)</f>
        <v>TĐ005</v>
      </c>
      <c r="G469" s="20" t="s">
        <v>161</v>
      </c>
      <c r="H469" s="20" t="s">
        <v>161</v>
      </c>
      <c r="I469" s="16" t="s">
        <v>2294</v>
      </c>
      <c r="J469" s="16" t="str">
        <f>VLOOKUP(I469,'[1]BẢNG MÃ'!$C$2:$D$69,2,0)</f>
        <v>KP021</v>
      </c>
      <c r="K469" s="16" t="s">
        <v>43</v>
      </c>
      <c r="L469" s="16">
        <v>0</v>
      </c>
      <c r="M469" s="16" t="s">
        <v>33</v>
      </c>
      <c r="N469" s="21">
        <f ca="1">VLOOKUP(A469,'[1]Bieu 1a'!$A$8:$AW$855,10,0)</f>
        <v>33</v>
      </c>
      <c r="O469" s="22">
        <f>VLOOKUP(A469,'[1]Bieu 1a'!$A$8:$AW$855,8,0)</f>
        <v>0</v>
      </c>
      <c r="P469" s="22">
        <f>VLOOKUP(A469,'[1]Bieu 1a'!$A$8:$AW$855,9,0)</f>
        <v>33897</v>
      </c>
      <c r="Q469" s="23" t="s">
        <v>44</v>
      </c>
      <c r="R469" s="24" t="str">
        <f>VLOOKUP(A469,'[1]Bieu 1a'!$A$8:$AW$855,23,0)</f>
        <v>10/2/2017</v>
      </c>
      <c r="S469" s="25" t="s">
        <v>2309</v>
      </c>
      <c r="T469" s="26" t="s">
        <v>2310</v>
      </c>
      <c r="U469" s="16"/>
      <c r="V469" s="16" t="str">
        <f>IFERROR(VLOOKUP(A469,'[2]19.6.2026'!$A$9:$L$1111,5,0),"")</f>
        <v>003405/LS-CCHN</v>
      </c>
      <c r="W469" s="16" t="str">
        <f>IFERROR(VLOOKUP(A469,'[2]19.6.2026'!$A$9:$L$1111,6,0),"")</f>
        <v>21/08/2019</v>
      </c>
      <c r="X469" s="16"/>
      <c r="Y469" s="21" t="str">
        <f>IFERROR(VLOOKUP(A469,'[2]19.6.2026'!$A$9:$L$1111,7,0),"")</f>
        <v>Khám bệnh, chữa bệnh Nội khoa; Phục hồi chức năng</v>
      </c>
      <c r="Z469" s="16"/>
      <c r="AA469" s="27" t="str">
        <f>IFERROR(VLOOKUP(A469,'[3]DS UPLOAD 2026 (2)'!$A$2:$P$1111,16,0),"")</f>
        <v/>
      </c>
      <c r="AB469" s="27" t="s">
        <v>2311</v>
      </c>
      <c r="AC469" s="28"/>
    </row>
    <row r="470" spans="1:29" ht="18" customHeight="1" x14ac:dyDescent="0.3">
      <c r="A470" s="17" t="s">
        <v>2312</v>
      </c>
      <c r="B470" s="36" t="s">
        <v>2313</v>
      </c>
      <c r="C470" s="17" t="s">
        <v>2312</v>
      </c>
      <c r="D470" s="19"/>
      <c r="E470" s="19" t="s">
        <v>173</v>
      </c>
      <c r="F470" s="16" t="str">
        <f>VLOOKUP(E470,'[1]BẢNG MÃ'!$A$2:$B$69,2,0)</f>
        <v>TĐ005</v>
      </c>
      <c r="G470" s="20" t="s">
        <v>161</v>
      </c>
      <c r="H470" s="20" t="s">
        <v>161</v>
      </c>
      <c r="I470" s="16" t="s">
        <v>2294</v>
      </c>
      <c r="J470" s="16" t="str">
        <f>VLOOKUP(I470,'[1]BẢNG MÃ'!$C$2:$D$69,2,0)</f>
        <v>KP021</v>
      </c>
      <c r="K470" s="16" t="s">
        <v>43</v>
      </c>
      <c r="L470" s="16">
        <v>0</v>
      </c>
      <c r="M470" s="16" t="s">
        <v>33</v>
      </c>
      <c r="N470" s="21">
        <f ca="1">VLOOKUP(A470,'[1]Bieu 1a'!$A$8:$AW$855,10,0)</f>
        <v>39</v>
      </c>
      <c r="O470" s="22" t="str">
        <f>VLOOKUP(A470,'[1]Bieu 1a'!$A$8:$AW$855,8,0)</f>
        <v>25/3/1987</v>
      </c>
      <c r="P470" s="22">
        <f>VLOOKUP(A470,'[1]Bieu 1a'!$A$8:$AW$855,9,0)</f>
        <v>0</v>
      </c>
      <c r="Q470" s="23" t="s">
        <v>44</v>
      </c>
      <c r="R470" s="24" t="str">
        <f>VLOOKUP(A470,'[1]Bieu 1a'!$A$8:$AW$855,23,0)</f>
        <v>20/3/2018</v>
      </c>
      <c r="S470" s="25" t="s">
        <v>2314</v>
      </c>
      <c r="T470" s="26" t="s">
        <v>2315</v>
      </c>
      <c r="U470" s="16"/>
      <c r="V470" s="16" t="str">
        <f>IFERROR(VLOOKUP(A470,'[2]19.6.2026'!$A$9:$L$1111,5,0),"")</f>
        <v>003620/LS-CCHN</v>
      </c>
      <c r="W470" s="16" t="str">
        <f>IFERROR(VLOOKUP(A470,'[2]19.6.2026'!$A$9:$L$1111,6,0),"")</f>
        <v>21/10/2019</v>
      </c>
      <c r="X470" s="16"/>
      <c r="Y470" s="21" t="str">
        <f>IFERROR(VLOOKUP(A470,'[2]19.6.2026'!$A$9:$L$1111,7,0),"")</f>
        <v>Khám bệnh, chữa bệnh Nội khoa; Khám bệnh, chữa bệnh chuyên khoa Phục hồi chức năng</v>
      </c>
      <c r="Z470" s="16"/>
      <c r="AA470" s="27" t="str">
        <f>IFERROR(VLOOKUP(A470,'[3]DS UPLOAD 2026 (2)'!$A$2:$P$1111,16,0),"")</f>
        <v/>
      </c>
      <c r="AB470" s="27">
        <v>914338616</v>
      </c>
      <c r="AC470" s="28" t="s">
        <v>374</v>
      </c>
    </row>
    <row r="471" spans="1:29" ht="18" customHeight="1" x14ac:dyDescent="0.3">
      <c r="A471" s="17" t="s">
        <v>2316</v>
      </c>
      <c r="B471" s="18" t="s">
        <v>2317</v>
      </c>
      <c r="C471" s="17" t="s">
        <v>2316</v>
      </c>
      <c r="D471" s="19" t="s">
        <v>38</v>
      </c>
      <c r="E471" s="30" t="s">
        <v>41</v>
      </c>
      <c r="F471" s="16" t="str">
        <f>VLOOKUP(E471,'[1]BẢNG MÃ'!$A$2:$B$69,2,0)</f>
        <v>TĐ011</v>
      </c>
      <c r="G471" s="31" t="s">
        <v>42</v>
      </c>
      <c r="H471" s="31" t="s">
        <v>42</v>
      </c>
      <c r="I471" s="16" t="s">
        <v>2294</v>
      </c>
      <c r="J471" s="16" t="str">
        <f>VLOOKUP(I471,'[1]BẢNG MÃ'!$C$2:$D$69,2,0)</f>
        <v>KP021</v>
      </c>
      <c r="K471" s="16" t="s">
        <v>31</v>
      </c>
      <c r="L471" s="16" t="s">
        <v>201</v>
      </c>
      <c r="M471" s="16" t="s">
        <v>33</v>
      </c>
      <c r="N471" s="21">
        <f ca="1">VLOOKUP(A471,'[1]Bieu 1a'!$A$8:$AW$855,10,0)</f>
        <v>48</v>
      </c>
      <c r="O471" s="22">
        <f>VLOOKUP(A471,'[1]Bieu 1a'!$A$8:$AW$855,8,0)</f>
        <v>0</v>
      </c>
      <c r="P471" s="22">
        <f>VLOOKUP(A471,'[1]Bieu 1a'!$A$8:$AW$855,9,0)</f>
        <v>28560</v>
      </c>
      <c r="Q471" s="23" t="s">
        <v>50</v>
      </c>
      <c r="R471" s="24" t="str">
        <f>VLOOKUP(A471,'[1]Bieu 1a'!$A$8:$AW$855,23,0)</f>
        <v>16/2/2005</v>
      </c>
      <c r="S471" s="25" t="s">
        <v>2318</v>
      </c>
      <c r="T471" s="26" t="s">
        <v>2319</v>
      </c>
      <c r="U471" s="16"/>
      <c r="V471" s="16" t="str">
        <f>IFERROR(VLOOKUP(A471,'[2]19.6.2026'!$A$9:$L$1111,5,0),"")</f>
        <v>000772/LS-CCHN</v>
      </c>
      <c r="W471" s="16" t="str">
        <f>IFERROR(VLOOKUP(A471,'[2]19.6.2026'!$A$9:$L$1111,6,0),"")</f>
        <v>11/01/2023</v>
      </c>
      <c r="X471" s="16"/>
      <c r="Y471" s="21" t="str">
        <f>IFERROR(VLOOKUP(A471,'[2]19.6.2026'!$A$9:$L$1111,7,0),"")</f>
        <v>Thực hiện phạm vi hoạt động chuyên môn theo Thông tư số 26/2015/TTLT-BYT-BNV ngày 07/10/2015 quy định  mã số, tiêu chuẩn chức danh nghề nghiệp, điều dưỡng, hộ sinh, kỹ thuật y</v>
      </c>
      <c r="Z471" s="16"/>
      <c r="AA471" s="27" t="str">
        <f>IFERROR(VLOOKUP(A471,'[3]DS UPLOAD 2026 (2)'!$A$2:$P$1111,16,0),"")</f>
        <v>17.0037;17.0052;17.0053;17.0073;17.0085</v>
      </c>
      <c r="AB471" s="27" t="s">
        <v>2320</v>
      </c>
      <c r="AC471" s="28"/>
    </row>
    <row r="472" spans="1:29" ht="18" customHeight="1" x14ac:dyDescent="0.3">
      <c r="A472" s="17" t="s">
        <v>2321</v>
      </c>
      <c r="B472" s="29" t="s">
        <v>2322</v>
      </c>
      <c r="C472" s="17" t="s">
        <v>2321</v>
      </c>
      <c r="D472" s="19" t="s">
        <v>38</v>
      </c>
      <c r="E472" s="19" t="s">
        <v>61</v>
      </c>
      <c r="F472" s="16" t="str">
        <f>VLOOKUP(E472,'[1]BẢNG MÃ'!$A$2:$B$69,2,0)</f>
        <v>TĐ012</v>
      </c>
      <c r="G472" s="20" t="s">
        <v>62</v>
      </c>
      <c r="H472" s="20" t="s">
        <v>62</v>
      </c>
      <c r="I472" s="16" t="s">
        <v>2294</v>
      </c>
      <c r="J472" s="16" t="str">
        <f>VLOOKUP(I472,'[1]BẢNG MÃ'!$C$2:$D$69,2,0)</f>
        <v>KP021</v>
      </c>
      <c r="K472" s="16" t="s">
        <v>43</v>
      </c>
      <c r="L472" s="16">
        <v>0</v>
      </c>
      <c r="M472" s="16" t="s">
        <v>33</v>
      </c>
      <c r="N472" s="21">
        <f ca="1">VLOOKUP(A472,'[1]Bieu 1a'!$A$8:$AW$855,10,0)</f>
        <v>42</v>
      </c>
      <c r="O472" s="22">
        <f>VLOOKUP(A472,'[1]Bieu 1a'!$A$8:$AW$855,8,0)</f>
        <v>0</v>
      </c>
      <c r="P472" s="22">
        <f>VLOOKUP(A472,'[1]Bieu 1a'!$A$8:$AW$855,9,0)</f>
        <v>30547</v>
      </c>
      <c r="Q472" s="23" t="s">
        <v>44</v>
      </c>
      <c r="R472" s="24" t="str">
        <f>VLOOKUP(A472,'[1]Bieu 1a'!$A$8:$AW$855,23,0)</f>
        <v>15/1/2010</v>
      </c>
      <c r="S472" s="25" t="s">
        <v>2323</v>
      </c>
      <c r="T472" s="26" t="s">
        <v>2324</v>
      </c>
      <c r="U472" s="16"/>
      <c r="V472" s="16" t="str">
        <f>IFERROR(VLOOKUP(A472,'[2]19.6.2026'!$A$9:$L$1111,5,0),"")</f>
        <v>001050/LS-CCHN</v>
      </c>
      <c r="W472" s="16" t="str">
        <f>IFERROR(VLOOKUP(A472,'[2]19.6.2026'!$A$9:$L$1111,6,0),"")</f>
        <v>11/01/2023</v>
      </c>
      <c r="X472" s="16"/>
      <c r="Y472" s="21" t="str">
        <f>IFERROR(VLOOKUP(A472,'[2]19.6.2026'!$A$9:$L$1111,7,0),"")</f>
        <v>Thực hiện phạm vi hoạt động chuyên môn theo Thông tư số 26/2015/TTLT-BYT-BNV ngày 07/10/2015 quy định  mã số, tiêu chuẩn chức danh nghề nghiệp, điều dưỡng, hộ sinh, kỹ thuật y</v>
      </c>
      <c r="Z472" s="16"/>
      <c r="AA472" s="27" t="str">
        <f>IFERROR(VLOOKUP(A472,'[3]DS UPLOAD 2026 (2)'!$A$2:$P$1111,16,0),"")</f>
        <v>17.0037;17.0052;17.0053;17.0073;17.0085</v>
      </c>
      <c r="AB472" s="27" t="s">
        <v>2325</v>
      </c>
      <c r="AC472" s="28"/>
    </row>
    <row r="473" spans="1:29" ht="18" customHeight="1" x14ac:dyDescent="0.3">
      <c r="A473" s="17" t="s">
        <v>2326</v>
      </c>
      <c r="B473" s="18" t="s">
        <v>2327</v>
      </c>
      <c r="C473" s="17" t="s">
        <v>2326</v>
      </c>
      <c r="D473" s="19"/>
      <c r="E473" s="19" t="s">
        <v>61</v>
      </c>
      <c r="F473" s="16" t="str">
        <f>VLOOKUP(E473,'[1]BẢNG MÃ'!$A$2:$B$69,2,0)</f>
        <v>TĐ012</v>
      </c>
      <c r="G473" s="20" t="s">
        <v>62</v>
      </c>
      <c r="H473" s="20" t="s">
        <v>62</v>
      </c>
      <c r="I473" s="16" t="s">
        <v>2294</v>
      </c>
      <c r="J473" s="16" t="str">
        <f>VLOOKUP(I473,'[1]BẢNG MÃ'!$C$2:$D$69,2,0)</f>
        <v>KP021</v>
      </c>
      <c r="K473" s="16" t="s">
        <v>43</v>
      </c>
      <c r="L473" s="16">
        <v>0</v>
      </c>
      <c r="M473" s="16" t="s">
        <v>33</v>
      </c>
      <c r="N473" s="21">
        <f ca="1">VLOOKUP(A473,'[1]Bieu 1a'!$A$8:$AW$855,10,0)</f>
        <v>39</v>
      </c>
      <c r="O473" s="22">
        <f>VLOOKUP(A473,'[1]Bieu 1a'!$A$8:$AW$855,8,0)</f>
        <v>31668</v>
      </c>
      <c r="P473" s="22">
        <f>VLOOKUP(A473,'[1]Bieu 1a'!$A$8:$AW$855,9,0)</f>
        <v>0</v>
      </c>
      <c r="Q473" s="23" t="s">
        <v>44</v>
      </c>
      <c r="R473" s="24" t="str">
        <f>VLOOKUP(A473,'[1]Bieu 1a'!$A$8:$AW$855,23,0)</f>
        <v>1/12/2008</v>
      </c>
      <c r="S473" s="25" t="s">
        <v>2328</v>
      </c>
      <c r="T473" s="26" t="s">
        <v>2329</v>
      </c>
      <c r="U473" s="16"/>
      <c r="V473" s="16" t="str">
        <f>IFERROR(VLOOKUP(A473,'[2]19.6.2026'!$A$9:$L$1111,5,0),"")</f>
        <v>000935/LS-CCHN</v>
      </c>
      <c r="W473" s="16" t="str">
        <f>IFERROR(VLOOKUP(A473,'[2]19.6.2026'!$A$9:$L$1111,6,0),"")</f>
        <v>11/01/2023</v>
      </c>
      <c r="X473" s="16"/>
      <c r="Y473" s="21" t="str">
        <f>IFERROR(VLOOKUP(A473,'[2]19.6.2026'!$A$9:$L$1111,7,0),"")</f>
        <v>Thực hiện phạm vi hoạt động chuyên môn theo Thông tư số 26/2015/TTLT-BYT-BNV ngày 07/10/2015 quy định  mã số, tiêu chuẩn chức danh nghề nghiệp, điều dưỡng, hộ sinh, kỹ thuật y</v>
      </c>
      <c r="Z473" s="16"/>
      <c r="AA473" s="27" t="str">
        <f>IFERROR(VLOOKUP(A473,'[3]DS UPLOAD 2026 (2)'!$A$2:$P$1111,16,0),"")</f>
        <v>17.0037;17.0052;17.0053;17.0073;17.0085</v>
      </c>
      <c r="AB473" s="27">
        <v>976062972</v>
      </c>
      <c r="AC473" s="28"/>
    </row>
    <row r="474" spans="1:29" ht="18" customHeight="1" x14ac:dyDescent="0.3">
      <c r="A474" s="17" t="s">
        <v>2330</v>
      </c>
      <c r="B474" s="18" t="s">
        <v>2331</v>
      </c>
      <c r="C474" s="17" t="s">
        <v>2330</v>
      </c>
      <c r="D474" s="19" t="s">
        <v>38</v>
      </c>
      <c r="E474" s="19" t="s">
        <v>61</v>
      </c>
      <c r="F474" s="16" t="str">
        <f>VLOOKUP(E474,'[1]BẢNG MÃ'!$A$2:$B$69,2,0)</f>
        <v>TĐ012</v>
      </c>
      <c r="G474" s="20" t="s">
        <v>62</v>
      </c>
      <c r="H474" s="20" t="s">
        <v>62</v>
      </c>
      <c r="I474" s="16" t="s">
        <v>2294</v>
      </c>
      <c r="J474" s="16" t="str">
        <f>VLOOKUP(I474,'[1]BẢNG MÃ'!$C$2:$D$69,2,0)</f>
        <v>KP021</v>
      </c>
      <c r="K474" s="16" t="s">
        <v>43</v>
      </c>
      <c r="L474" s="16">
        <v>0</v>
      </c>
      <c r="M474" s="16" t="s">
        <v>33</v>
      </c>
      <c r="N474" s="21">
        <f ca="1">VLOOKUP(A474,'[1]Bieu 1a'!$A$8:$AW$855,10,0)</f>
        <v>44</v>
      </c>
      <c r="O474" s="22">
        <f>VLOOKUP(A474,'[1]Bieu 1a'!$A$8:$AW$855,8,0)</f>
        <v>0</v>
      </c>
      <c r="P474" s="22">
        <f>VLOOKUP(A474,'[1]Bieu 1a'!$A$8:$AW$855,9,0)</f>
        <v>29865</v>
      </c>
      <c r="Q474" s="23" t="s">
        <v>50</v>
      </c>
      <c r="R474" s="24" t="str">
        <f>VLOOKUP(A474,'[1]Bieu 1a'!$A$8:$AW$855,23,0)</f>
        <v>6/11/2006</v>
      </c>
      <c r="S474" s="25" t="s">
        <v>2332</v>
      </c>
      <c r="T474" s="26" t="s">
        <v>2333</v>
      </c>
      <c r="U474" s="16"/>
      <c r="V474" s="16" t="str">
        <f>IFERROR(VLOOKUP(A474,'[2]19.6.2026'!$A$9:$L$1111,5,0),"")</f>
        <v>001110/LS-CCHN</v>
      </c>
      <c r="W474" s="16" t="str">
        <f>IFERROR(VLOOKUP(A474,'[2]19.6.2026'!$A$9:$L$1111,6,0),"")</f>
        <v>11/01/2023</v>
      </c>
      <c r="X474" s="16"/>
      <c r="Y474" s="21" t="str">
        <f>IFERROR(VLOOKUP(A474,'[2]19.6.2026'!$A$9:$L$1111,7,0),"")</f>
        <v>Thực hiện phạm vi hoạt động chuyên môn theo Thông tư số 26/2015/TTLT-BYT-BNV ngày 07/10/2015 quy định  mã số, tiêu chuẩn chức danh nghề nghiệp, điều dưỡng, hộ sinh, kỹ thuật y</v>
      </c>
      <c r="Z474" s="16"/>
      <c r="AA474" s="27" t="str">
        <f>IFERROR(VLOOKUP(A474,'[3]DS UPLOAD 2026 (2)'!$A$2:$P$1111,16,0),"")</f>
        <v>17.0037;17.0052;17.0053;17.0073;17.0085</v>
      </c>
      <c r="AB474" s="27" t="s">
        <v>2334</v>
      </c>
      <c r="AC474" s="54"/>
    </row>
    <row r="475" spans="1:29" ht="18" customHeight="1" x14ac:dyDescent="0.3">
      <c r="A475" s="17" t="s">
        <v>2335</v>
      </c>
      <c r="B475" s="18" t="s">
        <v>2336</v>
      </c>
      <c r="C475" s="17" t="s">
        <v>2335</v>
      </c>
      <c r="D475" s="19" t="s">
        <v>38</v>
      </c>
      <c r="E475" s="19" t="s">
        <v>2337</v>
      </c>
      <c r="F475" s="16" t="str">
        <f>VLOOKUP(E475,'[1]BẢNG MÃ'!$A$2:$B$69,2,0)</f>
        <v>TĐ014</v>
      </c>
      <c r="G475" s="20" t="s">
        <v>2338</v>
      </c>
      <c r="H475" s="20" t="s">
        <v>2338</v>
      </c>
      <c r="I475" s="16" t="s">
        <v>2294</v>
      </c>
      <c r="J475" s="16" t="str">
        <f>VLOOKUP(I475,'[1]BẢNG MÃ'!$C$2:$D$69,2,0)</f>
        <v>KP021</v>
      </c>
      <c r="K475" s="16" t="s">
        <v>43</v>
      </c>
      <c r="L475" s="16">
        <v>0</v>
      </c>
      <c r="M475" s="16" t="s">
        <v>33</v>
      </c>
      <c r="N475" s="21">
        <f ca="1">VLOOKUP(A475,'[1]Bieu 1a'!$A$8:$AW$855,10,0)</f>
        <v>42</v>
      </c>
      <c r="O475" s="22">
        <f>VLOOKUP(A475,'[1]Bieu 1a'!$A$8:$AW$855,8,0)</f>
        <v>0</v>
      </c>
      <c r="P475" s="22">
        <f>VLOOKUP(A475,'[1]Bieu 1a'!$A$8:$AW$855,9,0)</f>
        <v>30662</v>
      </c>
      <c r="Q475" s="23" t="s">
        <v>50</v>
      </c>
      <c r="R475" s="24" t="str">
        <f>VLOOKUP(A475,'[1]Bieu 1a'!$A$8:$AW$855,23,0)</f>
        <v>1/11/2006</v>
      </c>
      <c r="S475" s="25" t="s">
        <v>2339</v>
      </c>
      <c r="T475" s="26" t="s">
        <v>2340</v>
      </c>
      <c r="U475" s="16"/>
      <c r="V475" s="16" t="str">
        <f>IFERROR(VLOOKUP(A475,'[2]19.6.2026'!$A$9:$L$1111,5,0),"")</f>
        <v>000899/LS-CCHN</v>
      </c>
      <c r="W475" s="16" t="str">
        <f>IFERROR(VLOOKUP(A475,'[2]19.6.2026'!$A$9:$L$1111,6,0),"")</f>
        <v>11/01/2023</v>
      </c>
      <c r="X475" s="16"/>
      <c r="Y475" s="21" t="str">
        <f>IFERROR(VLOOKUP(A475,'[2]19.6.2026'!$A$9:$L$1111,7,0),"")</f>
        <v>Thực hiện phạm vi hoạt động chuyên môn theo Thông tư số 26/2015/TTLT-BYT-BNV ngày 07/10/2015 quy định  mã số, tiêu chuẩn chức danh nghề nghiệp, điều dưỡng, hộ sinh, kỹ thuật y</v>
      </c>
      <c r="Z475" s="16"/>
      <c r="AA475" s="27" t="str">
        <f>IFERROR(VLOOKUP(A475,'[3]DS UPLOAD 2026 (2)'!$A$2:$P$1111,16,0),"")</f>
        <v/>
      </c>
      <c r="AB475" s="27" t="s">
        <v>2341</v>
      </c>
      <c r="AC475" s="28"/>
    </row>
    <row r="476" spans="1:29" ht="18" customHeight="1" x14ac:dyDescent="0.3">
      <c r="A476" s="17" t="s">
        <v>2342</v>
      </c>
      <c r="B476" s="18" t="s">
        <v>2343</v>
      </c>
      <c r="C476" s="17" t="s">
        <v>2342</v>
      </c>
      <c r="D476" s="19"/>
      <c r="E476" s="19" t="s">
        <v>2344</v>
      </c>
      <c r="F476" s="16" t="str">
        <f>VLOOKUP(E476,'[1]BẢNG MÃ'!$A$2:$B$69,2,0)</f>
        <v>TĐ015</v>
      </c>
      <c r="G476" s="20" t="s">
        <v>2345</v>
      </c>
      <c r="H476" s="20" t="s">
        <v>2345</v>
      </c>
      <c r="I476" s="16" t="s">
        <v>2294</v>
      </c>
      <c r="J476" s="16" t="str">
        <f>VLOOKUP(I476,'[1]BẢNG MÃ'!$C$2:$D$69,2,0)</f>
        <v>KP021</v>
      </c>
      <c r="K476" s="16" t="s">
        <v>43</v>
      </c>
      <c r="L476" s="16">
        <v>0</v>
      </c>
      <c r="M476" s="16" t="s">
        <v>33</v>
      </c>
      <c r="N476" s="21">
        <f ca="1">VLOOKUP(A476,'[1]Bieu 1a'!$A$8:$AW$855,10,0)</f>
        <v>38</v>
      </c>
      <c r="O476" s="22">
        <f>VLOOKUP(A476,'[1]Bieu 1a'!$A$8:$AW$855,8,0)</f>
        <v>32268</v>
      </c>
      <c r="P476" s="22">
        <f>VLOOKUP(A476,'[1]Bieu 1a'!$A$8:$AW$855,9,0)</f>
        <v>0</v>
      </c>
      <c r="Q476" s="23" t="s">
        <v>34</v>
      </c>
      <c r="R476" s="24" t="str">
        <f>VLOOKUP(A476,'[1]Bieu 1a'!$A$8:$AW$855,23,0)</f>
        <v>1/12/2010</v>
      </c>
      <c r="S476" s="25" t="s">
        <v>2346</v>
      </c>
      <c r="T476" s="26" t="s">
        <v>2347</v>
      </c>
      <c r="U476" s="16"/>
      <c r="V476" s="16" t="str">
        <f>IFERROR(VLOOKUP(A476,'[2]19.6.2026'!$A$9:$L$1111,5,0),"")</f>
        <v>000902/LS-CCHN</v>
      </c>
      <c r="W476" s="16" t="str">
        <f>IFERROR(VLOOKUP(A476,'[2]19.6.2026'!$A$9:$L$1111,6,0),"")</f>
        <v>11/01/2023</v>
      </c>
      <c r="X476" s="16"/>
      <c r="Y476" s="21" t="str">
        <f>IFERROR(VLOOKUP(A476,'[2]19.6.2026'!$A$9:$L$1111,7,0),"")</f>
        <v>Thực hiện phạm vi hoạt động chuyên môn theo Thông tư số 26/2015/TTLT-BYT-BNV ngày 07/10/2015 quy định  mã số, tiêu chuẩn chức danh nghề nghiệp, điều dưỡng, hộ sinh, kỹ thuật y</v>
      </c>
      <c r="Z476" s="16"/>
      <c r="AA476" s="27" t="str">
        <f>IFERROR(VLOOKUP(A476,'[3]DS UPLOAD 2026 (2)'!$A$2:$P$1111,16,0),"")</f>
        <v/>
      </c>
      <c r="AB476" s="27" t="s">
        <v>2348</v>
      </c>
      <c r="AC476" s="28"/>
    </row>
    <row r="477" spans="1:29" ht="18" customHeight="1" x14ac:dyDescent="0.3">
      <c r="A477" s="17" t="s">
        <v>2349</v>
      </c>
      <c r="B477" s="18" t="s">
        <v>2350</v>
      </c>
      <c r="C477" s="17" t="s">
        <v>2349</v>
      </c>
      <c r="D477" s="19" t="s">
        <v>38</v>
      </c>
      <c r="E477" s="19" t="s">
        <v>2351</v>
      </c>
      <c r="F477" s="16" t="str">
        <f>VLOOKUP(E477,'[1]BẢNG MÃ'!$A$2:$B$69,2,0)</f>
        <v>TĐ016</v>
      </c>
      <c r="G477" s="20" t="s">
        <v>2345</v>
      </c>
      <c r="H477" s="20" t="s">
        <v>2345</v>
      </c>
      <c r="I477" s="16" t="s">
        <v>2294</v>
      </c>
      <c r="J477" s="16" t="str">
        <f>VLOOKUP(I477,'[1]BẢNG MÃ'!$C$2:$D$69,2,0)</f>
        <v>KP021</v>
      </c>
      <c r="K477" s="16" t="s">
        <v>43</v>
      </c>
      <c r="L477" s="16">
        <v>0</v>
      </c>
      <c r="M477" s="16" t="s">
        <v>33</v>
      </c>
      <c r="N477" s="21">
        <f ca="1">VLOOKUP(A477,'[1]Bieu 1a'!$A$8:$AW$855,10,0)</f>
        <v>56</v>
      </c>
      <c r="O477" s="22">
        <f>VLOOKUP(A477,'[1]Bieu 1a'!$A$8:$AW$855,8,0)</f>
        <v>0</v>
      </c>
      <c r="P477" s="22">
        <f>VLOOKUP(A477,'[1]Bieu 1a'!$A$8:$AW$855,9,0)</f>
        <v>25487</v>
      </c>
      <c r="Q477" s="23" t="s">
        <v>50</v>
      </c>
      <c r="R477" s="24" t="str">
        <f>VLOOKUP(A477,'[1]Bieu 1a'!$A$8:$AW$855,23,0)</f>
        <v>12/4/1994</v>
      </c>
      <c r="S477" s="25" t="s">
        <v>2352</v>
      </c>
      <c r="T477" s="26" t="s">
        <v>2329</v>
      </c>
      <c r="U477" s="16"/>
      <c r="V477" s="16" t="str">
        <f>IFERROR(VLOOKUP(A477,'[2]19.6.2026'!$A$9:$L$1111,5,0),"")</f>
        <v>000896/LS-CCHN</v>
      </c>
      <c r="W477" s="16" t="str">
        <f>IFERROR(VLOOKUP(A477,'[2]19.6.2026'!$A$9:$L$1111,6,0),"")</f>
        <v>24/06/2013</v>
      </c>
      <c r="X477" s="16"/>
      <c r="Y477" s="21" t="str">
        <f>IFERROR(VLOOKUP(A477,'[2]19.6.2026'!$A$9:$L$1111,7,0),"")</f>
        <v>Theo quy định tại Thông tư số 23/2009/TT-BYT ngày 01/12/2009 của Bộ Y tế ban hành tiêu chuẩn nghiệp vụ các ngạch viên chức kỹ thuật y học</v>
      </c>
      <c r="Z477" s="16"/>
      <c r="AA477" s="27" t="str">
        <f>IFERROR(VLOOKUP(A477,'[3]DS UPLOAD 2026 (2)'!$A$2:$P$1111,16,0),"")</f>
        <v/>
      </c>
      <c r="AB477" s="27" t="s">
        <v>2353</v>
      </c>
      <c r="AC477" s="28"/>
    </row>
    <row r="478" spans="1:29" ht="18" customHeight="1" x14ac:dyDescent="0.3">
      <c r="A478" s="17" t="s">
        <v>2354</v>
      </c>
      <c r="B478" s="18" t="s">
        <v>2355</v>
      </c>
      <c r="C478" s="17" t="s">
        <v>2354</v>
      </c>
      <c r="D478" s="19"/>
      <c r="E478" s="118" t="s">
        <v>2344</v>
      </c>
      <c r="F478" s="16" t="str">
        <f>VLOOKUP(E478,'[1]BẢNG MÃ'!$A$2:$B$69,2,0)</f>
        <v>TĐ015</v>
      </c>
      <c r="G478" s="20" t="s">
        <v>2345</v>
      </c>
      <c r="H478" s="20" t="s">
        <v>2345</v>
      </c>
      <c r="I478" s="16" t="s">
        <v>2294</v>
      </c>
      <c r="J478" s="16" t="str">
        <f>VLOOKUP(I478,'[1]BẢNG MÃ'!$C$2:$D$69,2,0)</f>
        <v>KP021</v>
      </c>
      <c r="K478" s="16" t="s">
        <v>43</v>
      </c>
      <c r="L478" s="16">
        <v>0</v>
      </c>
      <c r="M478" s="16" t="s">
        <v>33</v>
      </c>
      <c r="N478" s="21">
        <f ca="1">VLOOKUP(A478,'[1]Bieu 1a'!$A$8:$AW$855,10,0)</f>
        <v>40</v>
      </c>
      <c r="O478" s="22" t="str">
        <f>VLOOKUP(A478,'[1]Bieu 1a'!$A$8:$AW$855,8,0)</f>
        <v>13/12/1985</v>
      </c>
      <c r="P478" s="22">
        <f>VLOOKUP(A478,'[1]Bieu 1a'!$A$8:$AW$855,9,0)</f>
        <v>0</v>
      </c>
      <c r="Q478" s="23" t="s">
        <v>50</v>
      </c>
      <c r="R478" s="24" t="str">
        <f>VLOOKUP(A478,'[1]Bieu 1a'!$A$8:$AW$855,23,0)</f>
        <v>06/01/2014</v>
      </c>
      <c r="S478" s="25" t="s">
        <v>2356</v>
      </c>
      <c r="T478" s="26" t="s">
        <v>2357</v>
      </c>
      <c r="U478" s="16"/>
      <c r="V478" s="16" t="str">
        <f>IFERROR(VLOOKUP(A478,'[2]19.6.2026'!$A$9:$L$1111,5,0),"")</f>
        <v>000398/LS-CCHN</v>
      </c>
      <c r="W478" s="16" t="str">
        <f>IFERROR(VLOOKUP(A478,'[2]19.6.2026'!$A$9:$L$1111,6,0),"")</f>
        <v>11/01/2023</v>
      </c>
      <c r="X478" s="16"/>
      <c r="Y478" s="21" t="str">
        <f>IFERROR(VLOOKUP(A478,'[2]19.6.2026'!$A$9:$L$1111,7,0),"")</f>
        <v>Thực hiện phạm vi hoạt động chuyên môn theo Thông tư số 26/2015/TTLT-BYT-BNV ngày 07/10/2015 quy định  mã số, tiêu chuẩn chức danh nghề nghiệp, điều dưỡng, hộ sinh, kỹ thuật y</v>
      </c>
      <c r="Z478" s="16"/>
      <c r="AA478" s="27" t="str">
        <f>IFERROR(VLOOKUP(A478,'[3]DS UPLOAD 2026 (2)'!$A$2:$P$1111,16,0),"")</f>
        <v/>
      </c>
      <c r="AB478" s="27" t="s">
        <v>2358</v>
      </c>
      <c r="AC478" s="28"/>
    </row>
    <row r="479" spans="1:29" ht="18" customHeight="1" x14ac:dyDescent="0.3">
      <c r="A479" s="17" t="s">
        <v>2359</v>
      </c>
      <c r="B479" s="36" t="s">
        <v>2360</v>
      </c>
      <c r="C479" s="17" t="s">
        <v>2359</v>
      </c>
      <c r="D479" s="16"/>
      <c r="E479" s="19" t="s">
        <v>2351</v>
      </c>
      <c r="F479" s="16" t="str">
        <f>VLOOKUP(E479,'[1]BẢNG MÃ'!$A$2:$B$69,2,0)</f>
        <v>TĐ016</v>
      </c>
      <c r="G479" s="20"/>
      <c r="H479" s="20" t="s">
        <v>2345</v>
      </c>
      <c r="I479" s="16" t="s">
        <v>2294</v>
      </c>
      <c r="J479" s="16" t="str">
        <f>VLOOKUP(I479,'[1]BẢNG MÃ'!$C$2:$D$69,2,0)</f>
        <v>KP021</v>
      </c>
      <c r="K479" s="16"/>
      <c r="L479" s="16"/>
      <c r="M479" s="16" t="s">
        <v>136</v>
      </c>
      <c r="N479" s="21">
        <f ca="1">VLOOKUP(A479,'[1]Bieu 1a'!$A$8:$AW$855,10,0)</f>
        <v>37</v>
      </c>
      <c r="O479" s="22">
        <f>VLOOKUP(A479,'[1]Bieu 1a'!$A$8:$AW$855,8,0)</f>
        <v>32686</v>
      </c>
      <c r="P479" s="22">
        <f>VLOOKUP(A479,'[1]Bieu 1a'!$A$8:$AW$855,9,0)</f>
        <v>0</v>
      </c>
      <c r="Q479" s="23" t="s">
        <v>44</v>
      </c>
      <c r="R479" s="24" t="str">
        <f>VLOOKUP(A479,'[1]Bieu 1a'!$A$8:$AW$855,23,0)</f>
        <v>1/11/2013</v>
      </c>
      <c r="S479" s="25" t="s">
        <v>2361</v>
      </c>
      <c r="T479" s="26" t="s">
        <v>2362</v>
      </c>
      <c r="U479" s="16"/>
      <c r="V479" s="16" t="str">
        <f>IFERROR(VLOOKUP(A479,'[2]19.6.2026'!$A$9:$L$1111,5,0),"")</f>
        <v>004544/LS-CCHN</v>
      </c>
      <c r="W479" s="16" t="str">
        <f>IFERROR(VLOOKUP(A479,'[2]19.6.2026'!$A$9:$L$1111,6,0),"")</f>
        <v>12/05/2022</v>
      </c>
      <c r="X479" s="16"/>
      <c r="Y479" s="21" t="str">
        <f>IFERROR(VLOOKUP(A479,'[2]19.6.2026'!$A$9:$L$1111,7,0),"")</f>
        <v>Kỹ thuật viên Vật lý trị liệu - Phục hồi chức năng</v>
      </c>
      <c r="Z479" s="16"/>
      <c r="AA479" s="27" t="str">
        <f>IFERROR(VLOOKUP(A479,'[3]DS UPLOAD 2026 (2)'!$A$2:$P$1111,16,0),"")</f>
        <v/>
      </c>
      <c r="AB479" s="27">
        <v>822862866</v>
      </c>
      <c r="AC479" s="28"/>
    </row>
    <row r="480" spans="1:29" ht="18" customHeight="1" x14ac:dyDescent="0.3">
      <c r="A480" s="17" t="s">
        <v>2363</v>
      </c>
      <c r="B480" s="119" t="s">
        <v>2364</v>
      </c>
      <c r="C480" s="17" t="s">
        <v>2363</v>
      </c>
      <c r="D480" s="19" t="s">
        <v>38</v>
      </c>
      <c r="E480" s="19" t="s">
        <v>128</v>
      </c>
      <c r="F480" s="16" t="str">
        <f>VLOOKUP(E480,'[1]BẢNG MÃ'!$A$2:$B$69,2,0)</f>
        <v>TĐ047</v>
      </c>
      <c r="G480" s="20"/>
      <c r="H480" s="19" t="s">
        <v>128</v>
      </c>
      <c r="I480" s="16" t="s">
        <v>2294</v>
      </c>
      <c r="J480" s="16" t="str">
        <f>VLOOKUP(I480,'[1]BẢNG MÃ'!$C$2:$D$69,2,0)</f>
        <v>KP021</v>
      </c>
      <c r="K480" s="37"/>
      <c r="L480" s="16"/>
      <c r="M480" s="16" t="s">
        <v>136</v>
      </c>
      <c r="N480" s="21">
        <f ca="1">VLOOKUP(A480,'[1]Bieu 1a'!$A$8:$AW$855,10,0)</f>
        <v>36</v>
      </c>
      <c r="O480" s="22">
        <f>VLOOKUP(A480,'[1]Bieu 1a'!$A$8:$AW$855,8,0)</f>
        <v>0</v>
      </c>
      <c r="P480" s="22" t="str">
        <f>VLOOKUP(A480,'[1]Bieu 1a'!$A$8:$AW$855,9,0)</f>
        <v>28/06/1990</v>
      </c>
      <c r="Q480" s="23" t="s">
        <v>50</v>
      </c>
      <c r="R480" s="24" t="str">
        <f>VLOOKUP(A480,'[1]Bieu 1a'!$A$8:$AW$855,23,0)</f>
        <v>01/11/2018</v>
      </c>
      <c r="S480" s="25" t="s">
        <v>2365</v>
      </c>
      <c r="T480" s="26" t="s">
        <v>2366</v>
      </c>
      <c r="U480" s="22"/>
      <c r="V480" s="16" t="str">
        <f>IFERROR(VLOOKUP(A480,'[2]19.6.2026'!$A$9:$L$1111,5,0),"")</f>
        <v/>
      </c>
      <c r="W480" s="16" t="str">
        <f>IFERROR(VLOOKUP(A480,'[2]19.6.2026'!$A$9:$L$1111,6,0),"")</f>
        <v/>
      </c>
      <c r="X480" s="16"/>
      <c r="Y480" s="21" t="str">
        <f>IFERROR(VLOOKUP(A480,'[2]19.6.2026'!$A$9:$L$1111,7,0),"")</f>
        <v/>
      </c>
      <c r="Z480" s="16"/>
      <c r="AA480" s="27" t="str">
        <f>IFERROR(VLOOKUP(A480,'[3]DS UPLOAD 2026 (2)'!$A$2:$P$1111,16,0),"")</f>
        <v/>
      </c>
      <c r="AB480" s="27">
        <v>383266348</v>
      </c>
      <c r="AC480" s="28" t="s">
        <v>1404</v>
      </c>
    </row>
    <row r="481" spans="1:29" ht="18" customHeight="1" x14ac:dyDescent="0.3">
      <c r="A481" s="17" t="s">
        <v>2367</v>
      </c>
      <c r="B481" s="18" t="s">
        <v>2368</v>
      </c>
      <c r="C481" s="17" t="s">
        <v>2367</v>
      </c>
      <c r="D481" s="19" t="s">
        <v>38</v>
      </c>
      <c r="E481" s="16" t="s">
        <v>160</v>
      </c>
      <c r="F481" s="16" t="str">
        <f>VLOOKUP(E481,'[1]BẢNG MÃ'!$A$2:$B$69,2,0)</f>
        <v>TĐ003</v>
      </c>
      <c r="G481" s="20" t="s">
        <v>161</v>
      </c>
      <c r="H481" s="20" t="s">
        <v>161</v>
      </c>
      <c r="I481" s="16" t="s">
        <v>748</v>
      </c>
      <c r="J481" s="16" t="str">
        <f>VLOOKUP(I481,'[1]BẢNG MÃ'!$C$2:$D$69,2,0)</f>
        <v>KP022</v>
      </c>
      <c r="K481" s="16" t="s">
        <v>31</v>
      </c>
      <c r="L481" s="16" t="s">
        <v>2299</v>
      </c>
      <c r="M481" s="16" t="s">
        <v>33</v>
      </c>
      <c r="N481" s="21">
        <f ca="1">VLOOKUP(A481,'[1]Bieu 1a'!$A$8:$AW$855,10,0)</f>
        <v>48</v>
      </c>
      <c r="O481" s="22">
        <f>VLOOKUP(A481,'[1]Bieu 1a'!$A$8:$AW$855,8,0)</f>
        <v>0</v>
      </c>
      <c r="P481" s="22">
        <f>VLOOKUP(A481,'[1]Bieu 1a'!$A$8:$AW$855,9,0)</f>
        <v>28424</v>
      </c>
      <c r="Q481" s="23" t="s">
        <v>50</v>
      </c>
      <c r="R481" s="24" t="str">
        <f>VLOOKUP(A481,'[1]Bieu 1a'!$A$8:$AW$855,23,0)</f>
        <v>01/01/2003</v>
      </c>
      <c r="S481" s="25" t="s">
        <v>2369</v>
      </c>
      <c r="T481" s="26" t="s">
        <v>2370</v>
      </c>
      <c r="U481" s="16"/>
      <c r="V481" s="16" t="str">
        <f>IFERROR(VLOOKUP(A481,'[2]19.6.2026'!$A$9:$L$1111,5,0),"")</f>
        <v>000238/LS-CCHN</v>
      </c>
      <c r="W481" s="16" t="str">
        <f>IFERROR(VLOOKUP(A481,'[2]19.6.2026'!$A$9:$L$1111,6,0),"")</f>
        <v>20/12/2012</v>
      </c>
      <c r="X481" s="16"/>
      <c r="Y481" s="21" t="str">
        <f>IFERROR(VLOOKUP(A481,'[2]19.6.2026'!$A$9:$L$1111,7,0),"")</f>
        <v>Khám bệnh, chữa bệnh chuyên khoa Tai mũi họng</v>
      </c>
      <c r="Z481" s="16"/>
      <c r="AA481" s="27" t="str">
        <f>IFERROR(VLOOKUP(A481,'[3]DS UPLOAD 2026 (2)'!$A$2:$P$1111,16,0),"")</f>
        <v/>
      </c>
      <c r="AB481" s="27">
        <v>919164866</v>
      </c>
      <c r="AC481" s="28"/>
    </row>
    <row r="482" spans="1:29" ht="18" customHeight="1" x14ac:dyDescent="0.3">
      <c r="A482" s="17" t="s">
        <v>2371</v>
      </c>
      <c r="B482" s="18" t="s">
        <v>1519</v>
      </c>
      <c r="C482" s="17" t="s">
        <v>2371</v>
      </c>
      <c r="D482" s="19"/>
      <c r="E482" s="16" t="s">
        <v>160</v>
      </c>
      <c r="F482" s="16" t="str">
        <f>VLOOKUP(E482,'[1]BẢNG MÃ'!$A$2:$B$69,2,0)</f>
        <v>TĐ003</v>
      </c>
      <c r="G482" s="20" t="s">
        <v>161</v>
      </c>
      <c r="H482" s="20" t="s">
        <v>161</v>
      </c>
      <c r="I482" s="16" t="s">
        <v>748</v>
      </c>
      <c r="J482" s="16" t="str">
        <f>VLOOKUP(I482,'[1]BẢNG MÃ'!$C$2:$D$69,2,0)</f>
        <v>KP022</v>
      </c>
      <c r="K482" s="16" t="s">
        <v>31</v>
      </c>
      <c r="L482" s="16" t="s">
        <v>154</v>
      </c>
      <c r="M482" s="16" t="s">
        <v>33</v>
      </c>
      <c r="N482" s="21">
        <f ca="1">VLOOKUP(A482,'[1]Bieu 1a'!$A$8:$AW$855,10,0)</f>
        <v>38</v>
      </c>
      <c r="O482" s="22">
        <f>VLOOKUP(A482,'[1]Bieu 1a'!$A$8:$AW$855,8,0)</f>
        <v>32005</v>
      </c>
      <c r="P482" s="22">
        <f>VLOOKUP(A482,'[1]Bieu 1a'!$A$8:$AW$855,9,0)</f>
        <v>0</v>
      </c>
      <c r="Q482" s="23" t="s">
        <v>34</v>
      </c>
      <c r="R482" s="24" t="str">
        <f>VLOOKUP(A482,'[1]Bieu 1a'!$A$8:$AW$855,23,0)</f>
        <v>10/8/2012</v>
      </c>
      <c r="S482" s="25" t="s">
        <v>2372</v>
      </c>
      <c r="T482" s="26" t="s">
        <v>2373</v>
      </c>
      <c r="U482" s="16"/>
      <c r="V482" s="16" t="str">
        <f>IFERROR(VLOOKUP(A482,'[2]19.6.2026'!$A$9:$L$1111,5,0),"")</f>
        <v>000350/LS-CCHN</v>
      </c>
      <c r="W482" s="16" t="str">
        <f>IFERROR(VLOOKUP(A482,'[2]19.6.2026'!$A$9:$L$1111,6,0),"")</f>
        <v>14/04/2016</v>
      </c>
      <c r="X482" s="16"/>
      <c r="Y482" s="21" t="str">
        <f>IFERROR(VLOOKUP(A482,'[2]19.6.2026'!$A$9:$L$1111,7,0),"")</f>
        <v>Khám bệnh, chữa bệnh chuyên khoa Tai mũi họng</v>
      </c>
      <c r="Z482" s="16"/>
      <c r="AA482" s="27" t="str">
        <f>IFERROR(VLOOKUP(A482,'[3]DS UPLOAD 2026 (2)'!$A$2:$P$1111,16,0),"")</f>
        <v/>
      </c>
      <c r="AB482" s="27" t="s">
        <v>2374</v>
      </c>
      <c r="AC482" s="29"/>
    </row>
    <row r="483" spans="1:29" ht="18" customHeight="1" x14ac:dyDescent="0.3">
      <c r="A483" s="17" t="s">
        <v>2375</v>
      </c>
      <c r="B483" s="40" t="s">
        <v>2376</v>
      </c>
      <c r="C483" s="17" t="s">
        <v>2375</v>
      </c>
      <c r="D483" s="19" t="s">
        <v>38</v>
      </c>
      <c r="E483" s="19" t="s">
        <v>173</v>
      </c>
      <c r="F483" s="16" t="str">
        <f>VLOOKUP(E483,'[1]BẢNG MÃ'!$A$2:$B$69,2,0)</f>
        <v>TĐ005</v>
      </c>
      <c r="G483" s="20" t="s">
        <v>161</v>
      </c>
      <c r="H483" s="20" t="s">
        <v>161</v>
      </c>
      <c r="I483" s="16" t="s">
        <v>748</v>
      </c>
      <c r="J483" s="16" t="str">
        <f>VLOOKUP(I483,'[1]BẢNG MÃ'!$C$2:$D$69,2,0)</f>
        <v>KP022</v>
      </c>
      <c r="K483" s="16" t="s">
        <v>43</v>
      </c>
      <c r="L483" s="16">
        <v>0</v>
      </c>
      <c r="M483" s="16" t="s">
        <v>33</v>
      </c>
      <c r="N483" s="21">
        <f ca="1">VLOOKUP(A483,'[1]Bieu 1a'!$A$8:$AW$855,10,0)</f>
        <v>38</v>
      </c>
      <c r="O483" s="22">
        <f>VLOOKUP(A483,'[1]Bieu 1a'!$A$8:$AW$855,8,0)</f>
        <v>0</v>
      </c>
      <c r="P483" s="22">
        <f>VLOOKUP(A483,'[1]Bieu 1a'!$A$8:$AW$855,9,0)</f>
        <v>32302</v>
      </c>
      <c r="Q483" s="23" t="s">
        <v>34</v>
      </c>
      <c r="R483" s="24" t="str">
        <f>VLOOKUP(A483,'[1]Bieu 1a'!$A$8:$AW$855,23,0)</f>
        <v>1/11/2014</v>
      </c>
      <c r="S483" s="25" t="s">
        <v>2377</v>
      </c>
      <c r="T483" s="26" t="s">
        <v>2378</v>
      </c>
      <c r="U483" s="16"/>
      <c r="V483" s="16" t="str">
        <f>IFERROR(VLOOKUP(A483,'[2]19.6.2026'!$A$9:$L$1111,5,0),"")</f>
        <v>003409/LS-CCHN</v>
      </c>
      <c r="W483" s="16" t="str">
        <f>IFERROR(VLOOKUP(A483,'[2]19.6.2026'!$A$9:$L$1111,6,0),"")</f>
        <v>21/12/2018</v>
      </c>
      <c r="X483" s="16"/>
      <c r="Y483" s="21" t="str">
        <f>IFERROR(VLOOKUP(A483,'[2]19.6.2026'!$A$9:$L$1111,7,0),"")</f>
        <v>Khám bệnh, chữa bệnh chuyên khoa Tai mũi họng</v>
      </c>
      <c r="Z483" s="16"/>
      <c r="AA483" s="27" t="str">
        <f>IFERROR(VLOOKUP(A483,'[3]DS UPLOAD 2026 (2)'!$A$2:$P$1111,16,0),"")</f>
        <v/>
      </c>
      <c r="AB483" s="27" t="s">
        <v>2379</v>
      </c>
      <c r="AC483" s="29"/>
    </row>
    <row r="484" spans="1:29" ht="18" customHeight="1" x14ac:dyDescent="0.3">
      <c r="A484" s="17" t="s">
        <v>2380</v>
      </c>
      <c r="B484" s="18" t="s">
        <v>2381</v>
      </c>
      <c r="C484" s="17" t="s">
        <v>2380</v>
      </c>
      <c r="D484" s="19"/>
      <c r="E484" s="19" t="s">
        <v>173</v>
      </c>
      <c r="F484" s="16" t="str">
        <f>VLOOKUP(E484,'[1]BẢNG MÃ'!$A$2:$B$69,2,0)</f>
        <v>TĐ005</v>
      </c>
      <c r="G484" s="20"/>
      <c r="H484" s="23" t="s">
        <v>161</v>
      </c>
      <c r="I484" s="16" t="s">
        <v>748</v>
      </c>
      <c r="J484" s="16" t="str">
        <f>VLOOKUP(I484,'[1]BẢNG MÃ'!$C$2:$D$69,2,0)</f>
        <v>KP022</v>
      </c>
      <c r="K484" s="16"/>
      <c r="L484" s="16"/>
      <c r="M484" s="23" t="s">
        <v>33</v>
      </c>
      <c r="N484" s="21">
        <f ca="1">VLOOKUP(A484,'[1]Bieu 1a'!$A$8:$AW$855,10,0)</f>
        <v>33</v>
      </c>
      <c r="O484" s="22" t="str">
        <f>VLOOKUP(A484,'[1]Bieu 1a'!$A$8:$AW$855,8,0)</f>
        <v>23/2/1993</v>
      </c>
      <c r="P484" s="22">
        <f>VLOOKUP(A484,'[1]Bieu 1a'!$A$8:$AW$855,9,0)</f>
        <v>0</v>
      </c>
      <c r="Q484" s="23" t="s">
        <v>50</v>
      </c>
      <c r="R484" s="24" t="str">
        <f>VLOOKUP(A484,'[1]Bieu 1a'!$A$8:$AW$855,23,0)</f>
        <v>15/8/2019</v>
      </c>
      <c r="S484" s="25" t="s">
        <v>2382</v>
      </c>
      <c r="T484" s="26" t="s">
        <v>2383</v>
      </c>
      <c r="U484" s="16"/>
      <c r="V484" s="16" t="str">
        <f>IFERROR(VLOOKUP(A484,'[2]19.6.2026'!$A$9:$L$1111,5,0),"")</f>
        <v>004364/LS-CCHN</v>
      </c>
      <c r="W484" s="16" t="str">
        <f>IFERROR(VLOOKUP(A484,'[2]19.6.2026'!$A$9:$L$1111,6,0),"")</f>
        <v>07/10/2021</v>
      </c>
      <c r="X484" s="16"/>
      <c r="Y484" s="21" t="str">
        <f>IFERROR(VLOOKUP(A484,'[2]19.6.2026'!$A$9:$L$1111,7,0),"")</f>
        <v>Khám bệnh, chữa bệnh chuyên khoa Tai mũi họng</v>
      </c>
      <c r="Z484" s="16"/>
      <c r="AA484" s="27" t="str">
        <f>IFERROR(VLOOKUP(A484,'[3]DS UPLOAD 2026 (2)'!$A$2:$P$1111,16,0),"")</f>
        <v/>
      </c>
      <c r="AB484" s="41">
        <v>972681914</v>
      </c>
      <c r="AC484" s="29" t="s">
        <v>732</v>
      </c>
    </row>
    <row r="485" spans="1:29" ht="18" customHeight="1" x14ac:dyDescent="0.3">
      <c r="A485" s="17" t="s">
        <v>2384</v>
      </c>
      <c r="B485" s="18" t="s">
        <v>2385</v>
      </c>
      <c r="C485" s="17" t="s">
        <v>2384</v>
      </c>
      <c r="D485" s="19" t="s">
        <v>38</v>
      </c>
      <c r="E485" s="19" t="s">
        <v>173</v>
      </c>
      <c r="F485" s="16" t="str">
        <f>VLOOKUP(E485,'[1]BẢNG MÃ'!$A$2:$B$69,2,0)</f>
        <v>TĐ005</v>
      </c>
      <c r="G485" s="60"/>
      <c r="H485" s="23" t="s">
        <v>161</v>
      </c>
      <c r="I485" s="16" t="s">
        <v>748</v>
      </c>
      <c r="J485" s="16" t="str">
        <f>VLOOKUP(I485,'[1]BẢNG MÃ'!$C$2:$D$69,2,0)</f>
        <v>KP022</v>
      </c>
      <c r="K485" s="16"/>
      <c r="L485" s="16"/>
      <c r="M485" s="16" t="s">
        <v>33</v>
      </c>
      <c r="N485" s="21">
        <f ca="1">VLOOKUP(A485,'[1]Bieu 1a'!$A$8:$AW$855,10,0)</f>
        <v>28</v>
      </c>
      <c r="O485" s="22">
        <f>VLOOKUP(A485,'[1]Bieu 1a'!$A$8:$AW$855,8,0)</f>
        <v>0</v>
      </c>
      <c r="P485" s="22" t="str">
        <f>VLOOKUP(A485,'[1]Bieu 1a'!$A$8:$AW$855,9,0)</f>
        <v>25/02/1998</v>
      </c>
      <c r="Q485" s="23" t="s">
        <v>44</v>
      </c>
      <c r="R485" s="24">
        <f>VLOOKUP(A485,'[1]Bieu 1a'!$A$8:$AW$855,23,0)</f>
        <v>45030</v>
      </c>
      <c r="S485" s="25" t="s">
        <v>2386</v>
      </c>
      <c r="T485" s="26">
        <v>0</v>
      </c>
      <c r="U485" s="67">
        <f>EDATE(R485,18)</f>
        <v>45579</v>
      </c>
      <c r="V485" s="16" t="str">
        <f>IFERROR(VLOOKUP(A485,'[2]19.6.2026'!$A$9:$L$1111,5,0),"")</f>
        <v>000210/LS-GPHN</v>
      </c>
      <c r="W485" s="16">
        <f>IFERROR(VLOOKUP(A485,'[2]19.6.2026'!$A$9:$L$1111,6,0),"")</f>
        <v>45708</v>
      </c>
      <c r="X485" s="16"/>
      <c r="Y485" s="21" t="str">
        <f>IFERROR(VLOOKUP(A485,'[2]19.6.2026'!$A$9:$L$1111,7,0),"")</f>
        <v>Chuyên khoa Ngoại khoa</v>
      </c>
      <c r="Z485" s="16"/>
      <c r="AA485" s="27" t="str">
        <f>IFERROR(VLOOKUP(A485,'[3]DS UPLOAD 2026 (2)'!$A$2:$P$1111,16,0),"")</f>
        <v/>
      </c>
      <c r="AB485" s="27" t="s">
        <v>2387</v>
      </c>
      <c r="AC485" s="29" t="s">
        <v>560</v>
      </c>
    </row>
    <row r="486" spans="1:29" ht="18" customHeight="1" x14ac:dyDescent="0.3">
      <c r="A486" s="17" t="s">
        <v>2388</v>
      </c>
      <c r="B486" s="18" t="s">
        <v>2389</v>
      </c>
      <c r="C486" s="17" t="s">
        <v>2388</v>
      </c>
      <c r="D486" s="19" t="s">
        <v>38</v>
      </c>
      <c r="E486" s="19" t="s">
        <v>41</v>
      </c>
      <c r="F486" s="16" t="str">
        <f>VLOOKUP(E486,'[1]BẢNG MÃ'!$A$2:$B$69,2,0)</f>
        <v>TĐ011</v>
      </c>
      <c r="G486" s="20" t="s">
        <v>42</v>
      </c>
      <c r="H486" s="20" t="s">
        <v>42</v>
      </c>
      <c r="I486" s="16" t="s">
        <v>748</v>
      </c>
      <c r="J486" s="16" t="str">
        <f>VLOOKUP(I486,'[1]BẢNG MÃ'!$C$2:$D$69,2,0)</f>
        <v>KP022</v>
      </c>
      <c r="K486" s="16" t="s">
        <v>31</v>
      </c>
      <c r="L486" s="16" t="s">
        <v>201</v>
      </c>
      <c r="M486" s="16" t="s">
        <v>33</v>
      </c>
      <c r="N486" s="21">
        <f ca="1">VLOOKUP(A486,'[1]Bieu 1a'!$A$8:$AW$855,10,0)</f>
        <v>57</v>
      </c>
      <c r="O486" s="22">
        <f>VLOOKUP(A486,'[1]Bieu 1a'!$A$8:$AW$855,8,0)</f>
        <v>0</v>
      </c>
      <c r="P486" s="22">
        <f>VLOOKUP(A486,'[1]Bieu 1a'!$A$8:$AW$855,9,0)</f>
        <v>25389</v>
      </c>
      <c r="Q486" s="23" t="s">
        <v>50</v>
      </c>
      <c r="R486" s="24" t="str">
        <f>VLOOKUP(A486,'[1]Bieu 1a'!$A$8:$AW$855,23,0)</f>
        <v>1/1/2003</v>
      </c>
      <c r="S486" s="25" t="s">
        <v>2390</v>
      </c>
      <c r="T486" s="26" t="s">
        <v>2391</v>
      </c>
      <c r="U486" s="16"/>
      <c r="V486" s="16" t="str">
        <f>IFERROR(VLOOKUP(A486,'[2]19.6.2026'!$A$9:$L$1111,5,0),"")</f>
        <v>000993/LS-CCHN</v>
      </c>
      <c r="W486" s="16" t="str">
        <f>IFERROR(VLOOKUP(A486,'[2]19.6.2026'!$A$9:$L$1111,6,0),"")</f>
        <v>24/06/2013</v>
      </c>
      <c r="X486" s="16"/>
      <c r="Y486" s="21" t="str">
        <f>IFERROR(VLOOKUP(A486,'[2]19.6.2026'!$A$9:$L$1111,7,0),"")</f>
        <v>Theo quy định tại Quyết định số 41/2005/QĐ-BNV ngày 22/4/2005 của Bộ trưởng Bộ Nội vụ về việc ban hành tiêu chuẩn nghiệp vụ các ngạch viên chức y tế điều dưỡng</v>
      </c>
      <c r="Z486" s="16"/>
      <c r="AA486" s="27" t="str">
        <f>IFERROR(VLOOKUP(A486,'[3]DS UPLOAD 2026 (2)'!$A$2:$P$1111,16,0),"")</f>
        <v/>
      </c>
      <c r="AB486" s="27">
        <v>919502133</v>
      </c>
      <c r="AC486" s="76"/>
    </row>
    <row r="487" spans="1:29" ht="18" customHeight="1" x14ac:dyDescent="0.3">
      <c r="A487" s="17" t="s">
        <v>2392</v>
      </c>
      <c r="B487" s="18" t="s">
        <v>2393</v>
      </c>
      <c r="C487" s="17" t="s">
        <v>2392</v>
      </c>
      <c r="D487" s="19" t="s">
        <v>38</v>
      </c>
      <c r="E487" s="30" t="s">
        <v>41</v>
      </c>
      <c r="F487" s="16" t="str">
        <f>VLOOKUP(E487,'[1]BẢNG MÃ'!$A$2:$B$69,2,0)</f>
        <v>TĐ011</v>
      </c>
      <c r="G487" s="31" t="s">
        <v>42</v>
      </c>
      <c r="H487" s="31" t="s">
        <v>42</v>
      </c>
      <c r="I487" s="16" t="s">
        <v>748</v>
      </c>
      <c r="J487" s="16" t="str">
        <f>VLOOKUP(I487,'[1]BẢNG MÃ'!$C$2:$D$69,2,0)</f>
        <v>KP022</v>
      </c>
      <c r="K487" s="16" t="s">
        <v>43</v>
      </c>
      <c r="L487" s="16">
        <v>0</v>
      </c>
      <c r="M487" s="16" t="s">
        <v>33</v>
      </c>
      <c r="N487" s="21">
        <f ca="1">VLOOKUP(A487,'[1]Bieu 1a'!$A$8:$AW$855,10,0)</f>
        <v>44</v>
      </c>
      <c r="O487" s="22">
        <f>VLOOKUP(A487,'[1]Bieu 1a'!$A$8:$AW$855,8,0)</f>
        <v>0</v>
      </c>
      <c r="P487" s="22">
        <f>VLOOKUP(A487,'[1]Bieu 1a'!$A$8:$AW$855,9,0)</f>
        <v>29828</v>
      </c>
      <c r="Q487" s="23" t="s">
        <v>50</v>
      </c>
      <c r="R487" s="24" t="str">
        <f>VLOOKUP(A487,'[1]Bieu 1a'!$A$8:$AW$855,23,0)</f>
        <v>7/11/2006</v>
      </c>
      <c r="S487" s="25" t="s">
        <v>2394</v>
      </c>
      <c r="T487" s="26" t="s">
        <v>2395</v>
      </c>
      <c r="U487" s="16"/>
      <c r="V487" s="16" t="str">
        <f>IFERROR(VLOOKUP(A487,'[2]19.6.2026'!$A$9:$L$1111,5,0),"")</f>
        <v>000997/LS-CCHN</v>
      </c>
      <c r="W487" s="16" t="str">
        <f>IFERROR(VLOOKUP(A487,'[2]19.6.2026'!$A$9:$L$1111,6,0),"")</f>
        <v>11/12/2022</v>
      </c>
      <c r="X487" s="16"/>
      <c r="Y487" s="21" t="str">
        <f>IFERROR(VLOOKUP(A487,'[2]19.6.2026'!$A$9:$L$1111,7,0),"")</f>
        <v>Thực hiện phạm vi hoạt động chuyên môn theo quy định tại Thông tư số 26/2015/TTLT-BYT-BNV ngày 07/10/2015 quy định mã số, tiêu chuẩn chức danh nghề nghiệp điều dưỡng, hộ sinh, kỹ thuật y</v>
      </c>
      <c r="Z487" s="16"/>
      <c r="AA487" s="27" t="str">
        <f>IFERROR(VLOOKUP(A487,'[3]DS UPLOAD 2026 (2)'!$A$2:$P$1111,16,0),"")</f>
        <v/>
      </c>
      <c r="AB487" s="27" t="s">
        <v>2396</v>
      </c>
      <c r="AC487" s="28"/>
    </row>
    <row r="488" spans="1:29" ht="18" customHeight="1" x14ac:dyDescent="0.3">
      <c r="A488" s="17" t="s">
        <v>2397</v>
      </c>
      <c r="B488" s="18" t="s">
        <v>2398</v>
      </c>
      <c r="C488" s="17" t="s">
        <v>2397</v>
      </c>
      <c r="D488" s="19" t="s">
        <v>38</v>
      </c>
      <c r="E488" s="30" t="s">
        <v>41</v>
      </c>
      <c r="F488" s="16" t="str">
        <f>VLOOKUP(E488,'[1]BẢNG MÃ'!$A$2:$B$69,2,0)</f>
        <v>TĐ011</v>
      </c>
      <c r="G488" s="31" t="s">
        <v>42</v>
      </c>
      <c r="H488" s="31" t="s">
        <v>42</v>
      </c>
      <c r="I488" s="16" t="s">
        <v>748</v>
      </c>
      <c r="J488" s="16" t="str">
        <f>VLOOKUP(I488,'[1]BẢNG MÃ'!$C$2:$D$69,2,0)</f>
        <v>KP022</v>
      </c>
      <c r="K488" s="16" t="s">
        <v>43</v>
      </c>
      <c r="L488" s="16">
        <v>0</v>
      </c>
      <c r="M488" s="16" t="s">
        <v>33</v>
      </c>
      <c r="N488" s="21">
        <f ca="1">VLOOKUP(A488,'[1]Bieu 1a'!$A$8:$AW$855,10,0)</f>
        <v>40</v>
      </c>
      <c r="O488" s="22">
        <f>VLOOKUP(A488,'[1]Bieu 1a'!$A$8:$AW$855,8,0)</f>
        <v>0</v>
      </c>
      <c r="P488" s="22">
        <f>VLOOKUP(A488,'[1]Bieu 1a'!$A$8:$AW$855,9,0)</f>
        <v>31558</v>
      </c>
      <c r="Q488" s="23" t="s">
        <v>50</v>
      </c>
      <c r="R488" s="24" t="str">
        <f>VLOOKUP(A488,'[1]Bieu 1a'!$A$8:$AW$855,23,0)</f>
        <v>1/12/2010</v>
      </c>
      <c r="S488" s="25" t="s">
        <v>2399</v>
      </c>
      <c r="T488" s="26" t="s">
        <v>2400</v>
      </c>
      <c r="U488" s="16"/>
      <c r="V488" s="16" t="str">
        <f>IFERROR(VLOOKUP(A488,'[2]19.6.2026'!$A$9:$L$1111,5,0),"")</f>
        <v>000919/LS-CCHN</v>
      </c>
      <c r="W488" s="16" t="str">
        <f>IFERROR(VLOOKUP(A488,'[2]19.6.2026'!$A$9:$L$1111,6,0),"")</f>
        <v>11/01/2023</v>
      </c>
      <c r="X488" s="16"/>
      <c r="Y488" s="21" t="str">
        <f>IFERROR(VLOOKUP(A488,'[2]19.6.2026'!$A$9:$L$1111,7,0),"")</f>
        <v>Thực hiện phạm vi hoạt động chuyên môn theo Thông tư số 26/2015/TTLT-BYT-BNV ngày 07/10/2015 quy định  mã số, tiêu chuẩn chức danh nghề nghiệp, điều dưỡng, hộ sinh, kỹ thuật y</v>
      </c>
      <c r="Z488" s="16"/>
      <c r="AA488" s="27" t="str">
        <f>IFERROR(VLOOKUP(A488,'[3]DS UPLOAD 2026 (2)'!$A$2:$P$1111,16,0),"")</f>
        <v/>
      </c>
      <c r="AB488" s="27" t="s">
        <v>2401</v>
      </c>
      <c r="AC488" s="28" t="s">
        <v>518</v>
      </c>
    </row>
    <row r="489" spans="1:29" ht="18" customHeight="1" x14ac:dyDescent="0.3">
      <c r="A489" s="17" t="s">
        <v>2402</v>
      </c>
      <c r="B489" s="18" t="s">
        <v>2403</v>
      </c>
      <c r="C489" s="17" t="s">
        <v>2402</v>
      </c>
      <c r="D489" s="19" t="s">
        <v>38</v>
      </c>
      <c r="E489" s="19" t="s">
        <v>61</v>
      </c>
      <c r="F489" s="16" t="str">
        <f>VLOOKUP(E489,'[1]BẢNG MÃ'!$A$2:$B$69,2,0)</f>
        <v>TĐ012</v>
      </c>
      <c r="G489" s="20" t="s">
        <v>62</v>
      </c>
      <c r="H489" s="20" t="s">
        <v>62</v>
      </c>
      <c r="I489" s="16" t="s">
        <v>748</v>
      </c>
      <c r="J489" s="16" t="str">
        <f>VLOOKUP(I489,'[1]BẢNG MÃ'!$C$2:$D$69,2,0)</f>
        <v>KP022</v>
      </c>
      <c r="K489" s="16" t="s">
        <v>43</v>
      </c>
      <c r="L489" s="16">
        <v>0</v>
      </c>
      <c r="M489" s="16" t="s">
        <v>33</v>
      </c>
      <c r="N489" s="21">
        <f ca="1">VLOOKUP(A489,'[1]Bieu 1a'!$A$8:$AW$855,10,0)</f>
        <v>38</v>
      </c>
      <c r="O489" s="22">
        <f>VLOOKUP(A489,'[1]Bieu 1a'!$A$8:$AW$855,8,0)</f>
        <v>0</v>
      </c>
      <c r="P489" s="22">
        <f>VLOOKUP(A489,'[1]Bieu 1a'!$A$8:$AW$855,9,0)</f>
        <v>31984</v>
      </c>
      <c r="Q489" s="23" t="s">
        <v>44</v>
      </c>
      <c r="R489" s="24" t="str">
        <f>VLOOKUP(A489,'[1]Bieu 1a'!$A$8:$AW$855,23,0)</f>
        <v>1/12/2008</v>
      </c>
      <c r="S489" s="25" t="s">
        <v>2404</v>
      </c>
      <c r="T489" s="26" t="s">
        <v>2405</v>
      </c>
      <c r="U489" s="16"/>
      <c r="V489" s="16" t="str">
        <f>IFERROR(VLOOKUP(A489,'[2]19.6.2026'!$A$9:$L$1111,5,0),"")</f>
        <v>001001/LS-CCHN</v>
      </c>
      <c r="W489" s="16" t="str">
        <f>IFERROR(VLOOKUP(A489,'[2]19.6.2026'!$A$9:$L$1111,6,0),"")</f>
        <v>11/01/2023</v>
      </c>
      <c r="X489" s="16"/>
      <c r="Y489" s="21" t="str">
        <f>IFERROR(VLOOKUP(A489,'[2]19.6.2026'!$A$9:$L$1111,7,0),"")</f>
        <v>Thực hiện phạm vi hoạt động chuyên môn theo Thông tư số 26/2015/TTLT-BYT-BNV ngày 07/10/2015 quy định  mã số, tiêu chuẩn chức danh nghề nghiệp, điều dưỡng, hộ sinh, kỹ thuật y</v>
      </c>
      <c r="Z489" s="16"/>
      <c r="AA489" s="27" t="str">
        <f>IFERROR(VLOOKUP(A489,'[3]DS UPLOAD 2026 (2)'!$A$2:$P$1111,16,0),"")</f>
        <v/>
      </c>
      <c r="AB489" s="27" t="s">
        <v>2406</v>
      </c>
      <c r="AC489" s="28"/>
    </row>
    <row r="490" spans="1:29" ht="18" customHeight="1" x14ac:dyDescent="0.3">
      <c r="A490" s="17" t="s">
        <v>2407</v>
      </c>
      <c r="B490" s="18" t="s">
        <v>2408</v>
      </c>
      <c r="C490" s="17" t="s">
        <v>2407</v>
      </c>
      <c r="D490" s="19" t="s">
        <v>38</v>
      </c>
      <c r="E490" s="19" t="s">
        <v>61</v>
      </c>
      <c r="F490" s="16" t="str">
        <f>VLOOKUP(E490,'[1]BẢNG MÃ'!$A$2:$B$69,2,0)</f>
        <v>TĐ012</v>
      </c>
      <c r="G490" s="20" t="s">
        <v>62</v>
      </c>
      <c r="H490" s="20" t="s">
        <v>62</v>
      </c>
      <c r="I490" s="16" t="s">
        <v>748</v>
      </c>
      <c r="J490" s="16" t="str">
        <f>VLOOKUP(I490,'[1]BẢNG MÃ'!$C$2:$D$69,2,0)</f>
        <v>KP022</v>
      </c>
      <c r="K490" s="16" t="s">
        <v>43</v>
      </c>
      <c r="L490" s="16">
        <v>0</v>
      </c>
      <c r="M490" s="16" t="s">
        <v>33</v>
      </c>
      <c r="N490" s="21">
        <f ca="1">VLOOKUP(A490,'[1]Bieu 1a'!$A$8:$AW$855,10,0)</f>
        <v>40</v>
      </c>
      <c r="O490" s="22">
        <f>VLOOKUP(A490,'[1]Bieu 1a'!$A$8:$AW$855,8,0)</f>
        <v>0</v>
      </c>
      <c r="P490" s="22">
        <f>VLOOKUP(A490,'[1]Bieu 1a'!$A$8:$AW$855,9,0)</f>
        <v>31374</v>
      </c>
      <c r="Q490" s="23" t="s">
        <v>50</v>
      </c>
      <c r="R490" s="24" t="str">
        <f>VLOOKUP(A490,'[1]Bieu 1a'!$A$8:$AW$855,23,0)</f>
        <v>8/12/2008</v>
      </c>
      <c r="S490" s="25" t="s">
        <v>2409</v>
      </c>
      <c r="T490" s="26" t="s">
        <v>2410</v>
      </c>
      <c r="U490" s="16"/>
      <c r="V490" s="16" t="str">
        <f>IFERROR(VLOOKUP(A490,'[2]19.6.2026'!$A$9:$L$1111,5,0),"")</f>
        <v>000748/LS-CCHN</v>
      </c>
      <c r="W490" s="16" t="str">
        <f>IFERROR(VLOOKUP(A490,'[2]19.6.2026'!$A$9:$L$1111,6,0),"")</f>
        <v>11/01/2023</v>
      </c>
      <c r="X490" s="16"/>
      <c r="Y490" s="21" t="str">
        <f>IFERROR(VLOOKUP(A490,'[2]19.6.2026'!$A$9:$L$1111,7,0),"")</f>
        <v>Thực hiện phạm vi hoạt động chuyên môn theo Thông tư số 26/2015/TTLT-BYT-BNV ngày 07/10/2015 quy định  mã số, tiêu chuẩn chức danh nghề nghiệp, điều dưỡng, hộ sinh, kỹ thuật y</v>
      </c>
      <c r="Z490" s="16"/>
      <c r="AA490" s="27" t="str">
        <f>IFERROR(VLOOKUP(A490,'[3]DS UPLOAD 2026 (2)'!$A$2:$P$1111,16,0),"")</f>
        <v/>
      </c>
      <c r="AB490" s="27"/>
      <c r="AC490" s="36"/>
    </row>
    <row r="491" spans="1:29" ht="18" customHeight="1" x14ac:dyDescent="0.3">
      <c r="A491" s="17" t="s">
        <v>2411</v>
      </c>
      <c r="B491" s="29" t="s">
        <v>2412</v>
      </c>
      <c r="C491" s="17" t="s">
        <v>2411</v>
      </c>
      <c r="D491" s="19" t="s">
        <v>38</v>
      </c>
      <c r="E491" s="19" t="s">
        <v>61</v>
      </c>
      <c r="F491" s="16" t="str">
        <f>VLOOKUP(E491,'[1]BẢNG MÃ'!$A$2:$B$69,2,0)</f>
        <v>TĐ012</v>
      </c>
      <c r="G491" s="20" t="s">
        <v>62</v>
      </c>
      <c r="H491" s="20" t="s">
        <v>62</v>
      </c>
      <c r="I491" s="16" t="s">
        <v>748</v>
      </c>
      <c r="J491" s="16" t="str">
        <f>VLOOKUP(I491,'[1]BẢNG MÃ'!$C$2:$D$69,2,0)</f>
        <v>KP022</v>
      </c>
      <c r="K491" s="16" t="s">
        <v>43</v>
      </c>
      <c r="L491" s="16">
        <v>0</v>
      </c>
      <c r="M491" s="16" t="s">
        <v>33</v>
      </c>
      <c r="N491" s="21">
        <f ca="1">VLOOKUP(A491,'[1]Bieu 1a'!$A$8:$AW$855,10,0)</f>
        <v>56</v>
      </c>
      <c r="O491" s="22">
        <f>VLOOKUP(A491,'[1]Bieu 1a'!$A$8:$AW$855,8,0)</f>
        <v>0</v>
      </c>
      <c r="P491" s="22">
        <f>VLOOKUP(A491,'[1]Bieu 1a'!$A$8:$AW$855,9,0)</f>
        <v>25542</v>
      </c>
      <c r="Q491" s="23" t="s">
        <v>34</v>
      </c>
      <c r="R491" s="24" t="str">
        <f>VLOOKUP(A491,'[1]Bieu 1a'!$A$8:$AW$855,23,0)</f>
        <v>1/7/2005</v>
      </c>
      <c r="S491" s="25" t="s">
        <v>2413</v>
      </c>
      <c r="T491" s="26" t="s">
        <v>2105</v>
      </c>
      <c r="U491" s="16"/>
      <c r="V491" s="16" t="str">
        <f>IFERROR(VLOOKUP(A491,'[2]19.6.2026'!$A$9:$L$1111,5,0),"")</f>
        <v>000999/LS-CCHN</v>
      </c>
      <c r="W491" s="16" t="str">
        <f>IFERROR(VLOOKUP(A491,'[2]19.6.2026'!$A$9:$L$1111,6,0),"")</f>
        <v>11/01/2023</v>
      </c>
      <c r="X491" s="16"/>
      <c r="Y491" s="21" t="str">
        <f>IFERROR(VLOOKUP(A491,'[2]19.6.2026'!$A$9:$L$1111,7,0),"")</f>
        <v>Thực hiện phạm vi hoạt động chuyên môn theo Thông tư số 26/2015/TTLT-BYT-BNV ngày 07/10/2015 quy định  mã số, tiêu chuẩn chức danh nghề nghiệp, điều dưỡng, hộ sinh, kỹ thuật y</v>
      </c>
      <c r="Z491" s="16"/>
      <c r="AA491" s="27" t="str">
        <f>IFERROR(VLOOKUP(A491,'[3]DS UPLOAD 2026 (2)'!$A$2:$P$1111,16,0),"")</f>
        <v/>
      </c>
      <c r="AB491" s="27" t="s">
        <v>2414</v>
      </c>
      <c r="AC491" s="28"/>
    </row>
    <row r="492" spans="1:29" ht="18" customHeight="1" x14ac:dyDescent="0.3">
      <c r="A492" s="17" t="s">
        <v>2415</v>
      </c>
      <c r="B492" s="18" t="s">
        <v>2416</v>
      </c>
      <c r="C492" s="17" t="s">
        <v>2415</v>
      </c>
      <c r="D492" s="19" t="s">
        <v>38</v>
      </c>
      <c r="E492" s="19" t="s">
        <v>61</v>
      </c>
      <c r="F492" s="16" t="str">
        <f>VLOOKUP(E492,'[1]BẢNG MÃ'!$A$2:$B$69,2,0)</f>
        <v>TĐ012</v>
      </c>
      <c r="G492" s="20" t="s">
        <v>62</v>
      </c>
      <c r="H492" s="20" t="s">
        <v>62</v>
      </c>
      <c r="I492" s="16" t="s">
        <v>748</v>
      </c>
      <c r="J492" s="16" t="str">
        <f>VLOOKUP(I492,'[1]BẢNG MÃ'!$C$2:$D$69,2,0)</f>
        <v>KP022</v>
      </c>
      <c r="K492" s="16" t="s">
        <v>43</v>
      </c>
      <c r="L492" s="16">
        <v>0</v>
      </c>
      <c r="M492" s="16" t="s">
        <v>33</v>
      </c>
      <c r="N492" s="21">
        <f ca="1">VLOOKUP(A492,'[1]Bieu 1a'!$A$8:$AW$855,10,0)</f>
        <v>44</v>
      </c>
      <c r="O492" s="22">
        <f>VLOOKUP(A492,'[1]Bieu 1a'!$A$8:$AW$855,8,0)</f>
        <v>0</v>
      </c>
      <c r="P492" s="22">
        <f>VLOOKUP(A492,'[1]Bieu 1a'!$A$8:$AW$855,9,0)</f>
        <v>30014</v>
      </c>
      <c r="Q492" s="23" t="s">
        <v>50</v>
      </c>
      <c r="R492" s="24" t="str">
        <f>VLOOKUP(A492,'[1]Bieu 1a'!$A$8:$AW$855,23,0)</f>
        <v>7/11/2006</v>
      </c>
      <c r="S492" s="25" t="s">
        <v>2417</v>
      </c>
      <c r="T492" s="26" t="s">
        <v>2418</v>
      </c>
      <c r="U492" s="16"/>
      <c r="V492" s="16" t="str">
        <f>IFERROR(VLOOKUP(A492,'[2]19.6.2026'!$A$9:$L$1111,5,0),"")</f>
        <v>000998/LS-CCHN</v>
      </c>
      <c r="W492" s="16" t="str">
        <f>IFERROR(VLOOKUP(A492,'[2]19.6.2026'!$A$9:$L$1111,6,0),"")</f>
        <v>11/12/2022</v>
      </c>
      <c r="X492" s="16"/>
      <c r="Y492" s="21" t="str">
        <f>IFERROR(VLOOKUP(A492,'[2]19.6.2026'!$A$9:$L$1111,7,0),"")</f>
        <v>Thực hiện phạm vi hoạt động chuyên môn theo quy định tại Thông tư số 26/2015/TTLT-BYT-BNV ngày 07/10/2015 quy định mã số, tiêu chuẩn chức danh nghề nghiệp điều dưỡng, hộ sinh, kỹ thuật y</v>
      </c>
      <c r="Z492" s="16"/>
      <c r="AA492" s="27" t="str">
        <f>IFERROR(VLOOKUP(A492,'[3]DS UPLOAD 2026 (2)'!$A$2:$P$1111,16,0),"")</f>
        <v/>
      </c>
      <c r="AB492" s="27" t="s">
        <v>2419</v>
      </c>
      <c r="AC492" s="28"/>
    </row>
    <row r="493" spans="1:29" ht="18" customHeight="1" x14ac:dyDescent="0.3">
      <c r="A493" s="17" t="s">
        <v>2420</v>
      </c>
      <c r="B493" s="18" t="s">
        <v>2421</v>
      </c>
      <c r="C493" s="17" t="s">
        <v>2420</v>
      </c>
      <c r="D493" s="19"/>
      <c r="E493" s="19" t="s">
        <v>28</v>
      </c>
      <c r="F493" s="16" t="str">
        <f>VLOOKUP(E493,'[1]BẢNG MÃ'!$A$2:$B$69,2,0)</f>
        <v>TĐ001</v>
      </c>
      <c r="G493" s="20" t="s">
        <v>29</v>
      </c>
      <c r="H493" s="20" t="s">
        <v>29</v>
      </c>
      <c r="I493" s="16" t="s">
        <v>1231</v>
      </c>
      <c r="J493" s="16" t="str">
        <f>VLOOKUP(I493,'[1]BẢNG MÃ'!$C$2:$D$69,2,0)</f>
        <v>KP023</v>
      </c>
      <c r="K493" s="16" t="s">
        <v>31</v>
      </c>
      <c r="L493" s="16" t="s">
        <v>148</v>
      </c>
      <c r="M493" s="16" t="s">
        <v>33</v>
      </c>
      <c r="N493" s="21">
        <f ca="1">VLOOKUP(A493,'[1]Bieu 1a'!$A$8:$AW$855,10,0)</f>
        <v>55</v>
      </c>
      <c r="O493" s="22">
        <f>VLOOKUP(A493,'[1]Bieu 1a'!$A$8:$AW$855,8,0)</f>
        <v>25776</v>
      </c>
      <c r="P493" s="22" t="str">
        <f>VLOOKUP(A493,'[1]Bieu 1a'!$A$8:$AW$855,9,0)</f>
        <v xml:space="preserve">   </v>
      </c>
      <c r="Q493" s="23" t="s">
        <v>34</v>
      </c>
      <c r="R493" s="24" t="str">
        <f>VLOOKUP(A493,'[1]Bieu 1a'!$A$8:$AW$855,23,0)</f>
        <v>10/1/1996</v>
      </c>
      <c r="S493" s="25" t="s">
        <v>2422</v>
      </c>
      <c r="T493" s="26" t="s">
        <v>2423</v>
      </c>
      <c r="U493" s="16"/>
      <c r="V493" s="16" t="str">
        <f>IFERROR(VLOOKUP(A493,'[2]19.6.2026'!$A$9:$L$1111,5,0),"")</f>
        <v>000013/LS-CCHN</v>
      </c>
      <c r="W493" s="16" t="str">
        <f>IFERROR(VLOOKUP(A493,'[2]19.6.2026'!$A$9:$L$1111,6,0),"")</f>
        <v>11/01/2023</v>
      </c>
      <c r="X493" s="16"/>
      <c r="Y493" s="21" t="str">
        <f>IFERROR(VLOOKUP(A493,'[2]19.6.2026'!$A$9:$L$1111,7,0),"")</f>
        <v>Khám chữa bệnh chuyên khoa Mắt</v>
      </c>
      <c r="Z493" s="16"/>
      <c r="AA493" s="27" t="str">
        <f>IFERROR(VLOOKUP(A493,'[3]DS UPLOAD 2026 (2)'!$A$2:$P$1111,16,0),"")</f>
        <v/>
      </c>
      <c r="AB493" s="16">
        <v>912191666</v>
      </c>
      <c r="AC493" s="29"/>
    </row>
    <row r="494" spans="1:29" ht="18" customHeight="1" x14ac:dyDescent="0.3">
      <c r="A494" s="17" t="s">
        <v>2424</v>
      </c>
      <c r="B494" s="18" t="s">
        <v>2425</v>
      </c>
      <c r="C494" s="17" t="s">
        <v>2424</v>
      </c>
      <c r="D494" s="19"/>
      <c r="E494" s="19" t="s">
        <v>28</v>
      </c>
      <c r="F494" s="16" t="str">
        <f>VLOOKUP(E494,'[1]BẢNG MÃ'!$A$2:$B$69,2,0)</f>
        <v>TĐ001</v>
      </c>
      <c r="G494" s="20" t="s">
        <v>29</v>
      </c>
      <c r="H494" s="20" t="s">
        <v>29</v>
      </c>
      <c r="I494" s="16" t="s">
        <v>1231</v>
      </c>
      <c r="J494" s="16" t="str">
        <f>VLOOKUP(I494,'[1]BẢNG MÃ'!$C$2:$D$69,2,0)</f>
        <v>KP023</v>
      </c>
      <c r="K494" s="16" t="s">
        <v>31</v>
      </c>
      <c r="L494" s="16" t="s">
        <v>154</v>
      </c>
      <c r="M494" s="16" t="s">
        <v>33</v>
      </c>
      <c r="N494" s="21">
        <f ca="1">VLOOKUP(A494,'[1]Bieu 1a'!$A$8:$AW$855,10,0)</f>
        <v>48</v>
      </c>
      <c r="O494" s="22">
        <f>VLOOKUP(A494,'[1]Bieu 1a'!$A$8:$AW$855,8,0)</f>
        <v>28390</v>
      </c>
      <c r="P494" s="22">
        <f>VLOOKUP(A494,'[1]Bieu 1a'!$A$8:$AW$855,9,0)</f>
        <v>0</v>
      </c>
      <c r="Q494" s="23" t="s">
        <v>50</v>
      </c>
      <c r="R494" s="24" t="str">
        <f>VLOOKUP(A494,'[1]Bieu 1a'!$A$8:$AW$855,23,0)</f>
        <v>1/1/2003</v>
      </c>
      <c r="S494" s="25" t="s">
        <v>2426</v>
      </c>
      <c r="T494" s="26" t="s">
        <v>2427</v>
      </c>
      <c r="U494" s="16"/>
      <c r="V494" s="16" t="str">
        <f>IFERROR(VLOOKUP(A494,'[2]19.6.2026'!$A$9:$L$1111,5,0),"")</f>
        <v>000014/LS-CCHN</v>
      </c>
      <c r="W494" s="16" t="str">
        <f>IFERROR(VLOOKUP(A494,'[2]19.6.2026'!$A$9:$L$1111,6,0),"")</f>
        <v>11/01/2023</v>
      </c>
      <c r="X494" s="16"/>
      <c r="Y494" s="21" t="str">
        <f>IFERROR(VLOOKUP(A494,'[2]19.6.2026'!$A$9:$L$1111,7,0),"")</f>
        <v>Khám chữa bệnh chuyên khoa Mắt</v>
      </c>
      <c r="Z494" s="16"/>
      <c r="AA494" s="27" t="str">
        <f>IFERROR(VLOOKUP(A494,'[3]DS UPLOAD 2026 (2)'!$A$2:$P$1111,16,0),"")</f>
        <v/>
      </c>
      <c r="AB494" s="16">
        <v>982289829</v>
      </c>
      <c r="AC494" s="29"/>
    </row>
    <row r="495" spans="1:29" ht="18" customHeight="1" x14ac:dyDescent="0.3">
      <c r="A495" s="17" t="s">
        <v>2428</v>
      </c>
      <c r="B495" s="18" t="s">
        <v>2429</v>
      </c>
      <c r="C495" s="17" t="s">
        <v>2428</v>
      </c>
      <c r="D495" s="19"/>
      <c r="E495" s="16" t="s">
        <v>160</v>
      </c>
      <c r="F495" s="16" t="str">
        <f>VLOOKUP(E495,'[1]BẢNG MÃ'!$A$2:$B$69,2,0)</f>
        <v>TĐ003</v>
      </c>
      <c r="G495" s="20" t="s">
        <v>29</v>
      </c>
      <c r="H495" s="20" t="s">
        <v>29</v>
      </c>
      <c r="I495" s="16" t="s">
        <v>1231</v>
      </c>
      <c r="J495" s="16" t="str">
        <f>VLOOKUP(I495,'[1]BẢNG MÃ'!$C$2:$D$69,2,0)</f>
        <v>KP023</v>
      </c>
      <c r="K495" s="16" t="s">
        <v>43</v>
      </c>
      <c r="L495" s="16">
        <v>0</v>
      </c>
      <c r="M495" s="16" t="s">
        <v>33</v>
      </c>
      <c r="N495" s="21">
        <f ca="1">VLOOKUP(A495,'[1]Bieu 1a'!$A$8:$AW$855,10,0)</f>
        <v>60</v>
      </c>
      <c r="O495" s="22">
        <f>VLOOKUP(A495,'[1]Bieu 1a'!$A$8:$AW$855,8,0)</f>
        <v>24149</v>
      </c>
      <c r="P495" s="22">
        <f>VLOOKUP(A495,'[1]Bieu 1a'!$A$8:$AW$855,9,0)</f>
        <v>0</v>
      </c>
      <c r="Q495" s="23" t="s">
        <v>50</v>
      </c>
      <c r="R495" s="24" t="str">
        <f>VLOOKUP(A495,'[1]Bieu 1a'!$A$8:$AW$855,23,0)</f>
        <v>2/1/1992</v>
      </c>
      <c r="S495" s="25" t="s">
        <v>2430</v>
      </c>
      <c r="T495" s="26" t="s">
        <v>1382</v>
      </c>
      <c r="U495" s="16"/>
      <c r="V495" s="16" t="str">
        <f>IFERROR(VLOOKUP(A495,'[2]19.6.2026'!$A$9:$L$1111,5,0),"")</f>
        <v>000012/LS-CCHN</v>
      </c>
      <c r="W495" s="16" t="str">
        <f>IFERROR(VLOOKUP(A495,'[2]19.6.2026'!$A$9:$L$1111,6,0),"")</f>
        <v>11/12/2022</v>
      </c>
      <c r="X495" s="16"/>
      <c r="Y495" s="21" t="str">
        <f>IFERROR(VLOOKUP(A495,'[2]19.6.2026'!$A$9:$L$1111,7,0),"")</f>
        <v>Khám bệnh, chữa bệnh chuyên khoa Mắt</v>
      </c>
      <c r="Z495" s="16"/>
      <c r="AA495" s="27" t="str">
        <f>IFERROR(VLOOKUP(A495,'[3]DS UPLOAD 2026 (2)'!$A$2:$P$1111,16,0),"")</f>
        <v/>
      </c>
      <c r="AB495" s="16">
        <v>912444892</v>
      </c>
      <c r="AC495" s="29"/>
    </row>
    <row r="496" spans="1:29" ht="18" customHeight="1" x14ac:dyDescent="0.3">
      <c r="A496" s="17" t="s">
        <v>2431</v>
      </c>
      <c r="B496" s="120" t="s">
        <v>2432</v>
      </c>
      <c r="C496" s="17" t="s">
        <v>2431</v>
      </c>
      <c r="D496" s="19" t="s">
        <v>38</v>
      </c>
      <c r="E496" s="19" t="s">
        <v>160</v>
      </c>
      <c r="F496" s="16" t="str">
        <f>VLOOKUP(E496,'[1]BẢNG MÃ'!$A$2:$B$69,2,0)</f>
        <v>TĐ003</v>
      </c>
      <c r="G496" s="20" t="s">
        <v>161</v>
      </c>
      <c r="H496" s="20" t="s">
        <v>161</v>
      </c>
      <c r="I496" s="16" t="s">
        <v>1231</v>
      </c>
      <c r="J496" s="16" t="str">
        <f>VLOOKUP(I496,'[1]BẢNG MÃ'!$C$2:$D$69,2,0)</f>
        <v>KP023</v>
      </c>
      <c r="K496" s="16" t="s">
        <v>43</v>
      </c>
      <c r="L496" s="16">
        <v>0</v>
      </c>
      <c r="M496" s="16" t="s">
        <v>33</v>
      </c>
      <c r="N496" s="21">
        <f ca="1">VLOOKUP(A496,'[1]Bieu 1a'!$A$8:$AW$855,10,0)</f>
        <v>39</v>
      </c>
      <c r="O496" s="22">
        <f>VLOOKUP(A496,'[1]Bieu 1a'!$A$8:$AW$855,8,0)</f>
        <v>0</v>
      </c>
      <c r="P496" s="22">
        <f>VLOOKUP(A496,'[1]Bieu 1a'!$A$8:$AW$855,9,0)</f>
        <v>31912</v>
      </c>
      <c r="Q496" s="23" t="s">
        <v>44</v>
      </c>
      <c r="R496" s="24" t="str">
        <f>VLOOKUP(A496,'[1]Bieu 1a'!$A$8:$AW$855,23,0)</f>
        <v>5/6/2013</v>
      </c>
      <c r="S496" s="25" t="s">
        <v>2433</v>
      </c>
      <c r="T496" s="26" t="s">
        <v>2434</v>
      </c>
      <c r="U496" s="16"/>
      <c r="V496" s="16" t="str">
        <f>IFERROR(VLOOKUP(A496,'[2]19.6.2026'!$A$9:$L$1111,5,0),"")</f>
        <v>003073/LS-CCHN</v>
      </c>
      <c r="W496" s="16" t="str">
        <f>IFERROR(VLOOKUP(A496,'[2]19.6.2026'!$A$9:$L$1111,6,0),"")</f>
        <v>07/09/2015</v>
      </c>
      <c r="X496" s="16"/>
      <c r="Y496" s="21" t="str">
        <f>IFERROR(VLOOKUP(A496,'[2]19.6.2026'!$A$9:$L$1111,7,0),"")</f>
        <v>Khám bệnh chữa bệnh đa khoa; chuyên khoa Mắt</v>
      </c>
      <c r="Z496" s="16"/>
      <c r="AA496" s="27" t="str">
        <f>IFERROR(VLOOKUP(A496,'[3]DS UPLOAD 2026 (2)'!$A$2:$P$1111,16,0),"")</f>
        <v/>
      </c>
      <c r="AB496" s="27">
        <v>941956565</v>
      </c>
      <c r="AC496" s="28"/>
    </row>
    <row r="497" spans="1:29" ht="18" customHeight="1" x14ac:dyDescent="0.3">
      <c r="A497" s="17" t="s">
        <v>2435</v>
      </c>
      <c r="B497" s="18" t="s">
        <v>2436</v>
      </c>
      <c r="C497" s="17" t="s">
        <v>2435</v>
      </c>
      <c r="D497" s="19"/>
      <c r="E497" s="19" t="s">
        <v>41</v>
      </c>
      <c r="F497" s="16" t="str">
        <f>VLOOKUP(E497,'[1]BẢNG MÃ'!$A$2:$B$69,2,0)</f>
        <v>TĐ011</v>
      </c>
      <c r="G497" s="20" t="s">
        <v>42</v>
      </c>
      <c r="H497" s="20" t="s">
        <v>42</v>
      </c>
      <c r="I497" s="16" t="s">
        <v>1231</v>
      </c>
      <c r="J497" s="16" t="str">
        <f>VLOOKUP(I497,'[1]BẢNG MÃ'!$C$2:$D$69,2,0)</f>
        <v>KP023</v>
      </c>
      <c r="K497" s="16" t="s">
        <v>43</v>
      </c>
      <c r="L497" s="16">
        <v>0</v>
      </c>
      <c r="M497" s="16" t="s">
        <v>33</v>
      </c>
      <c r="N497" s="21">
        <f ca="1">VLOOKUP(A497,'[1]Bieu 1a'!$A$8:$AW$855,10,0)</f>
        <v>43</v>
      </c>
      <c r="O497" s="22">
        <f>VLOOKUP(A497,'[1]Bieu 1a'!$A$8:$AW$855,8,0)</f>
        <v>30274</v>
      </c>
      <c r="P497" s="22">
        <f>VLOOKUP(A497,'[1]Bieu 1a'!$A$8:$AW$855,9,0)</f>
        <v>0</v>
      </c>
      <c r="Q497" s="23" t="s">
        <v>50</v>
      </c>
      <c r="R497" s="24" t="str">
        <f>VLOOKUP(A497,'[1]Bieu 1a'!$A$8:$AW$855,23,0)</f>
        <v>6/10/2006</v>
      </c>
      <c r="S497" s="25" t="s">
        <v>2437</v>
      </c>
      <c r="T497" s="26" t="s">
        <v>2438</v>
      </c>
      <c r="U497" s="16"/>
      <c r="V497" s="16" t="str">
        <f>IFERROR(VLOOKUP(A497,'[2]19.6.2026'!$A$9:$L$1111,5,0),"")</f>
        <v>002290/LS-CCHN</v>
      </c>
      <c r="W497" s="16" t="str">
        <f>IFERROR(VLOOKUP(A497,'[2]19.6.2026'!$A$9:$L$1111,6,0),"")</f>
        <v>04/04/2014</v>
      </c>
      <c r="X497" s="16"/>
      <c r="Y497" s="21" t="str">
        <f>IFERROR(VLOOKUP(A497,'[2]19.6.2026'!$A$9:$L$1111,7,0),"")</f>
        <v>Chăm sóc người bệnh theo chuyên khoa Mắt</v>
      </c>
      <c r="Z497" s="16"/>
      <c r="AA497" s="27" t="str">
        <f>IFERROR(VLOOKUP(A497,'[3]DS UPLOAD 2026 (2)'!$A$2:$P$1111,16,0),"")</f>
        <v/>
      </c>
      <c r="AB497" s="27">
        <v>985377344</v>
      </c>
      <c r="AC497" s="51"/>
    </row>
    <row r="498" spans="1:29" ht="18" customHeight="1" x14ac:dyDescent="0.3">
      <c r="A498" s="17" t="s">
        <v>2439</v>
      </c>
      <c r="B498" s="18" t="s">
        <v>2440</v>
      </c>
      <c r="C498" s="17" t="s">
        <v>2439</v>
      </c>
      <c r="D498" s="19" t="s">
        <v>38</v>
      </c>
      <c r="E498" s="19" t="s">
        <v>41</v>
      </c>
      <c r="F498" s="16" t="str">
        <f>VLOOKUP(E498,'[1]BẢNG MÃ'!$A$2:$B$69,2,0)</f>
        <v>TĐ011</v>
      </c>
      <c r="G498" s="20" t="s">
        <v>42</v>
      </c>
      <c r="H498" s="20" t="s">
        <v>42</v>
      </c>
      <c r="I498" s="16" t="s">
        <v>1231</v>
      </c>
      <c r="J498" s="16" t="str">
        <f>VLOOKUP(I498,'[1]BẢNG MÃ'!$C$2:$D$69,2,0)</f>
        <v>KP023</v>
      </c>
      <c r="K498" s="16" t="s">
        <v>43</v>
      </c>
      <c r="L498" s="16">
        <v>0</v>
      </c>
      <c r="M498" s="16" t="s">
        <v>33</v>
      </c>
      <c r="N498" s="21">
        <f ca="1">VLOOKUP(A498,'[1]Bieu 1a'!$A$8:$AW$855,10,0)</f>
        <v>36</v>
      </c>
      <c r="O498" s="22">
        <f>VLOOKUP(A498,'[1]Bieu 1a'!$A$8:$AW$855,8,0)</f>
        <v>0</v>
      </c>
      <c r="P498" s="22">
        <f>VLOOKUP(A498,'[1]Bieu 1a'!$A$8:$AW$855,9,0)</f>
        <v>32977</v>
      </c>
      <c r="Q498" s="23" t="s">
        <v>34</v>
      </c>
      <c r="R498" s="24" t="str">
        <f>VLOOKUP(A498,'[1]Bieu 1a'!$A$8:$AW$855,23,0)</f>
        <v>10/6/2013</v>
      </c>
      <c r="S498" s="25" t="s">
        <v>2441</v>
      </c>
      <c r="T498" s="26" t="s">
        <v>2442</v>
      </c>
      <c r="U498" s="16"/>
      <c r="V498" s="16" t="str">
        <f>IFERROR(VLOOKUP(A498,'[2]19.6.2026'!$A$9:$L$1111,5,0),"")</f>
        <v>000454/LS-CCHN</v>
      </c>
      <c r="W498" s="16" t="str">
        <f>IFERROR(VLOOKUP(A498,'[2]19.6.2026'!$A$9:$L$1111,6,0),"")</f>
        <v>24/08/2016</v>
      </c>
      <c r="X498" s="16"/>
      <c r="Y498" s="21" t="str">
        <f>IFERROR(VLOOKUP(A498,'[2]19.6.2026'!$A$9:$L$1111,7,0),"")</f>
        <v>Thực hiện phạm vi hoạt động chuyên môn theo quy định tại Thông tư số 26/2015/TTLT-BYT-BNV ngày 07/10/2015 quy định mã số, tiêu chuẩn chức danh nghề nghiệp điều dưỡng, hộ sinh, kỹ thuật y</v>
      </c>
      <c r="Z498" s="16"/>
      <c r="AA498" s="27" t="str">
        <f>IFERROR(VLOOKUP(A498,'[3]DS UPLOAD 2026 (2)'!$A$2:$P$1111,16,0),"")</f>
        <v/>
      </c>
      <c r="AB498" s="27">
        <v>989703791</v>
      </c>
      <c r="AC498" s="51"/>
    </row>
    <row r="499" spans="1:29" ht="18" customHeight="1" x14ac:dyDescent="0.3">
      <c r="A499" s="17" t="s">
        <v>2443</v>
      </c>
      <c r="B499" s="29" t="s">
        <v>2444</v>
      </c>
      <c r="C499" s="17" t="s">
        <v>2443</v>
      </c>
      <c r="D499" s="19" t="s">
        <v>38</v>
      </c>
      <c r="E499" s="30" t="s">
        <v>41</v>
      </c>
      <c r="F499" s="16" t="str">
        <f>VLOOKUP(E499,'[1]BẢNG MÃ'!$A$2:$B$69,2,0)</f>
        <v>TĐ011</v>
      </c>
      <c r="G499" s="31" t="s">
        <v>42</v>
      </c>
      <c r="H499" s="31" t="s">
        <v>42</v>
      </c>
      <c r="I499" s="16" t="s">
        <v>1231</v>
      </c>
      <c r="J499" s="16" t="str">
        <f>VLOOKUP(I499,'[1]BẢNG MÃ'!$C$2:$D$69,2,0)</f>
        <v>KP023</v>
      </c>
      <c r="K499" s="16" t="s">
        <v>31</v>
      </c>
      <c r="L499" s="16" t="s">
        <v>201</v>
      </c>
      <c r="M499" s="16" t="s">
        <v>33</v>
      </c>
      <c r="N499" s="21">
        <f ca="1">VLOOKUP(A499,'[1]Bieu 1a'!$A$8:$AW$855,10,0)</f>
        <v>37</v>
      </c>
      <c r="O499" s="22">
        <f>VLOOKUP(A499,'[1]Bieu 1a'!$A$8:$AW$855,8,0)</f>
        <v>0</v>
      </c>
      <c r="P499" s="22">
        <f>VLOOKUP(A499,'[1]Bieu 1a'!$A$8:$AW$855,9,0)</f>
        <v>32677</v>
      </c>
      <c r="Q499" s="23" t="s">
        <v>34</v>
      </c>
      <c r="R499" s="24" t="str">
        <f>VLOOKUP(A499,'[1]Bieu 1a'!$A$8:$AW$855,23,0)</f>
        <v>1/12/2010</v>
      </c>
      <c r="S499" s="25" t="s">
        <v>2445</v>
      </c>
      <c r="T499" s="26" t="s">
        <v>2446</v>
      </c>
      <c r="U499" s="16"/>
      <c r="V499" s="16" t="str">
        <f>IFERROR(VLOOKUP(A499,'[2]19.6.2026'!$A$9:$L$1111,5,0),"")</f>
        <v>000868/LS-CCHN</v>
      </c>
      <c r="W499" s="16" t="str">
        <f>IFERROR(VLOOKUP(A499,'[2]19.6.2026'!$A$9:$L$1111,6,0),"")</f>
        <v>11/01/2023</v>
      </c>
      <c r="X499" s="16"/>
      <c r="Y499" s="21" t="str">
        <f>IFERROR(VLOOKUP(A499,'[2]19.6.2026'!$A$9:$L$1111,7,0),"")</f>
        <v>Thực hiện phạm vi hoạt động chuyên môn theo Thông tư số 26/2015/TTLT-BYT-BNV ngày 07/10/2015 quy định  mã số, tiêu chuẩn chức danh nghề nghiệp, điều dưỡng, hộ sinh, kỹ thuật y</v>
      </c>
      <c r="Z499" s="16"/>
      <c r="AA499" s="27" t="str">
        <f>IFERROR(VLOOKUP(A499,'[3]DS UPLOAD 2026 (2)'!$A$2:$P$1111,16,0),"")</f>
        <v/>
      </c>
      <c r="AB499" s="27">
        <v>976043167</v>
      </c>
      <c r="AC499" s="28"/>
    </row>
    <row r="500" spans="1:29" ht="18" customHeight="1" x14ac:dyDescent="0.3">
      <c r="A500" s="17" t="s">
        <v>2447</v>
      </c>
      <c r="B500" s="18" t="s">
        <v>2448</v>
      </c>
      <c r="C500" s="17" t="s">
        <v>2447</v>
      </c>
      <c r="D500" s="19" t="s">
        <v>38</v>
      </c>
      <c r="E500" s="19" t="s">
        <v>61</v>
      </c>
      <c r="F500" s="16" t="str">
        <f>VLOOKUP(E500,'[1]BẢNG MÃ'!$A$2:$B$69,2,0)</f>
        <v>TĐ012</v>
      </c>
      <c r="G500" s="20" t="s">
        <v>62</v>
      </c>
      <c r="H500" s="20" t="s">
        <v>62</v>
      </c>
      <c r="I500" s="16" t="s">
        <v>1231</v>
      </c>
      <c r="J500" s="16" t="str">
        <f>VLOOKUP(I500,'[1]BẢNG MÃ'!$C$2:$D$69,2,0)</f>
        <v>KP023</v>
      </c>
      <c r="K500" s="16" t="s">
        <v>43</v>
      </c>
      <c r="L500" s="16">
        <v>0</v>
      </c>
      <c r="M500" s="16" t="s">
        <v>33</v>
      </c>
      <c r="N500" s="21">
        <f ca="1">VLOOKUP(A500,'[1]Bieu 1a'!$A$8:$AW$855,10,0)</f>
        <v>40</v>
      </c>
      <c r="O500" s="22">
        <f>VLOOKUP(A500,'[1]Bieu 1a'!$A$8:$AW$855,8,0)</f>
        <v>0</v>
      </c>
      <c r="P500" s="22">
        <f>VLOOKUP(A500,'[1]Bieu 1a'!$A$8:$AW$855,9,0)</f>
        <v>31447</v>
      </c>
      <c r="Q500" s="23" t="s">
        <v>50</v>
      </c>
      <c r="R500" s="24" t="str">
        <f>VLOOKUP(A500,'[1]Bieu 1a'!$A$8:$AW$855,23,0)</f>
        <v>14/1/2011</v>
      </c>
      <c r="S500" s="25" t="s">
        <v>2449</v>
      </c>
      <c r="T500" s="26" t="s">
        <v>2450</v>
      </c>
      <c r="U500" s="16"/>
      <c r="V500" s="16" t="str">
        <f>IFERROR(VLOOKUP(A500,'[2]19.6.2026'!$A$9:$L$1111,5,0),"")</f>
        <v>001011/LS-CCHN</v>
      </c>
      <c r="W500" s="16" t="str">
        <f>IFERROR(VLOOKUP(A500,'[2]19.6.2026'!$A$9:$L$1111,6,0),"")</f>
        <v>11/01/2023</v>
      </c>
      <c r="X500" s="16"/>
      <c r="Y500" s="21" t="str">
        <f>IFERROR(VLOOKUP(A500,'[2]19.6.2026'!$A$9:$L$1111,7,0),"")</f>
        <v>Thực hiện phạm vi hoạt động chuyên môn theo Thông tư số 26/2015/TTLT-BYT-BNV ngày 07/10/2015 quy định  mã số, tiêu chuẩn chức danh nghề nghiệp, điều dưỡng, hộ sinh, kỹ thuật y</v>
      </c>
      <c r="Z500" s="16"/>
      <c r="AA500" s="27" t="str">
        <f>IFERROR(VLOOKUP(A500,'[3]DS UPLOAD 2026 (2)'!$A$2:$P$1111,16,0),"")</f>
        <v/>
      </c>
      <c r="AB500" s="27">
        <v>352098157</v>
      </c>
      <c r="AC500" s="28"/>
    </row>
    <row r="501" spans="1:29" ht="18" customHeight="1" x14ac:dyDescent="0.3">
      <c r="A501" s="17" t="s">
        <v>2451</v>
      </c>
      <c r="B501" s="18" t="s">
        <v>2452</v>
      </c>
      <c r="C501" s="17" t="s">
        <v>2451</v>
      </c>
      <c r="D501" s="19" t="s">
        <v>38</v>
      </c>
      <c r="E501" s="19" t="s">
        <v>61</v>
      </c>
      <c r="F501" s="16" t="str">
        <f>VLOOKUP(E501,'[1]BẢNG MÃ'!$A$2:$B$69,2,0)</f>
        <v>TĐ012</v>
      </c>
      <c r="G501" s="20" t="s">
        <v>62</v>
      </c>
      <c r="H501" s="20" t="s">
        <v>62</v>
      </c>
      <c r="I501" s="16" t="s">
        <v>1231</v>
      </c>
      <c r="J501" s="16" t="str">
        <f>VLOOKUP(I501,'[1]BẢNG MÃ'!$C$2:$D$69,2,0)</f>
        <v>KP023</v>
      </c>
      <c r="K501" s="16" t="s">
        <v>43</v>
      </c>
      <c r="L501" s="16">
        <v>0</v>
      </c>
      <c r="M501" s="16" t="s">
        <v>33</v>
      </c>
      <c r="N501" s="21">
        <f ca="1">VLOOKUP(A501,'[1]Bieu 1a'!$A$8:$AW$855,10,0)</f>
        <v>39</v>
      </c>
      <c r="O501" s="22">
        <f>VLOOKUP(A501,'[1]Bieu 1a'!$A$8:$AW$855,8,0)</f>
        <v>0</v>
      </c>
      <c r="P501" s="22">
        <f>VLOOKUP(A501,'[1]Bieu 1a'!$A$8:$AW$855,9,0)</f>
        <v>31686</v>
      </c>
      <c r="Q501" s="23" t="s">
        <v>50</v>
      </c>
      <c r="R501" s="24" t="str">
        <f>VLOOKUP(A501,'[1]Bieu 1a'!$A$8:$AW$855,23,0)</f>
        <v>14/1/2011</v>
      </c>
      <c r="S501" s="25" t="s">
        <v>2453</v>
      </c>
      <c r="T501" s="26" t="s">
        <v>2454</v>
      </c>
      <c r="U501" s="16"/>
      <c r="V501" s="16" t="str">
        <f>IFERROR(VLOOKUP(A501,'[2]19.6.2026'!$A$9:$L$1111,5,0),"")</f>
        <v>001010/LS-CCHN</v>
      </c>
      <c r="W501" s="16" t="str">
        <f>IFERROR(VLOOKUP(A501,'[2]19.6.2026'!$A$9:$L$1111,6,0),"")</f>
        <v>11/01/2023</v>
      </c>
      <c r="X501" s="16"/>
      <c r="Y501" s="21" t="str">
        <f>IFERROR(VLOOKUP(A501,'[2]19.6.2026'!$A$9:$L$1111,7,0),"")</f>
        <v>Thực hiện phạm vi hoạt động chuyên môn theo Thông tư số 26/2015/TTLT-BYT-BNV ngày 07/10/2015 quy định  mã số, tiêu chuẩn chức danh nghề nghiệp, điều dưỡng, hộ sinh, kỹ thuật y</v>
      </c>
      <c r="Z501" s="16"/>
      <c r="AA501" s="27" t="str">
        <f>IFERROR(VLOOKUP(A501,'[3]DS UPLOAD 2026 (2)'!$A$2:$P$1111,16,0),"")</f>
        <v/>
      </c>
      <c r="AB501" s="27" t="s">
        <v>2455</v>
      </c>
      <c r="AC501" s="28"/>
    </row>
    <row r="502" spans="1:29" ht="18" customHeight="1" x14ac:dyDescent="0.3">
      <c r="A502" s="17" t="s">
        <v>2456</v>
      </c>
      <c r="B502" s="18" t="s">
        <v>2457</v>
      </c>
      <c r="C502" s="17" t="s">
        <v>2456</v>
      </c>
      <c r="D502" s="19"/>
      <c r="E502" s="16" t="s">
        <v>160</v>
      </c>
      <c r="F502" s="16" t="str">
        <f>VLOOKUP(E502,'[1]BẢNG MÃ'!$A$2:$B$69,2,0)</f>
        <v>TĐ003</v>
      </c>
      <c r="G502" s="20" t="s">
        <v>29</v>
      </c>
      <c r="H502" s="20" t="s">
        <v>29</v>
      </c>
      <c r="I502" s="16" t="s">
        <v>850</v>
      </c>
      <c r="J502" s="16" t="str">
        <f>VLOOKUP(I502,'[1]BẢNG MÃ'!$C$2:$D$69,2,0)</f>
        <v>KP024</v>
      </c>
      <c r="K502" s="16" t="s">
        <v>31</v>
      </c>
      <c r="L502" s="16" t="s">
        <v>2299</v>
      </c>
      <c r="M502" s="16" t="s">
        <v>33</v>
      </c>
      <c r="N502" s="21">
        <f ca="1">VLOOKUP(A502,'[1]Bieu 1a'!$A$8:$AW$855,10,0)</f>
        <v>60</v>
      </c>
      <c r="O502" s="22">
        <f>VLOOKUP(A502,'[1]Bieu 1a'!$A$8:$AW$855,8,0)</f>
        <v>24237</v>
      </c>
      <c r="P502" s="22">
        <f>VLOOKUP(A502,'[1]Bieu 1a'!$A$8:$AW$855,9,0)</f>
        <v>0</v>
      </c>
      <c r="Q502" s="23" t="s">
        <v>44</v>
      </c>
      <c r="R502" s="24" t="str">
        <f>VLOOKUP(A502,'[1]Bieu 1a'!$A$8:$AW$855,23,0)</f>
        <v>28/4/1990</v>
      </c>
      <c r="S502" s="25" t="s">
        <v>2458</v>
      </c>
      <c r="T502" s="26" t="s">
        <v>2459</v>
      </c>
      <c r="U502" s="16"/>
      <c r="V502" s="16" t="str">
        <f>IFERROR(VLOOKUP(A502,'[2]19.6.2026'!$A$9:$L$1111,5,0),"")</f>
        <v>000009/LS-CCHN</v>
      </c>
      <c r="W502" s="16" t="str">
        <f>IFERROR(VLOOKUP(A502,'[2]19.6.2026'!$A$9:$L$1111,6,0),"")</f>
        <v>11/01/2023</v>
      </c>
      <c r="X502" s="16"/>
      <c r="Y502" s="21" t="str">
        <f>IFERROR(VLOOKUP(A502,'[2]19.6.2026'!$A$9:$L$1111,7,0),"")</f>
        <v>Khám chữa bệnh chuyên khoa Răng Hàm Mặt</v>
      </c>
      <c r="Z502" s="16"/>
      <c r="AA502" s="27" t="str">
        <f>IFERROR(VLOOKUP(A502,'[3]DS UPLOAD 2026 (2)'!$A$2:$P$1111,16,0),"")</f>
        <v/>
      </c>
      <c r="AB502" s="27">
        <v>912190313</v>
      </c>
      <c r="AC502" s="28"/>
    </row>
    <row r="503" spans="1:29" ht="18" customHeight="1" x14ac:dyDescent="0.3">
      <c r="A503" s="17" t="s">
        <v>2460</v>
      </c>
      <c r="B503" s="121" t="s">
        <v>2461</v>
      </c>
      <c r="C503" s="17" t="s">
        <v>2460</v>
      </c>
      <c r="D503" s="37"/>
      <c r="E503" s="19" t="s">
        <v>160</v>
      </c>
      <c r="F503" s="16" t="str">
        <f>VLOOKUP(E503,'[1]BẢNG MÃ'!$A$2:$B$69,2,0)</f>
        <v>TĐ003</v>
      </c>
      <c r="G503" s="20" t="s">
        <v>161</v>
      </c>
      <c r="H503" s="20" t="s">
        <v>161</v>
      </c>
      <c r="I503" s="16" t="s">
        <v>850</v>
      </c>
      <c r="J503" s="16" t="str">
        <f>VLOOKUP(I503,'[1]BẢNG MÃ'!$C$2:$D$69,2,0)</f>
        <v>KP024</v>
      </c>
      <c r="K503" s="16" t="s">
        <v>43</v>
      </c>
      <c r="L503" s="16">
        <v>0</v>
      </c>
      <c r="M503" s="16" t="s">
        <v>33</v>
      </c>
      <c r="N503" s="21">
        <f ca="1">VLOOKUP(A503,'[1]Bieu 1a'!$A$8:$AW$855,10,0)</f>
        <v>38</v>
      </c>
      <c r="O503" s="22" t="str">
        <f>VLOOKUP(A503,'[1]Bieu 1a'!$A$8:$AW$855,8,0)</f>
        <v>20/09/1987</v>
      </c>
      <c r="P503" s="22">
        <f>VLOOKUP(A503,'[1]Bieu 1a'!$A$8:$AW$855,9,0)</f>
        <v>0</v>
      </c>
      <c r="Q503" s="23" t="s">
        <v>50</v>
      </c>
      <c r="R503" s="24" t="str">
        <f>VLOOKUP(A503,'[1]Bieu 1a'!$A$8:$AW$855,23,0)</f>
        <v>05/06/2013</v>
      </c>
      <c r="S503" s="25" t="s">
        <v>2462</v>
      </c>
      <c r="T503" s="26" t="s">
        <v>2463</v>
      </c>
      <c r="U503" s="16"/>
      <c r="V503" s="16" t="str">
        <f>IFERROR(VLOOKUP(A503,'[2]19.6.2026'!$A$9:$L$1111,5,0),"")</f>
        <v>002927/LS-CCHN</v>
      </c>
      <c r="W503" s="16" t="str">
        <f>IFERROR(VLOOKUP(A503,'[2]19.6.2026'!$A$9:$L$1111,6,0),"")</f>
        <v>13/02/2015</v>
      </c>
      <c r="X503" s="16"/>
      <c r="Y503" s="21" t="str">
        <f>IFERROR(VLOOKUP(A503,'[2]19.6.2026'!$A$9:$L$1111,7,0),"")</f>
        <v>Khám bệnh, chữa bệnh chuyên khoa Răng hàm mặt</v>
      </c>
      <c r="Z503" s="16"/>
      <c r="AA503" s="27" t="str">
        <f>IFERROR(VLOOKUP(A503,'[3]DS UPLOAD 2026 (2)'!$A$2:$P$1111,16,0),"")</f>
        <v/>
      </c>
      <c r="AB503" s="27" t="s">
        <v>2464</v>
      </c>
      <c r="AC503" s="28" t="s">
        <v>2465</v>
      </c>
    </row>
    <row r="504" spans="1:29" ht="18" customHeight="1" x14ac:dyDescent="0.3">
      <c r="A504" s="17" t="s">
        <v>2466</v>
      </c>
      <c r="B504" s="59" t="s">
        <v>2467</v>
      </c>
      <c r="C504" s="17" t="s">
        <v>2466</v>
      </c>
      <c r="D504" s="19"/>
      <c r="E504" s="19" t="s">
        <v>173</v>
      </c>
      <c r="F504" s="16" t="str">
        <f>VLOOKUP(E504,'[1]BẢNG MÃ'!$A$2:$B$69,2,0)</f>
        <v>TĐ005</v>
      </c>
      <c r="G504" s="20"/>
      <c r="H504" s="23" t="s">
        <v>161</v>
      </c>
      <c r="I504" s="16" t="s">
        <v>850</v>
      </c>
      <c r="J504" s="16" t="str">
        <f>VLOOKUP(I504,'[1]BẢNG MÃ'!$C$2:$D$69,2,0)</f>
        <v>KP024</v>
      </c>
      <c r="K504" s="16"/>
      <c r="L504" s="16"/>
      <c r="M504" s="23" t="s">
        <v>33</v>
      </c>
      <c r="N504" s="21">
        <f ca="1">VLOOKUP(A504,'[1]Bieu 1a'!$A$8:$AW$855,10,0)</f>
        <v>33</v>
      </c>
      <c r="O504" s="22">
        <f>VLOOKUP(A504,'[1]Bieu 1a'!$A$8:$AW$855,8,0)</f>
        <v>34095</v>
      </c>
      <c r="P504" s="22">
        <f>VLOOKUP(A504,'[1]Bieu 1a'!$A$8:$AW$855,9,0)</f>
        <v>0</v>
      </c>
      <c r="Q504" s="23" t="s">
        <v>50</v>
      </c>
      <c r="R504" s="24" t="str">
        <f>VLOOKUP(A504,'[1]Bieu 1a'!$A$8:$AW$855,23,0)</f>
        <v xml:space="preserve"> 02/10/2017</v>
      </c>
      <c r="S504" s="25" t="s">
        <v>2468</v>
      </c>
      <c r="T504" s="26" t="s">
        <v>2469</v>
      </c>
      <c r="U504" s="16"/>
      <c r="V504" s="16" t="str">
        <f>IFERROR(VLOOKUP(A504,'[2]19.6.2026'!$A$9:$L$1111,5,0),"")</f>
        <v>003605/LS-CCHN</v>
      </c>
      <c r="W504" s="16" t="str">
        <f>IFERROR(VLOOKUP(A504,'[2]19.6.2026'!$A$9:$L$1111,6,0),"")</f>
        <v>21/10/2019</v>
      </c>
      <c r="X504" s="16"/>
      <c r="Y504" s="21" t="str">
        <f>IFERROR(VLOOKUP(A504,'[2]19.6.2026'!$A$9:$L$1111,7,0),"")</f>
        <v>Khám bệnh, chữa bệnh chuyên khoa Răng hàm mặt</v>
      </c>
      <c r="Z504" s="16"/>
      <c r="AA504" s="27" t="str">
        <f>IFERROR(VLOOKUP(A504,'[3]DS UPLOAD 2026 (2)'!$A$2:$P$1111,16,0),"")</f>
        <v/>
      </c>
      <c r="AB504" s="27" t="s">
        <v>2470</v>
      </c>
      <c r="AC504" s="29" t="s">
        <v>681</v>
      </c>
    </row>
    <row r="505" spans="1:29" ht="18" customHeight="1" x14ac:dyDescent="0.3">
      <c r="A505" s="29" t="s">
        <v>2471</v>
      </c>
      <c r="B505" s="18" t="s">
        <v>2472</v>
      </c>
      <c r="C505" s="29" t="s">
        <v>2471</v>
      </c>
      <c r="D505" s="53"/>
      <c r="E505" s="19" t="s">
        <v>173</v>
      </c>
      <c r="F505" s="16" t="str">
        <f>VLOOKUP(E505,'[1]BẢNG MÃ'!$A$2:$B$69,2,0)</f>
        <v>TĐ005</v>
      </c>
      <c r="G505" s="20"/>
      <c r="H505" s="23" t="s">
        <v>161</v>
      </c>
      <c r="I505" s="16" t="s">
        <v>850</v>
      </c>
      <c r="J505" s="16" t="str">
        <f>VLOOKUP(I505,'[1]BẢNG MÃ'!$C$2:$D$69,2,0)</f>
        <v>KP024</v>
      </c>
      <c r="K505" s="16"/>
      <c r="L505" s="16"/>
      <c r="M505" s="23" t="s">
        <v>33</v>
      </c>
      <c r="N505" s="21">
        <f ca="1">VLOOKUP(A505,'[1]Bieu 1a'!$A$8:$AW$855,10,0)</f>
        <v>31</v>
      </c>
      <c r="O505" s="22" t="str">
        <f>VLOOKUP(A505,'[1]Bieu 1a'!$A$8:$AW$855,8,0)</f>
        <v>07/01/1995</v>
      </c>
      <c r="P505" s="22">
        <f>VLOOKUP(A505,'[1]Bieu 1a'!$A$8:$AW$855,9,0)</f>
        <v>0</v>
      </c>
      <c r="Q505" s="23" t="s">
        <v>34</v>
      </c>
      <c r="R505" s="24" t="str">
        <f>VLOOKUP(A505,'[1]Bieu 1a'!$A$8:$AW$855,23,0)</f>
        <v>02/12/2019</v>
      </c>
      <c r="S505" s="25" t="s">
        <v>2473</v>
      </c>
      <c r="T505" s="26">
        <v>0</v>
      </c>
      <c r="U505" s="16"/>
      <c r="V505" s="16" t="str">
        <f>IFERROR(VLOOKUP(A505,'[2]19.6.2026'!$A$9:$L$1111,5,0),"")</f>
        <v>004337/LS-CCHN</v>
      </c>
      <c r="W505" s="16" t="str">
        <f>IFERROR(VLOOKUP(A505,'[2]19.6.2026'!$A$9:$L$1111,6,0),"")</f>
        <v>17/08/2021</v>
      </c>
      <c r="X505" s="16"/>
      <c r="Y505" s="21" t="str">
        <f>IFERROR(VLOOKUP(A505,'[2]19.6.2026'!$A$9:$L$1111,7,0),"")</f>
        <v>Khám bệnh, chữa bệnh chuyên khoa Răng hàm mặt</v>
      </c>
      <c r="Z505" s="16"/>
      <c r="AA505" s="27" t="str">
        <f>IFERROR(VLOOKUP(A505,'[3]DS UPLOAD 2026 (2)'!$A$2:$P$1111,16,0),"")</f>
        <v/>
      </c>
      <c r="AB505" s="27"/>
      <c r="AC505" s="29" t="s">
        <v>327</v>
      </c>
    </row>
    <row r="506" spans="1:29" ht="18" customHeight="1" x14ac:dyDescent="0.3">
      <c r="A506" s="17" t="s">
        <v>2474</v>
      </c>
      <c r="B506" s="38" t="s">
        <v>2475</v>
      </c>
      <c r="C506" s="17" t="s">
        <v>2474</v>
      </c>
      <c r="D506" s="53" t="s">
        <v>38</v>
      </c>
      <c r="E506" s="19" t="s">
        <v>160</v>
      </c>
      <c r="F506" s="16" t="str">
        <f>VLOOKUP(E506,'[1]BẢNG MÃ'!$A$2:$B$69,2,0)</f>
        <v>TĐ003</v>
      </c>
      <c r="G506" s="20" t="s">
        <v>161</v>
      </c>
      <c r="H506" s="20" t="s">
        <v>161</v>
      </c>
      <c r="I506" s="16" t="s">
        <v>850</v>
      </c>
      <c r="J506" s="16" t="str">
        <f>VLOOKUP(I506,'[1]BẢNG MÃ'!$C$2:$D$69,2,0)</f>
        <v>KP024</v>
      </c>
      <c r="K506" s="16" t="s">
        <v>43</v>
      </c>
      <c r="L506" s="16">
        <v>0</v>
      </c>
      <c r="M506" s="16" t="s">
        <v>33</v>
      </c>
      <c r="N506" s="21">
        <f ca="1">VLOOKUP(A506,'[1]Bieu 1a'!$A$8:$AW$855,10,0)</f>
        <v>37</v>
      </c>
      <c r="O506" s="22">
        <f>VLOOKUP(A506,'[1]Bieu 1a'!$A$8:$AW$855,8,0)</f>
        <v>0</v>
      </c>
      <c r="P506" s="22">
        <f>VLOOKUP(A506,'[1]Bieu 1a'!$A$8:$AW$855,9,0)</f>
        <v>32552</v>
      </c>
      <c r="Q506" s="23" t="s">
        <v>50</v>
      </c>
      <c r="R506" s="24" t="str">
        <f>VLOOKUP(A506,'[1]Bieu 1a'!$A$8:$AW$855,23,0)</f>
        <v>10/01/2016</v>
      </c>
      <c r="S506" s="25" t="s">
        <v>2476</v>
      </c>
      <c r="T506" s="26" t="s">
        <v>2477</v>
      </c>
      <c r="U506" s="16"/>
      <c r="V506" s="16" t="str">
        <f>IFERROR(VLOOKUP(A506,'[2]19.6.2026'!$A$9:$L$1111,5,0),"")</f>
        <v>003181/LS-CCHN</v>
      </c>
      <c r="W506" s="16" t="str">
        <f>IFERROR(VLOOKUP(A506,'[2]19.6.2026'!$A$9:$L$1111,6,0),"")</f>
        <v>04/02/2020</v>
      </c>
      <c r="X506" s="16"/>
      <c r="Y506" s="21" t="str">
        <f>IFERROR(VLOOKUP(A506,'[2]19.6.2026'!$A$9:$L$1111,7,0),"")</f>
        <v>Khám bệnh, chữa bệnh chuyên khoa Răng hàm mặt</v>
      </c>
      <c r="Z506" s="16"/>
      <c r="AA506" s="27" t="str">
        <f>IFERROR(VLOOKUP(A506,'[3]DS UPLOAD 2026 (2)'!$A$2:$P$1111,16,0),"")</f>
        <v/>
      </c>
      <c r="AB506" s="50" t="s">
        <v>2478</v>
      </c>
      <c r="AC506" s="29" t="s">
        <v>2479</v>
      </c>
    </row>
    <row r="507" spans="1:29" ht="18" customHeight="1" x14ac:dyDescent="0.3">
      <c r="A507" s="17" t="s">
        <v>2480</v>
      </c>
      <c r="B507" s="18" t="s">
        <v>2481</v>
      </c>
      <c r="C507" s="17" t="s">
        <v>2480</v>
      </c>
      <c r="D507" s="19"/>
      <c r="E507" s="19" t="s">
        <v>173</v>
      </c>
      <c r="F507" s="16" t="str">
        <f>VLOOKUP(E507,'[1]BẢNG MÃ'!$A$2:$B$69,2,0)</f>
        <v>TĐ005</v>
      </c>
      <c r="G507" s="60"/>
      <c r="H507" s="23" t="s">
        <v>161</v>
      </c>
      <c r="I507" s="16" t="s">
        <v>2482</v>
      </c>
      <c r="J507" s="16" t="str">
        <f>VLOOKUP(I507,'[1]BẢNG MÃ'!$C$2:$D$69,2,0)</f>
        <v>KP024</v>
      </c>
      <c r="K507" s="16"/>
      <c r="L507" s="16"/>
      <c r="M507" s="16" t="s">
        <v>33</v>
      </c>
      <c r="N507" s="21">
        <f ca="1">VLOOKUP(A507,'[1]Bieu 1a'!$A$8:$AW$855,10,0)</f>
        <v>33</v>
      </c>
      <c r="O507" s="22" t="str">
        <f>VLOOKUP(A507,'[1]Bieu 1a'!$A$8:$AW$855,8,0)</f>
        <v>22/01/1993</v>
      </c>
      <c r="P507" s="22">
        <f>VLOOKUP(A507,'[1]Bieu 1a'!$A$8:$AW$855,9,0)</f>
        <v>0</v>
      </c>
      <c r="Q507" s="23" t="s">
        <v>50</v>
      </c>
      <c r="R507" s="24">
        <f>VLOOKUP(A507,'[1]Bieu 1a'!$A$8:$AW$855,23,0)</f>
        <v>45030</v>
      </c>
      <c r="S507" s="25" t="s">
        <v>2483</v>
      </c>
      <c r="T507" s="26" t="s">
        <v>2484</v>
      </c>
      <c r="U507" s="22">
        <f>EDATE(R507,12)</f>
        <v>45396</v>
      </c>
      <c r="V507" s="16" t="str">
        <f>IFERROR(VLOOKUP(A507,'[2]19.6.2026'!$A$9:$L$1111,5,0),"")</f>
        <v>005706/LS-CCHN</v>
      </c>
      <c r="W507" s="16" t="str">
        <f>IFERROR(VLOOKUP(A507,'[2]19.6.2026'!$A$9:$L$1111,6,0),"")</f>
        <v>31/10/2023</v>
      </c>
      <c r="X507" s="16"/>
      <c r="Y507" s="21" t="str">
        <f>IFERROR(VLOOKUP(A507,'[2]19.6.2026'!$A$9:$L$1111,7,0),"")</f>
        <v>Khám bệnh, chữa bệnh chuyên khoa Răng hàm mặt</v>
      </c>
      <c r="Z507" s="16"/>
      <c r="AA507" s="27" t="str">
        <f>IFERROR(VLOOKUP(A507,'[3]DS UPLOAD 2026 (2)'!$A$2:$P$1111,16,0),"")</f>
        <v/>
      </c>
      <c r="AB507" s="27">
        <v>399888838</v>
      </c>
      <c r="AC507" s="29" t="s">
        <v>560</v>
      </c>
    </row>
    <row r="508" spans="1:29" ht="18" customHeight="1" x14ac:dyDescent="0.3">
      <c r="A508" s="17" t="s">
        <v>2485</v>
      </c>
      <c r="B508" s="18" t="s">
        <v>2486</v>
      </c>
      <c r="C508" s="17" t="s">
        <v>2485</v>
      </c>
      <c r="D508" s="19" t="s">
        <v>38</v>
      </c>
      <c r="E508" s="19" t="s">
        <v>41</v>
      </c>
      <c r="F508" s="16" t="str">
        <f>VLOOKUP(E508,'[1]BẢNG MÃ'!$A$2:$B$69,2,0)</f>
        <v>TĐ011</v>
      </c>
      <c r="G508" s="20" t="s">
        <v>42</v>
      </c>
      <c r="H508" s="20" t="s">
        <v>42</v>
      </c>
      <c r="I508" s="16" t="s">
        <v>850</v>
      </c>
      <c r="J508" s="16" t="str">
        <f>VLOOKUP(I508,'[1]BẢNG MÃ'!$C$2:$D$69,2,0)</f>
        <v>KP024</v>
      </c>
      <c r="K508" s="16" t="s">
        <v>31</v>
      </c>
      <c r="L508" s="16" t="s">
        <v>201</v>
      </c>
      <c r="M508" s="16" t="s">
        <v>33</v>
      </c>
      <c r="N508" s="21">
        <f ca="1">VLOOKUP(A508,'[1]Bieu 1a'!$A$8:$AW$855,10,0)</f>
        <v>39</v>
      </c>
      <c r="O508" s="22">
        <f>VLOOKUP(A508,'[1]Bieu 1a'!$A$8:$AW$855,8,0)</f>
        <v>0</v>
      </c>
      <c r="P508" s="22">
        <f>VLOOKUP(A508,'[1]Bieu 1a'!$A$8:$AW$855,9,0)</f>
        <v>31761</v>
      </c>
      <c r="Q508" s="23" t="s">
        <v>44</v>
      </c>
      <c r="R508" s="24" t="str">
        <f>VLOOKUP(A508,'[1]Bieu 1a'!$A$8:$AW$855,23,0)</f>
        <v>8/12/2008</v>
      </c>
      <c r="S508" s="25" t="s">
        <v>2487</v>
      </c>
      <c r="T508" s="26" t="s">
        <v>2488</v>
      </c>
      <c r="U508" s="16"/>
      <c r="V508" s="16" t="str">
        <f>IFERROR(VLOOKUP(A508,'[2]19.6.2026'!$A$9:$L$1111,5,0),"")</f>
        <v>001046/LS-CCHN</v>
      </c>
      <c r="W508" s="16" t="str">
        <f>IFERROR(VLOOKUP(A508,'[2]19.6.2026'!$A$9:$L$1111,6,0),"")</f>
        <v>11/01/2023</v>
      </c>
      <c r="X508" s="16"/>
      <c r="Y508" s="21" t="str">
        <f>IFERROR(VLOOKUP(A508,'[2]19.6.2026'!$A$9:$L$1111,7,0),"")</f>
        <v>Thực hiện phạm vi hoạt động chuyên môn theo Thông tư số 26/2015/TTLT-BYT-BNV ngày 07/10/2015 quy định  mã số, tiêu chuẩn chức danh nghề nghiệp, điều dưỡng, hộ sinh, kỹ thuật y</v>
      </c>
      <c r="Z508" s="16"/>
      <c r="AA508" s="27" t="str">
        <f>IFERROR(VLOOKUP(A508,'[3]DS UPLOAD 2026 (2)'!$A$2:$P$1111,16,0),"")</f>
        <v/>
      </c>
      <c r="AB508" s="27">
        <v>849276311</v>
      </c>
      <c r="AC508" s="54"/>
    </row>
    <row r="509" spans="1:29" ht="18" customHeight="1" x14ac:dyDescent="0.3">
      <c r="A509" s="17" t="s">
        <v>2489</v>
      </c>
      <c r="B509" s="18" t="s">
        <v>2490</v>
      </c>
      <c r="C509" s="17" t="s">
        <v>2489</v>
      </c>
      <c r="D509" s="19" t="s">
        <v>38</v>
      </c>
      <c r="E509" s="100" t="s">
        <v>41</v>
      </c>
      <c r="F509" s="16" t="str">
        <f>VLOOKUP(E509,'[1]BẢNG MÃ'!$A$2:$B$69,2,0)</f>
        <v>TĐ011</v>
      </c>
      <c r="G509" s="101" t="s">
        <v>42</v>
      </c>
      <c r="H509" s="20" t="s">
        <v>42</v>
      </c>
      <c r="I509" s="16" t="s">
        <v>850</v>
      </c>
      <c r="J509" s="16" t="str">
        <f>VLOOKUP(I509,'[1]BẢNG MÃ'!$C$2:$D$69,2,0)</f>
        <v>KP024</v>
      </c>
      <c r="K509" s="16" t="s">
        <v>43</v>
      </c>
      <c r="L509" s="16">
        <v>0</v>
      </c>
      <c r="M509" s="16" t="s">
        <v>33</v>
      </c>
      <c r="N509" s="21">
        <f ca="1">VLOOKUP(A509,'[1]Bieu 1a'!$A$8:$AW$855,10,0)</f>
        <v>36</v>
      </c>
      <c r="O509" s="22">
        <f>VLOOKUP(A509,'[1]Bieu 1a'!$A$8:$AW$855,8,0)</f>
        <v>0</v>
      </c>
      <c r="P509" s="22">
        <f>VLOOKUP(A509,'[1]Bieu 1a'!$A$8:$AW$855,9,0)</f>
        <v>32861</v>
      </c>
      <c r="Q509" s="23" t="s">
        <v>50</v>
      </c>
      <c r="R509" s="24" t="str">
        <f>VLOOKUP(A509,'[1]Bieu 1a'!$A$8:$AW$855,23,0)</f>
        <v>1/12/2010</v>
      </c>
      <c r="S509" s="25" t="s">
        <v>2491</v>
      </c>
      <c r="T509" s="26">
        <v>0</v>
      </c>
      <c r="U509" s="22"/>
      <c r="V509" s="16" t="str">
        <f>IFERROR(VLOOKUP(A509,'[2]19.6.2026'!$A$9:$L$1111,5,0),"")</f>
        <v>000946/LS-CCHN</v>
      </c>
      <c r="W509" s="16" t="str">
        <f>IFERROR(VLOOKUP(A509,'[2]19.6.2026'!$A$9:$L$1111,6,0),"")</f>
        <v>11/01/2023</v>
      </c>
      <c r="X509" s="16"/>
      <c r="Y509" s="21" t="str">
        <f>IFERROR(VLOOKUP(A509,'[2]19.6.2026'!$A$9:$L$1111,7,0),"")</f>
        <v>Thực hiện phạm vi hoạt động chuyên môn theo Thông tư số 26/2015/TTLT-BYT-BNV ngày 07/10/2015 quy định  mã số, tiêu chuẩn chức danh nghề nghiệp, điều dưỡng, hộ sinh, kỹ thuật y</v>
      </c>
      <c r="Z509" s="16"/>
      <c r="AA509" s="27" t="str">
        <f>IFERROR(VLOOKUP(A509,'[3]DS UPLOAD 2026 (2)'!$A$2:$P$1111,16,0),"")</f>
        <v/>
      </c>
      <c r="AB509" s="27" t="s">
        <v>2492</v>
      </c>
      <c r="AC509" s="28"/>
    </row>
    <row r="510" spans="1:29" ht="18" customHeight="1" x14ac:dyDescent="0.3">
      <c r="A510" s="17" t="s">
        <v>2493</v>
      </c>
      <c r="B510" s="18" t="s">
        <v>127</v>
      </c>
      <c r="C510" s="17" t="s">
        <v>2493</v>
      </c>
      <c r="D510" s="19" t="s">
        <v>38</v>
      </c>
      <c r="E510" s="19" t="s">
        <v>61</v>
      </c>
      <c r="F510" s="16" t="str">
        <f>VLOOKUP(E510,'[1]BẢNG MÃ'!$A$2:$B$69,2,0)</f>
        <v>TĐ012</v>
      </c>
      <c r="G510" s="20" t="s">
        <v>62</v>
      </c>
      <c r="H510" s="20" t="s">
        <v>62</v>
      </c>
      <c r="I510" s="16" t="s">
        <v>850</v>
      </c>
      <c r="J510" s="16" t="str">
        <f>VLOOKUP(I510,'[1]BẢNG MÃ'!$C$2:$D$69,2,0)</f>
        <v>KP024</v>
      </c>
      <c r="K510" s="16" t="s">
        <v>43</v>
      </c>
      <c r="L510" s="16">
        <v>0</v>
      </c>
      <c r="M510" s="16" t="s">
        <v>33</v>
      </c>
      <c r="N510" s="21">
        <f ca="1">VLOOKUP(A510,'[1]Bieu 1a'!$A$8:$AW$855,10,0)</f>
        <v>38</v>
      </c>
      <c r="O510" s="22">
        <f>VLOOKUP(A510,'[1]Bieu 1a'!$A$8:$AW$855,8,0)</f>
        <v>0</v>
      </c>
      <c r="P510" s="22">
        <f>VLOOKUP(A510,'[1]Bieu 1a'!$A$8:$AW$855,9,0)</f>
        <v>32109</v>
      </c>
      <c r="Q510" s="23" t="s">
        <v>50</v>
      </c>
      <c r="R510" s="24" t="str">
        <f>VLOOKUP(A510,'[1]Bieu 1a'!$A$8:$AW$855,23,0)</f>
        <v>15/1/2010</v>
      </c>
      <c r="S510" s="25" t="s">
        <v>2494</v>
      </c>
      <c r="T510" s="26" t="s">
        <v>2495</v>
      </c>
      <c r="U510" s="16"/>
      <c r="V510" s="16" t="str">
        <f>IFERROR(VLOOKUP(A510,'[2]19.6.2026'!$A$9:$L$1111,5,0),"")</f>
        <v>001017/LS-CCHN</v>
      </c>
      <c r="W510" s="16" t="str">
        <f>IFERROR(VLOOKUP(A510,'[2]19.6.2026'!$A$9:$L$1111,6,0),"")</f>
        <v>11/01/2023</v>
      </c>
      <c r="X510" s="16"/>
      <c r="Y510" s="21" t="str">
        <f>IFERROR(VLOOKUP(A510,'[2]19.6.2026'!$A$9:$L$1111,7,0),"")</f>
        <v>Thực hiện phạm vi hoạt động chuyên môn theo Thông tư số 26/2015/TTLT-BYT-BNV ngày 07/10/2015 quy định  mã số, tiêu chuẩn chức danh nghề nghiệp, điều dưỡng, hộ sinh, kỹ thuật y</v>
      </c>
      <c r="Z510" s="16"/>
      <c r="AA510" s="27" t="str">
        <f>IFERROR(VLOOKUP(A510,'[3]DS UPLOAD 2026 (2)'!$A$2:$P$1111,16,0),"")</f>
        <v/>
      </c>
      <c r="AB510" s="27" t="s">
        <v>2496</v>
      </c>
      <c r="AC510" s="28"/>
    </row>
    <row r="511" spans="1:29" ht="18" customHeight="1" x14ac:dyDescent="0.3">
      <c r="A511" s="17" t="s">
        <v>2497</v>
      </c>
      <c r="B511" s="18" t="s">
        <v>2498</v>
      </c>
      <c r="C511" s="17" t="s">
        <v>2497</v>
      </c>
      <c r="D511" s="19" t="s">
        <v>38</v>
      </c>
      <c r="E511" s="19" t="s">
        <v>61</v>
      </c>
      <c r="F511" s="16" t="str">
        <f>VLOOKUP(E511,'[1]BẢNG MÃ'!$A$2:$B$69,2,0)</f>
        <v>TĐ012</v>
      </c>
      <c r="G511" s="20" t="s">
        <v>62</v>
      </c>
      <c r="H511" s="20" t="s">
        <v>62</v>
      </c>
      <c r="I511" s="16" t="s">
        <v>850</v>
      </c>
      <c r="J511" s="16" t="str">
        <f>VLOOKUP(I511,'[1]BẢNG MÃ'!$C$2:$D$69,2,0)</f>
        <v>KP024</v>
      </c>
      <c r="K511" s="16" t="s">
        <v>43</v>
      </c>
      <c r="L511" s="16">
        <v>0</v>
      </c>
      <c r="M511" s="16" t="s">
        <v>33</v>
      </c>
      <c r="N511" s="21">
        <f ca="1">VLOOKUP(A511,'[1]Bieu 1a'!$A$8:$AW$855,10,0)</f>
        <v>41</v>
      </c>
      <c r="O511" s="22">
        <f>VLOOKUP(A511,'[1]Bieu 1a'!$A$8:$AW$855,8,0)</f>
        <v>0</v>
      </c>
      <c r="P511" s="22">
        <f>VLOOKUP(A511,'[1]Bieu 1a'!$A$8:$AW$855,9,0)</f>
        <v>31009</v>
      </c>
      <c r="Q511" s="23" t="s">
        <v>50</v>
      </c>
      <c r="R511" s="24" t="str">
        <f>VLOOKUP(A511,'[1]Bieu 1a'!$A$8:$AW$855,23,0)</f>
        <v>15/1/2010</v>
      </c>
      <c r="S511" s="25" t="s">
        <v>2499</v>
      </c>
      <c r="T511" s="26">
        <v>0</v>
      </c>
      <c r="U511" s="16"/>
      <c r="V511" s="16" t="str">
        <f>IFERROR(VLOOKUP(A511,'[2]19.6.2026'!$A$9:$L$1111,5,0),"")</f>
        <v>001018/LS-CCHN</v>
      </c>
      <c r="W511" s="16" t="str">
        <f>IFERROR(VLOOKUP(A511,'[2]19.6.2026'!$A$9:$L$1111,6,0),"")</f>
        <v>24/06/2013</v>
      </c>
      <c r="X511" s="16"/>
      <c r="Y511" s="21" t="str">
        <f>IFERROR(VLOOKUP(A511,'[2]19.6.2026'!$A$9:$L$1111,7,0),"")</f>
        <v>Chăm sóc người bệnh theo chuyên khoa Nha khoa</v>
      </c>
      <c r="Z511" s="16"/>
      <c r="AA511" s="27" t="str">
        <f>IFERROR(VLOOKUP(A511,'[3]DS UPLOAD 2026 (2)'!$A$2:$P$1111,16,0),"")</f>
        <v/>
      </c>
      <c r="AB511" s="27">
        <v>989554838</v>
      </c>
      <c r="AC511" s="28"/>
    </row>
    <row r="512" spans="1:29" ht="18" customHeight="1" x14ac:dyDescent="0.3">
      <c r="A512" s="17" t="s">
        <v>2500</v>
      </c>
      <c r="B512" s="18" t="s">
        <v>2501</v>
      </c>
      <c r="C512" s="17" t="s">
        <v>2500</v>
      </c>
      <c r="D512" s="19" t="s">
        <v>38</v>
      </c>
      <c r="E512" s="19" t="s">
        <v>61</v>
      </c>
      <c r="F512" s="16" t="str">
        <f>VLOOKUP(E512,'[1]BẢNG MÃ'!$A$2:$B$69,2,0)</f>
        <v>TĐ012</v>
      </c>
      <c r="G512" s="20" t="s">
        <v>62</v>
      </c>
      <c r="H512" s="20" t="s">
        <v>62</v>
      </c>
      <c r="I512" s="16" t="s">
        <v>850</v>
      </c>
      <c r="J512" s="16" t="str">
        <f>VLOOKUP(I512,'[1]BẢNG MÃ'!$C$2:$D$69,2,0)</f>
        <v>KP024</v>
      </c>
      <c r="K512" s="16" t="s">
        <v>43</v>
      </c>
      <c r="L512" s="16">
        <v>0</v>
      </c>
      <c r="M512" s="16" t="s">
        <v>33</v>
      </c>
      <c r="N512" s="21">
        <f ca="1">VLOOKUP(A512,'[1]Bieu 1a'!$A$8:$AW$855,10,0)</f>
        <v>50</v>
      </c>
      <c r="O512" s="22">
        <f>VLOOKUP(A512,'[1]Bieu 1a'!$A$8:$AW$855,8,0)</f>
        <v>0</v>
      </c>
      <c r="P512" s="22">
        <f>VLOOKUP(A512,'[1]Bieu 1a'!$A$8:$AW$855,9,0)</f>
        <v>27827</v>
      </c>
      <c r="Q512" s="23" t="s">
        <v>44</v>
      </c>
      <c r="R512" s="24" t="str">
        <f>VLOOKUP(A512,'[1]Bieu 1a'!$A$8:$AW$855,23,0)</f>
        <v>16/2/2005</v>
      </c>
      <c r="S512" s="25" t="s">
        <v>2502</v>
      </c>
      <c r="T512" s="26">
        <v>0</v>
      </c>
      <c r="U512" s="16"/>
      <c r="V512" s="16" t="str">
        <f>IFERROR(VLOOKUP(A512,'[2]19.6.2026'!$A$9:$L$1111,5,0),"")</f>
        <v>001014/LS-CCHN</v>
      </c>
      <c r="W512" s="16" t="str">
        <f>IFERROR(VLOOKUP(A512,'[2]19.6.2026'!$A$9:$L$1111,6,0),"")</f>
        <v>24/06/2013</v>
      </c>
      <c r="X512" s="16"/>
      <c r="Y512" s="21" t="str">
        <f>IFERROR(VLOOKUP(A512,'[2]19.6.2026'!$A$9:$L$1111,7,0),"")</f>
        <v>Chăm sóc người bệnh theo chuyên khoa Nha khoa</v>
      </c>
      <c r="Z512" s="16"/>
      <c r="AA512" s="27" t="str">
        <f>IFERROR(VLOOKUP(A512,'[3]DS UPLOAD 2026 (2)'!$A$2:$P$1111,16,0),"")</f>
        <v/>
      </c>
      <c r="AB512" s="27" t="s">
        <v>2503</v>
      </c>
      <c r="AC512" s="28"/>
    </row>
    <row r="513" spans="1:29" ht="18" customHeight="1" x14ac:dyDescent="0.3">
      <c r="A513" s="17" t="s">
        <v>2504</v>
      </c>
      <c r="B513" s="59" t="s">
        <v>2505</v>
      </c>
      <c r="C513" s="17" t="s">
        <v>2504</v>
      </c>
      <c r="D513" s="19" t="s">
        <v>38</v>
      </c>
      <c r="E513" s="77" t="s">
        <v>128</v>
      </c>
      <c r="F513" s="16" t="str">
        <f>VLOOKUP(E513,'[1]BẢNG MÃ'!$A$2:$B$69,2,0)</f>
        <v>TĐ047</v>
      </c>
      <c r="G513" s="20"/>
      <c r="H513" s="77" t="s">
        <v>128</v>
      </c>
      <c r="I513" s="16" t="s">
        <v>850</v>
      </c>
      <c r="J513" s="16" t="str">
        <f>VLOOKUP(I513,'[1]BẢNG MÃ'!$C$2:$D$69,2,0)</f>
        <v>KP024</v>
      </c>
      <c r="K513" s="16"/>
      <c r="L513" s="16"/>
      <c r="M513" s="16" t="s">
        <v>136</v>
      </c>
      <c r="N513" s="21">
        <f ca="1">VLOOKUP(A513,'[1]Bieu 1a'!$A$8:$AW$855,10,0)</f>
        <v>47</v>
      </c>
      <c r="O513" s="22">
        <f>VLOOKUP(A513,'[1]Bieu 1a'!$A$8:$AW$855,8,0)</f>
        <v>0</v>
      </c>
      <c r="P513" s="22" t="str">
        <f>VLOOKUP(A513,'[1]Bieu 1a'!$A$8:$AW$855,9,0)</f>
        <v>14/10/1978</v>
      </c>
      <c r="Q513" s="23" t="s">
        <v>50</v>
      </c>
      <c r="R513" s="24" t="str">
        <f>VLOOKUP(A513,'[1]Bieu 1a'!$A$8:$AW$855,23,0)</f>
        <v xml:space="preserve"> 02/10/2017</v>
      </c>
      <c r="S513" s="25" t="s">
        <v>2506</v>
      </c>
      <c r="T513" s="26" t="s">
        <v>2507</v>
      </c>
      <c r="U513" s="16"/>
      <c r="V513" s="16" t="str">
        <f>IFERROR(VLOOKUP(A513,'[2]19.6.2026'!$A$9:$L$1111,5,0),"")</f>
        <v/>
      </c>
      <c r="W513" s="16" t="str">
        <f>IFERROR(VLOOKUP(A513,'[2]19.6.2026'!$A$9:$L$1111,6,0),"")</f>
        <v/>
      </c>
      <c r="X513" s="16"/>
      <c r="Y513" s="21" t="str">
        <f>IFERROR(VLOOKUP(A513,'[2]19.6.2026'!$A$9:$L$1111,7,0),"")</f>
        <v/>
      </c>
      <c r="Z513" s="16"/>
      <c r="AA513" s="27" t="str">
        <f>IFERROR(VLOOKUP(A513,'[3]DS UPLOAD 2026 (2)'!$A$2:$P$1111,16,0),"")</f>
        <v/>
      </c>
      <c r="AB513" s="27"/>
      <c r="AC513" s="28"/>
    </row>
    <row r="514" spans="1:29" ht="16.5" customHeight="1" x14ac:dyDescent="0.3">
      <c r="A514" s="17" t="s">
        <v>2508</v>
      </c>
      <c r="B514" s="18" t="s">
        <v>2509</v>
      </c>
      <c r="C514" s="17" t="s">
        <v>2508</v>
      </c>
      <c r="D514" s="19"/>
      <c r="E514" s="19" t="s">
        <v>28</v>
      </c>
      <c r="F514" s="16" t="str">
        <f>VLOOKUP(E514,'[1]BẢNG MÃ'!$A$2:$B$69,2,0)</f>
        <v>TĐ001</v>
      </c>
      <c r="G514" s="20" t="s">
        <v>29</v>
      </c>
      <c r="H514" s="20" t="s">
        <v>29</v>
      </c>
      <c r="I514" s="16" t="s">
        <v>2510</v>
      </c>
      <c r="J514" s="16" t="str">
        <f>VLOOKUP(I514,'[1]BẢNG MÃ'!$C$2:$D$69,2,0)</f>
        <v>KP025</v>
      </c>
      <c r="K514" s="16" t="s">
        <v>31</v>
      </c>
      <c r="L514" s="16" t="s">
        <v>148</v>
      </c>
      <c r="M514" s="16" t="s">
        <v>33</v>
      </c>
      <c r="N514" s="21">
        <f ca="1">VLOOKUP(A514,'[1]Bieu 1a'!$A$8:$AW$855,10,0)</f>
        <v>56</v>
      </c>
      <c r="O514" s="22">
        <f>VLOOKUP(A514,'[1]Bieu 1a'!$A$8:$AW$855,8,0)</f>
        <v>25463</v>
      </c>
      <c r="P514" s="22">
        <f>VLOOKUP(A514,'[1]Bieu 1a'!$A$8:$AW$855,9,0)</f>
        <v>0</v>
      </c>
      <c r="Q514" s="23" t="s">
        <v>44</v>
      </c>
      <c r="R514" s="24" t="str">
        <f>VLOOKUP(A514,'[1]Bieu 1a'!$A$8:$AW$855,23,0)</f>
        <v>1/6/1997</v>
      </c>
      <c r="S514" s="25" t="s">
        <v>2511</v>
      </c>
      <c r="T514" s="26" t="s">
        <v>2512</v>
      </c>
      <c r="U514" s="16"/>
      <c r="V514" s="16" t="str">
        <f>IFERROR(VLOOKUP(A514,'[2]19.6.2026'!$A$9:$L$1111,5,0),"")</f>
        <v>001023/LS-CCHN</v>
      </c>
      <c r="W514" s="16" t="str">
        <f>IFERROR(VLOOKUP(A514,'[2]19.6.2026'!$A$9:$L$1111,6,0),"")</f>
        <v>11/01/2023</v>
      </c>
      <c r="X514" s="16"/>
      <c r="Y514" s="21" t="str">
        <f>IFERROR(VLOOKUP(A514,'[2]19.6.2026'!$A$9:$L$1111,7,0),"")</f>
        <v>Khám bệnh, chữa bệnh chuyên khoa Gây mê hồi sức</v>
      </c>
      <c r="Z514" s="16"/>
      <c r="AA514" s="27" t="str">
        <f>IFERROR(VLOOKUP(A514,'[3]DS UPLOAD 2026 (2)'!$A$2:$P$1111,16,0),"")</f>
        <v/>
      </c>
      <c r="AB514" s="27">
        <v>912245299</v>
      </c>
      <c r="AC514" s="28"/>
    </row>
    <row r="515" spans="1:29" ht="18" customHeight="1" x14ac:dyDescent="0.3">
      <c r="A515" s="17" t="s">
        <v>2513</v>
      </c>
      <c r="B515" s="18" t="s">
        <v>2514</v>
      </c>
      <c r="C515" s="17" t="s">
        <v>2513</v>
      </c>
      <c r="D515" s="19" t="s">
        <v>38</v>
      </c>
      <c r="E515" s="16" t="s">
        <v>160</v>
      </c>
      <c r="F515" s="16" t="str">
        <f>VLOOKUP(E515,'[1]BẢNG MÃ'!$A$2:$B$69,2,0)</f>
        <v>TĐ003</v>
      </c>
      <c r="G515" s="20" t="s">
        <v>161</v>
      </c>
      <c r="H515" s="20" t="s">
        <v>161</v>
      </c>
      <c r="I515" s="16" t="s">
        <v>2510</v>
      </c>
      <c r="J515" s="16" t="str">
        <f>VLOOKUP(I515,'[1]BẢNG MÃ'!$C$2:$D$69,2,0)</f>
        <v>KP025</v>
      </c>
      <c r="K515" s="16" t="s">
        <v>43</v>
      </c>
      <c r="L515" s="16">
        <v>0</v>
      </c>
      <c r="M515" s="16" t="s">
        <v>33</v>
      </c>
      <c r="N515" s="21">
        <f ca="1">VLOOKUP(A515,'[1]Bieu 1a'!$A$8:$AW$855,10,0)</f>
        <v>39</v>
      </c>
      <c r="O515" s="22">
        <f>VLOOKUP(A515,'[1]Bieu 1a'!$A$8:$AW$855,8,0)</f>
        <v>0</v>
      </c>
      <c r="P515" s="22">
        <f>VLOOKUP(A515,'[1]Bieu 1a'!$A$8:$AW$855,9,0)</f>
        <v>31688</v>
      </c>
      <c r="Q515" s="23" t="s">
        <v>34</v>
      </c>
      <c r="R515" s="24" t="str">
        <f>VLOOKUP(A515,'[1]Bieu 1a'!$A$8:$AW$855,23,0)</f>
        <v>10/6/2013</v>
      </c>
      <c r="S515" s="25" t="s">
        <v>2515</v>
      </c>
      <c r="T515" s="26">
        <v>0</v>
      </c>
      <c r="U515" s="16"/>
      <c r="V515" s="16" t="str">
        <f>IFERROR(VLOOKUP(A515,'[2]19.6.2026'!$A$9:$L$1111,5,0),"")</f>
        <v>003186/LS-CCHN</v>
      </c>
      <c r="W515" s="16" t="str">
        <f>IFERROR(VLOOKUP(A515,'[2]19.6.2026'!$A$9:$L$1111,6,0),"")</f>
        <v>11/01/2023</v>
      </c>
      <c r="X515" s="16"/>
      <c r="Y515" s="21" t="str">
        <f>IFERROR(VLOOKUP(A515,'[2]19.6.2026'!$A$9:$L$1111,7,0),"")</f>
        <v>Khám bệnh, chữa bệnh chuyên khoa Gây mê hồi sức</v>
      </c>
      <c r="Z515" s="16"/>
      <c r="AA515" s="27" t="str">
        <f>IFERROR(VLOOKUP(A515,'[3]DS UPLOAD 2026 (2)'!$A$2:$P$1111,16,0),"")</f>
        <v/>
      </c>
      <c r="AB515" s="16" t="s">
        <v>2516</v>
      </c>
      <c r="AC515" s="29"/>
    </row>
    <row r="516" spans="1:29" ht="18" customHeight="1" x14ac:dyDescent="0.3">
      <c r="A516" s="17" t="s">
        <v>2517</v>
      </c>
      <c r="B516" s="18" t="s">
        <v>127</v>
      </c>
      <c r="C516" s="17" t="s">
        <v>2517</v>
      </c>
      <c r="D516" s="19" t="s">
        <v>38</v>
      </c>
      <c r="E516" s="19" t="s">
        <v>160</v>
      </c>
      <c r="F516" s="16" t="str">
        <f>VLOOKUP(E516,'[1]BẢNG MÃ'!$A$2:$B$69,2,0)</f>
        <v>TĐ003</v>
      </c>
      <c r="G516" s="20" t="s">
        <v>161</v>
      </c>
      <c r="H516" s="20" t="s">
        <v>161</v>
      </c>
      <c r="I516" s="16" t="s">
        <v>2510</v>
      </c>
      <c r="J516" s="16" t="str">
        <f>VLOOKUP(I516,'[1]BẢNG MÃ'!$C$2:$D$69,2,0)</f>
        <v>KP025</v>
      </c>
      <c r="K516" s="16" t="s">
        <v>43</v>
      </c>
      <c r="L516" s="16">
        <v>0</v>
      </c>
      <c r="M516" s="16" t="s">
        <v>33</v>
      </c>
      <c r="N516" s="21">
        <f ca="1">VLOOKUP(A516,'[1]Bieu 1a'!$A$8:$AW$855,10,0)</f>
        <v>37</v>
      </c>
      <c r="O516" s="22">
        <f>VLOOKUP(A516,'[1]Bieu 1a'!$A$8:$AW$855,8,0)</f>
        <v>0</v>
      </c>
      <c r="P516" s="22">
        <f>VLOOKUP(A516,'[1]Bieu 1a'!$A$8:$AW$855,9,0)</f>
        <v>32411</v>
      </c>
      <c r="Q516" s="23" t="s">
        <v>44</v>
      </c>
      <c r="R516" s="24" t="str">
        <f>VLOOKUP(A516,'[1]Bieu 1a'!$A$8:$AW$855,23,0)</f>
        <v>01/11/2014</v>
      </c>
      <c r="S516" s="25" t="s">
        <v>2518</v>
      </c>
      <c r="T516" s="26" t="s">
        <v>2519</v>
      </c>
      <c r="U516" s="16"/>
      <c r="V516" s="16" t="str">
        <f>IFERROR(VLOOKUP(A516,'[2]19.6.2026'!$A$9:$L$1111,5,0),"")</f>
        <v>000388/LS-CCHN</v>
      </c>
      <c r="W516" s="16" t="str">
        <f>IFERROR(VLOOKUP(A516,'[2]19.6.2026'!$A$9:$L$1111,6,0),"")</f>
        <v>01/06/2016</v>
      </c>
      <c r="X516" s="16"/>
      <c r="Y516" s="21" t="str">
        <f>IFERROR(VLOOKUP(A516,'[2]19.6.2026'!$A$9:$L$1111,7,0),"")</f>
        <v>Chuyên khoa Gây mê hồi sức</v>
      </c>
      <c r="Z516" s="16"/>
      <c r="AA516" s="27" t="str">
        <f>IFERROR(VLOOKUP(A516,'[3]DS UPLOAD 2026 (2)'!$A$2:$P$1111,16,0),"")</f>
        <v/>
      </c>
      <c r="AB516" s="27" t="s">
        <v>2520</v>
      </c>
      <c r="AC516" s="28"/>
    </row>
    <row r="517" spans="1:29" ht="18" customHeight="1" x14ac:dyDescent="0.3">
      <c r="A517" s="17" t="s">
        <v>2521</v>
      </c>
      <c r="B517" s="18" t="s">
        <v>2522</v>
      </c>
      <c r="C517" s="17" t="s">
        <v>2521</v>
      </c>
      <c r="D517" s="19" t="s">
        <v>38</v>
      </c>
      <c r="E517" s="19" t="s">
        <v>479</v>
      </c>
      <c r="F517" s="16" t="str">
        <f>VLOOKUP(E517,'[1]BẢNG MÃ'!$A$2:$B$69,2,0)</f>
        <v>TĐ004</v>
      </c>
      <c r="G517" s="20" t="s">
        <v>29</v>
      </c>
      <c r="H517" s="20" t="s">
        <v>29</v>
      </c>
      <c r="I517" s="16" t="s">
        <v>2510</v>
      </c>
      <c r="J517" s="16" t="str">
        <f>VLOOKUP(I517,'[1]BẢNG MÃ'!$C$2:$D$69,2,0)</f>
        <v>KP025</v>
      </c>
      <c r="K517" s="16" t="s">
        <v>31</v>
      </c>
      <c r="L517" s="16" t="s">
        <v>154</v>
      </c>
      <c r="M517" s="16" t="s">
        <v>33</v>
      </c>
      <c r="N517" s="21">
        <f ca="1">VLOOKUP(A517,'[1]Bieu 1a'!$A$8:$AW$855,10,0)</f>
        <v>46</v>
      </c>
      <c r="O517" s="22">
        <f>VLOOKUP(A517,'[1]Bieu 1a'!$A$8:$AW$855,8,0)</f>
        <v>0</v>
      </c>
      <c r="P517" s="22">
        <f>VLOOKUP(A517,'[1]Bieu 1a'!$A$8:$AW$855,9,0)</f>
        <v>29158</v>
      </c>
      <c r="Q517" s="23" t="s">
        <v>50</v>
      </c>
      <c r="R517" s="24" t="str">
        <f>VLOOKUP(A517,'[1]Bieu 1a'!$A$8:$AW$855,23,0)</f>
        <v>1/10/2006</v>
      </c>
      <c r="S517" s="25" t="s">
        <v>2523</v>
      </c>
      <c r="T517" s="26" t="s">
        <v>2524</v>
      </c>
      <c r="U517" s="16"/>
      <c r="V517" s="16" t="str">
        <f>IFERROR(VLOOKUP(A517,'[2]19.6.2026'!$A$9:$L$1111,5,0),"")</f>
        <v>003071/LS-CCHN</v>
      </c>
      <c r="W517" s="16" t="str">
        <f>IFERROR(VLOOKUP(A517,'[2]19.6.2026'!$A$9:$L$1111,6,0),"")</f>
        <v>07/09/2015</v>
      </c>
      <c r="X517" s="16"/>
      <c r="Y517" s="21" t="str">
        <f>IFERROR(VLOOKUP(A517,'[2]19.6.2026'!$A$9:$L$1111,7,0),"")</f>
        <v>Chuyên khoa Gây mê hồi sức</v>
      </c>
      <c r="Z517" s="16"/>
      <c r="AA517" s="27" t="str">
        <f>IFERROR(VLOOKUP(A517,'[3]DS UPLOAD 2026 (2)'!$A$2:$P$1111,16,0),"")</f>
        <v/>
      </c>
      <c r="AB517" s="27" t="s">
        <v>2525</v>
      </c>
      <c r="AC517" s="28"/>
    </row>
    <row r="518" spans="1:29" ht="18" customHeight="1" x14ac:dyDescent="0.3">
      <c r="A518" s="17" t="s">
        <v>2526</v>
      </c>
      <c r="B518" s="38" t="s">
        <v>2527</v>
      </c>
      <c r="C518" s="17" t="s">
        <v>2526</v>
      </c>
      <c r="D518" s="19" t="s">
        <v>38</v>
      </c>
      <c r="E518" s="19" t="s">
        <v>173</v>
      </c>
      <c r="F518" s="16" t="str">
        <f>VLOOKUP(E518,'[1]BẢNG MÃ'!$A$2:$B$69,2,0)</f>
        <v>TĐ005</v>
      </c>
      <c r="G518" s="42" t="s">
        <v>161</v>
      </c>
      <c r="H518" s="42" t="s">
        <v>161</v>
      </c>
      <c r="I518" s="16" t="s">
        <v>2510</v>
      </c>
      <c r="J518" s="16" t="str">
        <f>VLOOKUP(I518,'[1]BẢNG MÃ'!$C$2:$D$69,2,0)</f>
        <v>KP025</v>
      </c>
      <c r="K518" s="16" t="s">
        <v>43</v>
      </c>
      <c r="L518" s="16">
        <v>0</v>
      </c>
      <c r="M518" s="16" t="s">
        <v>33</v>
      </c>
      <c r="N518" s="21">
        <f ca="1">VLOOKUP(A518,'[1]Bieu 1a'!$A$8:$AW$855,10,0)</f>
        <v>32</v>
      </c>
      <c r="O518" s="22">
        <f>VLOOKUP(A518,'[1]Bieu 1a'!$A$8:$AW$855,8,0)</f>
        <v>0</v>
      </c>
      <c r="P518" s="22" t="str">
        <f>VLOOKUP(A518,'[1]Bieu 1a'!$A$8:$AW$855,9,0)</f>
        <v>14/09/1993</v>
      </c>
      <c r="Q518" s="23" t="s">
        <v>44</v>
      </c>
      <c r="R518" s="24" t="str">
        <f>VLOOKUP(A518,'[1]Bieu 1a'!$A$8:$AW$855,23,0)</f>
        <v>05/04/2019</v>
      </c>
      <c r="S518" s="25" t="s">
        <v>2528</v>
      </c>
      <c r="T518" s="26" t="s">
        <v>2529</v>
      </c>
      <c r="U518" s="16"/>
      <c r="V518" s="16" t="str">
        <f>IFERROR(VLOOKUP(A518,'[2]19.6.2026'!$A$9:$L$1111,5,0),"")</f>
        <v>004233/LS-CCHN</v>
      </c>
      <c r="W518" s="16" t="str">
        <f>IFERROR(VLOOKUP(A518,'[2]19.6.2026'!$A$9:$L$1111,6,0),"")</f>
        <v>20/12/2021</v>
      </c>
      <c r="X518" s="16"/>
      <c r="Y518" s="21" t="str">
        <f>IFERROR(VLOOKUP(A518,'[2]19.6.2026'!$A$9:$L$1111,7,0),"")</f>
        <v>Khám bệnh, chữa bệnh ngoại khoa; Gây mê hồi sức</v>
      </c>
      <c r="Z518" s="16"/>
      <c r="AA518" s="27" t="str">
        <f>IFERROR(VLOOKUP(A518,'[3]DS UPLOAD 2026 (2)'!$A$2:$P$1111,16,0),"")</f>
        <v/>
      </c>
      <c r="AB518" s="27" t="s">
        <v>2530</v>
      </c>
      <c r="AC518" s="28" t="s">
        <v>181</v>
      </c>
    </row>
    <row r="519" spans="1:29" ht="18" customHeight="1" x14ac:dyDescent="0.3">
      <c r="A519" s="17" t="s">
        <v>2531</v>
      </c>
      <c r="B519" s="38" t="s">
        <v>2532</v>
      </c>
      <c r="C519" s="17" t="s">
        <v>2531</v>
      </c>
      <c r="D519" s="19" t="s">
        <v>38</v>
      </c>
      <c r="E519" s="19" t="s">
        <v>173</v>
      </c>
      <c r="F519" s="16" t="str">
        <f>VLOOKUP(E519,'[1]BẢNG MÃ'!$A$2:$B$69,2,0)</f>
        <v>TĐ005</v>
      </c>
      <c r="G519" s="42" t="s">
        <v>161</v>
      </c>
      <c r="H519" s="42" t="s">
        <v>161</v>
      </c>
      <c r="I519" s="16" t="s">
        <v>2510</v>
      </c>
      <c r="J519" s="16" t="str">
        <f>VLOOKUP(I519,'[1]BẢNG MÃ'!$C$2:$D$69,2,0)</f>
        <v>KP025</v>
      </c>
      <c r="K519" s="16" t="s">
        <v>43</v>
      </c>
      <c r="L519" s="16">
        <v>0</v>
      </c>
      <c r="M519" s="16" t="s">
        <v>33</v>
      </c>
      <c r="N519" s="21">
        <f ca="1">VLOOKUP(A519,'[1]Bieu 1a'!$A$8:$AW$855,10,0)</f>
        <v>32</v>
      </c>
      <c r="O519" s="22">
        <f>VLOOKUP(A519,'[1]Bieu 1a'!$A$8:$AW$855,8,0)</f>
        <v>0</v>
      </c>
      <c r="P519" s="22" t="str">
        <f>VLOOKUP(A519,'[1]Bieu 1a'!$A$8:$AW$855,9,0)</f>
        <v>19/02/1994</v>
      </c>
      <c r="Q519" s="23" t="s">
        <v>50</v>
      </c>
      <c r="R519" s="24" t="str">
        <f>VLOOKUP(A519,'[1]Bieu 1a'!$A$8:$AW$855,23,0)</f>
        <v>05/04/2019</v>
      </c>
      <c r="S519" s="25" t="s">
        <v>2533</v>
      </c>
      <c r="T519" s="26" t="s">
        <v>2534</v>
      </c>
      <c r="U519" s="16"/>
      <c r="V519" s="16" t="str">
        <f>IFERROR(VLOOKUP(A519,'[2]19.6.2026'!$A$9:$L$1111,5,0),"")</f>
        <v>004117/LS-CCHN</v>
      </c>
      <c r="W519" s="16" t="str">
        <f>IFERROR(VLOOKUP(A519,'[2]19.6.2026'!$A$9:$L$1111,6,0),"")</f>
        <v>08/02/2021</v>
      </c>
      <c r="X519" s="16"/>
      <c r="Y519" s="21" t="str">
        <f>IFERROR(VLOOKUP(A519,'[2]19.6.2026'!$A$9:$L$1111,7,0),"")</f>
        <v>Khám bệnh, chữa bệnh nội khoa; Chuyên khoa Gây mê hồi sức</v>
      </c>
      <c r="Z519" s="16"/>
      <c r="AA519" s="27" t="str">
        <f>IFERROR(VLOOKUP(A519,'[3]DS UPLOAD 2026 (2)'!$A$2:$P$1111,16,0),"")</f>
        <v/>
      </c>
      <c r="AB519" s="27" t="s">
        <v>2535</v>
      </c>
      <c r="AC519" s="28" t="s">
        <v>181</v>
      </c>
    </row>
    <row r="520" spans="1:29" ht="18" customHeight="1" x14ac:dyDescent="0.3">
      <c r="A520" s="122" t="s">
        <v>2536</v>
      </c>
      <c r="B520" s="36" t="s">
        <v>2537</v>
      </c>
      <c r="C520" s="122" t="s">
        <v>2536</v>
      </c>
      <c r="D520" s="53"/>
      <c r="E520" s="80" t="s">
        <v>173</v>
      </c>
      <c r="F520" s="16" t="str">
        <f>VLOOKUP(E520,'[1]BẢNG MÃ'!$A$2:$B$69,2,0)</f>
        <v>TĐ005</v>
      </c>
      <c r="G520" s="20"/>
      <c r="H520" s="23" t="s">
        <v>161</v>
      </c>
      <c r="I520" s="16" t="s">
        <v>2510</v>
      </c>
      <c r="J520" s="16" t="str">
        <f>VLOOKUP(I520,'[1]BẢNG MÃ'!$C$2:$D$69,2,0)</f>
        <v>KP025</v>
      </c>
      <c r="K520" s="16"/>
      <c r="L520" s="16"/>
      <c r="M520" s="16" t="s">
        <v>33</v>
      </c>
      <c r="N520" s="21">
        <f ca="1">VLOOKUP(A520,'[1]Bieu 1a'!$A$8:$AW$855,10,0)</f>
        <v>29</v>
      </c>
      <c r="O520" s="22">
        <f>VLOOKUP(A520,'[1]Bieu 1a'!$A$8:$AW$855,8,0)</f>
        <v>35473</v>
      </c>
      <c r="P520" s="22">
        <f>VLOOKUP(A520,'[1]Bieu 1a'!$A$8:$AW$855,9,0)</f>
        <v>0</v>
      </c>
      <c r="Q520" s="23" t="s">
        <v>44</v>
      </c>
      <c r="R520" s="24" t="str">
        <f>VLOOKUP(A520,'[1]Bieu 1a'!$A$8:$AW$855,23,0)</f>
        <v>6/9/2021</v>
      </c>
      <c r="S520" s="25" t="s">
        <v>2538</v>
      </c>
      <c r="T520" s="26" t="s">
        <v>2539</v>
      </c>
      <c r="U520" s="16"/>
      <c r="V520" s="16" t="str">
        <f>IFERROR(VLOOKUP(A520,'[2]19.6.2026'!$A$9:$L$1111,5,0),"")</f>
        <v>005589/LS-CCHN</v>
      </c>
      <c r="W520" s="16" t="str">
        <f>IFERROR(VLOOKUP(A520,'[2]19.6.2026'!$A$9:$L$1111,6,0),"")</f>
        <v>15/05/2023</v>
      </c>
      <c r="X520" s="16"/>
      <c r="Y520" s="21" t="str">
        <f>IFERROR(VLOOKUP(A520,'[2]19.6.2026'!$A$9:$L$1111,7,0),"")</f>
        <v>Khám bệnh, chữa bệnh chuyên khoa Nội</v>
      </c>
      <c r="Z520" s="16"/>
      <c r="AA520" s="27" t="str">
        <f>IFERROR(VLOOKUP(A520,'[3]DS UPLOAD 2026 (2)'!$A$2:$P$1111,16,0),"")</f>
        <v/>
      </c>
      <c r="AB520" s="39" t="s">
        <v>2540</v>
      </c>
      <c r="AC520" s="29" t="s">
        <v>2541</v>
      </c>
    </row>
    <row r="521" spans="1:29" ht="18" customHeight="1" x14ac:dyDescent="0.3">
      <c r="A521" s="17" t="s">
        <v>2542</v>
      </c>
      <c r="B521" s="18" t="s">
        <v>2543</v>
      </c>
      <c r="C521" s="17" t="s">
        <v>2542</v>
      </c>
      <c r="D521" s="19" t="s">
        <v>38</v>
      </c>
      <c r="E521" s="19" t="s">
        <v>41</v>
      </c>
      <c r="F521" s="16" t="str">
        <f>VLOOKUP(E521,'[1]BẢNG MÃ'!$A$2:$B$69,2,0)</f>
        <v>TĐ011</v>
      </c>
      <c r="G521" s="20" t="s">
        <v>42</v>
      </c>
      <c r="H521" s="20" t="s">
        <v>42</v>
      </c>
      <c r="I521" s="16" t="s">
        <v>2510</v>
      </c>
      <c r="J521" s="16" t="str">
        <f>VLOOKUP(I521,'[1]BẢNG MÃ'!$C$2:$D$69,2,0)</f>
        <v>KP025</v>
      </c>
      <c r="K521" s="16" t="s">
        <v>43</v>
      </c>
      <c r="L521" s="16">
        <v>0</v>
      </c>
      <c r="M521" s="16" t="s">
        <v>33</v>
      </c>
      <c r="N521" s="21">
        <f ca="1">VLOOKUP(A521,'[1]Bieu 1a'!$A$8:$AW$855,10,0)</f>
        <v>40</v>
      </c>
      <c r="O521" s="22">
        <f>VLOOKUP(A521,'[1]Bieu 1a'!$A$8:$AW$855,8,0)</f>
        <v>0</v>
      </c>
      <c r="P521" s="22">
        <f>VLOOKUP(A521,'[1]Bieu 1a'!$A$8:$AW$855,9,0)</f>
        <v>31587</v>
      </c>
      <c r="Q521" s="23" t="s">
        <v>50</v>
      </c>
      <c r="R521" s="24" t="str">
        <f>VLOOKUP(A521,'[1]Bieu 1a'!$A$8:$AW$855,23,0)</f>
        <v>8/12/2008</v>
      </c>
      <c r="S521" s="25" t="s">
        <v>2544</v>
      </c>
      <c r="T521" s="26" t="s">
        <v>2545</v>
      </c>
      <c r="U521" s="16"/>
      <c r="V521" s="16" t="str">
        <f>IFERROR(VLOOKUP(A521,'[2]19.6.2026'!$A$9:$L$1111,5,0),"")</f>
        <v>000936/LS-CCHN</v>
      </c>
      <c r="W521" s="16" t="str">
        <f>IFERROR(VLOOKUP(A521,'[2]19.6.2026'!$A$9:$L$1111,6,0),"")</f>
        <v>11/01/2023</v>
      </c>
      <c r="X521" s="16"/>
      <c r="Y521" s="21" t="str">
        <f>IFERROR(VLOOKUP(A521,'[2]19.6.2026'!$A$9:$L$1111,7,0),"")</f>
        <v>Thực hiện phạm vi hoạt động chuyên môn theo Thông tư số 26/2015/TTLT-BYT-BNV ngày 07/10/2015 quy định  mã số, tiêu chuẩn chức danh nghề nghiệp, điều dưỡng, hộ sinh, kỹ thuật y</v>
      </c>
      <c r="Z521" s="16"/>
      <c r="AA521" s="27" t="str">
        <f>IFERROR(VLOOKUP(A521,'[3]DS UPLOAD 2026 (2)'!$A$2:$P$1111,16,0),"")</f>
        <v/>
      </c>
      <c r="AB521" s="27" t="s">
        <v>2546</v>
      </c>
      <c r="AC521" s="28"/>
    </row>
    <row r="522" spans="1:29" ht="18" customHeight="1" x14ac:dyDescent="0.3">
      <c r="A522" s="17" t="s">
        <v>2547</v>
      </c>
      <c r="B522" s="18" t="s">
        <v>2548</v>
      </c>
      <c r="C522" s="17" t="s">
        <v>2547</v>
      </c>
      <c r="D522" s="19" t="s">
        <v>38</v>
      </c>
      <c r="E522" s="30" t="s">
        <v>41</v>
      </c>
      <c r="F522" s="16" t="str">
        <f>VLOOKUP(E522,'[1]BẢNG MÃ'!$A$2:$B$69,2,0)</f>
        <v>TĐ011</v>
      </c>
      <c r="G522" s="31" t="s">
        <v>42</v>
      </c>
      <c r="H522" s="31" t="s">
        <v>42</v>
      </c>
      <c r="I522" s="16" t="s">
        <v>2510</v>
      </c>
      <c r="J522" s="16" t="str">
        <f>VLOOKUP(I522,'[1]BẢNG MÃ'!$C$2:$D$69,2,0)</f>
        <v>KP025</v>
      </c>
      <c r="K522" s="16" t="s">
        <v>43</v>
      </c>
      <c r="L522" s="16">
        <v>0</v>
      </c>
      <c r="M522" s="16" t="s">
        <v>33</v>
      </c>
      <c r="N522" s="21">
        <f ca="1">VLOOKUP(A522,'[1]Bieu 1a'!$A$8:$AW$855,10,0)</f>
        <v>40</v>
      </c>
      <c r="O522" s="22">
        <f>VLOOKUP(A522,'[1]Bieu 1a'!$A$8:$AW$855,8,0)</f>
        <v>0</v>
      </c>
      <c r="P522" s="22">
        <f>VLOOKUP(A522,'[1]Bieu 1a'!$A$8:$AW$855,9,0)</f>
        <v>31543</v>
      </c>
      <c r="Q522" s="23" t="s">
        <v>44</v>
      </c>
      <c r="R522" s="24" t="str">
        <f>VLOOKUP(A522,'[1]Bieu 1a'!$A$8:$AW$855,23,0)</f>
        <v>15/1/2010</v>
      </c>
      <c r="S522" s="25" t="s">
        <v>2549</v>
      </c>
      <c r="T522" s="26" t="s">
        <v>2550</v>
      </c>
      <c r="U522" s="16"/>
      <c r="V522" s="16" t="str">
        <f>IFERROR(VLOOKUP(A522,'[2]19.6.2026'!$A$9:$L$1111,5,0),"")</f>
        <v>001038/LS-CCHN</v>
      </c>
      <c r="W522" s="16" t="str">
        <f>IFERROR(VLOOKUP(A522,'[2]19.6.2026'!$A$9:$L$1111,6,0),"")</f>
        <v>11/01/2023</v>
      </c>
      <c r="X522" s="16"/>
      <c r="Y522" s="21" t="str">
        <f>IFERROR(VLOOKUP(A522,'[2]19.6.2026'!$A$9:$L$1111,7,0),"")</f>
        <v>Thực hiện phạm vi hoạt động chuyên môn theo Thông tư số 26/2015/TTLT-BYT-BNV ngày 07/10/2015 quy định  mã số, tiêu chuẩn chức danh nghề nghiệp, điều dưỡng, hộ sinh, kỹ thuật y</v>
      </c>
      <c r="Z522" s="16"/>
      <c r="AA522" s="27" t="str">
        <f>IFERROR(VLOOKUP(A522,'[3]DS UPLOAD 2026 (2)'!$A$2:$P$1111,16,0),"")</f>
        <v/>
      </c>
      <c r="AB522" s="27" t="s">
        <v>2551</v>
      </c>
      <c r="AC522" s="28"/>
    </row>
    <row r="523" spans="1:29" ht="18" customHeight="1" x14ac:dyDescent="0.3">
      <c r="A523" s="17" t="s">
        <v>2552</v>
      </c>
      <c r="B523" s="18" t="s">
        <v>2553</v>
      </c>
      <c r="C523" s="17" t="s">
        <v>2552</v>
      </c>
      <c r="D523" s="19" t="s">
        <v>38</v>
      </c>
      <c r="E523" s="107" t="s">
        <v>41</v>
      </c>
      <c r="F523" s="16" t="str">
        <f>VLOOKUP(E523,'[1]BẢNG MÃ'!$A$2:$B$69,2,0)</f>
        <v>TĐ011</v>
      </c>
      <c r="G523" s="20" t="s">
        <v>42</v>
      </c>
      <c r="H523" s="20" t="s">
        <v>42</v>
      </c>
      <c r="I523" s="16" t="s">
        <v>2510</v>
      </c>
      <c r="J523" s="16" t="str">
        <f>VLOOKUP(I523,'[1]BẢNG MÃ'!$C$2:$D$69,2,0)</f>
        <v>KP025</v>
      </c>
      <c r="K523" s="16" t="s">
        <v>43</v>
      </c>
      <c r="L523" s="16">
        <v>0</v>
      </c>
      <c r="M523" s="16" t="s">
        <v>33</v>
      </c>
      <c r="N523" s="21">
        <f ca="1">VLOOKUP(A523,'[1]Bieu 1a'!$A$8:$AW$855,10,0)</f>
        <v>51</v>
      </c>
      <c r="O523" s="22">
        <f>VLOOKUP(A523,'[1]Bieu 1a'!$A$8:$AW$855,8,0)</f>
        <v>0</v>
      </c>
      <c r="P523" s="22">
        <f>VLOOKUP(A523,'[1]Bieu 1a'!$A$8:$AW$855,9,0)</f>
        <v>27364</v>
      </c>
      <c r="Q523" s="23" t="s">
        <v>50</v>
      </c>
      <c r="R523" s="24" t="str">
        <f>VLOOKUP(A523,'[1]Bieu 1a'!$A$8:$AW$855,23,0)</f>
        <v>2003</v>
      </c>
      <c r="S523" s="25" t="s">
        <v>2554</v>
      </c>
      <c r="T523" s="26" t="s">
        <v>2555</v>
      </c>
      <c r="U523" s="16"/>
      <c r="V523" s="16" t="str">
        <f>IFERROR(VLOOKUP(A523,'[2]19.6.2026'!$A$9:$L$1111,5,0),"")</f>
        <v>001027/LS-CCHN</v>
      </c>
      <c r="W523" s="16" t="str">
        <f>IFERROR(VLOOKUP(A523,'[2]19.6.2026'!$A$9:$L$1111,6,0),"")</f>
        <v>11/01/2023</v>
      </c>
      <c r="X523" s="16"/>
      <c r="Y523" s="21" t="str">
        <f>IFERROR(VLOOKUP(A523,'[2]19.6.2026'!$A$9:$L$1111,7,0),"")</f>
        <v>Thực hiện phạm vi hoạt động chuyên môn theo Thông tư số 26/2015/TTLT-BYT-BNV ngày 07/10/2015 quy định  mã số, tiêu chuẩn chức danh nghề nghiệp, điều dưỡng, hộ sinh, kỹ thuật y</v>
      </c>
      <c r="Z523" s="16"/>
      <c r="AA523" s="27" t="str">
        <f>IFERROR(VLOOKUP(A523,'[3]DS UPLOAD 2026 (2)'!$A$2:$P$1111,16,0),"")</f>
        <v/>
      </c>
      <c r="AB523" s="27" t="s">
        <v>2556</v>
      </c>
      <c r="AC523" s="28"/>
    </row>
    <row r="524" spans="1:29" ht="18" customHeight="1" x14ac:dyDescent="0.3">
      <c r="A524" s="17" t="s">
        <v>2557</v>
      </c>
      <c r="B524" s="18" t="s">
        <v>2558</v>
      </c>
      <c r="C524" s="17" t="s">
        <v>2557</v>
      </c>
      <c r="D524" s="19" t="s">
        <v>38</v>
      </c>
      <c r="E524" s="19" t="s">
        <v>61</v>
      </c>
      <c r="F524" s="16" t="str">
        <f>VLOOKUP(E524,'[1]BẢNG MÃ'!$A$2:$B$69,2,0)</f>
        <v>TĐ012</v>
      </c>
      <c r="G524" s="20" t="s">
        <v>62</v>
      </c>
      <c r="H524" s="20" t="s">
        <v>62</v>
      </c>
      <c r="I524" s="16" t="s">
        <v>468</v>
      </c>
      <c r="J524" s="16" t="str">
        <f>VLOOKUP(I524,'[1]BẢNG MÃ'!$C$2:$D$69,2,0)</f>
        <v>KP004</v>
      </c>
      <c r="K524" s="16" t="s">
        <v>43</v>
      </c>
      <c r="L524" s="16">
        <v>0</v>
      </c>
      <c r="M524" s="16" t="s">
        <v>33</v>
      </c>
      <c r="N524" s="21">
        <f ca="1">VLOOKUP(A524,'[1]Bieu 1a'!$A$8:$AW$855,10,0)</f>
        <v>36</v>
      </c>
      <c r="O524" s="22">
        <f>VLOOKUP(A524,'[1]Bieu 1a'!$A$8:$AW$855,8,0)</f>
        <v>0</v>
      </c>
      <c r="P524" s="22">
        <f>VLOOKUP(A524,'[1]Bieu 1a'!$A$8:$AW$855,9,0)</f>
        <v>32874</v>
      </c>
      <c r="Q524" s="23" t="s">
        <v>44</v>
      </c>
      <c r="R524" s="24" t="str">
        <f>VLOOKUP(A524,'[1]Bieu 1a'!$A$8:$AW$855,23,0)</f>
        <v>10/6/2013</v>
      </c>
      <c r="S524" s="25" t="s">
        <v>2559</v>
      </c>
      <c r="T524" s="26" t="s">
        <v>470</v>
      </c>
      <c r="U524" s="16"/>
      <c r="V524" s="16" t="str">
        <f>IFERROR(VLOOKUP(A524,'[2]19.6.2026'!$A$9:$L$1111,5,0),"")</f>
        <v>000924/LS-CCHN</v>
      </c>
      <c r="W524" s="16" t="str">
        <f>IFERROR(VLOOKUP(A524,'[2]19.6.2026'!$A$9:$L$1111,6,0),"")</f>
        <v>24/06/2013</v>
      </c>
      <c r="X524" s="16"/>
      <c r="Y524" s="21" t="str">
        <f>IFERROR(VLOOKUP(A524,'[2]19.6.2026'!$A$9:$L$1111,7,0),"")</f>
        <v>Theo quy định tại Quyết định số 41/2005/QĐ-BNV ngày 22/4/2005 của Bộ trưởng Bộ Nội vụ về việc ban hành tiêu chuẩn nghiệp vụ các ngạch viên chức y tế điều dưỡng</v>
      </c>
      <c r="Z524" s="16"/>
      <c r="AA524" s="27" t="str">
        <f>IFERROR(VLOOKUP(A524,'[3]DS UPLOAD 2026 (2)'!$A$2:$P$1111,16,0),"")</f>
        <v/>
      </c>
      <c r="AB524" s="27" t="s">
        <v>2560</v>
      </c>
      <c r="AC524" s="28"/>
    </row>
    <row r="525" spans="1:29" ht="18" customHeight="1" x14ac:dyDescent="0.3">
      <c r="A525" s="17" t="s">
        <v>2561</v>
      </c>
      <c r="B525" s="29" t="s">
        <v>2562</v>
      </c>
      <c r="C525" s="17" t="s">
        <v>2561</v>
      </c>
      <c r="D525" s="19"/>
      <c r="E525" s="19" t="s">
        <v>61</v>
      </c>
      <c r="F525" s="16" t="str">
        <f>VLOOKUP(E525,'[1]BẢNG MÃ'!$A$2:$B$69,2,0)</f>
        <v>TĐ012</v>
      </c>
      <c r="G525" s="20" t="s">
        <v>62</v>
      </c>
      <c r="H525" s="20" t="s">
        <v>62</v>
      </c>
      <c r="I525" s="16" t="s">
        <v>2510</v>
      </c>
      <c r="J525" s="16" t="str">
        <f>VLOOKUP(I525,'[1]BẢNG MÃ'!$C$2:$D$69,2,0)</f>
        <v>KP025</v>
      </c>
      <c r="K525" s="16" t="s">
        <v>43</v>
      </c>
      <c r="L525" s="16">
        <v>0</v>
      </c>
      <c r="M525" s="16" t="s">
        <v>33</v>
      </c>
      <c r="N525" s="21">
        <f ca="1">VLOOKUP(A525,'[1]Bieu 1a'!$A$8:$AW$855,10,0)</f>
        <v>34</v>
      </c>
      <c r="O525" s="22" t="str">
        <f>VLOOKUP(A525,'[1]Bieu 1a'!$A$8:$AW$855,8,0)</f>
        <v>26/10/1991</v>
      </c>
      <c r="P525" s="22">
        <f>VLOOKUP(A525,'[1]Bieu 1a'!$A$8:$AW$855,9,0)</f>
        <v>0</v>
      </c>
      <c r="Q525" s="23" t="s">
        <v>34</v>
      </c>
      <c r="R525" s="24" t="str">
        <f>VLOOKUP(A525,'[1]Bieu 1a'!$A$8:$AW$855,23,0)</f>
        <v>05/6/2013</v>
      </c>
      <c r="S525" s="25" t="s">
        <v>2563</v>
      </c>
      <c r="T525" s="26" t="s">
        <v>2564</v>
      </c>
      <c r="U525" s="16"/>
      <c r="V525" s="16" t="str">
        <f>IFERROR(VLOOKUP(A525,'[2]19.6.2026'!$A$9:$L$1111,5,0),"")</f>
        <v>003019/LS-CCHN</v>
      </c>
      <c r="W525" s="16" t="str">
        <f>IFERROR(VLOOKUP(A525,'[2]19.6.2026'!$A$9:$L$1111,6,0),"")</f>
        <v>16/06/2015</v>
      </c>
      <c r="X525" s="16"/>
      <c r="Y525" s="21" t="str">
        <f>IFERROR(VLOOKUP(A525,'[2]19.6.2026'!$A$9:$L$1111,7,0),"")</f>
        <v>Chăm sóc người bệnh theo chuyên khoa Gây mê hồi sức</v>
      </c>
      <c r="Z525" s="16"/>
      <c r="AA525" s="27" t="str">
        <f>IFERROR(VLOOKUP(A525,'[3]DS UPLOAD 2026 (2)'!$A$2:$P$1111,16,0),"")</f>
        <v/>
      </c>
      <c r="AB525" s="27" t="s">
        <v>2565</v>
      </c>
      <c r="AC525" s="28"/>
    </row>
    <row r="526" spans="1:29" ht="18" customHeight="1" x14ac:dyDescent="0.3">
      <c r="A526" s="17" t="s">
        <v>2566</v>
      </c>
      <c r="B526" s="18" t="s">
        <v>2567</v>
      </c>
      <c r="C526" s="17" t="s">
        <v>2566</v>
      </c>
      <c r="D526" s="19"/>
      <c r="E526" s="19" t="s">
        <v>61</v>
      </c>
      <c r="F526" s="16" t="str">
        <f>VLOOKUP(E526,'[1]BẢNG MÃ'!$A$2:$B$69,2,0)</f>
        <v>TĐ012</v>
      </c>
      <c r="G526" s="20" t="s">
        <v>62</v>
      </c>
      <c r="H526" s="20" t="s">
        <v>62</v>
      </c>
      <c r="I526" s="16" t="s">
        <v>2510</v>
      </c>
      <c r="J526" s="16" t="str">
        <f>VLOOKUP(I526,'[1]BẢNG MÃ'!$C$2:$D$69,2,0)</f>
        <v>KP025</v>
      </c>
      <c r="K526" s="16" t="s">
        <v>43</v>
      </c>
      <c r="L526" s="16">
        <v>0</v>
      </c>
      <c r="M526" s="16" t="s">
        <v>33</v>
      </c>
      <c r="N526" s="21">
        <f ca="1">VLOOKUP(A526,'[1]Bieu 1a'!$A$8:$AW$855,10,0)</f>
        <v>59</v>
      </c>
      <c r="O526" s="22">
        <f>VLOOKUP(A526,'[1]Bieu 1a'!$A$8:$AW$855,8,0)</f>
        <v>24584</v>
      </c>
      <c r="P526" s="22">
        <f>VLOOKUP(A526,'[1]Bieu 1a'!$A$8:$AW$855,9,0)</f>
        <v>0</v>
      </c>
      <c r="Q526" s="23" t="s">
        <v>50</v>
      </c>
      <c r="R526" s="24" t="str">
        <f>VLOOKUP(A526,'[1]Bieu 1a'!$A$8:$AW$855,23,0)</f>
        <v>29/5/1990</v>
      </c>
      <c r="S526" s="25" t="s">
        <v>2568</v>
      </c>
      <c r="T526" s="26" t="s">
        <v>2569</v>
      </c>
      <c r="U526" s="16"/>
      <c r="V526" s="16" t="str">
        <f>IFERROR(VLOOKUP(A526,'[2]19.6.2026'!$A$9:$L$1111,5,0),"")</f>
        <v>001025/LS-CCHN</v>
      </c>
      <c r="W526" s="16" t="str">
        <f>IFERROR(VLOOKUP(A526,'[2]19.6.2026'!$A$9:$L$1111,6,0),"")</f>
        <v>24/06/2013</v>
      </c>
      <c r="X526" s="16"/>
      <c r="Y526" s="21" t="str">
        <f>IFERROR(VLOOKUP(A526,'[2]19.6.2026'!$A$9:$L$1111,7,0),"")</f>
        <v>Chăm sóc người bệnh theo chuyên khoa Gây mê hồi sức</v>
      </c>
      <c r="Z526" s="16"/>
      <c r="AA526" s="27" t="str">
        <f>IFERROR(VLOOKUP(A526,'[3]DS UPLOAD 2026 (2)'!$A$2:$P$1111,16,0),"")</f>
        <v/>
      </c>
      <c r="AB526" s="27" t="s">
        <v>2570</v>
      </c>
      <c r="AC526" s="28"/>
    </row>
    <row r="527" spans="1:29" ht="18" customHeight="1" x14ac:dyDescent="0.3">
      <c r="A527" s="17" t="s">
        <v>2571</v>
      </c>
      <c r="B527" s="18" t="s">
        <v>2572</v>
      </c>
      <c r="C527" s="17" t="s">
        <v>2571</v>
      </c>
      <c r="D527" s="19" t="s">
        <v>38</v>
      </c>
      <c r="E527" s="19" t="s">
        <v>61</v>
      </c>
      <c r="F527" s="16" t="str">
        <f>VLOOKUP(E527,'[1]BẢNG MÃ'!$A$2:$B$69,2,0)</f>
        <v>TĐ012</v>
      </c>
      <c r="G527" s="123" t="s">
        <v>2345</v>
      </c>
      <c r="H527" s="123" t="s">
        <v>2345</v>
      </c>
      <c r="I527" s="16" t="s">
        <v>2510</v>
      </c>
      <c r="J527" s="16" t="str">
        <f>VLOOKUP(I527,'[1]BẢNG MÃ'!$C$2:$D$69,2,0)</f>
        <v>KP025</v>
      </c>
      <c r="K527" s="16" t="s">
        <v>43</v>
      </c>
      <c r="L527" s="16">
        <v>0</v>
      </c>
      <c r="M527" s="16" t="s">
        <v>33</v>
      </c>
      <c r="N527" s="21">
        <f ca="1">VLOOKUP(A527,'[1]Bieu 1a'!$A$8:$AW$855,10,0)</f>
        <v>56</v>
      </c>
      <c r="O527" s="22">
        <f>VLOOKUP(A527,'[1]Bieu 1a'!$A$8:$AW$855,8,0)</f>
        <v>0</v>
      </c>
      <c r="P527" s="22">
        <f>VLOOKUP(A527,'[1]Bieu 1a'!$A$8:$AW$855,9,0)</f>
        <v>25749</v>
      </c>
      <c r="Q527" s="23" t="s">
        <v>50</v>
      </c>
      <c r="R527" s="24" t="str">
        <f>VLOOKUP(A527,'[1]Bieu 1a'!$A$8:$AW$855,23,0)</f>
        <v>1/9/1993</v>
      </c>
      <c r="S527" s="25" t="s">
        <v>2573</v>
      </c>
      <c r="T527" s="26" t="s">
        <v>2574</v>
      </c>
      <c r="U527" s="16"/>
      <c r="V527" s="16" t="str">
        <f>IFERROR(VLOOKUP(A527,'[2]19.6.2026'!$A$9:$L$1111,5,0),"")</f>
        <v>001026/LS-CCHN</v>
      </c>
      <c r="W527" s="16" t="str">
        <f>IFERROR(VLOOKUP(A527,'[2]19.6.2026'!$A$9:$L$1111,6,0),"")</f>
        <v>24/06/2013</v>
      </c>
      <c r="X527" s="16"/>
      <c r="Y527" s="21" t="str">
        <f>IFERROR(VLOOKUP(A527,'[2]19.6.2026'!$A$9:$L$1111,7,0),"")</f>
        <v>Chăm sóc người bệnh theo chuyên khoa Gây mê hồi sức</v>
      </c>
      <c r="Z527" s="16"/>
      <c r="AA527" s="27" t="str">
        <f>IFERROR(VLOOKUP(A527,'[3]DS UPLOAD 2026 (2)'!$A$2:$P$1111,16,0),"")</f>
        <v/>
      </c>
      <c r="AB527" s="27" t="s">
        <v>2575</v>
      </c>
      <c r="AC527" s="28"/>
    </row>
    <row r="528" spans="1:29" ht="18" customHeight="1" x14ac:dyDescent="0.3">
      <c r="A528" s="17" t="s">
        <v>2576</v>
      </c>
      <c r="B528" s="29" t="s">
        <v>2577</v>
      </c>
      <c r="C528" s="17" t="s">
        <v>2576</v>
      </c>
      <c r="D528" s="19" t="s">
        <v>38</v>
      </c>
      <c r="E528" s="19" t="s">
        <v>61</v>
      </c>
      <c r="F528" s="16" t="str">
        <f>VLOOKUP(E528,'[1]BẢNG MÃ'!$A$2:$B$69,2,0)</f>
        <v>TĐ012</v>
      </c>
      <c r="G528" s="20" t="s">
        <v>62</v>
      </c>
      <c r="H528" s="20" t="s">
        <v>62</v>
      </c>
      <c r="I528" s="16" t="s">
        <v>2510</v>
      </c>
      <c r="J528" s="16" t="str">
        <f>VLOOKUP(I528,'[1]BẢNG MÃ'!$C$2:$D$69,2,0)</f>
        <v>KP025</v>
      </c>
      <c r="K528" s="16" t="s">
        <v>43</v>
      </c>
      <c r="L528" s="16">
        <v>0</v>
      </c>
      <c r="M528" s="16" t="s">
        <v>33</v>
      </c>
      <c r="N528" s="21">
        <f ca="1">VLOOKUP(A528,'[1]Bieu 1a'!$A$8:$AW$855,10,0)</f>
        <v>38</v>
      </c>
      <c r="O528" s="22">
        <f>VLOOKUP(A528,'[1]Bieu 1a'!$A$8:$AW$855,8,0)</f>
        <v>0</v>
      </c>
      <c r="P528" s="22">
        <f>VLOOKUP(A528,'[1]Bieu 1a'!$A$8:$AW$855,9,0)</f>
        <v>32175</v>
      </c>
      <c r="Q528" s="23" t="s">
        <v>50</v>
      </c>
      <c r="R528" s="24" t="str">
        <f>VLOOKUP(A528,'[1]Bieu 1a'!$A$8:$AW$855,23,0)</f>
        <v>15/1/2010</v>
      </c>
      <c r="S528" s="25" t="s">
        <v>2578</v>
      </c>
      <c r="T528" s="26" t="s">
        <v>2579</v>
      </c>
      <c r="U528" s="16"/>
      <c r="V528" s="16" t="str">
        <f>IFERROR(VLOOKUP(A528,'[2]19.6.2026'!$A$9:$L$1111,5,0),"")</f>
        <v>000790/LS-CCHN</v>
      </c>
      <c r="W528" s="16" t="str">
        <f>IFERROR(VLOOKUP(A528,'[2]19.6.2026'!$A$9:$L$1111,6,0),"")</f>
        <v>11/01/2023</v>
      </c>
      <c r="X528" s="16"/>
      <c r="Y528" s="21" t="str">
        <f>IFERROR(VLOOKUP(A528,'[2]19.6.2026'!$A$9:$L$1111,7,0),"")</f>
        <v>Thực hiện phạm vi hoạt động chuyên môn theo Thông tư số 26/2015/TTLT-BYT-BNV ngày 07/10/2015 quy định  mã số, tiêu chuẩn chức danh nghề nghiệp, điều dưỡng, hộ sinh, kỹ thuật y</v>
      </c>
      <c r="Z528" s="16"/>
      <c r="AA528" s="27" t="str">
        <f>IFERROR(VLOOKUP(A528,'[3]DS UPLOAD 2026 (2)'!$A$2:$P$1111,16,0),"")</f>
        <v/>
      </c>
      <c r="AB528" s="27" t="s">
        <v>2580</v>
      </c>
      <c r="AC528" s="28"/>
    </row>
    <row r="529" spans="1:29" ht="18" customHeight="1" x14ac:dyDescent="0.3">
      <c r="A529" s="17" t="s">
        <v>2581</v>
      </c>
      <c r="B529" s="18" t="s">
        <v>2582</v>
      </c>
      <c r="C529" s="17" t="s">
        <v>2581</v>
      </c>
      <c r="D529" s="19" t="s">
        <v>38</v>
      </c>
      <c r="E529" s="19" t="s">
        <v>61</v>
      </c>
      <c r="F529" s="16" t="str">
        <f>VLOOKUP(E529,'[1]BẢNG MÃ'!$A$2:$B$69,2,0)</f>
        <v>TĐ012</v>
      </c>
      <c r="G529" s="20" t="s">
        <v>62</v>
      </c>
      <c r="H529" s="20" t="s">
        <v>62</v>
      </c>
      <c r="I529" s="16" t="s">
        <v>2510</v>
      </c>
      <c r="J529" s="16" t="str">
        <f>VLOOKUP(I529,'[1]BẢNG MÃ'!$C$2:$D$69,2,0)</f>
        <v>KP025</v>
      </c>
      <c r="K529" s="16" t="s">
        <v>43</v>
      </c>
      <c r="L529" s="16">
        <v>0</v>
      </c>
      <c r="M529" s="16" t="s">
        <v>33</v>
      </c>
      <c r="N529" s="21">
        <f ca="1">VLOOKUP(A529,'[1]Bieu 1a'!$A$8:$AW$855,10,0)</f>
        <v>38</v>
      </c>
      <c r="O529" s="22">
        <f>VLOOKUP(A529,'[1]Bieu 1a'!$A$8:$AW$855,8,0)</f>
        <v>0</v>
      </c>
      <c r="P529" s="22">
        <f>VLOOKUP(A529,'[1]Bieu 1a'!$A$8:$AW$855,9,0)</f>
        <v>32268</v>
      </c>
      <c r="Q529" s="23" t="s">
        <v>44</v>
      </c>
      <c r="R529" s="24" t="str">
        <f>VLOOKUP(A529,'[1]Bieu 1a'!$A$8:$AW$855,23,0)</f>
        <v>1/12/2010</v>
      </c>
      <c r="S529" s="25" t="s">
        <v>2583</v>
      </c>
      <c r="T529" s="26" t="s">
        <v>2584</v>
      </c>
      <c r="U529" s="16"/>
      <c r="V529" s="16" t="str">
        <f>IFERROR(VLOOKUP(A529,'[2]19.6.2026'!$A$9:$L$1111,5,0),"")</f>
        <v>000920/LS-CCHN</v>
      </c>
      <c r="W529" s="16" t="str">
        <f>IFERROR(VLOOKUP(A529,'[2]19.6.2026'!$A$9:$L$1111,6,0),"")</f>
        <v>11/01/2023</v>
      </c>
      <c r="X529" s="16"/>
      <c r="Y529" s="21" t="str">
        <f>IFERROR(VLOOKUP(A529,'[2]19.6.2026'!$A$9:$L$1111,7,0),"")</f>
        <v>Thực hiện phạm vi hoạt động chuyên môn theo Thông tư số 26/2015/TTLT-BYT-BNV ngày 07/10/2015 quy định  mã số, tiêu chuẩn chức danh nghề nghiệp, điều dưỡng, hộ sinh, kỹ thuật y</v>
      </c>
      <c r="Z529" s="16"/>
      <c r="AA529" s="27" t="str">
        <f>IFERROR(VLOOKUP(A529,'[3]DS UPLOAD 2026 (2)'!$A$2:$P$1111,16,0),"")</f>
        <v/>
      </c>
      <c r="AB529" s="27" t="s">
        <v>2585</v>
      </c>
      <c r="AC529" s="28"/>
    </row>
    <row r="530" spans="1:29" ht="17.25" customHeight="1" x14ac:dyDescent="0.3">
      <c r="A530" s="17" t="s">
        <v>2586</v>
      </c>
      <c r="B530" s="18" t="s">
        <v>2587</v>
      </c>
      <c r="C530" s="17" t="s">
        <v>2586</v>
      </c>
      <c r="D530" s="19" t="s">
        <v>38</v>
      </c>
      <c r="E530" s="19" t="s">
        <v>61</v>
      </c>
      <c r="F530" s="16" t="str">
        <f>VLOOKUP(E530,'[1]BẢNG MÃ'!$A$2:$B$69,2,0)</f>
        <v>TĐ012</v>
      </c>
      <c r="G530" s="20" t="s">
        <v>62</v>
      </c>
      <c r="H530" s="20" t="s">
        <v>62</v>
      </c>
      <c r="I530" s="16" t="s">
        <v>2510</v>
      </c>
      <c r="J530" s="16" t="str">
        <f>VLOOKUP(I530,'[1]BẢNG MÃ'!$C$2:$D$69,2,0)</f>
        <v>KP025</v>
      </c>
      <c r="K530" s="16" t="s">
        <v>43</v>
      </c>
      <c r="L530" s="16">
        <v>0</v>
      </c>
      <c r="M530" s="16" t="s">
        <v>33</v>
      </c>
      <c r="N530" s="21">
        <f ca="1">VLOOKUP(A530,'[1]Bieu 1a'!$A$8:$AW$855,10,0)</f>
        <v>39</v>
      </c>
      <c r="O530" s="22">
        <f>VLOOKUP(A530,'[1]Bieu 1a'!$A$8:$AW$855,8,0)</f>
        <v>0</v>
      </c>
      <c r="P530" s="22">
        <f>VLOOKUP(A530,'[1]Bieu 1a'!$A$8:$AW$855,9,0)</f>
        <v>31723</v>
      </c>
      <c r="Q530" s="23" t="s">
        <v>50</v>
      </c>
      <c r="R530" s="24" t="str">
        <f>VLOOKUP(A530,'[1]Bieu 1a'!$A$8:$AW$855,23,0)</f>
        <v>1/12/2008</v>
      </c>
      <c r="S530" s="25" t="s">
        <v>2588</v>
      </c>
      <c r="T530" s="26" t="s">
        <v>2589</v>
      </c>
      <c r="U530" s="16"/>
      <c r="V530" s="16" t="str">
        <f>IFERROR(VLOOKUP(A530,'[2]19.6.2026'!$A$9:$L$1111,5,0),"")</f>
        <v>001033/LS-CCHN</v>
      </c>
      <c r="W530" s="16" t="str">
        <f>IFERROR(VLOOKUP(A530,'[2]19.6.2026'!$A$9:$L$1111,6,0),"")</f>
        <v>24/06/2013</v>
      </c>
      <c r="X530" s="16"/>
      <c r="Y530" s="21" t="str">
        <f>IFERROR(VLOOKUP(A530,'[2]19.6.2026'!$A$9:$L$1111,7,0),"")</f>
        <v>Chăm sóc người bệnh theo chuyên khoa Gây mê hồi sức</v>
      </c>
      <c r="Z530" s="16"/>
      <c r="AA530" s="27" t="str">
        <f>IFERROR(VLOOKUP(A530,'[3]DS UPLOAD 2026 (2)'!$A$2:$P$1111,16,0),"")</f>
        <v/>
      </c>
      <c r="AB530" s="27" t="s">
        <v>2590</v>
      </c>
      <c r="AC530" s="28"/>
    </row>
    <row r="531" spans="1:29" ht="18" customHeight="1" x14ac:dyDescent="0.3">
      <c r="A531" s="17" t="s">
        <v>2591</v>
      </c>
      <c r="B531" s="18" t="s">
        <v>2592</v>
      </c>
      <c r="C531" s="17" t="s">
        <v>2591</v>
      </c>
      <c r="D531" s="19" t="s">
        <v>38</v>
      </c>
      <c r="E531" s="19" t="s">
        <v>61</v>
      </c>
      <c r="F531" s="16" t="str">
        <f>VLOOKUP(E531,'[1]BẢNG MÃ'!$A$2:$B$69,2,0)</f>
        <v>TĐ012</v>
      </c>
      <c r="G531" s="20" t="s">
        <v>62</v>
      </c>
      <c r="H531" s="20" t="s">
        <v>62</v>
      </c>
      <c r="I531" s="16" t="s">
        <v>2510</v>
      </c>
      <c r="J531" s="16" t="str">
        <f>VLOOKUP(I531,'[1]BẢNG MÃ'!$C$2:$D$69,2,0)</f>
        <v>KP025</v>
      </c>
      <c r="K531" s="16" t="s">
        <v>43</v>
      </c>
      <c r="L531" s="16">
        <v>0</v>
      </c>
      <c r="M531" s="16" t="s">
        <v>33</v>
      </c>
      <c r="N531" s="21">
        <f ca="1">VLOOKUP(A531,'[1]Bieu 1a'!$A$8:$AW$855,10,0)</f>
        <v>51</v>
      </c>
      <c r="O531" s="22">
        <f>VLOOKUP(A531,'[1]Bieu 1a'!$A$8:$AW$855,8,0)</f>
        <v>0</v>
      </c>
      <c r="P531" s="22">
        <f>VLOOKUP(A531,'[1]Bieu 1a'!$A$8:$AW$855,9,0)</f>
        <v>27412</v>
      </c>
      <c r="Q531" s="23" t="s">
        <v>44</v>
      </c>
      <c r="R531" s="24" t="str">
        <f>VLOOKUP(A531,'[1]Bieu 1a'!$A$8:$AW$855,23,0)</f>
        <v>1/11/1994</v>
      </c>
      <c r="S531" s="25" t="s">
        <v>2593</v>
      </c>
      <c r="T531" s="26" t="s">
        <v>2594</v>
      </c>
      <c r="U531" s="16"/>
      <c r="V531" s="16" t="str">
        <f>IFERROR(VLOOKUP(A531,'[2]19.6.2026'!$A$9:$L$1111,5,0),"")</f>
        <v>001036/LS-CCHN</v>
      </c>
      <c r="W531" s="16" t="str">
        <f>IFERROR(VLOOKUP(A531,'[2]19.6.2026'!$A$9:$L$1111,6,0),"")</f>
        <v>24/06/2013</v>
      </c>
      <c r="X531" s="16"/>
      <c r="Y531" s="21" t="str">
        <f>IFERROR(VLOOKUP(A531,'[2]19.6.2026'!$A$9:$L$1111,7,0),"")</f>
        <v>Theo quy định tại Quyết định số 41/2005/QĐ-BNV ngày 22/4/2005 của Bộ trưởng Bộ Nội vụ về việc ban hành tiêu chuẩn nghiệp vụ các ngạch viên chức y tế điều dưỡng</v>
      </c>
      <c r="Z531" s="16"/>
      <c r="AA531" s="27" t="str">
        <f>IFERROR(VLOOKUP(A531,'[3]DS UPLOAD 2026 (2)'!$A$2:$P$1111,16,0),"")</f>
        <v/>
      </c>
      <c r="AB531" s="27" t="s">
        <v>2595</v>
      </c>
      <c r="AC531" s="29"/>
    </row>
    <row r="532" spans="1:29" ht="18" customHeight="1" x14ac:dyDescent="0.3">
      <c r="A532" s="17" t="s">
        <v>2596</v>
      </c>
      <c r="B532" s="18" t="s">
        <v>2597</v>
      </c>
      <c r="C532" s="17" t="s">
        <v>2596</v>
      </c>
      <c r="D532" s="19" t="s">
        <v>38</v>
      </c>
      <c r="E532" s="19" t="s">
        <v>61</v>
      </c>
      <c r="F532" s="16" t="str">
        <f>VLOOKUP(E532,'[1]BẢNG MÃ'!$A$2:$B$69,2,0)</f>
        <v>TĐ012</v>
      </c>
      <c r="G532" s="20" t="s">
        <v>62</v>
      </c>
      <c r="H532" s="20" t="s">
        <v>62</v>
      </c>
      <c r="I532" s="16" t="s">
        <v>2510</v>
      </c>
      <c r="J532" s="16" t="str">
        <f>VLOOKUP(I532,'[1]BẢNG MÃ'!$C$2:$D$69,2,0)</f>
        <v>KP025</v>
      </c>
      <c r="K532" s="16" t="s">
        <v>43</v>
      </c>
      <c r="L532" s="16">
        <v>0</v>
      </c>
      <c r="M532" s="16" t="s">
        <v>33</v>
      </c>
      <c r="N532" s="21">
        <f ca="1">VLOOKUP(A532,'[1]Bieu 1a'!$A$8:$AW$855,10,0)</f>
        <v>46</v>
      </c>
      <c r="O532" s="22">
        <f>VLOOKUP(A532,'[1]Bieu 1a'!$A$8:$AW$855,8,0)</f>
        <v>0</v>
      </c>
      <c r="P532" s="22">
        <f>VLOOKUP(A532,'[1]Bieu 1a'!$A$8:$AW$855,9,0)</f>
        <v>29316</v>
      </c>
      <c r="Q532" s="23" t="s">
        <v>44</v>
      </c>
      <c r="R532" s="24" t="str">
        <f>VLOOKUP(A532,'[1]Bieu 1a'!$A$8:$AW$855,23,0)</f>
        <v>6/11/2006</v>
      </c>
      <c r="S532" s="25" t="s">
        <v>2598</v>
      </c>
      <c r="T532" s="26" t="s">
        <v>2599</v>
      </c>
      <c r="U532" s="16"/>
      <c r="V532" s="16" t="str">
        <f>IFERROR(VLOOKUP(A532,'[2]19.6.2026'!$A$9:$L$1111,5,0),"")</f>
        <v>001034/LS-CCHN</v>
      </c>
      <c r="W532" s="16" t="str">
        <f>IFERROR(VLOOKUP(A532,'[2]19.6.2026'!$A$9:$L$1111,6,0),"")</f>
        <v>11/01/2023</v>
      </c>
      <c r="X532" s="16"/>
      <c r="Y532" s="21" t="str">
        <f>IFERROR(VLOOKUP(A532,'[2]19.6.2026'!$A$9:$L$1111,7,0),"")</f>
        <v>Thực hiện phạm vi hoạt động chuyên môn theo Thông tư số 26/2015/TTLT-BYT-BNV ngày 07/10/2015 quy định  mã số, tiêu chuẩn chức danh nghề nghiệp, điều dưỡng, hộ sinh, kỹ thuật y</v>
      </c>
      <c r="Z532" s="16"/>
      <c r="AA532" s="27" t="str">
        <f>IFERROR(VLOOKUP(A532,'[3]DS UPLOAD 2026 (2)'!$A$2:$P$1111,16,0),"")</f>
        <v/>
      </c>
      <c r="AB532" s="27" t="s">
        <v>2600</v>
      </c>
      <c r="AC532" s="28"/>
    </row>
    <row r="533" spans="1:29" ht="18" customHeight="1" x14ac:dyDescent="0.3">
      <c r="A533" s="17" t="s">
        <v>2601</v>
      </c>
      <c r="B533" s="18" t="s">
        <v>2602</v>
      </c>
      <c r="C533" s="17" t="s">
        <v>2601</v>
      </c>
      <c r="D533" s="19" t="s">
        <v>38</v>
      </c>
      <c r="E533" s="19" t="s">
        <v>61</v>
      </c>
      <c r="F533" s="16" t="str">
        <f>VLOOKUP(E533,'[1]BẢNG MÃ'!$A$2:$B$69,2,0)</f>
        <v>TĐ012</v>
      </c>
      <c r="G533" s="20" t="s">
        <v>62</v>
      </c>
      <c r="H533" s="20" t="s">
        <v>62</v>
      </c>
      <c r="I533" s="16" t="s">
        <v>2510</v>
      </c>
      <c r="J533" s="16" t="str">
        <f>VLOOKUP(I533,'[1]BẢNG MÃ'!$C$2:$D$69,2,0)</f>
        <v>KP025</v>
      </c>
      <c r="K533" s="16" t="s">
        <v>43</v>
      </c>
      <c r="L533" s="16">
        <v>0</v>
      </c>
      <c r="M533" s="16" t="s">
        <v>33</v>
      </c>
      <c r="N533" s="21">
        <f ca="1">VLOOKUP(A533,'[1]Bieu 1a'!$A$8:$AW$855,10,0)</f>
        <v>41</v>
      </c>
      <c r="O533" s="22">
        <f>VLOOKUP(A533,'[1]Bieu 1a'!$A$8:$AW$855,8,0)</f>
        <v>0</v>
      </c>
      <c r="P533" s="22">
        <f>VLOOKUP(A533,'[1]Bieu 1a'!$A$8:$AW$855,9,0)</f>
        <v>30960</v>
      </c>
      <c r="Q533" s="23" t="s">
        <v>44</v>
      </c>
      <c r="R533" s="24" t="str">
        <f>VLOOKUP(A533,'[1]Bieu 1a'!$A$8:$AW$855,23,0)</f>
        <v>15/1/2010</v>
      </c>
      <c r="S533" s="25" t="s">
        <v>2603</v>
      </c>
      <c r="T533" s="26" t="s">
        <v>2604</v>
      </c>
      <c r="U533" s="16"/>
      <c r="V533" s="16" t="str">
        <f>IFERROR(VLOOKUP(A533,'[2]19.6.2026'!$A$9:$L$1111,5,0),"")</f>
        <v>000918/LS-CCHN</v>
      </c>
      <c r="W533" s="16" t="str">
        <f>IFERROR(VLOOKUP(A533,'[2]19.6.2026'!$A$9:$L$1111,6,0),"")</f>
        <v>11/01/2023</v>
      </c>
      <c r="X533" s="16"/>
      <c r="Y533" s="21" t="str">
        <f>IFERROR(VLOOKUP(A533,'[2]19.6.2026'!$A$9:$L$1111,7,0),"")</f>
        <v>Thực hiện phạm vi hoạt động chuyên môn theo Thông tư số 26/2015/TTLT-BYT-BNV ngày 07/10/2015 quy định  mã số, tiêu chuẩn chức danh nghề nghiệp, điều dưỡng, hộ sinh, kỹ thuật y</v>
      </c>
      <c r="Z533" s="16"/>
      <c r="AA533" s="27" t="str">
        <f>IFERROR(VLOOKUP(A533,'[3]DS UPLOAD 2026 (2)'!$A$2:$P$1111,16,0),"")</f>
        <v/>
      </c>
      <c r="AB533" s="27" t="s">
        <v>2605</v>
      </c>
      <c r="AC533" s="28"/>
    </row>
    <row r="534" spans="1:29" ht="18" customHeight="1" x14ac:dyDescent="0.3">
      <c r="A534" s="17" t="s">
        <v>2606</v>
      </c>
      <c r="B534" s="18" t="s">
        <v>2607</v>
      </c>
      <c r="C534" s="17" t="s">
        <v>2606</v>
      </c>
      <c r="D534" s="19" t="s">
        <v>38</v>
      </c>
      <c r="E534" s="19" t="s">
        <v>61</v>
      </c>
      <c r="F534" s="16" t="str">
        <f>VLOOKUP(E534,'[1]BẢNG MÃ'!$A$2:$B$69,2,0)</f>
        <v>TĐ012</v>
      </c>
      <c r="G534" s="20" t="s">
        <v>62</v>
      </c>
      <c r="H534" s="20" t="s">
        <v>62</v>
      </c>
      <c r="I534" s="16" t="s">
        <v>2510</v>
      </c>
      <c r="J534" s="16" t="str">
        <f>VLOOKUP(I534,'[1]BẢNG MÃ'!$C$2:$D$69,2,0)</f>
        <v>KP025</v>
      </c>
      <c r="K534" s="16"/>
      <c r="L534" s="16">
        <v>0</v>
      </c>
      <c r="M534" s="16" t="s">
        <v>33</v>
      </c>
      <c r="N534" s="21">
        <f ca="1">VLOOKUP(A534,'[1]Bieu 1a'!$A$8:$AW$855,10,0)</f>
        <v>33</v>
      </c>
      <c r="O534" s="22">
        <f>VLOOKUP(A534,'[1]Bieu 1a'!$A$8:$AW$855,8,0)</f>
        <v>0</v>
      </c>
      <c r="P534" s="22">
        <f>VLOOKUP(A534,'[1]Bieu 1a'!$A$8:$AW$855,9,0)</f>
        <v>34061</v>
      </c>
      <c r="Q534" s="23" t="s">
        <v>44</v>
      </c>
      <c r="R534" s="24" t="str">
        <f>VLOOKUP(A534,'[1]Bieu 1a'!$A$8:$AW$855,23,0)</f>
        <v>20/3/2018</v>
      </c>
      <c r="S534" s="25" t="s">
        <v>2608</v>
      </c>
      <c r="T534" s="26" t="s">
        <v>2609</v>
      </c>
      <c r="U534" s="16"/>
      <c r="V534" s="16" t="str">
        <f>IFERROR(VLOOKUP(A534,'[2]19.6.2026'!$A$9:$L$1111,5,0),"")</f>
        <v>000726/LS-CCHN</v>
      </c>
      <c r="W534" s="16" t="str">
        <f>IFERROR(VLOOKUP(A534,'[2]19.6.2026'!$A$9:$L$1111,6,0),"")</f>
        <v>25/07/2017</v>
      </c>
      <c r="X534" s="16"/>
      <c r="Y534" s="21" t="str">
        <f>IFERROR(VLOOKUP(A534,'[2]19.6.2026'!$A$9:$L$1111,7,0),"")</f>
        <v>Thực hiện phạm vi hoạt động chuyên môn theo quy định tại Thông tư số 26/2015/TTLT-BYT-BNV ngày 07/10/2015 quy định mã số, tiêu chuẩn chức danh nghề nghiệp điều dưỡng, hộ sinh, kỹ thuật y</v>
      </c>
      <c r="Z534" s="16"/>
      <c r="AA534" s="27" t="str">
        <f>IFERROR(VLOOKUP(A534,'[3]DS UPLOAD 2026 (2)'!$A$2:$P$1111,16,0),"")</f>
        <v/>
      </c>
      <c r="AB534" s="27">
        <v>389769759</v>
      </c>
      <c r="AC534" s="28" t="s">
        <v>2610</v>
      </c>
    </row>
    <row r="535" spans="1:29" ht="18" customHeight="1" x14ac:dyDescent="0.3">
      <c r="A535" s="17" t="s">
        <v>2611</v>
      </c>
      <c r="B535" s="18" t="s">
        <v>2612</v>
      </c>
      <c r="C535" s="17" t="s">
        <v>2611</v>
      </c>
      <c r="D535" s="19"/>
      <c r="E535" s="19" t="s">
        <v>61</v>
      </c>
      <c r="F535" s="16" t="str">
        <f>VLOOKUP(E535,'[1]BẢNG MÃ'!$A$2:$B$69,2,0)</f>
        <v>TĐ012</v>
      </c>
      <c r="G535" s="20" t="s">
        <v>62</v>
      </c>
      <c r="H535" s="20" t="s">
        <v>62</v>
      </c>
      <c r="I535" s="16" t="s">
        <v>2510</v>
      </c>
      <c r="J535" s="16" t="str">
        <f>VLOOKUP(I535,'[1]BẢNG MÃ'!$C$2:$D$69,2,0)</f>
        <v>KP025</v>
      </c>
      <c r="K535" s="16" t="s">
        <v>43</v>
      </c>
      <c r="L535" s="16">
        <v>0</v>
      </c>
      <c r="M535" s="16" t="s">
        <v>33</v>
      </c>
      <c r="N535" s="21">
        <f ca="1">VLOOKUP(A535,'[1]Bieu 1a'!$A$8:$AW$855,10,0)</f>
        <v>41</v>
      </c>
      <c r="O535" s="22">
        <f>VLOOKUP(A535,'[1]Bieu 1a'!$A$8:$AW$855,8,0)</f>
        <v>31105</v>
      </c>
      <c r="P535" s="22">
        <f>VLOOKUP(A535,'[1]Bieu 1a'!$A$8:$AW$855,9,0)</f>
        <v>0</v>
      </c>
      <c r="Q535" s="23" t="s">
        <v>50</v>
      </c>
      <c r="R535" s="24" t="str">
        <f>VLOOKUP(A535,'[1]Bieu 1a'!$A$8:$AW$855,23,0)</f>
        <v>15/1/2010</v>
      </c>
      <c r="S535" s="25" t="s">
        <v>2613</v>
      </c>
      <c r="T535" s="26" t="s">
        <v>2614</v>
      </c>
      <c r="U535" s="16"/>
      <c r="V535" s="16" t="str">
        <f>IFERROR(VLOOKUP(A535,'[2]19.6.2026'!$A$9:$L$1111,5,0),"")</f>
        <v>000789/LS-CCHN</v>
      </c>
      <c r="W535" s="16" t="str">
        <f>IFERROR(VLOOKUP(A535,'[2]19.6.2026'!$A$9:$L$1111,6,0),"")</f>
        <v>24/06/2013</v>
      </c>
      <c r="X535" s="16"/>
      <c r="Y535" s="21" t="str">
        <f>IFERROR(VLOOKUP(A535,'[2]19.6.2026'!$A$9:$L$1111,7,0),"")</f>
        <v>Theo quy định tại Quyết định số 41/2005/QĐ-BNV ngày 22/4/2005 của Bộ trưởng Bộ Nội vụ về việc ban hành tiêu chuẩn nghiệp vụ các ngạch viên chức y tế điều dưỡng</v>
      </c>
      <c r="Z535" s="16"/>
      <c r="AA535" s="27" t="str">
        <f>IFERROR(VLOOKUP(A535,'[3]DS UPLOAD 2026 (2)'!$A$2:$P$1111,16,0),"")</f>
        <v/>
      </c>
      <c r="AB535" s="27">
        <v>347734288</v>
      </c>
      <c r="AC535" s="28"/>
    </row>
    <row r="536" spans="1:29" ht="18" customHeight="1" x14ac:dyDescent="0.3">
      <c r="A536" s="17" t="s">
        <v>2615</v>
      </c>
      <c r="B536" s="18" t="s">
        <v>2616</v>
      </c>
      <c r="C536" s="17" t="s">
        <v>2615</v>
      </c>
      <c r="D536" s="19" t="s">
        <v>38</v>
      </c>
      <c r="E536" s="19" t="s">
        <v>61</v>
      </c>
      <c r="F536" s="16" t="str">
        <f>VLOOKUP(E536,'[1]BẢNG MÃ'!$A$2:$B$69,2,0)</f>
        <v>TĐ012</v>
      </c>
      <c r="G536" s="20" t="s">
        <v>62</v>
      </c>
      <c r="H536" s="20" t="s">
        <v>62</v>
      </c>
      <c r="I536" s="16" t="s">
        <v>2510</v>
      </c>
      <c r="J536" s="16" t="str">
        <f>VLOOKUP(I536,'[1]BẢNG MÃ'!$C$2:$D$69,2,0)</f>
        <v>KP025</v>
      </c>
      <c r="K536" s="16" t="s">
        <v>43</v>
      </c>
      <c r="L536" s="16">
        <v>0</v>
      </c>
      <c r="M536" s="16" t="s">
        <v>33</v>
      </c>
      <c r="N536" s="21">
        <f ca="1">VLOOKUP(A536,'[1]Bieu 1a'!$A$8:$AW$855,10,0)</f>
        <v>36</v>
      </c>
      <c r="O536" s="22">
        <f>VLOOKUP(A536,'[1]Bieu 1a'!$A$8:$AW$855,8,0)</f>
        <v>0</v>
      </c>
      <c r="P536" s="22">
        <f>VLOOKUP(A536,'[1]Bieu 1a'!$A$8:$AW$855,9,0)</f>
        <v>32917</v>
      </c>
      <c r="Q536" s="23" t="s">
        <v>50</v>
      </c>
      <c r="R536" s="24" t="str">
        <f>VLOOKUP(A536,'[1]Bieu 1a'!$A$8:$AW$855,23,0)</f>
        <v>10/6/2013</v>
      </c>
      <c r="S536" s="25" t="s">
        <v>2617</v>
      </c>
      <c r="T536" s="26" t="s">
        <v>2618</v>
      </c>
      <c r="U536" s="16"/>
      <c r="V536" s="16" t="str">
        <f>IFERROR(VLOOKUP(A536,'[2]19.6.2026'!$A$9:$L$1111,5,0),"")</f>
        <v>000389/LS-CCHN</v>
      </c>
      <c r="W536" s="16" t="str">
        <f>IFERROR(VLOOKUP(A536,'[2]19.6.2026'!$A$9:$L$1111,6,0),"")</f>
        <v>11/01/2023</v>
      </c>
      <c r="X536" s="16"/>
      <c r="Y536" s="21" t="str">
        <f>IFERROR(VLOOKUP(A536,'[2]19.6.2026'!$A$9:$L$1111,7,0),"")</f>
        <v>Thực hiện phạm vi hoạt động chuyên môn theo Thông tư số 26/2015/TTLT-BYT-BNV ngày 07/10/2015 quy định  mã số, tiêu chuẩn chức danh nghề nghiệp, điều dưỡng, hộ sinh, kỹ thuật y</v>
      </c>
      <c r="Z536" s="16"/>
      <c r="AA536" s="27" t="str">
        <f>IFERROR(VLOOKUP(A536,'[3]DS UPLOAD 2026 (2)'!$A$2:$P$1111,16,0),"")</f>
        <v/>
      </c>
      <c r="AB536" s="27" t="s">
        <v>2619</v>
      </c>
      <c r="AC536" s="28"/>
    </row>
    <row r="537" spans="1:29" ht="18" customHeight="1" x14ac:dyDescent="0.3">
      <c r="A537" s="17" t="s">
        <v>2620</v>
      </c>
      <c r="B537" s="18" t="s">
        <v>2621</v>
      </c>
      <c r="C537" s="17" t="s">
        <v>2620</v>
      </c>
      <c r="D537" s="19" t="s">
        <v>38</v>
      </c>
      <c r="E537" s="19" t="s">
        <v>61</v>
      </c>
      <c r="F537" s="16" t="str">
        <f>VLOOKUP(E537,'[1]BẢNG MÃ'!$A$2:$B$69,2,0)</f>
        <v>TĐ012</v>
      </c>
      <c r="G537" s="20" t="s">
        <v>62</v>
      </c>
      <c r="H537" s="20" t="s">
        <v>62</v>
      </c>
      <c r="I537" s="16" t="s">
        <v>2510</v>
      </c>
      <c r="J537" s="16" t="str">
        <f>VLOOKUP(I537,'[1]BẢNG MÃ'!$C$2:$D$69,2,0)</f>
        <v>KP025</v>
      </c>
      <c r="K537" s="16" t="s">
        <v>43</v>
      </c>
      <c r="L537" s="16">
        <v>0</v>
      </c>
      <c r="M537" s="16" t="s">
        <v>33</v>
      </c>
      <c r="N537" s="21">
        <f ca="1">VLOOKUP(A537,'[1]Bieu 1a'!$A$8:$AW$855,10,0)</f>
        <v>54</v>
      </c>
      <c r="O537" s="22">
        <f>VLOOKUP(A537,'[1]Bieu 1a'!$A$8:$AW$855,8,0)</f>
        <v>0</v>
      </c>
      <c r="P537" s="22">
        <f>VLOOKUP(A537,'[1]Bieu 1a'!$A$8:$AW$855,9,0)</f>
        <v>26243</v>
      </c>
      <c r="Q537" s="23" t="s">
        <v>50</v>
      </c>
      <c r="R537" s="24" t="str">
        <f>VLOOKUP(A537,'[1]Bieu 1a'!$A$8:$AW$855,23,0)</f>
        <v>1/11/1994</v>
      </c>
      <c r="S537" s="25" t="s">
        <v>2622</v>
      </c>
      <c r="T537" s="26" t="s">
        <v>2623</v>
      </c>
      <c r="U537" s="16"/>
      <c r="V537" s="16" t="str">
        <f>IFERROR(VLOOKUP(A537,'[2]19.6.2026'!$A$9:$L$1111,5,0),"")</f>
        <v>001032/LS-CCHN</v>
      </c>
      <c r="W537" s="16" t="str">
        <f>IFERROR(VLOOKUP(A537,'[2]19.6.2026'!$A$9:$L$1111,6,0),"")</f>
        <v>24/06/2013</v>
      </c>
      <c r="X537" s="16"/>
      <c r="Y537" s="21" t="str">
        <f>IFERROR(VLOOKUP(A537,'[2]19.6.2026'!$A$9:$L$1111,7,0),"")</f>
        <v>Theo quy định tại Quyết định số 41/2005/QĐ-BNV ngày 22/4/2005 của Bộ trưởng Bộ Nội vụ về việc ban hành tiêu chuẩn nghiệp vụ các ngạch viên chức y tế điều dưỡng</v>
      </c>
      <c r="Z537" s="16"/>
      <c r="AA537" s="27" t="str">
        <f>IFERROR(VLOOKUP(A537,'[3]DS UPLOAD 2026 (2)'!$A$2:$P$1111,16,0),"")</f>
        <v/>
      </c>
      <c r="AB537" s="27" t="s">
        <v>2624</v>
      </c>
      <c r="AC537" s="28"/>
    </row>
    <row r="538" spans="1:29" ht="18" customHeight="1" x14ac:dyDescent="0.3">
      <c r="A538" s="17" t="s">
        <v>2625</v>
      </c>
      <c r="B538" s="18" t="s">
        <v>2626</v>
      </c>
      <c r="C538" s="17" t="s">
        <v>2625</v>
      </c>
      <c r="D538" s="19" t="s">
        <v>38</v>
      </c>
      <c r="E538" s="19" t="s">
        <v>61</v>
      </c>
      <c r="F538" s="16" t="str">
        <f>VLOOKUP(E538,'[1]BẢNG MÃ'!$A$2:$B$69,2,0)</f>
        <v>TĐ012</v>
      </c>
      <c r="G538" s="20" t="s">
        <v>62</v>
      </c>
      <c r="H538" s="20" t="s">
        <v>62</v>
      </c>
      <c r="I538" s="16" t="s">
        <v>2510</v>
      </c>
      <c r="J538" s="16" t="str">
        <f>VLOOKUP(I538,'[1]BẢNG MÃ'!$C$2:$D$69,2,0)</f>
        <v>KP025</v>
      </c>
      <c r="K538" s="16" t="s">
        <v>43</v>
      </c>
      <c r="L538" s="16">
        <v>0</v>
      </c>
      <c r="M538" s="16" t="s">
        <v>33</v>
      </c>
      <c r="N538" s="21">
        <f ca="1">VLOOKUP(A538,'[1]Bieu 1a'!$A$8:$AW$855,10,0)</f>
        <v>39</v>
      </c>
      <c r="O538" s="22">
        <f>VLOOKUP(A538,'[1]Bieu 1a'!$A$8:$AW$855,8,0)</f>
        <v>0</v>
      </c>
      <c r="P538" s="22">
        <f>VLOOKUP(A538,'[1]Bieu 1a'!$A$8:$AW$855,9,0)</f>
        <v>31733</v>
      </c>
      <c r="Q538" s="23" t="s">
        <v>44</v>
      </c>
      <c r="R538" s="24" t="str">
        <f>VLOOKUP(A538,'[1]Bieu 1a'!$A$8:$AW$855,23,0)</f>
        <v>15/1/2010</v>
      </c>
      <c r="S538" s="25" t="s">
        <v>2627</v>
      </c>
      <c r="T538" s="26" t="s">
        <v>2628</v>
      </c>
      <c r="U538" s="16"/>
      <c r="V538" s="16" t="str">
        <f>IFERROR(VLOOKUP(A538,'[2]19.6.2026'!$A$9:$L$1111,5,0),"")</f>
        <v>001039/LS-CCHN</v>
      </c>
      <c r="W538" s="16" t="str">
        <f>IFERROR(VLOOKUP(A538,'[2]19.6.2026'!$A$9:$L$1111,6,0),"")</f>
        <v>11/01/2023</v>
      </c>
      <c r="X538" s="16"/>
      <c r="Y538" s="21" t="str">
        <f>IFERROR(VLOOKUP(A538,'[2]19.6.2026'!$A$9:$L$1111,7,0),"")</f>
        <v>Thực hiện phạm vi hoạt động chuyên môn theo Thông tư số 26/2015/TTLT-BYT-BNV ngày 07/10/2015 quy định  mã số, tiêu chuẩn chức danh nghề nghiệp, điều dưỡng, hộ sinh, kỹ thuật y</v>
      </c>
      <c r="Z538" s="16"/>
      <c r="AA538" s="27" t="str">
        <f>IFERROR(VLOOKUP(A538,'[3]DS UPLOAD 2026 (2)'!$A$2:$P$1111,16,0),"")</f>
        <v/>
      </c>
      <c r="AB538" s="27" t="s">
        <v>2629</v>
      </c>
      <c r="AC538" s="28"/>
    </row>
    <row r="539" spans="1:29" ht="18" customHeight="1" x14ac:dyDescent="0.3">
      <c r="A539" s="17" t="s">
        <v>2630</v>
      </c>
      <c r="B539" s="18" t="s">
        <v>2631</v>
      </c>
      <c r="C539" s="17" t="s">
        <v>2630</v>
      </c>
      <c r="D539" s="19" t="s">
        <v>38</v>
      </c>
      <c r="E539" s="19" t="s">
        <v>61</v>
      </c>
      <c r="F539" s="16" t="str">
        <f>VLOOKUP(E539,'[1]BẢNG MÃ'!$A$2:$B$69,2,0)</f>
        <v>TĐ012</v>
      </c>
      <c r="G539" s="20" t="s">
        <v>62</v>
      </c>
      <c r="H539" s="20" t="s">
        <v>62</v>
      </c>
      <c r="I539" s="16" t="s">
        <v>2510</v>
      </c>
      <c r="J539" s="16" t="str">
        <f>VLOOKUP(I539,'[1]BẢNG MÃ'!$C$2:$D$69,2,0)</f>
        <v>KP025</v>
      </c>
      <c r="K539" s="16" t="s">
        <v>43</v>
      </c>
      <c r="L539" s="16">
        <v>0</v>
      </c>
      <c r="M539" s="16" t="s">
        <v>33</v>
      </c>
      <c r="N539" s="21">
        <f ca="1">VLOOKUP(A539,'[1]Bieu 1a'!$A$8:$AW$855,10,0)</f>
        <v>47</v>
      </c>
      <c r="O539" s="22">
        <f>VLOOKUP(A539,'[1]Bieu 1a'!$A$8:$AW$855,8,0)</f>
        <v>0</v>
      </c>
      <c r="P539" s="22">
        <f>VLOOKUP(A539,'[1]Bieu 1a'!$A$8:$AW$855,9,0)</f>
        <v>28797</v>
      </c>
      <c r="Q539" s="23" t="s">
        <v>34</v>
      </c>
      <c r="R539" s="24" t="str">
        <f>VLOOKUP(A539,'[1]Bieu 1a'!$A$8:$AW$855,23,0)</f>
        <v>7/11/2006</v>
      </c>
      <c r="S539" s="25" t="s">
        <v>2632</v>
      </c>
      <c r="T539" s="26" t="s">
        <v>2633</v>
      </c>
      <c r="U539" s="16"/>
      <c r="V539" s="16" t="str">
        <f>IFERROR(VLOOKUP(A539,'[2]19.6.2026'!$A$9:$L$1111,5,0),"")</f>
        <v>001031/LS-CCHN</v>
      </c>
      <c r="W539" s="16" t="str">
        <f>IFERROR(VLOOKUP(A539,'[2]19.6.2026'!$A$9:$L$1111,6,0),"")</f>
        <v>24/06/2013</v>
      </c>
      <c r="X539" s="16"/>
      <c r="Y539" s="21" t="str">
        <f>IFERROR(VLOOKUP(A539,'[2]19.6.2026'!$A$9:$L$1111,7,0),"")</f>
        <v>Theo quy định tại Quyết định số 41/2005/QĐ-BNV ngày 22/4/2005 của Bộ trưởng Bộ Nội vụ về việc ban hành tiêu chuẩn nghiệp vụ các ngạch viên chức y tế điều dưỡng</v>
      </c>
      <c r="Z539" s="16"/>
      <c r="AA539" s="27" t="str">
        <f>IFERROR(VLOOKUP(A539,'[3]DS UPLOAD 2026 (2)'!$A$2:$P$1111,16,0),"")</f>
        <v/>
      </c>
      <c r="AB539" s="27" t="s">
        <v>2634</v>
      </c>
      <c r="AC539" s="28"/>
    </row>
    <row r="540" spans="1:29" ht="18" customHeight="1" x14ac:dyDescent="0.3">
      <c r="A540" s="17" t="s">
        <v>2635</v>
      </c>
      <c r="B540" s="18" t="s">
        <v>2636</v>
      </c>
      <c r="C540" s="17" t="s">
        <v>2635</v>
      </c>
      <c r="D540" s="19" t="s">
        <v>38</v>
      </c>
      <c r="E540" s="19" t="s">
        <v>61</v>
      </c>
      <c r="F540" s="16" t="str">
        <f>VLOOKUP(E540,'[1]BẢNG MÃ'!$A$2:$B$69,2,0)</f>
        <v>TĐ012</v>
      </c>
      <c r="G540" s="20" t="s">
        <v>62</v>
      </c>
      <c r="H540" s="20" t="s">
        <v>62</v>
      </c>
      <c r="I540" s="16" t="s">
        <v>2510</v>
      </c>
      <c r="J540" s="16" t="str">
        <f>VLOOKUP(I540,'[1]BẢNG MÃ'!$C$2:$D$69,2,0)</f>
        <v>KP025</v>
      </c>
      <c r="K540" s="16" t="s">
        <v>43</v>
      </c>
      <c r="L540" s="16">
        <v>0</v>
      </c>
      <c r="M540" s="16" t="s">
        <v>33</v>
      </c>
      <c r="N540" s="21">
        <f ca="1">VLOOKUP(A540,'[1]Bieu 1a'!$A$8:$AW$855,10,0)</f>
        <v>38</v>
      </c>
      <c r="O540" s="22">
        <f>VLOOKUP(A540,'[1]Bieu 1a'!$A$8:$AW$855,8,0)</f>
        <v>0</v>
      </c>
      <c r="P540" s="22">
        <f>VLOOKUP(A540,'[1]Bieu 1a'!$A$8:$AW$855,9,0)</f>
        <v>32047</v>
      </c>
      <c r="Q540" s="23" t="s">
        <v>50</v>
      </c>
      <c r="R540" s="24" t="str">
        <f>VLOOKUP(A540,'[1]Bieu 1a'!$A$8:$AW$855,23,0)</f>
        <v>15/1/2010</v>
      </c>
      <c r="S540" s="25" t="s">
        <v>2637</v>
      </c>
      <c r="T540" s="26" t="s">
        <v>2638</v>
      </c>
      <c r="U540" s="16"/>
      <c r="V540" s="16" t="str">
        <f>IFERROR(VLOOKUP(A540,'[2]19.6.2026'!$A$9:$L$1111,5,0),"")</f>
        <v>001037/LS-CCHN</v>
      </c>
      <c r="W540" s="16" t="str">
        <f>IFERROR(VLOOKUP(A540,'[2]19.6.2026'!$A$9:$L$1111,6,0),"")</f>
        <v>11/01/2023</v>
      </c>
      <c r="X540" s="16"/>
      <c r="Y540" s="21" t="str">
        <f>IFERROR(VLOOKUP(A540,'[2]19.6.2026'!$A$9:$L$1111,7,0),"")</f>
        <v>Thực hiện phạm vi hoạt động chuyên môn theo Thông tư số 26/2015/TTLT-BYT-BNV ngày 07/10/2015 quy định  mã số, tiêu chuẩn chức danh nghề nghiệp, điều dưỡng, hộ sinh, kỹ thuật y</v>
      </c>
      <c r="Z540" s="16"/>
      <c r="AA540" s="27" t="str">
        <f>IFERROR(VLOOKUP(A540,'[3]DS UPLOAD 2026 (2)'!$A$2:$P$1111,16,0),"")</f>
        <v/>
      </c>
      <c r="AB540" s="27" t="s">
        <v>2639</v>
      </c>
      <c r="AC540" s="29"/>
    </row>
    <row r="541" spans="1:29" ht="18" customHeight="1" x14ac:dyDescent="0.3">
      <c r="A541" s="17" t="s">
        <v>2640</v>
      </c>
      <c r="B541" s="18" t="s">
        <v>2641</v>
      </c>
      <c r="C541" s="17" t="s">
        <v>2640</v>
      </c>
      <c r="D541" s="19" t="s">
        <v>38</v>
      </c>
      <c r="E541" s="19" t="s">
        <v>61</v>
      </c>
      <c r="F541" s="16" t="str">
        <f>VLOOKUP(E541,'[1]BẢNG MÃ'!$A$2:$B$69,2,0)</f>
        <v>TĐ012</v>
      </c>
      <c r="G541" s="20" t="s">
        <v>62</v>
      </c>
      <c r="H541" s="20" t="s">
        <v>62</v>
      </c>
      <c r="I541" s="16" t="s">
        <v>2510</v>
      </c>
      <c r="J541" s="16" t="str">
        <f>VLOOKUP(I541,'[1]BẢNG MÃ'!$C$2:$D$69,2,0)</f>
        <v>KP025</v>
      </c>
      <c r="K541" s="16" t="s">
        <v>43</v>
      </c>
      <c r="L541" s="16">
        <v>0</v>
      </c>
      <c r="M541" s="16" t="s">
        <v>33</v>
      </c>
      <c r="N541" s="21">
        <f ca="1">VLOOKUP(A541,'[1]Bieu 1a'!$A$8:$AW$855,10,0)</f>
        <v>39</v>
      </c>
      <c r="O541" s="22">
        <f>VLOOKUP(A541,'[1]Bieu 1a'!$A$8:$AW$855,8,0)</f>
        <v>0</v>
      </c>
      <c r="P541" s="22">
        <f>VLOOKUP(A541,'[1]Bieu 1a'!$A$8:$AW$855,9,0)</f>
        <v>31881</v>
      </c>
      <c r="Q541" s="23" t="s">
        <v>50</v>
      </c>
      <c r="R541" s="24" t="str">
        <f>VLOOKUP(A541,'[1]Bieu 1a'!$A$8:$AW$855,23,0)</f>
        <v>1/12/2010</v>
      </c>
      <c r="S541" s="25" t="s">
        <v>2642</v>
      </c>
      <c r="T541" s="26" t="s">
        <v>2643</v>
      </c>
      <c r="U541" s="16"/>
      <c r="V541" s="16" t="str">
        <f>IFERROR(VLOOKUP(A541,'[2]19.6.2026'!$A$9:$L$1111,5,0),"")</f>
        <v>001040/LS-CCHN</v>
      </c>
      <c r="W541" s="16" t="str">
        <f>IFERROR(VLOOKUP(A541,'[2]19.6.2026'!$A$9:$L$1111,6,0),"")</f>
        <v>11/01/2023</v>
      </c>
      <c r="X541" s="16"/>
      <c r="Y541" s="21" t="str">
        <f>IFERROR(VLOOKUP(A541,'[2]19.6.2026'!$A$9:$L$1111,7,0),"")</f>
        <v>Thực hiện phạm vi hoạt động chuyên môn theo Thông tư số 26/2015/TTLT-BYT-BNV ngày 07/10/2015 quy định  mã số, tiêu chuẩn chức danh nghề nghiệp, điều dưỡng, hộ sinh, kỹ thuật y</v>
      </c>
      <c r="Z541" s="16"/>
      <c r="AA541" s="27" t="str">
        <f>IFERROR(VLOOKUP(A541,'[3]DS UPLOAD 2026 (2)'!$A$2:$P$1111,16,0),"")</f>
        <v/>
      </c>
      <c r="AB541" s="27" t="s">
        <v>2644</v>
      </c>
      <c r="AC541" s="28"/>
    </row>
    <row r="542" spans="1:29" ht="18" customHeight="1" x14ac:dyDescent="0.3">
      <c r="A542" s="17" t="s">
        <v>2645</v>
      </c>
      <c r="B542" s="18" t="s">
        <v>2646</v>
      </c>
      <c r="C542" s="17" t="s">
        <v>2645</v>
      </c>
      <c r="D542" s="19" t="s">
        <v>38</v>
      </c>
      <c r="E542" s="19" t="s">
        <v>61</v>
      </c>
      <c r="F542" s="16" t="str">
        <f>VLOOKUP(E542,'[1]BẢNG MÃ'!$A$2:$B$69,2,0)</f>
        <v>TĐ012</v>
      </c>
      <c r="G542" s="20" t="s">
        <v>2345</v>
      </c>
      <c r="H542" s="20" t="s">
        <v>2345</v>
      </c>
      <c r="I542" s="16" t="s">
        <v>2510</v>
      </c>
      <c r="J542" s="16" t="str">
        <f>VLOOKUP(I542,'[1]BẢNG MÃ'!$C$2:$D$69,2,0)</f>
        <v>KP025</v>
      </c>
      <c r="K542" s="16" t="s">
        <v>43</v>
      </c>
      <c r="L542" s="16">
        <v>0</v>
      </c>
      <c r="M542" s="16" t="s">
        <v>33</v>
      </c>
      <c r="N542" s="21">
        <f ca="1">VLOOKUP(A542,'[1]Bieu 1a'!$A$8:$AW$855,10,0)</f>
        <v>46</v>
      </c>
      <c r="O542" s="22">
        <f>VLOOKUP(A542,'[1]Bieu 1a'!$A$8:$AW$855,8,0)</f>
        <v>0</v>
      </c>
      <c r="P542" s="22">
        <f>VLOOKUP(A542,'[1]Bieu 1a'!$A$8:$AW$855,9,0)</f>
        <v>29189</v>
      </c>
      <c r="Q542" s="23" t="s">
        <v>50</v>
      </c>
      <c r="R542" s="24" t="str">
        <f>VLOOKUP(A542,'[1]Bieu 1a'!$A$8:$AW$855,23,0)</f>
        <v>16/2/2005</v>
      </c>
      <c r="S542" s="25" t="s">
        <v>2647</v>
      </c>
      <c r="T542" s="26" t="s">
        <v>2614</v>
      </c>
      <c r="U542" s="16"/>
      <c r="V542" s="16" t="str">
        <f>IFERROR(VLOOKUP(A542,'[2]19.6.2026'!$A$9:$L$1111,5,0),"")</f>
        <v>000188/LS-GPHN</v>
      </c>
      <c r="W542" s="16">
        <f>IFERROR(VLOOKUP(A542,'[2]19.6.2026'!$A$9:$L$1111,6,0),"")</f>
        <v>45657</v>
      </c>
      <c r="X542" s="16"/>
      <c r="Y542" s="21" t="str">
        <f>IFERROR(VLOOKUP(A542,'[2]19.6.2026'!$A$9:$L$1111,7,0),"")</f>
        <v>Điều dưỡng</v>
      </c>
      <c r="Z542" s="16"/>
      <c r="AA542" s="27" t="str">
        <f>IFERROR(VLOOKUP(A542,'[3]DS UPLOAD 2026 (2)'!$A$2:$P$1111,16,0),"")</f>
        <v/>
      </c>
      <c r="AB542" s="27" t="s">
        <v>2648</v>
      </c>
      <c r="AC542" s="28"/>
    </row>
    <row r="543" spans="1:29" ht="18" customHeight="1" x14ac:dyDescent="0.3">
      <c r="A543" s="17" t="s">
        <v>2649</v>
      </c>
      <c r="B543" s="18" t="s">
        <v>2650</v>
      </c>
      <c r="C543" s="17" t="s">
        <v>2649</v>
      </c>
      <c r="D543" s="19"/>
      <c r="E543" s="19" t="s">
        <v>61</v>
      </c>
      <c r="F543" s="16" t="str">
        <f>VLOOKUP(E543,'[1]BẢNG MÃ'!$A$2:$B$69,2,0)</f>
        <v>TĐ012</v>
      </c>
      <c r="G543" s="20" t="s">
        <v>2345</v>
      </c>
      <c r="H543" s="20" t="s">
        <v>2345</v>
      </c>
      <c r="I543" s="16" t="s">
        <v>2510</v>
      </c>
      <c r="J543" s="16" t="str">
        <f>VLOOKUP(I543,'[1]BẢNG MÃ'!$C$2:$D$69,2,0)</f>
        <v>KP025</v>
      </c>
      <c r="K543" s="16" t="s">
        <v>43</v>
      </c>
      <c r="L543" s="16">
        <v>0</v>
      </c>
      <c r="M543" s="16" t="s">
        <v>33</v>
      </c>
      <c r="N543" s="21">
        <f ca="1">VLOOKUP(A543,'[1]Bieu 1a'!$A$8:$AW$855,10,0)</f>
        <v>42</v>
      </c>
      <c r="O543" s="22">
        <f>VLOOKUP(A543,'[1]Bieu 1a'!$A$8:$AW$855,8,0)</f>
        <v>30571</v>
      </c>
      <c r="P543" s="22">
        <f>VLOOKUP(A543,'[1]Bieu 1a'!$A$8:$AW$855,9,0)</f>
        <v>0</v>
      </c>
      <c r="Q543" s="23" t="s">
        <v>44</v>
      </c>
      <c r="R543" s="24" t="str">
        <f>VLOOKUP(A543,'[1]Bieu 1a'!$A$8:$AW$855,23,0)</f>
        <v>1/12/2010</v>
      </c>
      <c r="S543" s="25" t="s">
        <v>2651</v>
      </c>
      <c r="T543" s="26">
        <v>0</v>
      </c>
      <c r="U543" s="16"/>
      <c r="V543" s="16" t="str">
        <f>IFERROR(VLOOKUP(A543,'[2]19.6.2026'!$A$9:$L$1111,5,0),"")</f>
        <v>001030/LS-CCHN</v>
      </c>
      <c r="W543" s="16" t="str">
        <f>IFERROR(VLOOKUP(A543,'[2]19.6.2026'!$A$9:$L$1111,6,0),"")</f>
        <v>11/01/2023</v>
      </c>
      <c r="X543" s="16"/>
      <c r="Y543" s="21" t="str">
        <f>IFERROR(VLOOKUP(A543,'[2]19.6.2026'!$A$9:$L$1111,7,0),"")</f>
        <v>Thực hiện phạm vi hoạt động chuyên môn theo Thông tư số 26/2015/TTLT-BYT-BNV ngày 07/10/2015 quy định  mã số, tiêu chuẩn chức danh nghề nghiệp, điều dưỡng, hộ sinh, kỹ thuật y</v>
      </c>
      <c r="Z543" s="16"/>
      <c r="AA543" s="27" t="str">
        <f>IFERROR(VLOOKUP(A543,'[3]DS UPLOAD 2026 (2)'!$A$2:$P$1111,16,0),"")</f>
        <v/>
      </c>
      <c r="AB543" s="27">
        <v>919816828</v>
      </c>
      <c r="AC543" s="28"/>
    </row>
    <row r="544" spans="1:29" ht="18" customHeight="1" x14ac:dyDescent="0.3">
      <c r="A544" s="17" t="s">
        <v>2652</v>
      </c>
      <c r="B544" s="29" t="s">
        <v>2653</v>
      </c>
      <c r="C544" s="17" t="s">
        <v>2652</v>
      </c>
      <c r="D544" s="19" t="s">
        <v>38</v>
      </c>
      <c r="E544" s="19" t="s">
        <v>61</v>
      </c>
      <c r="F544" s="16" t="str">
        <f>VLOOKUP(E544,'[1]BẢNG MÃ'!$A$2:$B$69,2,0)</f>
        <v>TĐ012</v>
      </c>
      <c r="G544" s="20" t="s">
        <v>62</v>
      </c>
      <c r="H544" s="20" t="s">
        <v>62</v>
      </c>
      <c r="I544" s="16" t="s">
        <v>2510</v>
      </c>
      <c r="J544" s="16" t="str">
        <f>VLOOKUP(I544,'[1]BẢNG MÃ'!$C$2:$D$69,2,0)</f>
        <v>KP025</v>
      </c>
      <c r="K544" s="16" t="s">
        <v>43</v>
      </c>
      <c r="L544" s="16">
        <v>0</v>
      </c>
      <c r="M544" s="16" t="s">
        <v>33</v>
      </c>
      <c r="N544" s="21">
        <f ca="1">VLOOKUP(A544,'[1]Bieu 1a'!$A$8:$AW$855,10,0)</f>
        <v>31</v>
      </c>
      <c r="O544" s="22">
        <f>VLOOKUP(A544,'[1]Bieu 1a'!$A$8:$AW$855,8,0)</f>
        <v>0</v>
      </c>
      <c r="P544" s="22" t="str">
        <f>VLOOKUP(A544,'[1]Bieu 1a'!$A$8:$AW$855,9,0)</f>
        <v>23/10/1994</v>
      </c>
      <c r="Q544" s="23" t="s">
        <v>50</v>
      </c>
      <c r="R544" s="24" t="str">
        <f>VLOOKUP(A544,'[1]Bieu 1a'!$A$8:$AW$855,23,0)</f>
        <v>01/2016</v>
      </c>
      <c r="S544" s="25" t="s">
        <v>2654</v>
      </c>
      <c r="T544" s="26">
        <v>0</v>
      </c>
      <c r="U544" s="16"/>
      <c r="V544" s="16" t="str">
        <f>IFERROR(VLOOKUP(A544,'[2]19.6.2026'!$A$9:$L$1111,5,0),"")</f>
        <v>003321/LS-CCHN</v>
      </c>
      <c r="W544" s="16" t="str">
        <f>IFERROR(VLOOKUP(A544,'[2]19.6.2026'!$A$9:$L$1111,6,0),"")</f>
        <v>20/07/2018</v>
      </c>
      <c r="X544" s="16"/>
      <c r="Y544" s="21" t="str">
        <f>IFERROR(VLOOKUP(A544,'[2]19.6.2026'!$A$9:$L$1111,7,0),"")</f>
        <v>Thực hiện phạm vi hoạt động chuyên môn theo quy định tại Thông tư số 26/2015/TTLT-BYT-BNV ngày 07/10/2015 quy định mã số, tiêu chuẩn chức danh nghề nghiệp điều dưỡng, hộ sinh, kỹ thuật y</v>
      </c>
      <c r="Z544" s="16"/>
      <c r="AA544" s="27" t="str">
        <f>IFERROR(VLOOKUP(A544,'[3]DS UPLOAD 2026 (2)'!$A$2:$P$1111,16,0),"")</f>
        <v/>
      </c>
      <c r="AB544" s="27" t="s">
        <v>2655</v>
      </c>
      <c r="AC544" s="28" t="s">
        <v>2656</v>
      </c>
    </row>
    <row r="545" spans="1:29" ht="18" customHeight="1" x14ac:dyDescent="0.3">
      <c r="A545" s="17" t="s">
        <v>2657</v>
      </c>
      <c r="B545" s="18" t="s">
        <v>2658</v>
      </c>
      <c r="C545" s="17" t="s">
        <v>2657</v>
      </c>
      <c r="D545" s="19" t="s">
        <v>38</v>
      </c>
      <c r="E545" s="19" t="s">
        <v>128</v>
      </c>
      <c r="F545" s="16" t="str">
        <f>VLOOKUP(E545,'[1]BẢNG MÃ'!$A$2:$B$69,2,0)</f>
        <v>TĐ047</v>
      </c>
      <c r="G545" s="20"/>
      <c r="H545" s="77" t="s">
        <v>128</v>
      </c>
      <c r="I545" s="16" t="s">
        <v>2510</v>
      </c>
      <c r="J545" s="16" t="str">
        <f>VLOOKUP(I545,'[1]BẢNG MÃ'!$C$2:$D$69,2,0)</f>
        <v>KP025</v>
      </c>
      <c r="K545" s="16"/>
      <c r="L545" s="16">
        <v>0</v>
      </c>
      <c r="M545" s="16" t="s">
        <v>129</v>
      </c>
      <c r="N545" s="21">
        <f ca="1">VLOOKUP(A545,'[1]Bieu 1a'!$A$8:$AW$855,10,0)</f>
        <v>43</v>
      </c>
      <c r="O545" s="22">
        <f>VLOOKUP(A545,'[1]Bieu 1a'!$A$8:$AW$855,8,0)</f>
        <v>0</v>
      </c>
      <c r="P545" s="22">
        <f>VLOOKUP(A545,'[1]Bieu 1a'!$A$8:$AW$855,9,0)</f>
        <v>30252</v>
      </c>
      <c r="Q545" s="23" t="s">
        <v>50</v>
      </c>
      <c r="R545" s="24" t="str">
        <f>VLOOKUP(A545,'[1]Bieu 1a'!$A$8:$AW$855,23,0)</f>
        <v>15/6/2006</v>
      </c>
      <c r="S545" s="25" t="s">
        <v>2659</v>
      </c>
      <c r="T545" s="26" t="s">
        <v>2643</v>
      </c>
      <c r="U545" s="16"/>
      <c r="V545" s="16" t="str">
        <f>IFERROR(VLOOKUP(A545,'[2]19.6.2026'!$A$9:$L$1111,5,0),"")</f>
        <v/>
      </c>
      <c r="W545" s="16" t="str">
        <f>IFERROR(VLOOKUP(A545,'[2]19.6.2026'!$A$9:$L$1111,6,0),"")</f>
        <v/>
      </c>
      <c r="X545" s="16"/>
      <c r="Y545" s="21" t="str">
        <f>IFERROR(VLOOKUP(A545,'[2]19.6.2026'!$A$9:$L$1111,7,0),"")</f>
        <v/>
      </c>
      <c r="Z545" s="16"/>
      <c r="AA545" s="27" t="str">
        <f>IFERROR(VLOOKUP(A545,'[3]DS UPLOAD 2026 (2)'!$A$2:$P$1111,16,0),"")</f>
        <v/>
      </c>
      <c r="AB545" s="27" t="s">
        <v>2660</v>
      </c>
      <c r="AC545" s="28" t="s">
        <v>133</v>
      </c>
    </row>
    <row r="546" spans="1:29" ht="18" customHeight="1" x14ac:dyDescent="0.3">
      <c r="A546" s="17" t="s">
        <v>2661</v>
      </c>
      <c r="B546" s="18" t="s">
        <v>2662</v>
      </c>
      <c r="C546" s="17" t="s">
        <v>2661</v>
      </c>
      <c r="D546" s="19" t="s">
        <v>38</v>
      </c>
      <c r="E546" s="19" t="s">
        <v>128</v>
      </c>
      <c r="F546" s="16" t="str">
        <f>VLOOKUP(E546,'[1]BẢNG MÃ'!$A$2:$B$69,2,0)</f>
        <v>TĐ047</v>
      </c>
      <c r="G546" s="20"/>
      <c r="H546" s="77" t="s">
        <v>128</v>
      </c>
      <c r="I546" s="16" t="s">
        <v>2510</v>
      </c>
      <c r="J546" s="16" t="str">
        <f>VLOOKUP(I546,'[1]BẢNG MÃ'!$C$2:$D$69,2,0)</f>
        <v>KP025</v>
      </c>
      <c r="K546" s="16"/>
      <c r="L546" s="16">
        <v>0</v>
      </c>
      <c r="M546" s="16" t="s">
        <v>129</v>
      </c>
      <c r="N546" s="21">
        <f ca="1">VLOOKUP(A546,'[1]Bieu 1a'!$A$8:$AW$855,10,0)</f>
        <v>52</v>
      </c>
      <c r="O546" s="22">
        <f>VLOOKUP(A546,'[1]Bieu 1a'!$A$8:$AW$855,8,0)</f>
        <v>0</v>
      </c>
      <c r="P546" s="22">
        <f>VLOOKUP(A546,'[1]Bieu 1a'!$A$8:$AW$855,9,0)</f>
        <v>27153</v>
      </c>
      <c r="Q546" s="23" t="s">
        <v>50</v>
      </c>
      <c r="R546" s="24" t="str">
        <f>VLOOKUP(A546,'[1]Bieu 1a'!$A$8:$AW$855,23,0)</f>
        <v>1/9/2006</v>
      </c>
      <c r="S546" s="25" t="s">
        <v>2663</v>
      </c>
      <c r="T546" s="26" t="s">
        <v>2623</v>
      </c>
      <c r="U546" s="16"/>
      <c r="V546" s="16" t="str">
        <f>IFERROR(VLOOKUP(A546,'[2]19.6.2026'!$A$9:$L$1111,5,0),"")</f>
        <v/>
      </c>
      <c r="W546" s="16" t="str">
        <f>IFERROR(VLOOKUP(A546,'[2]19.6.2026'!$A$9:$L$1111,6,0),"")</f>
        <v/>
      </c>
      <c r="X546" s="16"/>
      <c r="Y546" s="21" t="str">
        <f>IFERROR(VLOOKUP(A546,'[2]19.6.2026'!$A$9:$L$1111,7,0),"")</f>
        <v/>
      </c>
      <c r="Z546" s="16"/>
      <c r="AA546" s="27" t="str">
        <f>IFERROR(VLOOKUP(A546,'[3]DS UPLOAD 2026 (2)'!$A$2:$P$1111,16,0),"")</f>
        <v/>
      </c>
      <c r="AB546" s="27" t="s">
        <v>2664</v>
      </c>
      <c r="AC546" s="28" t="s">
        <v>133</v>
      </c>
    </row>
    <row r="547" spans="1:29" ht="18" customHeight="1" x14ac:dyDescent="0.3">
      <c r="A547" s="17" t="s">
        <v>2665</v>
      </c>
      <c r="B547" s="29" t="s">
        <v>2666</v>
      </c>
      <c r="C547" s="17" t="s">
        <v>2665</v>
      </c>
      <c r="D547" s="19" t="s">
        <v>38</v>
      </c>
      <c r="E547" s="19" t="s">
        <v>41</v>
      </c>
      <c r="F547" s="16" t="str">
        <f>VLOOKUP(E547,'[1]BẢNG MÃ'!$A$2:$B$69,2,0)</f>
        <v>TĐ011</v>
      </c>
      <c r="G547" s="20" t="s">
        <v>42</v>
      </c>
      <c r="H547" s="20" t="s">
        <v>42</v>
      </c>
      <c r="I547" s="16" t="s">
        <v>2667</v>
      </c>
      <c r="J547" s="16" t="str">
        <f>VLOOKUP(I547,'[1]BẢNG MÃ'!$C$2:$D$69,2,0)</f>
        <v>KP026</v>
      </c>
      <c r="K547" s="16" t="s">
        <v>31</v>
      </c>
      <c r="L547" s="16" t="s">
        <v>201</v>
      </c>
      <c r="M547" s="16" t="s">
        <v>33</v>
      </c>
      <c r="N547" s="21">
        <f ca="1">VLOOKUP(A547,'[1]Bieu 1a'!$A$8:$AW$855,10,0)</f>
        <v>44</v>
      </c>
      <c r="O547" s="22">
        <f>VLOOKUP(A547,'[1]Bieu 1a'!$A$8:$AW$855,8,0)</f>
        <v>0</v>
      </c>
      <c r="P547" s="22">
        <f>VLOOKUP(A547,'[1]Bieu 1a'!$A$8:$AW$855,9,0)</f>
        <v>29892</v>
      </c>
      <c r="Q547" s="23" t="s">
        <v>44</v>
      </c>
      <c r="R547" s="24" t="str">
        <f>VLOOKUP(A547,'[1]Bieu 1a'!$A$8:$AW$855,23,0)</f>
        <v>1/3/2005</v>
      </c>
      <c r="S547" s="25" t="s">
        <v>2668</v>
      </c>
      <c r="T547" s="26" t="s">
        <v>2092</v>
      </c>
      <c r="U547" s="16"/>
      <c r="V547" s="16" t="str">
        <f>IFERROR(VLOOKUP(A547,'[2]19.6.2026'!$A$9:$L$1111,5,0),"")</f>
        <v>000798/LS-CCHN</v>
      </c>
      <c r="W547" s="16" t="str">
        <f>IFERROR(VLOOKUP(A547,'[2]19.6.2026'!$A$9:$L$1111,6,0),"")</f>
        <v>24/06/2013</v>
      </c>
      <c r="X547" s="16"/>
      <c r="Y547" s="21" t="str">
        <f>IFERROR(VLOOKUP(A547,'[2]19.6.2026'!$A$9:$L$1111,7,0),"")</f>
        <v>Theo quy định tại Quyết định số 41/2005/QĐ-BNV ngày 22/4/2005 của Bộ trưởng Bộ Nội vụ về việc ban hành tiêu chuẩn nghiệp vụ các ngạch viên chức y tế điều dưỡng</v>
      </c>
      <c r="Z547" s="16"/>
      <c r="AA547" s="27" t="str">
        <f>IFERROR(VLOOKUP(A547,'[3]DS UPLOAD 2026 (2)'!$A$2:$P$1111,16,0),"")</f>
        <v/>
      </c>
      <c r="AB547" s="27">
        <v>919183795</v>
      </c>
      <c r="AC547" s="51"/>
    </row>
    <row r="548" spans="1:29" ht="18" customHeight="1" x14ac:dyDescent="0.3">
      <c r="A548" s="17" t="s">
        <v>2669</v>
      </c>
      <c r="B548" s="18" t="s">
        <v>2670</v>
      </c>
      <c r="C548" s="17" t="s">
        <v>2669</v>
      </c>
      <c r="D548" s="19" t="s">
        <v>38</v>
      </c>
      <c r="E548" s="19" t="s">
        <v>2671</v>
      </c>
      <c r="F548" s="16" t="e">
        <f>VLOOKUP(E548,'[1]BẢNG MÃ'!$A$2:$B$69,2,0)</f>
        <v>#N/A</v>
      </c>
      <c r="G548" s="60"/>
      <c r="H548" s="60" t="s">
        <v>2672</v>
      </c>
      <c r="I548" s="16" t="s">
        <v>2673</v>
      </c>
      <c r="J548" s="16" t="str">
        <f>VLOOKUP(I548,'[1]BẢNG MÃ'!$C$2:$D$69,2,0)</f>
        <v>KP026</v>
      </c>
      <c r="K548" s="16"/>
      <c r="L548" s="16"/>
      <c r="M548" s="16" t="s">
        <v>33</v>
      </c>
      <c r="N548" s="21">
        <f ca="1">VLOOKUP(A548,'[1]Bieu 1a'!$A$8:$AW$855,10,0)</f>
        <v>26</v>
      </c>
      <c r="O548" s="22">
        <f>VLOOKUP(A548,'[1]Bieu 1a'!$A$8:$AW$855,8,0)</f>
        <v>0</v>
      </c>
      <c r="P548" s="22" t="str">
        <f>VLOOKUP(A548,'[1]Bieu 1a'!$A$8:$AW$855,9,0)</f>
        <v>18/11/1999</v>
      </c>
      <c r="Q548" s="23" t="s">
        <v>34</v>
      </c>
      <c r="R548" s="24">
        <f>VLOOKUP(A548,'[1]Bieu 1a'!$A$8:$AW$855,23,0)</f>
        <v>45030</v>
      </c>
      <c r="S548" s="25" t="s">
        <v>2674</v>
      </c>
      <c r="T548" s="26" t="s">
        <v>2675</v>
      </c>
      <c r="U548" s="16"/>
      <c r="V548" s="16" t="str">
        <f>IFERROR(VLOOKUP(A548,'[2]19.6.2026'!$A$9:$L$1111,5,0),"")</f>
        <v>000418/LS-GPHN</v>
      </c>
      <c r="W548" s="16">
        <f>IFERROR(VLOOKUP(A548,'[2]19.6.2026'!$A$9:$L$1111,6,0),"")</f>
        <v>45994</v>
      </c>
      <c r="X548" s="16"/>
      <c r="Y548" s="21" t="str">
        <f>IFERROR(VLOOKUP(A548,'[2]19.6.2026'!$A$9:$L$1111,7,0),"")</f>
        <v>Dinh dưỡng lâm sàng</v>
      </c>
      <c r="Z548" s="16"/>
      <c r="AA548" s="27" t="str">
        <f>IFERROR(VLOOKUP(A548,'[3]DS UPLOAD 2026 (2)'!$A$2:$P$1111,16,0),"")</f>
        <v/>
      </c>
      <c r="AB548" s="27">
        <v>962282928</v>
      </c>
      <c r="AC548" s="29" t="s">
        <v>560</v>
      </c>
    </row>
    <row r="549" spans="1:29" ht="18" customHeight="1" x14ac:dyDescent="0.3">
      <c r="A549" s="17" t="s">
        <v>2676</v>
      </c>
      <c r="B549" s="18" t="s">
        <v>2677</v>
      </c>
      <c r="C549" s="17" t="s">
        <v>2676</v>
      </c>
      <c r="D549" s="19" t="s">
        <v>38</v>
      </c>
      <c r="E549" s="19" t="s">
        <v>2678</v>
      </c>
      <c r="F549" s="16" t="str">
        <f>VLOOKUP(E549,'[1]BẢNG MÃ'!$A$2:$B$69,2,0)</f>
        <v>TĐ007</v>
      </c>
      <c r="G549" s="20" t="s">
        <v>2679</v>
      </c>
      <c r="H549" s="20" t="s">
        <v>2679</v>
      </c>
      <c r="I549" s="16" t="s">
        <v>2680</v>
      </c>
      <c r="J549" s="16" t="str">
        <f>VLOOKUP(I549,'[1]BẢNG MÃ'!$C$2:$D$69,2,0)</f>
        <v>KP028</v>
      </c>
      <c r="K549" s="16" t="s">
        <v>31</v>
      </c>
      <c r="L549" s="16" t="s">
        <v>154</v>
      </c>
      <c r="M549" s="16" t="s">
        <v>33</v>
      </c>
      <c r="N549" s="21">
        <f ca="1">VLOOKUP(A549,'[1]Bieu 1a'!$A$8:$AW$855,10,0)</f>
        <v>41</v>
      </c>
      <c r="O549" s="22">
        <f>VLOOKUP(A549,'[1]Bieu 1a'!$A$8:$AW$855,8,0)</f>
        <v>0</v>
      </c>
      <c r="P549" s="22">
        <f>VLOOKUP(A549,'[1]Bieu 1a'!$A$8:$AW$855,9,0)</f>
        <v>31117</v>
      </c>
      <c r="Q549" s="23" t="s">
        <v>44</v>
      </c>
      <c r="R549" s="24" t="str">
        <f>VLOOKUP(A549,'[1]Bieu 1a'!$A$8:$AW$855,23,0)</f>
        <v>30/10/2006</v>
      </c>
      <c r="S549" s="25" t="s">
        <v>2681</v>
      </c>
      <c r="T549" s="26" t="s">
        <v>2682</v>
      </c>
      <c r="U549" s="16"/>
      <c r="V549" s="16" t="str">
        <f>IFERROR(VLOOKUP(A549,'[2]19.6.2026'!$A$9:$L$1111,5,0),"")</f>
        <v/>
      </c>
      <c r="W549" s="16" t="str">
        <f>IFERROR(VLOOKUP(A549,'[2]19.6.2026'!$A$9:$L$1111,6,0),"")</f>
        <v/>
      </c>
      <c r="X549" s="16"/>
      <c r="Y549" s="21" t="str">
        <f>IFERROR(VLOOKUP(A549,'[2]19.6.2026'!$A$9:$L$1111,7,0),"")</f>
        <v/>
      </c>
      <c r="Z549" s="16"/>
      <c r="AA549" s="27" t="str">
        <f>IFERROR(VLOOKUP(A549,'[3]DS UPLOAD 2026 (2)'!$A$2:$P$1111,16,0),"")</f>
        <v/>
      </c>
      <c r="AB549" s="27">
        <v>919248628</v>
      </c>
      <c r="AC549" s="28"/>
    </row>
    <row r="550" spans="1:29" ht="18" customHeight="1" x14ac:dyDescent="0.3">
      <c r="A550" s="17" t="s">
        <v>2683</v>
      </c>
      <c r="B550" s="69" t="s">
        <v>2684</v>
      </c>
      <c r="C550" s="17" t="s">
        <v>2683</v>
      </c>
      <c r="D550" s="19" t="s">
        <v>38</v>
      </c>
      <c r="E550" s="19" t="s">
        <v>2678</v>
      </c>
      <c r="F550" s="16" t="str">
        <f>VLOOKUP(E550,'[1]BẢNG MÃ'!$A$2:$B$69,2,0)</f>
        <v>TĐ007</v>
      </c>
      <c r="G550" s="20" t="s">
        <v>2679</v>
      </c>
      <c r="H550" s="20" t="s">
        <v>2679</v>
      </c>
      <c r="I550" s="16" t="s">
        <v>2680</v>
      </c>
      <c r="J550" s="16" t="str">
        <f>VLOOKUP(I550,'[1]BẢNG MÃ'!$C$2:$D$69,2,0)</f>
        <v>KP028</v>
      </c>
      <c r="K550" s="16" t="s">
        <v>43</v>
      </c>
      <c r="L550" s="16">
        <v>0</v>
      </c>
      <c r="M550" s="16" t="s">
        <v>33</v>
      </c>
      <c r="N550" s="21">
        <f ca="1">VLOOKUP(A550,'[1]Bieu 1a'!$A$8:$AW$855,10,0)</f>
        <v>33</v>
      </c>
      <c r="O550" s="22">
        <f>VLOOKUP(A550,'[1]Bieu 1a'!$A$8:$AW$855,8,0)</f>
        <v>0</v>
      </c>
      <c r="P550" s="22">
        <f>VLOOKUP(A550,'[1]Bieu 1a'!$A$8:$AW$855,9,0)</f>
        <v>33860</v>
      </c>
      <c r="Q550" s="23" t="s">
        <v>50</v>
      </c>
      <c r="R550" s="24" t="str">
        <f>VLOOKUP(A550,'[1]Bieu 1a'!$A$8:$AW$855,23,0)</f>
        <v>10/2/2017</v>
      </c>
      <c r="S550" s="25" t="s">
        <v>2685</v>
      </c>
      <c r="T550" s="26">
        <v>0</v>
      </c>
      <c r="U550" s="16"/>
      <c r="V550" s="16" t="str">
        <f>IFERROR(VLOOKUP(A550,'[2]19.6.2026'!$A$9:$L$1111,5,0),"")</f>
        <v/>
      </c>
      <c r="W550" s="16" t="str">
        <f>IFERROR(VLOOKUP(A550,'[2]19.6.2026'!$A$9:$L$1111,6,0),"")</f>
        <v/>
      </c>
      <c r="X550" s="16"/>
      <c r="Y550" s="21" t="str">
        <f>IFERROR(VLOOKUP(A550,'[2]19.6.2026'!$A$9:$L$1111,7,0),"")</f>
        <v/>
      </c>
      <c r="Z550" s="16"/>
      <c r="AA550" s="27" t="str">
        <f>IFERROR(VLOOKUP(A550,'[3]DS UPLOAD 2026 (2)'!$A$2:$P$1111,16,0),"")</f>
        <v/>
      </c>
      <c r="AB550" s="27" t="s">
        <v>2686</v>
      </c>
      <c r="AC550" s="28"/>
    </row>
    <row r="551" spans="1:29" ht="18" customHeight="1" x14ac:dyDescent="0.3">
      <c r="A551" s="17" t="s">
        <v>2687</v>
      </c>
      <c r="B551" s="18" t="s">
        <v>2688</v>
      </c>
      <c r="C551" s="17" t="s">
        <v>2687</v>
      </c>
      <c r="D551" s="19" t="s">
        <v>38</v>
      </c>
      <c r="E551" s="19" t="s">
        <v>2678</v>
      </c>
      <c r="F551" s="16" t="str">
        <f>VLOOKUP(E551,'[1]BẢNG MÃ'!$A$2:$B$69,2,0)</f>
        <v>TĐ007</v>
      </c>
      <c r="G551" s="20" t="s">
        <v>2689</v>
      </c>
      <c r="H551" s="20" t="s">
        <v>2689</v>
      </c>
      <c r="I551" s="16" t="s">
        <v>2680</v>
      </c>
      <c r="J551" s="16" t="str">
        <f>VLOOKUP(I551,'[1]BẢNG MÃ'!$C$2:$D$69,2,0)</f>
        <v>KP028</v>
      </c>
      <c r="K551" s="16" t="s">
        <v>31</v>
      </c>
      <c r="L551" s="16" t="s">
        <v>148</v>
      </c>
      <c r="M551" s="16" t="s">
        <v>33</v>
      </c>
      <c r="N551" s="21">
        <f ca="1">VLOOKUP(A551,'[1]Bieu 1a'!$A$8:$AW$855,10,0)</f>
        <v>41</v>
      </c>
      <c r="O551" s="22">
        <f>VLOOKUP(A551,'[1]Bieu 1a'!$A$8:$AW$855,8,0)</f>
        <v>0</v>
      </c>
      <c r="P551" s="22">
        <f>VLOOKUP(A551,'[1]Bieu 1a'!$A$8:$AW$855,9,0)</f>
        <v>31209</v>
      </c>
      <c r="Q551" s="23" t="s">
        <v>44</v>
      </c>
      <c r="R551" s="24" t="str">
        <f>VLOOKUP(A551,'[1]Bieu 1a'!$A$8:$AW$855,23,0)</f>
        <v>10/6/2013</v>
      </c>
      <c r="S551" s="25" t="s">
        <v>2690</v>
      </c>
      <c r="T551" s="26">
        <v>0</v>
      </c>
      <c r="U551" s="16"/>
      <c r="V551" s="16" t="str">
        <f>IFERROR(VLOOKUP(A551,'[2]19.6.2026'!$A$9:$L$1111,5,0),"")</f>
        <v/>
      </c>
      <c r="W551" s="16" t="str">
        <f>IFERROR(VLOOKUP(A551,'[2]19.6.2026'!$A$9:$L$1111,6,0),"")</f>
        <v/>
      </c>
      <c r="X551" s="16"/>
      <c r="Y551" s="21" t="str">
        <f>IFERROR(VLOOKUP(A551,'[2]19.6.2026'!$A$9:$L$1111,7,0),"")</f>
        <v/>
      </c>
      <c r="Z551" s="16"/>
      <c r="AA551" s="27" t="str">
        <f>IFERROR(VLOOKUP(A551,'[3]DS UPLOAD 2026 (2)'!$A$2:$P$1111,16,0),"")</f>
        <v/>
      </c>
      <c r="AB551" s="27">
        <v>984194138</v>
      </c>
      <c r="AC551" s="28"/>
    </row>
    <row r="552" spans="1:29" ht="18" customHeight="1" x14ac:dyDescent="0.3">
      <c r="A552" s="17" t="s">
        <v>2691</v>
      </c>
      <c r="B552" s="18" t="s">
        <v>2692</v>
      </c>
      <c r="C552" s="17" t="s">
        <v>2691</v>
      </c>
      <c r="D552" s="19" t="s">
        <v>38</v>
      </c>
      <c r="E552" s="19" t="s">
        <v>2693</v>
      </c>
      <c r="F552" s="16" t="str">
        <f>VLOOKUP(E552,'[1]BẢNG MÃ'!$A$2:$B$69,2,0)</f>
        <v>TĐ008</v>
      </c>
      <c r="G552" s="20" t="s">
        <v>2679</v>
      </c>
      <c r="H552" s="20" t="s">
        <v>2679</v>
      </c>
      <c r="I552" s="16" t="s">
        <v>2680</v>
      </c>
      <c r="J552" s="16" t="str">
        <f>VLOOKUP(I552,'[1]BẢNG MÃ'!$C$2:$D$69,2,0)</f>
        <v>KP028</v>
      </c>
      <c r="K552" s="16" t="s">
        <v>43</v>
      </c>
      <c r="L552" s="16">
        <v>0</v>
      </c>
      <c r="M552" s="16" t="s">
        <v>33</v>
      </c>
      <c r="N552" s="21">
        <f ca="1">VLOOKUP(A552,'[1]Bieu 1a'!$A$8:$AW$855,10,0)</f>
        <v>39</v>
      </c>
      <c r="O552" s="22">
        <f>VLOOKUP(A552,'[1]Bieu 1a'!$A$8:$AW$855,8,0)</f>
        <v>0</v>
      </c>
      <c r="P552" s="22">
        <f>VLOOKUP(A552,'[1]Bieu 1a'!$A$8:$AW$855,9,0)</f>
        <v>31611</v>
      </c>
      <c r="Q552" s="23" t="s">
        <v>50</v>
      </c>
      <c r="R552" s="24" t="str">
        <f>VLOOKUP(A552,'[1]Bieu 1a'!$A$8:$AW$855,23,0)</f>
        <v>1/5/2008</v>
      </c>
      <c r="S552" s="25" t="s">
        <v>2694</v>
      </c>
      <c r="T552" s="26" t="s">
        <v>2695</v>
      </c>
      <c r="U552" s="16"/>
      <c r="V552" s="16" t="str">
        <f>IFERROR(VLOOKUP(A552,'[2]19.6.2026'!$A$9:$L$1111,5,0),"")</f>
        <v/>
      </c>
      <c r="W552" s="16" t="str">
        <f>IFERROR(VLOOKUP(A552,'[2]19.6.2026'!$A$9:$L$1111,6,0),"")</f>
        <v/>
      </c>
      <c r="X552" s="16"/>
      <c r="Y552" s="21" t="str">
        <f>IFERROR(VLOOKUP(A552,'[2]19.6.2026'!$A$9:$L$1111,7,0),"")</f>
        <v/>
      </c>
      <c r="Z552" s="16"/>
      <c r="AA552" s="27" t="str">
        <f>IFERROR(VLOOKUP(A552,'[3]DS UPLOAD 2026 (2)'!$A$2:$P$1111,16,0),"")</f>
        <v/>
      </c>
      <c r="AB552" s="27" t="s">
        <v>2696</v>
      </c>
      <c r="AC552" s="28"/>
    </row>
    <row r="553" spans="1:29" ht="18" customHeight="1" x14ac:dyDescent="0.3">
      <c r="A553" s="17" t="s">
        <v>2697</v>
      </c>
      <c r="B553" s="38" t="s">
        <v>2698</v>
      </c>
      <c r="C553" s="17" t="s">
        <v>2697</v>
      </c>
      <c r="D553" s="19" t="s">
        <v>38</v>
      </c>
      <c r="E553" s="19" t="s">
        <v>2693</v>
      </c>
      <c r="F553" s="16" t="str">
        <f>VLOOKUP(E553,'[1]BẢNG MÃ'!$A$2:$B$69,2,0)</f>
        <v>TĐ008</v>
      </c>
      <c r="G553" s="20"/>
      <c r="H553" s="20" t="s">
        <v>2679</v>
      </c>
      <c r="I553" s="16" t="s">
        <v>2680</v>
      </c>
      <c r="J553" s="16" t="str">
        <f>VLOOKUP(I553,'[1]BẢNG MÃ'!$C$2:$D$69,2,0)</f>
        <v>KP028</v>
      </c>
      <c r="K553" s="16"/>
      <c r="L553" s="16"/>
      <c r="M553" s="16" t="s">
        <v>33</v>
      </c>
      <c r="N553" s="21">
        <f ca="1">VLOOKUP(A553,'[1]Bieu 1a'!$A$8:$AW$855,10,0)</f>
        <v>33</v>
      </c>
      <c r="O553" s="22">
        <f>VLOOKUP(A553,'[1]Bieu 1a'!$A$8:$AW$855,8,0)</f>
        <v>0</v>
      </c>
      <c r="P553" s="22" t="str">
        <f>VLOOKUP(A553,'[1]Bieu 1a'!$A$8:$AW$855,9,0)</f>
        <v>22/12/1992</v>
      </c>
      <c r="Q553" s="23" t="s">
        <v>34</v>
      </c>
      <c r="R553" s="24" t="str">
        <f>VLOOKUP(A553,'[1]Bieu 1a'!$A$8:$AW$855,23,0)</f>
        <v>09/3/2020</v>
      </c>
      <c r="S553" s="25" t="s">
        <v>2699</v>
      </c>
      <c r="T553" s="26" t="s">
        <v>2700</v>
      </c>
      <c r="U553" s="16"/>
      <c r="V553" s="16" t="str">
        <f>IFERROR(VLOOKUP(A553,'[2]19.6.2026'!$A$9:$L$1111,5,0),"")</f>
        <v/>
      </c>
      <c r="W553" s="16" t="str">
        <f>IFERROR(VLOOKUP(A553,'[2]19.6.2026'!$A$9:$L$1111,6,0),"")</f>
        <v/>
      </c>
      <c r="X553" s="16"/>
      <c r="Y553" s="21" t="str">
        <f>IFERROR(VLOOKUP(A553,'[2]19.6.2026'!$A$9:$L$1111,7,0),"")</f>
        <v/>
      </c>
      <c r="Z553" s="16"/>
      <c r="AA553" s="27" t="str">
        <f>IFERROR(VLOOKUP(A553,'[3]DS UPLOAD 2026 (2)'!$A$2:$P$1111,16,0),"")</f>
        <v/>
      </c>
      <c r="AB553" s="108"/>
      <c r="AC553" s="29" t="s">
        <v>2701</v>
      </c>
    </row>
    <row r="554" spans="1:29" ht="18" customHeight="1" x14ac:dyDescent="0.3">
      <c r="A554" s="17" t="s">
        <v>2702</v>
      </c>
      <c r="B554" s="38" t="s">
        <v>2703</v>
      </c>
      <c r="C554" s="17" t="s">
        <v>2702</v>
      </c>
      <c r="D554" s="19" t="s">
        <v>38</v>
      </c>
      <c r="E554" s="19" t="s">
        <v>2693</v>
      </c>
      <c r="F554" s="16" t="str">
        <f>VLOOKUP(E554,'[1]BẢNG MÃ'!$A$2:$B$69,2,0)</f>
        <v>TĐ008</v>
      </c>
      <c r="G554" s="20"/>
      <c r="H554" s="20" t="s">
        <v>2679</v>
      </c>
      <c r="I554" s="16" t="s">
        <v>2680</v>
      </c>
      <c r="J554" s="16" t="str">
        <f>VLOOKUP(I554,'[1]BẢNG MÃ'!$C$2:$D$69,2,0)</f>
        <v>KP028</v>
      </c>
      <c r="K554" s="16"/>
      <c r="L554" s="16"/>
      <c r="M554" s="16" t="s">
        <v>33</v>
      </c>
      <c r="N554" s="21">
        <f ca="1">VLOOKUP(A554,'[1]Bieu 1a'!$A$8:$AW$855,10,0)</f>
        <v>33</v>
      </c>
      <c r="O554" s="22">
        <f>VLOOKUP(A554,'[1]Bieu 1a'!$A$8:$AW$855,8,0)</f>
        <v>0</v>
      </c>
      <c r="P554" s="22" t="str">
        <f>VLOOKUP(A554,'[1]Bieu 1a'!$A$8:$AW$855,9,0)</f>
        <v>10/01/1993</v>
      </c>
      <c r="Q554" s="23" t="s">
        <v>34</v>
      </c>
      <c r="R554" s="24" t="str">
        <f>VLOOKUP(A554,'[1]Bieu 1a'!$A$8:$AW$855,23,0)</f>
        <v>09/3/2020</v>
      </c>
      <c r="S554" s="25" t="s">
        <v>2704</v>
      </c>
      <c r="T554" s="26" t="s">
        <v>2705</v>
      </c>
      <c r="U554" s="16"/>
      <c r="V554" s="16" t="str">
        <f>IFERROR(VLOOKUP(A554,'[2]19.6.2026'!$A$9:$L$1111,5,0),"")</f>
        <v/>
      </c>
      <c r="W554" s="16" t="str">
        <f>IFERROR(VLOOKUP(A554,'[2]19.6.2026'!$A$9:$L$1111,6,0),"")</f>
        <v/>
      </c>
      <c r="X554" s="16"/>
      <c r="Y554" s="21" t="str">
        <f>IFERROR(VLOOKUP(A554,'[2]19.6.2026'!$A$9:$L$1111,7,0),"")</f>
        <v/>
      </c>
      <c r="Z554" s="16"/>
      <c r="AA554" s="27" t="str">
        <f>IFERROR(VLOOKUP(A554,'[3]DS UPLOAD 2026 (2)'!$A$2:$P$1111,16,0),"")</f>
        <v/>
      </c>
      <c r="AB554" s="16"/>
      <c r="AC554" s="29" t="s">
        <v>2701</v>
      </c>
    </row>
    <row r="555" spans="1:29" ht="18" customHeight="1" x14ac:dyDescent="0.3">
      <c r="A555" s="16" t="s">
        <v>2706</v>
      </c>
      <c r="B555" s="38" t="s">
        <v>2707</v>
      </c>
      <c r="C555" s="16" t="s">
        <v>2706</v>
      </c>
      <c r="D555" s="53" t="s">
        <v>38</v>
      </c>
      <c r="E555" s="19" t="s">
        <v>2693</v>
      </c>
      <c r="F555" s="16" t="str">
        <f>VLOOKUP(E555,'[1]BẢNG MÃ'!$A$2:$B$69,2,0)</f>
        <v>TĐ008</v>
      </c>
      <c r="G555" s="20" t="s">
        <v>2679</v>
      </c>
      <c r="H555" s="20" t="s">
        <v>2679</v>
      </c>
      <c r="I555" s="16" t="s">
        <v>2680</v>
      </c>
      <c r="J555" s="16" t="str">
        <f>VLOOKUP(I555,'[1]BẢNG MÃ'!$C$2:$D$69,2,0)</f>
        <v>KP028</v>
      </c>
      <c r="K555" s="16" t="s">
        <v>43</v>
      </c>
      <c r="L555" s="16">
        <v>0</v>
      </c>
      <c r="M555" s="16" t="s">
        <v>33</v>
      </c>
      <c r="N555" s="21">
        <f ca="1">VLOOKUP(A555,'[1]Bieu 1a'!$A$8:$AW$855,10,0)</f>
        <v>33</v>
      </c>
      <c r="O555" s="22">
        <f>VLOOKUP(A555,'[1]Bieu 1a'!$A$8:$AW$855,8,0)</f>
        <v>0</v>
      </c>
      <c r="P555" s="22" t="str">
        <f>VLOOKUP(A555,'[1]Bieu 1a'!$A$8:$AW$855,9,0)</f>
        <v>10/11/1992</v>
      </c>
      <c r="Q555" s="23" t="s">
        <v>44</v>
      </c>
      <c r="R555" s="24">
        <f>VLOOKUP(A555,'[1]Bieu 1a'!$A$8:$AW$855,23,0)</f>
        <v>42767</v>
      </c>
      <c r="S555" s="25" t="s">
        <v>2708</v>
      </c>
      <c r="T555" s="26" t="s">
        <v>2709</v>
      </c>
      <c r="U555" s="16"/>
      <c r="V555" s="16" t="str">
        <f>IFERROR(VLOOKUP(A555,'[2]19.6.2026'!$A$9:$L$1111,5,0),"")</f>
        <v/>
      </c>
      <c r="W555" s="16" t="str">
        <f>IFERROR(VLOOKUP(A555,'[2]19.6.2026'!$A$9:$L$1111,6,0),"")</f>
        <v/>
      </c>
      <c r="X555" s="16"/>
      <c r="Y555" s="21" t="str">
        <f>IFERROR(VLOOKUP(A555,'[2]19.6.2026'!$A$9:$L$1111,7,0),"")</f>
        <v/>
      </c>
      <c r="Z555" s="16"/>
      <c r="AA555" s="27" t="str">
        <f>IFERROR(VLOOKUP(A555,'[3]DS UPLOAD 2026 (2)'!$A$2:$P$1111,16,0),"")</f>
        <v/>
      </c>
      <c r="AB555" s="27"/>
      <c r="AC555" s="28" t="s">
        <v>2710</v>
      </c>
    </row>
    <row r="556" spans="1:29" ht="18" customHeight="1" x14ac:dyDescent="0.3">
      <c r="A556" s="59" t="s">
        <v>2711</v>
      </c>
      <c r="B556" s="62" t="s">
        <v>2712</v>
      </c>
      <c r="C556" s="59" t="s">
        <v>2711</v>
      </c>
      <c r="D556" s="19" t="s">
        <v>38</v>
      </c>
      <c r="E556" s="77" t="s">
        <v>2693</v>
      </c>
      <c r="F556" s="16" t="str">
        <f>VLOOKUP(E556,'[1]BẢNG MÃ'!$A$2:$B$69,2,0)</f>
        <v>TĐ008</v>
      </c>
      <c r="G556" s="20"/>
      <c r="H556" s="20" t="s">
        <v>2679</v>
      </c>
      <c r="I556" s="77" t="s">
        <v>2680</v>
      </c>
      <c r="J556" s="16" t="str">
        <f>VLOOKUP(I556,'[1]BẢNG MÃ'!$C$2:$D$69,2,0)</f>
        <v>KP028</v>
      </c>
      <c r="K556" s="16"/>
      <c r="L556" s="16"/>
      <c r="M556" s="16" t="s">
        <v>33</v>
      </c>
      <c r="N556" s="21">
        <f ca="1">VLOOKUP(A556,'[1]Bieu 1a'!$A$8:$AW$855,10,0)</f>
        <v>27</v>
      </c>
      <c r="O556" s="22">
        <f>VLOOKUP(A556,'[1]Bieu 1a'!$A$8:$AW$855,8,0)</f>
        <v>0</v>
      </c>
      <c r="P556" s="22" t="str">
        <f>VLOOKUP(A556,'[1]Bieu 1a'!$A$8:$AW$855,9,0)</f>
        <v>21/4/1999</v>
      </c>
      <c r="Q556" s="23" t="s">
        <v>44</v>
      </c>
      <c r="R556" s="24">
        <f>VLOOKUP(A556,'[1]Bieu 1a'!$A$8:$AW$855,23,0)</f>
        <v>44830</v>
      </c>
      <c r="S556" s="25" t="s">
        <v>2713</v>
      </c>
      <c r="T556" s="26" t="s">
        <v>2714</v>
      </c>
      <c r="U556" s="16"/>
      <c r="V556" s="16" t="str">
        <f>IFERROR(VLOOKUP(A556,'[2]19.6.2026'!$A$9:$L$1111,5,0),"")</f>
        <v/>
      </c>
      <c r="W556" s="16" t="str">
        <f>IFERROR(VLOOKUP(A556,'[2]19.6.2026'!$A$9:$L$1111,6,0),"")</f>
        <v/>
      </c>
      <c r="X556" s="16"/>
      <c r="Y556" s="21" t="str">
        <f>IFERROR(VLOOKUP(A556,'[2]19.6.2026'!$A$9:$L$1111,7,0),"")</f>
        <v/>
      </c>
      <c r="Z556" s="16"/>
      <c r="AA556" s="27" t="str">
        <f>IFERROR(VLOOKUP(A556,'[3]DS UPLOAD 2026 (2)'!$A$2:$P$1111,16,0),"")</f>
        <v/>
      </c>
      <c r="AB556" s="27">
        <v>833210499</v>
      </c>
      <c r="AC556" s="29" t="s">
        <v>2715</v>
      </c>
    </row>
    <row r="557" spans="1:29" ht="18" customHeight="1" x14ac:dyDescent="0.3">
      <c r="A557" s="43" t="s">
        <v>2716</v>
      </c>
      <c r="B557" s="44" t="s">
        <v>2717</v>
      </c>
      <c r="C557" s="45" t="s">
        <v>2716</v>
      </c>
      <c r="D557" s="19" t="s">
        <v>38</v>
      </c>
      <c r="E557" s="55" t="s">
        <v>2693</v>
      </c>
      <c r="F557" s="16" t="str">
        <f>VLOOKUP(E557,'[1]BẢNG MÃ'!$A$2:$B$69,2,0)</f>
        <v>TĐ008</v>
      </c>
      <c r="G557" s="20"/>
      <c r="H557" s="20" t="s">
        <v>2679</v>
      </c>
      <c r="I557" s="55" t="s">
        <v>2680</v>
      </c>
      <c r="J557" s="16" t="str">
        <f>VLOOKUP(I557,'[1]BẢNG MÃ'!$C$2:$D$69,2,0)</f>
        <v>KP028</v>
      </c>
      <c r="K557" s="16"/>
      <c r="L557" s="16"/>
      <c r="M557" s="16" t="s">
        <v>33</v>
      </c>
      <c r="N557" s="21">
        <f ca="1">VLOOKUP(A557,'[1]Bieu 1a'!$A$8:$AW$855,10,0)</f>
        <v>30</v>
      </c>
      <c r="O557" s="22">
        <f>VLOOKUP(A557,'[1]Bieu 1a'!$A$8:$AW$855,8,0)</f>
        <v>0</v>
      </c>
      <c r="P557" s="22" t="str">
        <f>VLOOKUP(A557,'[1]Bieu 1a'!$A$8:$AW$855,9,0)</f>
        <v>27/4/1996</v>
      </c>
      <c r="Q557" s="23" t="s">
        <v>50</v>
      </c>
      <c r="R557" s="24">
        <f>VLOOKUP(A557,'[1]Bieu 1a'!$A$8:$AW$855,23,0)</f>
        <v>44830</v>
      </c>
      <c r="S557" s="25" t="s">
        <v>2718</v>
      </c>
      <c r="T557" s="26" t="s">
        <v>2719</v>
      </c>
      <c r="U557" s="16"/>
      <c r="V557" s="16" t="str">
        <f>IFERROR(VLOOKUP(A557,'[2]19.6.2026'!$A$9:$L$1111,5,0),"")</f>
        <v/>
      </c>
      <c r="W557" s="16" t="str">
        <f>IFERROR(VLOOKUP(A557,'[2]19.6.2026'!$A$9:$L$1111,6,0),"")</f>
        <v/>
      </c>
      <c r="X557" s="16"/>
      <c r="Y557" s="21" t="str">
        <f>IFERROR(VLOOKUP(A557,'[2]19.6.2026'!$A$9:$L$1111,7,0),"")</f>
        <v/>
      </c>
      <c r="Z557" s="16"/>
      <c r="AA557" s="27" t="str">
        <f>IFERROR(VLOOKUP(A557,'[3]DS UPLOAD 2026 (2)'!$A$2:$P$1111,16,0),"")</f>
        <v/>
      </c>
      <c r="AB557" s="27" t="s">
        <v>2720</v>
      </c>
      <c r="AC557" s="29" t="s">
        <v>2715</v>
      </c>
    </row>
    <row r="558" spans="1:29" ht="18" customHeight="1" x14ac:dyDescent="0.3">
      <c r="A558" s="17" t="s">
        <v>2721</v>
      </c>
      <c r="B558" s="18" t="s">
        <v>2722</v>
      </c>
      <c r="C558" s="17" t="s">
        <v>2721</v>
      </c>
      <c r="D558" s="19" t="s">
        <v>38</v>
      </c>
      <c r="E558" s="19" t="s">
        <v>2693</v>
      </c>
      <c r="F558" s="16" t="str">
        <f>VLOOKUP(E558,'[1]BẢNG MÃ'!$A$2:$B$69,2,0)</f>
        <v>TĐ008</v>
      </c>
      <c r="G558" s="20"/>
      <c r="H558" s="20" t="s">
        <v>2679</v>
      </c>
      <c r="I558" s="16" t="s">
        <v>2680</v>
      </c>
      <c r="J558" s="16" t="str">
        <f>VLOOKUP(I558,'[1]BẢNG MÃ'!$C$2:$D$69,2,0)</f>
        <v>KP028</v>
      </c>
      <c r="K558" s="16"/>
      <c r="L558" s="16"/>
      <c r="M558" s="16" t="s">
        <v>33</v>
      </c>
      <c r="N558" s="21">
        <f ca="1">VLOOKUP(A558,'[1]Bieu 1a'!$A$8:$AW$855,10,0)</f>
        <v>28</v>
      </c>
      <c r="O558" s="22">
        <f>VLOOKUP(A558,'[1]Bieu 1a'!$A$8:$AW$855,8,0)</f>
        <v>0</v>
      </c>
      <c r="P558" s="22">
        <f>VLOOKUP(A558,'[1]Bieu 1a'!$A$8:$AW$855,9,0)</f>
        <v>35837</v>
      </c>
      <c r="Q558" s="23" t="s">
        <v>50</v>
      </c>
      <c r="R558" s="24">
        <f>VLOOKUP(A558,'[1]Bieu 1a'!$A$8:$AW$855,23,0)</f>
        <v>44921</v>
      </c>
      <c r="S558" s="25" t="s">
        <v>2723</v>
      </c>
      <c r="T558" s="26" t="s">
        <v>2724</v>
      </c>
      <c r="U558" s="16"/>
      <c r="V558" s="16" t="str">
        <f>IFERROR(VLOOKUP(A558,'[2]19.6.2026'!$A$9:$L$1111,5,0),"")</f>
        <v/>
      </c>
      <c r="W558" s="16" t="str">
        <f>IFERROR(VLOOKUP(A558,'[2]19.6.2026'!$A$9:$L$1111,6,0),"")</f>
        <v/>
      </c>
      <c r="X558" s="16"/>
      <c r="Y558" s="21" t="str">
        <f>IFERROR(VLOOKUP(A558,'[2]19.6.2026'!$A$9:$L$1111,7,0),"")</f>
        <v/>
      </c>
      <c r="Z558" s="16"/>
      <c r="AA558" s="27" t="str">
        <f>IFERROR(VLOOKUP(A558,'[3]DS UPLOAD 2026 (2)'!$A$2:$P$1111,16,0),"")</f>
        <v/>
      </c>
      <c r="AB558" s="27">
        <v>972155682</v>
      </c>
      <c r="AC558" s="29" t="s">
        <v>2725</v>
      </c>
    </row>
    <row r="559" spans="1:29" ht="18" customHeight="1" x14ac:dyDescent="0.3">
      <c r="A559" s="17" t="s">
        <v>2726</v>
      </c>
      <c r="B559" s="18" t="s">
        <v>2727</v>
      </c>
      <c r="C559" s="17" t="s">
        <v>2726</v>
      </c>
      <c r="D559" s="19"/>
      <c r="E559" s="19" t="s">
        <v>2693</v>
      </c>
      <c r="F559" s="16" t="str">
        <f>VLOOKUP(E559,'[1]BẢNG MÃ'!$A$2:$B$69,2,0)</f>
        <v>TĐ008</v>
      </c>
      <c r="G559" s="20"/>
      <c r="H559" s="20" t="s">
        <v>2679</v>
      </c>
      <c r="I559" s="16" t="s">
        <v>2680</v>
      </c>
      <c r="J559" s="16" t="str">
        <f>VLOOKUP(I559,'[1]BẢNG MÃ'!$C$2:$D$69,2,0)</f>
        <v>KP028</v>
      </c>
      <c r="K559" s="16"/>
      <c r="L559" s="16"/>
      <c r="M559" s="16" t="s">
        <v>136</v>
      </c>
      <c r="N559" s="21">
        <f ca="1">VLOOKUP(A559,'[1]Bieu 1a'!$A$8:$AW$855,10,0)</f>
        <v>30</v>
      </c>
      <c r="O559" s="22" t="str">
        <f>VLOOKUP(A559,'[1]Bieu 1a'!$A$8:$AW$855,8,0)</f>
        <v>09/09/1995</v>
      </c>
      <c r="P559" s="22">
        <f>VLOOKUP(A559,'[1]Bieu 1a'!$A$8:$AW$855,9,0)</f>
        <v>0</v>
      </c>
      <c r="Q559" s="23" t="s">
        <v>34</v>
      </c>
      <c r="R559" s="24">
        <f>VLOOKUP(A559,'[1]Bieu 1a'!$A$8:$AW$855,23,0)</f>
        <v>44991</v>
      </c>
      <c r="S559" s="25" t="s">
        <v>2728</v>
      </c>
      <c r="T559" s="26" t="s">
        <v>2729</v>
      </c>
      <c r="U559" s="16"/>
      <c r="V559" s="16" t="str">
        <f>IFERROR(VLOOKUP(A559,'[2]19.6.2026'!$A$9:$L$1111,5,0),"")</f>
        <v/>
      </c>
      <c r="W559" s="16" t="str">
        <f>IFERROR(VLOOKUP(A559,'[2]19.6.2026'!$A$9:$L$1111,6,0),"")</f>
        <v/>
      </c>
      <c r="X559" s="16"/>
      <c r="Y559" s="21" t="str">
        <f>IFERROR(VLOOKUP(A559,'[2]19.6.2026'!$A$9:$L$1111,7,0),"")</f>
        <v/>
      </c>
      <c r="Z559" s="16"/>
      <c r="AA559" s="27" t="str">
        <f>IFERROR(VLOOKUP(A559,'[3]DS UPLOAD 2026 (2)'!$A$2:$P$1111,16,0),"")</f>
        <v/>
      </c>
      <c r="AB559" s="27"/>
      <c r="AC559" s="28" t="s">
        <v>2730</v>
      </c>
    </row>
    <row r="560" spans="1:29" ht="18" customHeight="1" x14ac:dyDescent="0.3">
      <c r="A560" s="43" t="s">
        <v>2731</v>
      </c>
      <c r="B560" s="44" t="s">
        <v>687</v>
      </c>
      <c r="C560" s="45" t="s">
        <v>2731</v>
      </c>
      <c r="D560" s="23" t="s">
        <v>38</v>
      </c>
      <c r="E560" s="19" t="s">
        <v>2693</v>
      </c>
      <c r="F560" s="16" t="str">
        <f>VLOOKUP(E560,'[1]BẢNG MÃ'!$A$2:$B$69,2,0)</f>
        <v>TĐ008</v>
      </c>
      <c r="G560" s="23"/>
      <c r="H560" s="20" t="s">
        <v>2679</v>
      </c>
      <c r="I560" s="19" t="s">
        <v>2680</v>
      </c>
      <c r="J560" s="16" t="str">
        <f>VLOOKUP(I560,'[1]BẢNG MÃ'!$C$2:$D$69,2,0)</f>
        <v>KP028</v>
      </c>
      <c r="K560" s="23"/>
      <c r="L560" s="23"/>
      <c r="M560" s="16" t="s">
        <v>33</v>
      </c>
      <c r="N560" s="21">
        <f ca="1">VLOOKUP(A560,'[1]Bieu 1a'!$A$8:$AW$855,10,0)</f>
        <v>29</v>
      </c>
      <c r="O560" s="22">
        <f>VLOOKUP(A560,'[1]Bieu 1a'!$A$8:$AW$855,8,0)</f>
        <v>0</v>
      </c>
      <c r="P560" s="22" t="str">
        <f>VLOOKUP(A560,'[1]Bieu 1a'!$A$8:$AW$855,9,0)</f>
        <v>10/3/1997</v>
      </c>
      <c r="Q560" s="23" t="s">
        <v>34</v>
      </c>
      <c r="R560" s="24">
        <f>VLOOKUP(A560,'[1]Bieu 1a'!$A$8:$AW$855,23,0)</f>
        <v>45337</v>
      </c>
      <c r="S560" s="25" t="s">
        <v>2732</v>
      </c>
      <c r="T560" s="26">
        <v>0</v>
      </c>
      <c r="U560" s="23"/>
      <c r="V560" s="16" t="str">
        <f>IFERROR(VLOOKUP(A560,'[2]19.6.2026'!$A$9:$L$1111,5,0),"")</f>
        <v/>
      </c>
      <c r="W560" s="16" t="str">
        <f>IFERROR(VLOOKUP(A560,'[2]19.6.2026'!$A$9:$L$1111,6,0),"")</f>
        <v/>
      </c>
      <c r="X560" s="16"/>
      <c r="Y560" s="21" t="str">
        <f>IFERROR(VLOOKUP(A560,'[2]19.6.2026'!$A$9:$L$1111,7,0),"")</f>
        <v/>
      </c>
      <c r="Z560" s="16"/>
      <c r="AA560" s="27" t="str">
        <f>IFERROR(VLOOKUP(A560,'[3]DS UPLOAD 2026 (2)'!$A$2:$P$1111,16,0),"")</f>
        <v/>
      </c>
      <c r="AB560" s="44" t="s">
        <v>2733</v>
      </c>
      <c r="AC560" s="29" t="s">
        <v>704</v>
      </c>
    </row>
    <row r="561" spans="1:29" ht="18" customHeight="1" x14ac:dyDescent="0.3">
      <c r="A561" s="17" t="s">
        <v>2734</v>
      </c>
      <c r="B561" s="18" t="s">
        <v>2735</v>
      </c>
      <c r="C561" s="17" t="s">
        <v>2734</v>
      </c>
      <c r="D561" s="19" t="s">
        <v>38</v>
      </c>
      <c r="E561" s="19" t="s">
        <v>2736</v>
      </c>
      <c r="F561" s="16" t="str">
        <f>VLOOKUP(E561,'[1]BẢNG MÃ'!$A$2:$B$69,2,0)</f>
        <v>TĐ009</v>
      </c>
      <c r="G561" s="20"/>
      <c r="H561" s="20" t="s">
        <v>2737</v>
      </c>
      <c r="I561" s="16" t="s">
        <v>2680</v>
      </c>
      <c r="J561" s="16" t="str">
        <f>VLOOKUP(I561,'[1]BẢNG MÃ'!$C$2:$D$69,2,0)</f>
        <v>KP028</v>
      </c>
      <c r="K561" s="16"/>
      <c r="L561" s="16"/>
      <c r="M561" s="23" t="s">
        <v>33</v>
      </c>
      <c r="N561" s="21">
        <f ca="1">VLOOKUP(A561,'[1]Bieu 1a'!$A$8:$AW$855,10,0)</f>
        <v>39</v>
      </c>
      <c r="O561" s="22">
        <f>VLOOKUP(A561,'[1]Bieu 1a'!$A$8:$AW$855,8,0)</f>
        <v>0</v>
      </c>
      <c r="P561" s="22">
        <f>VLOOKUP(A561,'[1]Bieu 1a'!$A$8:$AW$855,9,0)</f>
        <v>31681</v>
      </c>
      <c r="Q561" s="23" t="s">
        <v>44</v>
      </c>
      <c r="R561" s="24" t="str">
        <f>VLOOKUP(A561,'[1]Bieu 1a'!$A$8:$AW$855,23,0)</f>
        <v>01/10/2013</v>
      </c>
      <c r="S561" s="25" t="s">
        <v>2738</v>
      </c>
      <c r="T561" s="26" t="s">
        <v>2739</v>
      </c>
      <c r="U561" s="16"/>
      <c r="V561" s="16" t="str">
        <f>IFERROR(VLOOKUP(A561,'[2]19.6.2026'!$A$9:$L$1111,5,0),"")</f>
        <v/>
      </c>
      <c r="W561" s="16" t="str">
        <f>IFERROR(VLOOKUP(A561,'[2]19.6.2026'!$A$9:$L$1111,6,0),"")</f>
        <v/>
      </c>
      <c r="X561" s="16"/>
      <c r="Y561" s="21" t="str">
        <f>IFERROR(VLOOKUP(A561,'[2]19.6.2026'!$A$9:$L$1111,7,0),"")</f>
        <v/>
      </c>
      <c r="Z561" s="16"/>
      <c r="AA561" s="27" t="str">
        <f>IFERROR(VLOOKUP(A561,'[3]DS UPLOAD 2026 (2)'!$A$2:$P$1111,16,0),"")</f>
        <v/>
      </c>
      <c r="AB561" s="27" t="s">
        <v>2740</v>
      </c>
      <c r="AC561" s="29" t="s">
        <v>2741</v>
      </c>
    </row>
    <row r="562" spans="1:29" ht="18" customHeight="1" x14ac:dyDescent="0.3">
      <c r="A562" s="17" t="s">
        <v>2742</v>
      </c>
      <c r="B562" s="18" t="s">
        <v>2743</v>
      </c>
      <c r="C562" s="17" t="s">
        <v>2742</v>
      </c>
      <c r="D562" s="19" t="s">
        <v>38</v>
      </c>
      <c r="E562" s="19" t="s">
        <v>2736</v>
      </c>
      <c r="F562" s="16" t="str">
        <f>VLOOKUP(E562,'[1]BẢNG MÃ'!$A$2:$B$69,2,0)</f>
        <v>TĐ009</v>
      </c>
      <c r="G562" s="20" t="s">
        <v>2737</v>
      </c>
      <c r="H562" s="20" t="s">
        <v>2737</v>
      </c>
      <c r="I562" s="16" t="s">
        <v>2680</v>
      </c>
      <c r="J562" s="16" t="str">
        <f>VLOOKUP(I562,'[1]BẢNG MÃ'!$C$2:$D$69,2,0)</f>
        <v>KP028</v>
      </c>
      <c r="K562" s="16" t="s">
        <v>43</v>
      </c>
      <c r="L562" s="16">
        <v>0</v>
      </c>
      <c r="M562" s="16" t="s">
        <v>33</v>
      </c>
      <c r="N562" s="21">
        <f ca="1">VLOOKUP(A562,'[1]Bieu 1a'!$A$8:$AW$855,10,0)</f>
        <v>38</v>
      </c>
      <c r="O562" s="22">
        <f>VLOOKUP(A562,'[1]Bieu 1a'!$A$8:$AW$855,8,0)</f>
        <v>0</v>
      </c>
      <c r="P562" s="22">
        <f>VLOOKUP(A562,'[1]Bieu 1a'!$A$8:$AW$855,9,0)</f>
        <v>32322</v>
      </c>
      <c r="Q562" s="23" t="s">
        <v>50</v>
      </c>
      <c r="R562" s="24" t="str">
        <f>VLOOKUP(A562,'[1]Bieu 1a'!$A$8:$AW$855,23,0)</f>
        <v>15/1/2010</v>
      </c>
      <c r="S562" s="25" t="s">
        <v>2744</v>
      </c>
      <c r="T562" s="26" t="s">
        <v>2745</v>
      </c>
      <c r="U562" s="16"/>
      <c r="V562" s="16" t="str">
        <f>IFERROR(VLOOKUP(A562,'[2]19.6.2026'!$A$9:$L$1111,5,0),"")</f>
        <v/>
      </c>
      <c r="W562" s="16" t="str">
        <f>IFERROR(VLOOKUP(A562,'[2]19.6.2026'!$A$9:$L$1111,6,0),"")</f>
        <v/>
      </c>
      <c r="X562" s="16"/>
      <c r="Y562" s="21" t="str">
        <f>IFERROR(VLOOKUP(A562,'[2]19.6.2026'!$A$9:$L$1111,7,0),"")</f>
        <v/>
      </c>
      <c r="Z562" s="16"/>
      <c r="AA562" s="27" t="str">
        <f>IFERROR(VLOOKUP(A562,'[3]DS UPLOAD 2026 (2)'!$A$2:$P$1111,16,0),"")</f>
        <v/>
      </c>
      <c r="AB562" s="27" t="s">
        <v>2746</v>
      </c>
      <c r="AC562" s="28"/>
    </row>
    <row r="563" spans="1:29" ht="18" customHeight="1" x14ac:dyDescent="0.3">
      <c r="A563" s="17" t="s">
        <v>2747</v>
      </c>
      <c r="B563" s="18" t="s">
        <v>2748</v>
      </c>
      <c r="C563" s="17" t="s">
        <v>2747</v>
      </c>
      <c r="D563" s="19" t="s">
        <v>38</v>
      </c>
      <c r="E563" s="19" t="s">
        <v>2736</v>
      </c>
      <c r="F563" s="16" t="str">
        <f>VLOOKUP(E563,'[1]BẢNG MÃ'!$A$2:$B$69,2,0)</f>
        <v>TĐ009</v>
      </c>
      <c r="G563" s="20" t="s">
        <v>2737</v>
      </c>
      <c r="H563" s="20" t="s">
        <v>2737</v>
      </c>
      <c r="I563" s="16" t="s">
        <v>2680</v>
      </c>
      <c r="J563" s="16" t="str">
        <f>VLOOKUP(I563,'[1]BẢNG MÃ'!$C$2:$D$69,2,0)</f>
        <v>KP028</v>
      </c>
      <c r="K563" s="16" t="s">
        <v>43</v>
      </c>
      <c r="L563" s="16">
        <v>0</v>
      </c>
      <c r="M563" s="16" t="s">
        <v>33</v>
      </c>
      <c r="N563" s="21">
        <f ca="1">VLOOKUP(A563,'[1]Bieu 1a'!$A$8:$AW$855,10,0)</f>
        <v>44</v>
      </c>
      <c r="O563" s="22">
        <f>VLOOKUP(A563,'[1]Bieu 1a'!$A$8:$AW$855,8,0)</f>
        <v>0</v>
      </c>
      <c r="P563" s="22">
        <f>VLOOKUP(A563,'[1]Bieu 1a'!$A$8:$AW$855,9,0)</f>
        <v>29899</v>
      </c>
      <c r="Q563" s="23" t="s">
        <v>50</v>
      </c>
      <c r="R563" s="24" t="str">
        <f>VLOOKUP(A563,'[1]Bieu 1a'!$A$8:$AW$855,23,0)</f>
        <v>17/11/2003</v>
      </c>
      <c r="S563" s="25" t="s">
        <v>2749</v>
      </c>
      <c r="T563" s="26" t="s">
        <v>2750</v>
      </c>
      <c r="U563" s="16"/>
      <c r="V563" s="16" t="str">
        <f>IFERROR(VLOOKUP(A563,'[2]19.6.2026'!$A$9:$L$1111,5,0),"")</f>
        <v/>
      </c>
      <c r="W563" s="16" t="str">
        <f>IFERROR(VLOOKUP(A563,'[2]19.6.2026'!$A$9:$L$1111,6,0),"")</f>
        <v/>
      </c>
      <c r="X563" s="16"/>
      <c r="Y563" s="21" t="str">
        <f>IFERROR(VLOOKUP(A563,'[2]19.6.2026'!$A$9:$L$1111,7,0),"")</f>
        <v/>
      </c>
      <c r="Z563" s="16"/>
      <c r="AA563" s="27" t="str">
        <f>IFERROR(VLOOKUP(A563,'[3]DS UPLOAD 2026 (2)'!$A$2:$P$1111,16,0),"")</f>
        <v/>
      </c>
      <c r="AB563" s="27" t="s">
        <v>2751</v>
      </c>
      <c r="AC563" s="28"/>
    </row>
    <row r="564" spans="1:29" ht="18" customHeight="1" x14ac:dyDescent="0.3">
      <c r="A564" s="17" t="s">
        <v>2752</v>
      </c>
      <c r="B564" s="18" t="s">
        <v>2753</v>
      </c>
      <c r="C564" s="17" t="s">
        <v>2752</v>
      </c>
      <c r="D564" s="19" t="s">
        <v>38</v>
      </c>
      <c r="E564" s="19" t="s">
        <v>2736</v>
      </c>
      <c r="F564" s="16" t="str">
        <f>VLOOKUP(E564,'[1]BẢNG MÃ'!$A$2:$B$69,2,0)</f>
        <v>TĐ009</v>
      </c>
      <c r="G564" s="20" t="s">
        <v>2737</v>
      </c>
      <c r="H564" s="20" t="s">
        <v>2737</v>
      </c>
      <c r="I564" s="16" t="s">
        <v>2680</v>
      </c>
      <c r="J564" s="16" t="str">
        <f>VLOOKUP(I564,'[1]BẢNG MÃ'!$C$2:$D$69,2,0)</f>
        <v>KP028</v>
      </c>
      <c r="K564" s="16" t="s">
        <v>43</v>
      </c>
      <c r="L564" s="16">
        <v>0</v>
      </c>
      <c r="M564" s="16" t="s">
        <v>33</v>
      </c>
      <c r="N564" s="21">
        <f ca="1">VLOOKUP(A564,'[1]Bieu 1a'!$A$8:$AW$855,10,0)</f>
        <v>37</v>
      </c>
      <c r="O564" s="22">
        <f>VLOOKUP(A564,'[1]Bieu 1a'!$A$8:$AW$855,8,0)</f>
        <v>0</v>
      </c>
      <c r="P564" s="22">
        <f>VLOOKUP(A564,'[1]Bieu 1a'!$A$8:$AW$855,9,0)</f>
        <v>32452</v>
      </c>
      <c r="Q564" s="23" t="s">
        <v>34</v>
      </c>
      <c r="R564" s="24" t="str">
        <f>VLOOKUP(A564,'[1]Bieu 1a'!$A$8:$AW$855,23,0)</f>
        <v>10/6/2013</v>
      </c>
      <c r="S564" s="25" t="s">
        <v>2754</v>
      </c>
      <c r="T564" s="26" t="s">
        <v>2755</v>
      </c>
      <c r="U564" s="16"/>
      <c r="V564" s="16" t="str">
        <f>IFERROR(VLOOKUP(A564,'[2]19.6.2026'!$A$9:$L$1111,5,0),"")</f>
        <v/>
      </c>
      <c r="W564" s="16" t="str">
        <f>IFERROR(VLOOKUP(A564,'[2]19.6.2026'!$A$9:$L$1111,6,0),"")</f>
        <v/>
      </c>
      <c r="X564" s="16"/>
      <c r="Y564" s="21" t="str">
        <f>IFERROR(VLOOKUP(A564,'[2]19.6.2026'!$A$9:$L$1111,7,0),"")</f>
        <v/>
      </c>
      <c r="Z564" s="16"/>
      <c r="AA564" s="27" t="str">
        <f>IFERROR(VLOOKUP(A564,'[3]DS UPLOAD 2026 (2)'!$A$2:$P$1111,16,0),"")</f>
        <v/>
      </c>
      <c r="AB564" s="27" t="s">
        <v>2756</v>
      </c>
      <c r="AC564" s="28"/>
    </row>
    <row r="565" spans="1:29" ht="18" customHeight="1" x14ac:dyDescent="0.3">
      <c r="A565" s="17" t="s">
        <v>2757</v>
      </c>
      <c r="B565" s="36" t="s">
        <v>2758</v>
      </c>
      <c r="C565" s="17" t="s">
        <v>2757</v>
      </c>
      <c r="D565" s="19" t="s">
        <v>38</v>
      </c>
      <c r="E565" s="19" t="s">
        <v>2736</v>
      </c>
      <c r="F565" s="16" t="str">
        <f>VLOOKUP(E565,'[1]BẢNG MÃ'!$A$2:$B$69,2,0)</f>
        <v>TĐ009</v>
      </c>
      <c r="G565" s="20"/>
      <c r="H565" s="20" t="s">
        <v>2737</v>
      </c>
      <c r="I565" s="16" t="s">
        <v>2680</v>
      </c>
      <c r="J565" s="16" t="str">
        <f>VLOOKUP(I565,'[1]BẢNG MÃ'!$C$2:$D$69,2,0)</f>
        <v>KP028</v>
      </c>
      <c r="K565" s="16"/>
      <c r="L565" s="16"/>
      <c r="M565" s="16" t="s">
        <v>33</v>
      </c>
      <c r="N565" s="21">
        <f ca="1">VLOOKUP(A565,'[1]Bieu 1a'!$A$8:$AW$855,10,0)</f>
        <v>28</v>
      </c>
      <c r="O565" s="22">
        <f>VLOOKUP(A565,'[1]Bieu 1a'!$A$8:$AW$855,8,0)</f>
        <v>0</v>
      </c>
      <c r="P565" s="22" t="str">
        <f>VLOOKUP(A565,'[1]Bieu 1a'!$A$8:$AW$855,9,0)</f>
        <v>02/10/1997</v>
      </c>
      <c r="Q565" s="23" t="s">
        <v>34</v>
      </c>
      <c r="R565" s="24" t="str">
        <f>VLOOKUP(A565,'[1]Bieu 1a'!$A$8:$AW$855,23,0)</f>
        <v>09/3/2020</v>
      </c>
      <c r="S565" s="25" t="s">
        <v>2759</v>
      </c>
      <c r="T565" s="26">
        <v>0</v>
      </c>
      <c r="U565" s="16"/>
      <c r="V565" s="16" t="str">
        <f>IFERROR(VLOOKUP(A565,'[2]19.6.2026'!$A$9:$L$1111,5,0),"")</f>
        <v/>
      </c>
      <c r="W565" s="16" t="str">
        <f>IFERROR(VLOOKUP(A565,'[2]19.6.2026'!$A$9:$L$1111,6,0),"")</f>
        <v/>
      </c>
      <c r="X565" s="16"/>
      <c r="Y565" s="21" t="str">
        <f>IFERROR(VLOOKUP(A565,'[2]19.6.2026'!$A$9:$L$1111,7,0),"")</f>
        <v/>
      </c>
      <c r="Z565" s="16"/>
      <c r="AA565" s="27" t="str">
        <f>IFERROR(VLOOKUP(A565,'[3]DS UPLOAD 2026 (2)'!$A$2:$P$1111,16,0),"")</f>
        <v/>
      </c>
      <c r="AB565" s="108"/>
      <c r="AC565" s="29" t="s">
        <v>2701</v>
      </c>
    </row>
    <row r="566" spans="1:29" ht="18" customHeight="1" x14ac:dyDescent="0.3">
      <c r="A566" s="17" t="s">
        <v>2760</v>
      </c>
      <c r="B566" s="38" t="s">
        <v>2761</v>
      </c>
      <c r="C566" s="17" t="s">
        <v>2760</v>
      </c>
      <c r="D566" s="19" t="s">
        <v>38</v>
      </c>
      <c r="E566" s="19" t="s">
        <v>2736</v>
      </c>
      <c r="F566" s="16" t="str">
        <f>VLOOKUP(E566,'[1]BẢNG MÃ'!$A$2:$B$69,2,0)</f>
        <v>TĐ009</v>
      </c>
      <c r="G566" s="20"/>
      <c r="H566" s="20" t="s">
        <v>2737</v>
      </c>
      <c r="I566" s="16" t="s">
        <v>2680</v>
      </c>
      <c r="J566" s="16" t="str">
        <f>VLOOKUP(I566,'[1]BẢNG MÃ'!$C$2:$D$69,2,0)</f>
        <v>KP028</v>
      </c>
      <c r="K566" s="16"/>
      <c r="L566" s="16"/>
      <c r="M566" s="16" t="s">
        <v>136</v>
      </c>
      <c r="N566" s="21">
        <f ca="1">VLOOKUP(A566,'[1]Bieu 1a'!$A$8:$AW$855,10,0)</f>
        <v>29</v>
      </c>
      <c r="O566" s="22">
        <f>VLOOKUP(A566,'[1]Bieu 1a'!$A$8:$AW$855,8,0)</f>
        <v>35465</v>
      </c>
      <c r="P566" s="22">
        <f>VLOOKUP(A566,'[1]Bieu 1a'!$A$8:$AW$855,9,0)</f>
        <v>0</v>
      </c>
      <c r="Q566" s="23" t="s">
        <v>34</v>
      </c>
      <c r="R566" s="24" t="str">
        <f>VLOOKUP(A566,'[1]Bieu 1a'!$A$8:$AW$855,23,0)</f>
        <v xml:space="preserve">01/02/2021 </v>
      </c>
      <c r="S566" s="25" t="s">
        <v>2762</v>
      </c>
      <c r="T566" s="26" t="s">
        <v>2763</v>
      </c>
      <c r="U566" s="16"/>
      <c r="V566" s="16" t="str">
        <f>IFERROR(VLOOKUP(A566,'[2]19.6.2026'!$A$9:$L$1111,5,0),"")</f>
        <v/>
      </c>
      <c r="W566" s="16" t="str">
        <f>IFERROR(VLOOKUP(A566,'[2]19.6.2026'!$A$9:$L$1111,6,0),"")</f>
        <v/>
      </c>
      <c r="X566" s="16"/>
      <c r="Y566" s="21" t="str">
        <f>IFERROR(VLOOKUP(A566,'[2]19.6.2026'!$A$9:$L$1111,7,0),"")</f>
        <v/>
      </c>
      <c r="Z566" s="16"/>
      <c r="AA566" s="27" t="str">
        <f>IFERROR(VLOOKUP(A566,'[3]DS UPLOAD 2026 (2)'!$A$2:$P$1111,16,0),"")</f>
        <v/>
      </c>
      <c r="AB566" s="27">
        <v>393398205</v>
      </c>
      <c r="AC566" s="28" t="s">
        <v>2764</v>
      </c>
    </row>
    <row r="567" spans="1:29" ht="18" customHeight="1" x14ac:dyDescent="0.3">
      <c r="A567" s="17" t="s">
        <v>2765</v>
      </c>
      <c r="B567" s="29" t="s">
        <v>2766</v>
      </c>
      <c r="C567" s="17" t="s">
        <v>2765</v>
      </c>
      <c r="D567" s="53" t="s">
        <v>38</v>
      </c>
      <c r="E567" s="19" t="s">
        <v>2736</v>
      </c>
      <c r="F567" s="16" t="str">
        <f>VLOOKUP(E567,'[1]BẢNG MÃ'!$A$2:$B$69,2,0)</f>
        <v>TĐ009</v>
      </c>
      <c r="G567" s="19" t="s">
        <v>2737</v>
      </c>
      <c r="H567" s="19" t="s">
        <v>2737</v>
      </c>
      <c r="I567" s="16" t="s">
        <v>2680</v>
      </c>
      <c r="J567" s="16" t="str">
        <f>VLOOKUP(I567,'[1]BẢNG MÃ'!$C$2:$D$69,2,0)</f>
        <v>KP028</v>
      </c>
      <c r="K567" s="16" t="s">
        <v>43</v>
      </c>
      <c r="L567" s="16">
        <v>0</v>
      </c>
      <c r="M567" s="16" t="s">
        <v>33</v>
      </c>
      <c r="N567" s="21">
        <f ca="1">VLOOKUP(A567,'[1]Bieu 1a'!$A$8:$AW$855,10,0)</f>
        <v>37</v>
      </c>
      <c r="O567" s="22">
        <f>VLOOKUP(A567,'[1]Bieu 1a'!$A$8:$AW$855,8,0)</f>
        <v>0</v>
      </c>
      <c r="P567" s="22">
        <f>VLOOKUP(A567,'[1]Bieu 1a'!$A$8:$AW$855,9,0)</f>
        <v>32574</v>
      </c>
      <c r="Q567" s="23" t="s">
        <v>917</v>
      </c>
      <c r="R567" s="24" t="str">
        <f>VLOOKUP(A567,'[1]Bieu 1a'!$A$8:$AW$855,23,0)</f>
        <v>11/4/2011</v>
      </c>
      <c r="S567" s="25" t="s">
        <v>2767</v>
      </c>
      <c r="T567" s="26" t="s">
        <v>2768</v>
      </c>
      <c r="U567" s="16"/>
      <c r="V567" s="16" t="str">
        <f>IFERROR(VLOOKUP(A567,'[2]19.6.2026'!$A$9:$L$1111,5,0),"")</f>
        <v/>
      </c>
      <c r="W567" s="16" t="str">
        <f>IFERROR(VLOOKUP(A567,'[2]19.6.2026'!$A$9:$L$1111,6,0),"")</f>
        <v/>
      </c>
      <c r="X567" s="16"/>
      <c r="Y567" s="21" t="str">
        <f>IFERROR(VLOOKUP(A567,'[2]19.6.2026'!$A$9:$L$1111,7,0),"")</f>
        <v/>
      </c>
      <c r="Z567" s="16"/>
      <c r="AA567" s="27" t="str">
        <f>IFERROR(VLOOKUP(A567,'[3]DS UPLOAD 2026 (2)'!$A$2:$P$1111,16,0),"")</f>
        <v/>
      </c>
      <c r="AB567" s="27"/>
      <c r="AC567" s="28" t="s">
        <v>332</v>
      </c>
    </row>
    <row r="568" spans="1:29" ht="18" customHeight="1" x14ac:dyDescent="0.35">
      <c r="A568" s="17" t="s">
        <v>2769</v>
      </c>
      <c r="B568" s="18" t="s">
        <v>2770</v>
      </c>
      <c r="C568" s="17" t="s">
        <v>2769</v>
      </c>
      <c r="D568" s="19" t="s">
        <v>38</v>
      </c>
      <c r="E568" s="19" t="s">
        <v>2736</v>
      </c>
      <c r="F568" s="16" t="str">
        <f>VLOOKUP(E568,'[1]BẢNG MÃ'!$A$2:$B$69,2,0)</f>
        <v>TĐ009</v>
      </c>
      <c r="G568" s="20"/>
      <c r="H568" s="19" t="s">
        <v>2737</v>
      </c>
      <c r="I568" s="16" t="s">
        <v>2680</v>
      </c>
      <c r="J568" s="16" t="str">
        <f>VLOOKUP(I568,'[1]BẢNG MÃ'!$C$2:$D$69,2,0)</f>
        <v>KP028</v>
      </c>
      <c r="K568" s="16"/>
      <c r="L568" s="16"/>
      <c r="M568" s="16" t="s">
        <v>136</v>
      </c>
      <c r="N568" s="21">
        <f ca="1">VLOOKUP(A568,'[1]Bieu 1a'!$A$8:$AW$855,10,0)</f>
        <v>32</v>
      </c>
      <c r="O568" s="22">
        <f>VLOOKUP(A568,'[1]Bieu 1a'!$A$8:$AW$855,8,0)</f>
        <v>0</v>
      </c>
      <c r="P568" s="22">
        <f>VLOOKUP(A568,'[1]Bieu 1a'!$A$8:$AW$855,9,0)</f>
        <v>34319</v>
      </c>
      <c r="Q568" s="23" t="s">
        <v>50</v>
      </c>
      <c r="R568" s="24" t="str">
        <f>VLOOKUP(A568,'[1]Bieu 1a'!$A$8:$AW$855,23,0)</f>
        <v>20/6/2022</v>
      </c>
      <c r="S568" s="25" t="s">
        <v>2771</v>
      </c>
      <c r="T568" s="26" t="s">
        <v>2772</v>
      </c>
      <c r="U568" s="16"/>
      <c r="V568" s="16" t="str">
        <f>IFERROR(VLOOKUP(A568,'[2]19.6.2026'!$A$9:$L$1111,5,0),"")</f>
        <v/>
      </c>
      <c r="W568" s="16" t="str">
        <f>IFERROR(VLOOKUP(A568,'[2]19.6.2026'!$A$9:$L$1111,6,0),"")</f>
        <v/>
      </c>
      <c r="X568" s="16"/>
      <c r="Y568" s="21" t="str">
        <f>IFERROR(VLOOKUP(A568,'[2]19.6.2026'!$A$9:$L$1111,7,0),"")</f>
        <v/>
      </c>
      <c r="Z568" s="16"/>
      <c r="AA568" s="27" t="str">
        <f>IFERROR(VLOOKUP(A568,'[3]DS UPLOAD 2026 (2)'!$A$2:$P$1111,16,0),"")</f>
        <v/>
      </c>
      <c r="AB568" s="115" t="s">
        <v>2773</v>
      </c>
      <c r="AC568" s="28" t="s">
        <v>1601</v>
      </c>
    </row>
    <row r="569" spans="1:29" ht="18" customHeight="1" x14ac:dyDescent="0.3">
      <c r="A569" s="17" t="s">
        <v>2774</v>
      </c>
      <c r="B569" s="38" t="s">
        <v>2775</v>
      </c>
      <c r="C569" s="17" t="s">
        <v>2774</v>
      </c>
      <c r="D569" s="19"/>
      <c r="E569" s="124" t="s">
        <v>2736</v>
      </c>
      <c r="F569" s="16" t="str">
        <f>VLOOKUP(E569,'[1]BẢNG MÃ'!$A$2:$B$69,2,0)</f>
        <v>TĐ009</v>
      </c>
      <c r="G569" s="20" t="s">
        <v>2737</v>
      </c>
      <c r="H569" s="20" t="s">
        <v>2737</v>
      </c>
      <c r="I569" s="16" t="s">
        <v>2776</v>
      </c>
      <c r="J569" s="16" t="str">
        <f>VLOOKUP(I569,'[1]BẢNG MÃ'!$C$2:$D$69,2,0)</f>
        <v>KP036</v>
      </c>
      <c r="K569" s="16" t="s">
        <v>43</v>
      </c>
      <c r="L569" s="16">
        <v>0</v>
      </c>
      <c r="M569" s="16" t="s">
        <v>33</v>
      </c>
      <c r="N569" s="21">
        <f ca="1">VLOOKUP(A569,'[1]Bieu 1a'!$A$8:$AW$855,10,0)</f>
        <v>39</v>
      </c>
      <c r="O569" s="22" t="str">
        <f>VLOOKUP(A569,'[1]Bieu 1a'!$A$8:$AW$855,8,0)</f>
        <v>19/12/1986</v>
      </c>
      <c r="P569" s="22">
        <f>VLOOKUP(A569,'[1]Bieu 1a'!$A$8:$AW$855,9,0)</f>
        <v>0</v>
      </c>
      <c r="Q569" s="23" t="s">
        <v>50</v>
      </c>
      <c r="R569" s="24" t="str">
        <f>VLOOKUP(A569,'[1]Bieu 1a'!$A$8:$AW$855,23,0)</f>
        <v>15/01/2010</v>
      </c>
      <c r="S569" s="25" t="s">
        <v>2777</v>
      </c>
      <c r="T569" s="26" t="s">
        <v>2778</v>
      </c>
      <c r="U569" s="16"/>
      <c r="V569" s="16" t="str">
        <f>IFERROR(VLOOKUP(A569,'[2]19.6.2026'!$A$9:$L$1111,5,0),"")</f>
        <v/>
      </c>
      <c r="W569" s="16" t="str">
        <f>IFERROR(VLOOKUP(A569,'[2]19.6.2026'!$A$9:$L$1111,6,0),"")</f>
        <v/>
      </c>
      <c r="X569" s="16"/>
      <c r="Y569" s="21" t="str">
        <f>IFERROR(VLOOKUP(A569,'[2]19.6.2026'!$A$9:$L$1111,7,0),"")</f>
        <v/>
      </c>
      <c r="Z569" s="16"/>
      <c r="AA569" s="27" t="str">
        <f>IFERROR(VLOOKUP(A569,'[3]DS UPLOAD 2026 (2)'!$A$2:$P$1111,16,0),"")</f>
        <v/>
      </c>
      <c r="AB569" s="27" t="s">
        <v>2779</v>
      </c>
      <c r="AC569" s="28" t="s">
        <v>1045</v>
      </c>
    </row>
    <row r="570" spans="1:29" ht="18" customHeight="1" x14ac:dyDescent="0.3">
      <c r="A570" s="17" t="s">
        <v>2780</v>
      </c>
      <c r="B570" s="18" t="s">
        <v>2781</v>
      </c>
      <c r="C570" s="17" t="s">
        <v>2780</v>
      </c>
      <c r="D570" s="19" t="s">
        <v>38</v>
      </c>
      <c r="E570" s="124" t="s">
        <v>2736</v>
      </c>
      <c r="F570" s="16" t="str">
        <f>VLOOKUP(E570,'[1]BẢNG MÃ'!$A$2:$B$69,2,0)</f>
        <v>TĐ009</v>
      </c>
      <c r="G570" s="20" t="s">
        <v>2737</v>
      </c>
      <c r="H570" s="20" t="s">
        <v>2737</v>
      </c>
      <c r="I570" s="16" t="s">
        <v>2680</v>
      </c>
      <c r="J570" s="16" t="str">
        <f>VLOOKUP(I570,'[1]BẢNG MÃ'!$C$2:$D$69,2,0)</f>
        <v>KP028</v>
      </c>
      <c r="K570" s="16" t="s">
        <v>43</v>
      </c>
      <c r="L570" s="16">
        <v>0</v>
      </c>
      <c r="M570" s="16" t="s">
        <v>33</v>
      </c>
      <c r="N570" s="21">
        <f ca="1">VLOOKUP(A570,'[1]Bieu 1a'!$A$8:$AW$855,10,0)</f>
        <v>39</v>
      </c>
      <c r="O570" s="22">
        <f>VLOOKUP(A570,'[1]Bieu 1a'!$A$8:$AW$855,8,0)</f>
        <v>0</v>
      </c>
      <c r="P570" s="22">
        <f>VLOOKUP(A570,'[1]Bieu 1a'!$A$8:$AW$855,9,0)</f>
        <v>31693</v>
      </c>
      <c r="Q570" s="23" t="s">
        <v>34</v>
      </c>
      <c r="R570" s="24" t="str">
        <f>VLOOKUP(A570,'[1]Bieu 1a'!$A$8:$AW$855,23,0)</f>
        <v>2/5/2008</v>
      </c>
      <c r="S570" s="25" t="s">
        <v>2782</v>
      </c>
      <c r="T570" s="26" t="s">
        <v>2783</v>
      </c>
      <c r="U570" s="16"/>
      <c r="V570" s="16" t="str">
        <f>IFERROR(VLOOKUP(A570,'[2]19.6.2026'!$A$9:$L$1111,5,0),"")</f>
        <v/>
      </c>
      <c r="W570" s="16" t="str">
        <f>IFERROR(VLOOKUP(A570,'[2]19.6.2026'!$A$9:$L$1111,6,0),"")</f>
        <v/>
      </c>
      <c r="X570" s="16"/>
      <c r="Y570" s="21" t="str">
        <f>IFERROR(VLOOKUP(A570,'[2]19.6.2026'!$A$9:$L$1111,7,0),"")</f>
        <v/>
      </c>
      <c r="Z570" s="16"/>
      <c r="AA570" s="27" t="str">
        <f>IFERROR(VLOOKUP(A570,'[3]DS UPLOAD 2026 (2)'!$A$2:$P$1111,16,0),"")</f>
        <v/>
      </c>
      <c r="AB570" s="27">
        <v>983275720</v>
      </c>
      <c r="AC570" s="28"/>
    </row>
    <row r="571" spans="1:29" ht="18" customHeight="1" x14ac:dyDescent="0.3">
      <c r="A571" s="17" t="s">
        <v>2784</v>
      </c>
      <c r="B571" s="18" t="s">
        <v>2785</v>
      </c>
      <c r="C571" s="17" t="s">
        <v>2784</v>
      </c>
      <c r="D571" s="19" t="s">
        <v>38</v>
      </c>
      <c r="E571" s="124" t="s">
        <v>2736</v>
      </c>
      <c r="F571" s="16" t="str">
        <f>VLOOKUP(E571,'[1]BẢNG MÃ'!$A$2:$B$69,2,0)</f>
        <v>TĐ009</v>
      </c>
      <c r="G571" s="20" t="s">
        <v>2737</v>
      </c>
      <c r="H571" s="20" t="s">
        <v>2737</v>
      </c>
      <c r="I571" s="16" t="s">
        <v>2680</v>
      </c>
      <c r="J571" s="16" t="str">
        <f>VLOOKUP(I571,'[1]BẢNG MÃ'!$C$2:$D$69,2,0)</f>
        <v>KP028</v>
      </c>
      <c r="K571" s="16" t="s">
        <v>43</v>
      </c>
      <c r="L571" s="16">
        <v>0</v>
      </c>
      <c r="M571" s="16" t="s">
        <v>33</v>
      </c>
      <c r="N571" s="21">
        <f ca="1">VLOOKUP(A571,'[1]Bieu 1a'!$A$8:$AW$855,10,0)</f>
        <v>38</v>
      </c>
      <c r="O571" s="22">
        <f>VLOOKUP(A571,'[1]Bieu 1a'!$A$8:$AW$855,8,0)</f>
        <v>0</v>
      </c>
      <c r="P571" s="22">
        <f>VLOOKUP(A571,'[1]Bieu 1a'!$A$8:$AW$855,9,0)</f>
        <v>32237</v>
      </c>
      <c r="Q571" s="23" t="s">
        <v>50</v>
      </c>
      <c r="R571" s="24" t="str">
        <f>VLOOKUP(A571,'[1]Bieu 1a'!$A$8:$AW$855,23,0)</f>
        <v>14/1/2011</v>
      </c>
      <c r="S571" s="25" t="s">
        <v>2786</v>
      </c>
      <c r="T571" s="26" t="s">
        <v>2787</v>
      </c>
      <c r="U571" s="16"/>
      <c r="V571" s="16" t="str">
        <f>IFERROR(VLOOKUP(A571,'[2]19.6.2026'!$A$9:$L$1111,5,0),"")</f>
        <v/>
      </c>
      <c r="W571" s="16" t="str">
        <f>IFERROR(VLOOKUP(A571,'[2]19.6.2026'!$A$9:$L$1111,6,0),"")</f>
        <v/>
      </c>
      <c r="X571" s="16"/>
      <c r="Y571" s="21" t="str">
        <f>IFERROR(VLOOKUP(A571,'[2]19.6.2026'!$A$9:$L$1111,7,0),"")</f>
        <v/>
      </c>
      <c r="Z571" s="16"/>
      <c r="AA571" s="27" t="str">
        <f>IFERROR(VLOOKUP(A571,'[3]DS UPLOAD 2026 (2)'!$A$2:$P$1111,16,0),"")</f>
        <v/>
      </c>
      <c r="AB571" s="27">
        <v>943132868</v>
      </c>
      <c r="AC571" s="28"/>
    </row>
    <row r="572" spans="1:29" ht="18" customHeight="1" x14ac:dyDescent="0.3">
      <c r="A572" s="87" t="s">
        <v>2788</v>
      </c>
      <c r="B572" s="88" t="s">
        <v>2789</v>
      </c>
      <c r="C572" s="89" t="s">
        <v>2788</v>
      </c>
      <c r="D572" s="30" t="s">
        <v>38</v>
      </c>
      <c r="E572" s="89" t="s">
        <v>2736</v>
      </c>
      <c r="F572" s="16" t="str">
        <f>VLOOKUP(E572,'[1]BẢNG MÃ'!$A$2:$B$69,2,0)</f>
        <v>TĐ009</v>
      </c>
      <c r="G572" s="90"/>
      <c r="H572" s="90" t="s">
        <v>2737</v>
      </c>
      <c r="I572" s="30" t="s">
        <v>2680</v>
      </c>
      <c r="J572" s="16" t="str">
        <f>VLOOKUP(I572,'[1]BẢNG MÃ'!$C$2:$D$69,2,0)</f>
        <v>KP028</v>
      </c>
      <c r="K572" s="23"/>
      <c r="L572" s="23"/>
      <c r="M572" s="16" t="s">
        <v>33</v>
      </c>
      <c r="N572" s="21">
        <f ca="1">VLOOKUP(A572,'[1]Bieu 1a'!$A$8:$AW$855,10,0)</f>
        <v>27</v>
      </c>
      <c r="O572" s="22">
        <f>VLOOKUP(A572,'[1]Bieu 1a'!$A$8:$AW$855,8,0)</f>
        <v>0</v>
      </c>
      <c r="P572" s="22" t="str">
        <f>VLOOKUP(A572,'[1]Bieu 1a'!$A$8:$AW$855,9,0)</f>
        <v>20/09/1998</v>
      </c>
      <c r="Q572" s="23" t="s">
        <v>50</v>
      </c>
      <c r="R572" s="24">
        <f>VLOOKUP(A572,'[1]Bieu 1a'!$A$8:$AW$855,23,0)</f>
        <v>45673</v>
      </c>
      <c r="S572" s="25" t="s">
        <v>2790</v>
      </c>
      <c r="T572" s="26" t="s">
        <v>2791</v>
      </c>
      <c r="U572" s="23"/>
      <c r="V572" s="16" t="str">
        <f>IFERROR(VLOOKUP(A572,'[2]19.6.2026'!$A$9:$L$1111,5,0),"")</f>
        <v/>
      </c>
      <c r="W572" s="16" t="str">
        <f>IFERROR(VLOOKUP(A572,'[2]19.6.2026'!$A$9:$L$1111,6,0),"")</f>
        <v/>
      </c>
      <c r="X572" s="19"/>
      <c r="Y572" s="21" t="str">
        <f>IFERROR(VLOOKUP(A572,'[2]19.6.2026'!$A$9:$L$1111,7,0),"")</f>
        <v/>
      </c>
      <c r="Z572" s="16"/>
      <c r="AA572" s="27" t="str">
        <f>IFERROR(VLOOKUP(A572,'[3]DS UPLOAD 2026 (2)'!$A$2:$P$1111,16,0),"")</f>
        <v/>
      </c>
      <c r="AB572" s="30">
        <v>969846292</v>
      </c>
      <c r="AC572" s="29" t="s">
        <v>2792</v>
      </c>
    </row>
    <row r="573" spans="1:29" ht="18" customHeight="1" x14ac:dyDescent="0.35">
      <c r="A573" s="17" t="s">
        <v>2793</v>
      </c>
      <c r="B573" s="18" t="s">
        <v>2794</v>
      </c>
      <c r="C573" s="17" t="s">
        <v>2793</v>
      </c>
      <c r="D573" s="19" t="s">
        <v>38</v>
      </c>
      <c r="E573" s="19" t="s">
        <v>2795</v>
      </c>
      <c r="F573" s="16" t="str">
        <f>VLOOKUP(E573,'[1]BẢNG MÃ'!$A$2:$B$69,2,0)</f>
        <v>TĐ010</v>
      </c>
      <c r="G573" s="20"/>
      <c r="H573" s="20" t="s">
        <v>2737</v>
      </c>
      <c r="I573" s="16" t="s">
        <v>2680</v>
      </c>
      <c r="J573" s="16" t="str">
        <f>VLOOKUP(I573,'[1]BẢNG MÃ'!$C$2:$D$69,2,0)</f>
        <v>KP028</v>
      </c>
      <c r="K573" s="16"/>
      <c r="L573" s="16"/>
      <c r="M573" s="16" t="s">
        <v>136</v>
      </c>
      <c r="N573" s="21">
        <f ca="1">VLOOKUP(A573,'[1]Bieu 1a'!$A$8:$AW$855,10,0)</f>
        <v>30</v>
      </c>
      <c r="O573" s="22">
        <f>VLOOKUP(A573,'[1]Bieu 1a'!$A$8:$AW$855,8,0)</f>
        <v>0</v>
      </c>
      <c r="P573" s="22" t="str">
        <f>VLOOKUP(A573,'[1]Bieu 1a'!$A$8:$AW$855,9,0)</f>
        <v>10/02/1996</v>
      </c>
      <c r="Q573" s="23" t="s">
        <v>44</v>
      </c>
      <c r="R573" s="24">
        <f>VLOOKUP(A573,'[1]Bieu 1a'!$A$8:$AW$855,23,0)</f>
        <v>44748</v>
      </c>
      <c r="S573" s="25" t="s">
        <v>2796</v>
      </c>
      <c r="T573" s="26" t="s">
        <v>2797</v>
      </c>
      <c r="U573" s="16"/>
      <c r="V573" s="16" t="str">
        <f>IFERROR(VLOOKUP(A573,'[2]19.6.2026'!$A$9:$L$1111,5,0),"")</f>
        <v/>
      </c>
      <c r="W573" s="16" t="str">
        <f>IFERROR(VLOOKUP(A573,'[2]19.6.2026'!$A$9:$L$1111,6,0),"")</f>
        <v/>
      </c>
      <c r="X573" s="16"/>
      <c r="Y573" s="21" t="str">
        <f>IFERROR(VLOOKUP(A573,'[2]19.6.2026'!$A$9:$L$1111,7,0),"")</f>
        <v/>
      </c>
      <c r="Z573" s="16"/>
      <c r="AA573" s="27" t="str">
        <f>IFERROR(VLOOKUP(A573,'[3]DS UPLOAD 2026 (2)'!$A$2:$P$1111,16,0),"")</f>
        <v/>
      </c>
      <c r="AB573" s="115" t="s">
        <v>2798</v>
      </c>
      <c r="AC573" s="28" t="s">
        <v>2799</v>
      </c>
    </row>
    <row r="574" spans="1:29" ht="18" customHeight="1" x14ac:dyDescent="0.3">
      <c r="A574" s="17" t="s">
        <v>2800</v>
      </c>
      <c r="B574" s="18" t="s">
        <v>2801</v>
      </c>
      <c r="C574" s="17" t="s">
        <v>2800</v>
      </c>
      <c r="D574" s="19" t="s">
        <v>38</v>
      </c>
      <c r="E574" s="19" t="s">
        <v>160</v>
      </c>
      <c r="F574" s="16" t="str">
        <f>VLOOKUP(E574,'[1]BẢNG MÃ'!$A$2:$B$69,2,0)</f>
        <v>TĐ003</v>
      </c>
      <c r="G574" s="20" t="s">
        <v>29</v>
      </c>
      <c r="H574" s="20" t="s">
        <v>29</v>
      </c>
      <c r="I574" s="16" t="s">
        <v>2802</v>
      </c>
      <c r="J574" s="16" t="str">
        <f>VLOOKUP(I574,'[1]BẢNG MÃ'!$C$2:$D$69,2,0)</f>
        <v>KP029</v>
      </c>
      <c r="K574" s="16" t="s">
        <v>31</v>
      </c>
      <c r="L574" s="16" t="s">
        <v>154</v>
      </c>
      <c r="M574" s="16" t="s">
        <v>33</v>
      </c>
      <c r="N574" s="21">
        <f ca="1">VLOOKUP(A574,'[1]Bieu 1a'!$A$8:$AW$855,10,0)</f>
        <v>37</v>
      </c>
      <c r="O574" s="22">
        <f>VLOOKUP(A574,'[1]Bieu 1a'!$A$8:$AW$855,8,0)</f>
        <v>0</v>
      </c>
      <c r="P574" s="22">
        <f>VLOOKUP(A574,'[1]Bieu 1a'!$A$8:$AW$855,9,0)</f>
        <v>32407</v>
      </c>
      <c r="Q574" s="23" t="s">
        <v>44</v>
      </c>
      <c r="R574" s="24" t="str">
        <f>VLOOKUP(A574,'[1]Bieu 1a'!$A$8:$AW$855,23,0)</f>
        <v>01/11/2014</v>
      </c>
      <c r="S574" s="25" t="s">
        <v>2803</v>
      </c>
      <c r="T574" s="26">
        <v>0</v>
      </c>
      <c r="U574" s="16"/>
      <c r="V574" s="16" t="str">
        <f>IFERROR(VLOOKUP(A574,'[2]19.6.2026'!$A$9:$L$1111,5,0),"")</f>
        <v>000557/LS-CCHN</v>
      </c>
      <c r="W574" s="16" t="str">
        <f>IFERROR(VLOOKUP(A574,'[2]19.6.2026'!$A$9:$L$1111,6,0),"")</f>
        <v>13/10/2016</v>
      </c>
      <c r="X574" s="16"/>
      <c r="Y574" s="21" t="str">
        <f>IFERROR(VLOOKUP(A574,'[2]19.6.2026'!$A$9:$L$1111,7,0),"")</f>
        <v>Chuyên khoa xét nghiệm</v>
      </c>
      <c r="Z574" s="16"/>
      <c r="AA574" s="27" t="str">
        <f>IFERROR(VLOOKUP(A574,'[3]DS UPLOAD 2026 (2)'!$A$2:$P$1111,16,0),"")</f>
        <v/>
      </c>
      <c r="AB574" s="27" t="s">
        <v>2804</v>
      </c>
      <c r="AC574" s="28"/>
    </row>
    <row r="575" spans="1:29" ht="18" customHeight="1" x14ac:dyDescent="0.3">
      <c r="A575" s="17" t="s">
        <v>2805</v>
      </c>
      <c r="B575" s="29" t="s">
        <v>2806</v>
      </c>
      <c r="C575" s="17" t="s">
        <v>2805</v>
      </c>
      <c r="D575" s="19" t="s">
        <v>38</v>
      </c>
      <c r="E575" s="19" t="s">
        <v>173</v>
      </c>
      <c r="F575" s="16" t="str">
        <f>VLOOKUP(E575,'[1]BẢNG MÃ'!$A$2:$B$69,2,0)</f>
        <v>TĐ005</v>
      </c>
      <c r="G575" s="20" t="s">
        <v>161</v>
      </c>
      <c r="H575" s="20" t="s">
        <v>161</v>
      </c>
      <c r="I575" s="16" t="s">
        <v>2802</v>
      </c>
      <c r="J575" s="16" t="str">
        <f>VLOOKUP(I575,'[1]BẢNG MÃ'!$C$2:$D$69,2,0)</f>
        <v>KP029</v>
      </c>
      <c r="K575" s="16" t="s">
        <v>31</v>
      </c>
      <c r="L575" s="16" t="s">
        <v>154</v>
      </c>
      <c r="M575" s="16" t="s">
        <v>33</v>
      </c>
      <c r="N575" s="21">
        <f ca="1">VLOOKUP(A575,'[1]Bieu 1a'!$A$8:$AW$855,10,0)</f>
        <v>51</v>
      </c>
      <c r="O575" s="22">
        <f>VLOOKUP(A575,'[1]Bieu 1a'!$A$8:$AW$855,8,0)</f>
        <v>0</v>
      </c>
      <c r="P575" s="22">
        <f>VLOOKUP(A575,'[1]Bieu 1a'!$A$8:$AW$855,9,0)</f>
        <v>27315</v>
      </c>
      <c r="Q575" s="23" t="s">
        <v>50</v>
      </c>
      <c r="R575" s="24" t="str">
        <f>VLOOKUP(A575,'[1]Bieu 1a'!$A$8:$AW$855,23,0)</f>
        <v>1/1/1995</v>
      </c>
      <c r="S575" s="25" t="s">
        <v>2807</v>
      </c>
      <c r="T575" s="26">
        <v>0</v>
      </c>
      <c r="U575" s="16"/>
      <c r="V575" s="16" t="str">
        <f>IFERROR(VLOOKUP(A575,'[2]19.6.2026'!$A$9:$L$1111,5,0),"")</f>
        <v>002943/LS-CCHN</v>
      </c>
      <c r="W575" s="16" t="str">
        <f>IFERROR(VLOOKUP(A575,'[2]19.6.2026'!$A$9:$L$1111,6,0),"")</f>
        <v>13/02/2015</v>
      </c>
      <c r="X575" s="16"/>
      <c r="Y575" s="21" t="str">
        <f>IFERROR(VLOOKUP(A575,'[2]19.6.2026'!$A$9:$L$1111,7,0),"")</f>
        <v>Chuyên khoa xét nghiệm</v>
      </c>
      <c r="Z575" s="16"/>
      <c r="AA575" s="27" t="str">
        <f>IFERROR(VLOOKUP(A575,'[3]DS UPLOAD 2026 (2)'!$A$2:$P$1111,16,0),"")</f>
        <v/>
      </c>
      <c r="AB575" s="27">
        <v>919500712</v>
      </c>
      <c r="AC575" s="28"/>
    </row>
    <row r="576" spans="1:29" ht="18" customHeight="1" x14ac:dyDescent="0.3">
      <c r="A576" s="17" t="s">
        <v>2808</v>
      </c>
      <c r="B576" s="18" t="s">
        <v>2809</v>
      </c>
      <c r="C576" s="17" t="s">
        <v>2808</v>
      </c>
      <c r="D576" s="19" t="s">
        <v>38</v>
      </c>
      <c r="E576" s="19" t="s">
        <v>2337</v>
      </c>
      <c r="F576" s="16" t="str">
        <f>VLOOKUP(E576,'[1]BẢNG MÃ'!$A$2:$B$69,2,0)</f>
        <v>TĐ014</v>
      </c>
      <c r="G576" s="20" t="s">
        <v>2338</v>
      </c>
      <c r="H576" s="20" t="s">
        <v>2338</v>
      </c>
      <c r="I576" s="16" t="s">
        <v>2802</v>
      </c>
      <c r="J576" s="16" t="str">
        <f>VLOOKUP(I576,'[1]BẢNG MÃ'!$C$2:$D$69,2,0)</f>
        <v>KP029</v>
      </c>
      <c r="K576" s="16" t="s">
        <v>31</v>
      </c>
      <c r="L576" s="16" t="s">
        <v>2810</v>
      </c>
      <c r="M576" s="16" t="s">
        <v>33</v>
      </c>
      <c r="N576" s="21">
        <f ca="1">VLOOKUP(A576,'[1]Bieu 1a'!$A$8:$AW$855,10,0)</f>
        <v>43</v>
      </c>
      <c r="O576" s="22">
        <f>VLOOKUP(A576,'[1]Bieu 1a'!$A$8:$AW$855,8,0)</f>
        <v>0</v>
      </c>
      <c r="P576" s="22">
        <f>VLOOKUP(A576,'[1]Bieu 1a'!$A$8:$AW$855,9,0)</f>
        <v>30242</v>
      </c>
      <c r="Q576" s="23" t="s">
        <v>44</v>
      </c>
      <c r="R576" s="24" t="str">
        <f>VLOOKUP(A576,'[1]Bieu 1a'!$A$8:$AW$855,23,0)</f>
        <v>16/2/2005</v>
      </c>
      <c r="S576" s="25" t="s">
        <v>2811</v>
      </c>
      <c r="T576" s="26">
        <v>0</v>
      </c>
      <c r="U576" s="16"/>
      <c r="V576" s="16" t="str">
        <f>IFERROR(VLOOKUP(A576,'[2]19.6.2026'!$A$9:$L$1111,5,0),"")</f>
        <v>001057/LS-CCHN</v>
      </c>
      <c r="W576" s="16" t="str">
        <f>IFERROR(VLOOKUP(A576,'[2]19.6.2026'!$A$9:$L$1111,6,0),"")</f>
        <v>24/06/2013</v>
      </c>
      <c r="X576" s="16"/>
      <c r="Y576" s="21" t="str">
        <f>IFERROR(VLOOKUP(A576,'[2]19.6.2026'!$A$9:$L$1111,7,0),"")</f>
        <v>Theo quy định tại Thông tư số 23/2009/TT-BYT ngày 01/12/2009 của Bộ Y tế ban hành tiêu chuẩn nghiệp vụ các ngạch viên chức kỹ thuật y học</v>
      </c>
      <c r="Z576" s="16"/>
      <c r="AA576" s="27" t="str">
        <f>IFERROR(VLOOKUP(A576,'[3]DS UPLOAD 2026 (2)'!$A$2:$P$1111,16,0),"")</f>
        <v/>
      </c>
      <c r="AB576" s="27">
        <v>915116536</v>
      </c>
      <c r="AC576" s="51"/>
    </row>
    <row r="577" spans="1:29" ht="18" customHeight="1" x14ac:dyDescent="0.3">
      <c r="A577" s="17" t="s">
        <v>2812</v>
      </c>
      <c r="B577" s="18" t="s">
        <v>205</v>
      </c>
      <c r="C577" s="17" t="s">
        <v>2812</v>
      </c>
      <c r="D577" s="19" t="s">
        <v>38</v>
      </c>
      <c r="E577" s="30" t="s">
        <v>2337</v>
      </c>
      <c r="F577" s="16" t="str">
        <f>VLOOKUP(E577,'[1]BẢNG MÃ'!$A$2:$B$69,2,0)</f>
        <v>TĐ014</v>
      </c>
      <c r="G577" s="31" t="s">
        <v>2338</v>
      </c>
      <c r="H577" s="31" t="s">
        <v>2338</v>
      </c>
      <c r="I577" s="16" t="s">
        <v>2802</v>
      </c>
      <c r="J577" s="16" t="str">
        <f>VLOOKUP(I577,'[1]BẢNG MÃ'!$C$2:$D$69,2,0)</f>
        <v>KP029</v>
      </c>
      <c r="K577" s="16" t="s">
        <v>43</v>
      </c>
      <c r="L577" s="16">
        <v>0</v>
      </c>
      <c r="M577" s="16" t="s">
        <v>33</v>
      </c>
      <c r="N577" s="21">
        <f ca="1">VLOOKUP(A577,'[1]Bieu 1a'!$A$8:$AW$855,10,0)</f>
        <v>39</v>
      </c>
      <c r="O577" s="22">
        <f>VLOOKUP(A577,'[1]Bieu 1a'!$A$8:$AW$855,8,0)</f>
        <v>0</v>
      </c>
      <c r="P577" s="22">
        <f>VLOOKUP(A577,'[1]Bieu 1a'!$A$8:$AW$855,9,0)</f>
        <v>31633</v>
      </c>
      <c r="Q577" s="23" t="s">
        <v>44</v>
      </c>
      <c r="R577" s="24" t="str">
        <f>VLOOKUP(A577,'[1]Bieu 1a'!$A$8:$AW$855,23,0)</f>
        <v>15/1/2010</v>
      </c>
      <c r="S577" s="25" t="s">
        <v>2813</v>
      </c>
      <c r="T577" s="26">
        <v>0</v>
      </c>
      <c r="U577" s="16"/>
      <c r="V577" s="16" t="str">
        <f>IFERROR(VLOOKUP(A577,'[2]19.6.2026'!$A$9:$L$1111,5,0),"")</f>
        <v>001060/LS-CCHN</v>
      </c>
      <c r="W577" s="16" t="str">
        <f>IFERROR(VLOOKUP(A577,'[2]19.6.2026'!$A$9:$L$1111,6,0),"")</f>
        <v>02/08/2022</v>
      </c>
      <c r="X577" s="16"/>
      <c r="Y577" s="21" t="str">
        <f>IFERROR(VLOOKUP(A577,'[2]19.6.2026'!$A$9:$L$1111,7,0),"")</f>
        <v>KTV xét nghiệm. Theo quy định tại Thông tư số 23/2009/TTLT-BYT-BNV ngày 01/12/2009 của Bộ Y tế ban hành tiêu chuẩn nghiệp vụ các ngạch viên chức kỹ thuật y học</v>
      </c>
      <c r="Z577" s="16"/>
      <c r="AA577" s="27" t="str">
        <f>IFERROR(VLOOKUP(A577,'[3]DS UPLOAD 2026 (2)'!$A$2:$P$1111,16,0),"")</f>
        <v/>
      </c>
      <c r="AB577" s="58" t="s">
        <v>2814</v>
      </c>
      <c r="AC577" s="28"/>
    </row>
    <row r="578" spans="1:29" ht="18" customHeight="1" x14ac:dyDescent="0.3">
      <c r="A578" s="17" t="s">
        <v>2815</v>
      </c>
      <c r="B578" s="18" t="s">
        <v>2816</v>
      </c>
      <c r="C578" s="17" t="s">
        <v>2815</v>
      </c>
      <c r="D578" s="19" t="s">
        <v>38</v>
      </c>
      <c r="E578" s="30" t="s">
        <v>2337</v>
      </c>
      <c r="F578" s="16" t="str">
        <f>VLOOKUP(E578,'[1]BẢNG MÃ'!$A$2:$B$69,2,0)</f>
        <v>TĐ014</v>
      </c>
      <c r="G578" s="31" t="s">
        <v>2338</v>
      </c>
      <c r="H578" s="31" t="s">
        <v>2338</v>
      </c>
      <c r="I578" s="16" t="s">
        <v>2802</v>
      </c>
      <c r="J578" s="16" t="str">
        <f>VLOOKUP(I578,'[1]BẢNG MÃ'!$C$2:$D$69,2,0)</f>
        <v>KP029</v>
      </c>
      <c r="K578" s="16" t="s">
        <v>43</v>
      </c>
      <c r="L578" s="16">
        <v>0</v>
      </c>
      <c r="M578" s="16" t="s">
        <v>33</v>
      </c>
      <c r="N578" s="21">
        <f ca="1">VLOOKUP(A578,'[1]Bieu 1a'!$A$8:$AW$855,10,0)</f>
        <v>37</v>
      </c>
      <c r="O578" s="22">
        <f>VLOOKUP(A578,'[1]Bieu 1a'!$A$8:$AW$855,8,0)</f>
        <v>0</v>
      </c>
      <c r="P578" s="22">
        <f>VLOOKUP(A578,'[1]Bieu 1a'!$A$8:$AW$855,9,0)</f>
        <v>32458</v>
      </c>
      <c r="Q578" s="23" t="s">
        <v>44</v>
      </c>
      <c r="R578" s="24" t="str">
        <f>VLOOKUP(A578,'[1]Bieu 1a'!$A$8:$AW$855,23,0)</f>
        <v>1/12/2010</v>
      </c>
      <c r="S578" s="25" t="s">
        <v>2817</v>
      </c>
      <c r="T578" s="26">
        <v>0</v>
      </c>
      <c r="U578" s="16"/>
      <c r="V578" s="16" t="str">
        <f>IFERROR(VLOOKUP(A578,'[2]19.6.2026'!$A$9:$L$1111,5,0),"")</f>
        <v>001061/LS-CCHN</v>
      </c>
      <c r="W578" s="16" t="str">
        <f>IFERROR(VLOOKUP(A578,'[2]19.6.2026'!$A$9:$L$1111,6,0),"")</f>
        <v>02/08/2022</v>
      </c>
      <c r="X578" s="16"/>
      <c r="Y578" s="21" t="str">
        <f>IFERROR(VLOOKUP(A578,'[2]19.6.2026'!$A$9:$L$1111,7,0),"")</f>
        <v>Chuyên khoa xét nghiệm</v>
      </c>
      <c r="Z578" s="16"/>
      <c r="AA578" s="27" t="str">
        <f>IFERROR(VLOOKUP(A578,'[3]DS UPLOAD 2026 (2)'!$A$2:$P$1111,16,0),"")</f>
        <v/>
      </c>
      <c r="AB578" s="27" t="s">
        <v>2818</v>
      </c>
      <c r="AC578" s="28"/>
    </row>
    <row r="579" spans="1:29" ht="18" customHeight="1" x14ac:dyDescent="0.3">
      <c r="A579" s="17" t="s">
        <v>2819</v>
      </c>
      <c r="B579" s="18" t="s">
        <v>2820</v>
      </c>
      <c r="C579" s="17" t="s">
        <v>2819</v>
      </c>
      <c r="D579" s="19" t="s">
        <v>38</v>
      </c>
      <c r="E579" s="30" t="s">
        <v>2337</v>
      </c>
      <c r="F579" s="16" t="str">
        <f>VLOOKUP(E579,'[1]BẢNG MÃ'!$A$2:$B$69,2,0)</f>
        <v>TĐ014</v>
      </c>
      <c r="G579" s="31" t="s">
        <v>2338</v>
      </c>
      <c r="H579" s="31" t="s">
        <v>2338</v>
      </c>
      <c r="I579" s="16" t="s">
        <v>2802</v>
      </c>
      <c r="J579" s="16" t="str">
        <f>VLOOKUP(I579,'[1]BẢNG MÃ'!$C$2:$D$69,2,0)</f>
        <v>KP029</v>
      </c>
      <c r="K579" s="16" t="s">
        <v>43</v>
      </c>
      <c r="L579" s="16">
        <v>0</v>
      </c>
      <c r="M579" s="16" t="s">
        <v>33</v>
      </c>
      <c r="N579" s="21">
        <f ca="1">VLOOKUP(A579,'[1]Bieu 1a'!$A$8:$AW$855,10,0)</f>
        <v>37</v>
      </c>
      <c r="O579" s="22">
        <f>VLOOKUP(A579,'[1]Bieu 1a'!$A$8:$AW$855,8,0)</f>
        <v>0</v>
      </c>
      <c r="P579" s="22">
        <f>VLOOKUP(A579,'[1]Bieu 1a'!$A$8:$AW$855,9,0)</f>
        <v>32405</v>
      </c>
      <c r="Q579" s="23" t="s">
        <v>50</v>
      </c>
      <c r="R579" s="24" t="str">
        <f>VLOOKUP(A579,'[1]Bieu 1a'!$A$8:$AW$855,23,0)</f>
        <v>15/1/2010</v>
      </c>
      <c r="S579" s="25" t="s">
        <v>2821</v>
      </c>
      <c r="T579" s="26">
        <v>0</v>
      </c>
      <c r="U579" s="16"/>
      <c r="V579" s="16" t="str">
        <f>IFERROR(VLOOKUP(A579,'[2]19.6.2026'!$A$9:$L$1111,5,0),"")</f>
        <v>004550/LS-CCHN</v>
      </c>
      <c r="W579" s="16" t="str">
        <f>IFERROR(VLOOKUP(A579,'[2]19.6.2026'!$A$9:$L$1111,6,0),"")</f>
        <v>26/08/2022</v>
      </c>
      <c r="X579" s="16"/>
      <c r="Y579" s="21" t="str">
        <f>IFERROR(VLOOKUP(A579,'[2]19.6.2026'!$A$9:$L$1111,7,0),"")</f>
        <v>Chuyên khoa xét nghiệm</v>
      </c>
      <c r="Z579" s="16"/>
      <c r="AA579" s="27" t="str">
        <f>IFERROR(VLOOKUP(A579,'[3]DS UPLOAD 2026 (2)'!$A$2:$P$1111,16,0),"")</f>
        <v/>
      </c>
      <c r="AB579" s="27">
        <v>912909383</v>
      </c>
      <c r="AC579" s="29"/>
    </row>
    <row r="580" spans="1:29" ht="18" customHeight="1" x14ac:dyDescent="0.3">
      <c r="A580" s="17" t="s">
        <v>2822</v>
      </c>
      <c r="B580" s="18" t="s">
        <v>2823</v>
      </c>
      <c r="C580" s="17" t="s">
        <v>2822</v>
      </c>
      <c r="D580" s="19" t="s">
        <v>38</v>
      </c>
      <c r="E580" s="30" t="s">
        <v>2337</v>
      </c>
      <c r="F580" s="16" t="str">
        <f>VLOOKUP(E580,'[1]BẢNG MÃ'!$A$2:$B$69,2,0)</f>
        <v>TĐ014</v>
      </c>
      <c r="G580" s="31" t="s">
        <v>2338</v>
      </c>
      <c r="H580" s="31" t="s">
        <v>2338</v>
      </c>
      <c r="I580" s="16" t="s">
        <v>2802</v>
      </c>
      <c r="J580" s="16" t="str">
        <f>VLOOKUP(I580,'[1]BẢNG MÃ'!$C$2:$D$69,2,0)</f>
        <v>KP029</v>
      </c>
      <c r="K580" s="16" t="s">
        <v>43</v>
      </c>
      <c r="L580" s="16">
        <v>0</v>
      </c>
      <c r="M580" s="16" t="s">
        <v>33</v>
      </c>
      <c r="N580" s="21">
        <f ca="1">VLOOKUP(A580,'[1]Bieu 1a'!$A$8:$AW$855,10,0)</f>
        <v>44</v>
      </c>
      <c r="O580" s="22">
        <f>VLOOKUP(A580,'[1]Bieu 1a'!$A$8:$AW$855,8,0)</f>
        <v>0</v>
      </c>
      <c r="P580" s="22">
        <f>VLOOKUP(A580,'[1]Bieu 1a'!$A$8:$AW$855,9,0)</f>
        <v>29791</v>
      </c>
      <c r="Q580" s="23" t="s">
        <v>34</v>
      </c>
      <c r="R580" s="24" t="str">
        <f>VLOOKUP(A580,'[1]Bieu 1a'!$A$8:$AW$855,23,0)</f>
        <v>16/2/2005</v>
      </c>
      <c r="S580" s="25" t="s">
        <v>2824</v>
      </c>
      <c r="T580" s="26">
        <v>0</v>
      </c>
      <c r="U580" s="16"/>
      <c r="V580" s="16" t="str">
        <f>IFERROR(VLOOKUP(A580,'[2]19.6.2026'!$A$9:$L$1111,5,0),"")</f>
        <v>001059/LS-CCHN</v>
      </c>
      <c r="W580" s="16" t="str">
        <f>IFERROR(VLOOKUP(A580,'[2]19.6.2026'!$A$9:$L$1111,6,0),"")</f>
        <v>26/08/2022</v>
      </c>
      <c r="X580" s="16"/>
      <c r="Y580" s="21" t="str">
        <f>IFERROR(VLOOKUP(A580,'[2]19.6.2026'!$A$9:$L$1111,7,0),"")</f>
        <v>Chuyên khoa xét nghiệm</v>
      </c>
      <c r="Z580" s="16"/>
      <c r="AA580" s="27" t="str">
        <f>IFERROR(VLOOKUP(A580,'[3]DS UPLOAD 2026 (2)'!$A$2:$P$1111,16,0),"")</f>
        <v/>
      </c>
      <c r="AB580" s="27">
        <v>389900881</v>
      </c>
      <c r="AC580" s="28"/>
    </row>
    <row r="581" spans="1:29" ht="18" customHeight="1" x14ac:dyDescent="0.3">
      <c r="A581" s="56" t="s">
        <v>2825</v>
      </c>
      <c r="B581" s="61" t="s">
        <v>2826</v>
      </c>
      <c r="C581" s="23" t="s">
        <v>2825</v>
      </c>
      <c r="D581" s="19" t="s">
        <v>38</v>
      </c>
      <c r="E581" s="125" t="s">
        <v>2337</v>
      </c>
      <c r="F581" s="27" t="str">
        <f>VLOOKUP(E581,'[1]BẢNG MÃ'!$A$2:$B$69,2,0)</f>
        <v>TĐ014</v>
      </c>
      <c r="G581" s="48"/>
      <c r="H581" s="31" t="s">
        <v>2338</v>
      </c>
      <c r="I581" s="23" t="s">
        <v>2802</v>
      </c>
      <c r="J581" s="27" t="str">
        <f>VLOOKUP(I581,'[1]BẢNG MÃ'!$C$2:$D$69,2,0)</f>
        <v>KP029</v>
      </c>
      <c r="K581" s="23"/>
      <c r="L581" s="23"/>
      <c r="M581" s="27" t="s">
        <v>136</v>
      </c>
      <c r="N581" s="21">
        <f ca="1">VLOOKUP(A581,'[1]Bieu 1a'!$A$8:$AW$855,10,0)</f>
        <v>25</v>
      </c>
      <c r="O581" s="22">
        <f>VLOOKUP(A581,'[1]Bieu 1a'!$A$8:$AW$855,8,0)</f>
        <v>0</v>
      </c>
      <c r="P581" s="22" t="str">
        <f>VLOOKUP(A581,'[1]Bieu 1a'!$A$8:$AW$855,9,0)</f>
        <v>12/1/2001</v>
      </c>
      <c r="Q581" s="23" t="s">
        <v>34</v>
      </c>
      <c r="R581" s="24">
        <f>VLOOKUP(A581,'[1]Bieu 1a'!$A$8:$AW$855,23,0)</f>
        <v>45783</v>
      </c>
      <c r="S581" s="25" t="s">
        <v>2827</v>
      </c>
      <c r="T581" s="26">
        <v>0</v>
      </c>
      <c r="U581" s="23"/>
      <c r="V581" s="16" t="str">
        <f>IFERROR(VLOOKUP(A581,'[2]19.6.2026'!$A$9:$L$1111,5,0),"")</f>
        <v>000236/LS-GPHN</v>
      </c>
      <c r="W581" s="16">
        <f>IFERROR(VLOOKUP(A581,'[2]19.6.2026'!$A$9:$L$1111,6,0),"")</f>
        <v>45747</v>
      </c>
      <c r="X581" s="23"/>
      <c r="Y581" s="21" t="str">
        <f>IFERROR(VLOOKUP(A581,'[2]19.6.2026'!$A$9:$L$1111,7,0),"")</f>
        <v>Xét nghiệm y học</v>
      </c>
      <c r="Z581" s="16"/>
      <c r="AA581" s="27" t="str">
        <f>IFERROR(VLOOKUP(A581,'[3]DS UPLOAD 2026 (2)'!$A$2:$P$1111,16,0),"")</f>
        <v/>
      </c>
      <c r="AB581" s="58" t="s">
        <v>2828</v>
      </c>
      <c r="AC581" s="51" t="s">
        <v>287</v>
      </c>
    </row>
    <row r="582" spans="1:29" ht="18" customHeight="1" x14ac:dyDescent="0.3">
      <c r="A582" s="17" t="s">
        <v>2829</v>
      </c>
      <c r="B582" s="59" t="s">
        <v>2830</v>
      </c>
      <c r="C582" s="17" t="s">
        <v>2829</v>
      </c>
      <c r="D582" s="19" t="s">
        <v>38</v>
      </c>
      <c r="E582" s="39" t="s">
        <v>2344</v>
      </c>
      <c r="F582" s="16" t="str">
        <f>VLOOKUP(E582,'[1]BẢNG MÃ'!$A$2:$B$69,2,0)</f>
        <v>TĐ015</v>
      </c>
      <c r="G582" s="20" t="s">
        <v>2345</v>
      </c>
      <c r="H582" s="20" t="s">
        <v>2345</v>
      </c>
      <c r="I582" s="16" t="s">
        <v>2802</v>
      </c>
      <c r="J582" s="16" t="str">
        <f>VLOOKUP(I582,'[1]BẢNG MÃ'!$C$2:$D$69,2,0)</f>
        <v>KP029</v>
      </c>
      <c r="K582" s="16" t="s">
        <v>43</v>
      </c>
      <c r="L582" s="16">
        <v>0</v>
      </c>
      <c r="M582" s="16" t="s">
        <v>33</v>
      </c>
      <c r="N582" s="21">
        <f ca="1">VLOOKUP(A582,'[1]Bieu 1a'!$A$8:$AW$855,10,0)</f>
        <v>32</v>
      </c>
      <c r="O582" s="22">
        <f>VLOOKUP(A582,'[1]Bieu 1a'!$A$8:$AW$855,8,0)</f>
        <v>0</v>
      </c>
      <c r="P582" s="22" t="str">
        <f>VLOOKUP(A582,'[1]Bieu 1a'!$A$8:$AW$855,9,0)</f>
        <v>07/08/1993</v>
      </c>
      <c r="Q582" s="23" t="s">
        <v>50</v>
      </c>
      <c r="R582" s="24" t="str">
        <f>VLOOKUP(A582,'[1]Bieu 1a'!$A$8:$AW$855,23,0)</f>
        <v>10/1/2016</v>
      </c>
      <c r="S582" s="25" t="s">
        <v>2831</v>
      </c>
      <c r="T582" s="26">
        <v>0</v>
      </c>
      <c r="U582" s="16"/>
      <c r="V582" s="16" t="str">
        <f>IFERROR(VLOOKUP(A582,'[2]19.6.2026'!$A$9:$L$1111,5,0),"")</f>
        <v>002082/LS-CCHN</v>
      </c>
      <c r="W582" s="16" t="str">
        <f>IFERROR(VLOOKUP(A582,'[2]19.6.2026'!$A$9:$L$1111,6,0),"")</f>
        <v>29/08/2017</v>
      </c>
      <c r="X582" s="16"/>
      <c r="Y582" s="21" t="str">
        <f>IFERROR(VLOOKUP(A582,'[2]19.6.2026'!$A$9:$L$1111,7,0),"")</f>
        <v>Kỹ thuật viên xét nghiệm</v>
      </c>
      <c r="Z582" s="16"/>
      <c r="AA582" s="27" t="str">
        <f>IFERROR(VLOOKUP(A582,'[3]DS UPLOAD 2026 (2)'!$A$2:$P$1111,16,0),"")</f>
        <v/>
      </c>
      <c r="AB582" s="27">
        <v>986431921</v>
      </c>
      <c r="AC582" s="28" t="s">
        <v>2832</v>
      </c>
    </row>
    <row r="583" spans="1:29" ht="18" customHeight="1" x14ac:dyDescent="0.3">
      <c r="A583" s="17" t="s">
        <v>2833</v>
      </c>
      <c r="B583" s="18" t="s">
        <v>2834</v>
      </c>
      <c r="C583" s="17" t="s">
        <v>2833</v>
      </c>
      <c r="D583" s="19" t="s">
        <v>38</v>
      </c>
      <c r="E583" s="19" t="s">
        <v>2344</v>
      </c>
      <c r="F583" s="16" t="str">
        <f>VLOOKUP(E583,'[1]BẢNG MÃ'!$A$2:$B$69,2,0)</f>
        <v>TĐ015</v>
      </c>
      <c r="G583" s="20"/>
      <c r="H583" s="20" t="s">
        <v>2345</v>
      </c>
      <c r="I583" s="16" t="s">
        <v>2802</v>
      </c>
      <c r="J583" s="16" t="str">
        <f>VLOOKUP(I583,'[1]BẢNG MÃ'!$C$2:$D$69,2,0)</f>
        <v>KP029</v>
      </c>
      <c r="K583" s="16"/>
      <c r="L583" s="16"/>
      <c r="M583" s="23" t="s">
        <v>33</v>
      </c>
      <c r="N583" s="21">
        <f ca="1">VLOOKUP(A583,'[1]Bieu 1a'!$A$8:$AW$855,10,0)</f>
        <v>30</v>
      </c>
      <c r="O583" s="22">
        <f>VLOOKUP(A583,'[1]Bieu 1a'!$A$8:$AW$855,8,0)</f>
        <v>0</v>
      </c>
      <c r="P583" s="22">
        <f>VLOOKUP(A583,'[1]Bieu 1a'!$A$8:$AW$855,9,0)</f>
        <v>34966</v>
      </c>
      <c r="Q583" s="23" t="s">
        <v>44</v>
      </c>
      <c r="R583" s="24" t="str">
        <f>VLOOKUP(A583,'[1]Bieu 1a'!$A$8:$AW$855,23,0)</f>
        <v>01/01/2017</v>
      </c>
      <c r="S583" s="25" t="s">
        <v>2835</v>
      </c>
      <c r="T583" s="26">
        <v>0</v>
      </c>
      <c r="U583" s="16"/>
      <c r="V583" s="16" t="str">
        <f>IFERROR(VLOOKUP(A583,'[2]19.6.2026'!$A$9:$L$1111,5,0),"")</f>
        <v>003318/LS-CCHN</v>
      </c>
      <c r="W583" s="16" t="str">
        <f>IFERROR(VLOOKUP(A583,'[2]19.6.2026'!$A$9:$L$1111,6,0),"")</f>
        <v>20/07/2018</v>
      </c>
      <c r="X583" s="16"/>
      <c r="Y583" s="21" t="str">
        <f>IFERROR(VLOOKUP(A583,'[2]19.6.2026'!$A$9:$L$1111,7,0),"")</f>
        <v>Kỹ thuật viên xét nghiệm</v>
      </c>
      <c r="Z583" s="16"/>
      <c r="AA583" s="27" t="str">
        <f>IFERROR(VLOOKUP(A583,'[3]DS UPLOAD 2026 (2)'!$A$2:$P$1111,16,0),"")</f>
        <v/>
      </c>
      <c r="AB583" s="27">
        <v>963247738</v>
      </c>
      <c r="AC583" s="29" t="s">
        <v>1093</v>
      </c>
    </row>
    <row r="584" spans="1:29" ht="18" customHeight="1" x14ac:dyDescent="0.3">
      <c r="A584" s="17" t="s">
        <v>2836</v>
      </c>
      <c r="B584" s="18" t="s">
        <v>2837</v>
      </c>
      <c r="C584" s="17" t="s">
        <v>2836</v>
      </c>
      <c r="D584" s="19" t="s">
        <v>38</v>
      </c>
      <c r="E584" s="19" t="s">
        <v>2344</v>
      </c>
      <c r="F584" s="16" t="str">
        <f>VLOOKUP(E584,'[1]BẢNG MÃ'!$A$2:$B$69,2,0)</f>
        <v>TĐ015</v>
      </c>
      <c r="G584" s="20" t="s">
        <v>2345</v>
      </c>
      <c r="H584" s="20" t="s">
        <v>2345</v>
      </c>
      <c r="I584" s="16" t="s">
        <v>2802</v>
      </c>
      <c r="J584" s="16" t="str">
        <f>VLOOKUP(I584,'[1]BẢNG MÃ'!$C$2:$D$69,2,0)</f>
        <v>KP029</v>
      </c>
      <c r="K584" s="16" t="s">
        <v>43</v>
      </c>
      <c r="L584" s="16">
        <v>0</v>
      </c>
      <c r="M584" s="16" t="s">
        <v>33</v>
      </c>
      <c r="N584" s="21">
        <f ca="1">VLOOKUP(A584,'[1]Bieu 1a'!$A$8:$AW$855,10,0)</f>
        <v>43</v>
      </c>
      <c r="O584" s="22">
        <f>VLOOKUP(A584,'[1]Bieu 1a'!$A$8:$AW$855,8,0)</f>
        <v>0</v>
      </c>
      <c r="P584" s="22">
        <f>VLOOKUP(A584,'[1]Bieu 1a'!$A$8:$AW$855,9,0)</f>
        <v>30424</v>
      </c>
      <c r="Q584" s="23" t="s">
        <v>44</v>
      </c>
      <c r="R584" s="24" t="str">
        <f>VLOOKUP(A584,'[1]Bieu 1a'!$A$8:$AW$855,23,0)</f>
        <v>8/12/2008</v>
      </c>
      <c r="S584" s="25" t="s">
        <v>2838</v>
      </c>
      <c r="T584" s="26">
        <v>0</v>
      </c>
      <c r="U584" s="16"/>
      <c r="V584" s="16" t="str">
        <f>IFERROR(VLOOKUP(A584,'[2]19.6.2026'!$A$9:$L$1111,5,0),"")</f>
        <v>001058/LS-CCHN</v>
      </c>
      <c r="W584" s="16" t="str">
        <f>IFERROR(VLOOKUP(A584,'[2]19.6.2026'!$A$9:$L$1111,6,0),"")</f>
        <v>24/06/2013</v>
      </c>
      <c r="X584" s="16"/>
      <c r="Y584" s="21" t="str">
        <f>IFERROR(VLOOKUP(A584,'[2]19.6.2026'!$A$9:$L$1111,7,0),"")</f>
        <v>Theo quy định tại Thông tư số 23/2009/TT-BYT ngày 01/12/2009 của Bộ Y tế ban hành tiêu chuẩn nghiệp vụ các ngạch viên chức kỹ thuật y học</v>
      </c>
      <c r="Z584" s="16"/>
      <c r="AA584" s="27" t="str">
        <f>IFERROR(VLOOKUP(A584,'[3]DS UPLOAD 2026 (2)'!$A$2:$P$1111,16,0),"")</f>
        <v/>
      </c>
      <c r="AB584" s="27" t="s">
        <v>2839</v>
      </c>
      <c r="AC584" s="28"/>
    </row>
    <row r="585" spans="1:29" ht="18" customHeight="1" x14ac:dyDescent="0.3">
      <c r="A585" s="17" t="s">
        <v>2840</v>
      </c>
      <c r="B585" s="38" t="s">
        <v>2841</v>
      </c>
      <c r="C585" s="17" t="s">
        <v>2840</v>
      </c>
      <c r="D585" s="19" t="s">
        <v>38</v>
      </c>
      <c r="E585" s="19" t="s">
        <v>2344</v>
      </c>
      <c r="F585" s="16" t="str">
        <f>VLOOKUP(E585,'[1]BẢNG MÃ'!$A$2:$B$69,2,0)</f>
        <v>TĐ015</v>
      </c>
      <c r="G585" s="20" t="s">
        <v>2345</v>
      </c>
      <c r="H585" s="20" t="s">
        <v>2345</v>
      </c>
      <c r="I585" s="16" t="s">
        <v>2802</v>
      </c>
      <c r="J585" s="16" t="str">
        <f>VLOOKUP(I585,'[1]BẢNG MÃ'!$C$2:$D$69,2,0)</f>
        <v>KP029</v>
      </c>
      <c r="K585" s="16" t="s">
        <v>43</v>
      </c>
      <c r="L585" s="16">
        <v>0</v>
      </c>
      <c r="M585" s="16" t="s">
        <v>33</v>
      </c>
      <c r="N585" s="21">
        <f ca="1">VLOOKUP(A585,'[1]Bieu 1a'!$A$8:$AW$855,10,0)</f>
        <v>39</v>
      </c>
      <c r="O585" s="22">
        <f>VLOOKUP(A585,'[1]Bieu 1a'!$A$8:$AW$855,8,0)</f>
        <v>0</v>
      </c>
      <c r="P585" s="22" t="str">
        <f>VLOOKUP(A585,'[1]Bieu 1a'!$A$8:$AW$855,9,0)</f>
        <v>03/01/1987</v>
      </c>
      <c r="Q585" s="23" t="s">
        <v>50</v>
      </c>
      <c r="R585" s="24" t="str">
        <f>VLOOKUP(A585,'[1]Bieu 1a'!$A$8:$AW$855,23,0)</f>
        <v>10/6/2013</v>
      </c>
      <c r="S585" s="25" t="s">
        <v>2842</v>
      </c>
      <c r="T585" s="26">
        <v>0</v>
      </c>
      <c r="U585" s="16"/>
      <c r="V585" s="16" t="str">
        <f>IFERROR(VLOOKUP(A585,'[2]19.6.2026'!$A$9:$L$1111,5,0),"")</f>
        <v>003324/LS-CCHN</v>
      </c>
      <c r="W585" s="16" t="str">
        <f>IFERROR(VLOOKUP(A585,'[2]19.6.2026'!$A$9:$L$1111,6,0),"")</f>
        <v>20/07/2018</v>
      </c>
      <c r="X585" s="16"/>
      <c r="Y585" s="21" t="str">
        <f>IFERROR(VLOOKUP(A585,'[2]19.6.2026'!$A$9:$L$1111,7,0),"")</f>
        <v>Kỹ thuật viên xét nghiệm</v>
      </c>
      <c r="Z585" s="16"/>
      <c r="AA585" s="27" t="str">
        <f>IFERROR(VLOOKUP(A585,'[3]DS UPLOAD 2026 (2)'!$A$2:$P$1111,16,0),"")</f>
        <v/>
      </c>
      <c r="AB585" s="27">
        <v>975921690</v>
      </c>
      <c r="AC585" s="28" t="s">
        <v>1045</v>
      </c>
    </row>
    <row r="586" spans="1:29" ht="18" customHeight="1" x14ac:dyDescent="0.3">
      <c r="A586" s="17" t="s">
        <v>2843</v>
      </c>
      <c r="B586" s="18" t="s">
        <v>2844</v>
      </c>
      <c r="C586" s="17" t="s">
        <v>2843</v>
      </c>
      <c r="D586" s="19"/>
      <c r="E586" s="19" t="s">
        <v>2344</v>
      </c>
      <c r="F586" s="16" t="str">
        <f>VLOOKUP(E586,'[1]BẢNG MÃ'!$A$2:$B$69,2,0)</f>
        <v>TĐ015</v>
      </c>
      <c r="G586" s="20" t="s">
        <v>2345</v>
      </c>
      <c r="H586" s="20" t="s">
        <v>2345</v>
      </c>
      <c r="I586" s="16" t="s">
        <v>2802</v>
      </c>
      <c r="J586" s="16" t="str">
        <f>VLOOKUP(I586,'[1]BẢNG MÃ'!$C$2:$D$69,2,0)</f>
        <v>KP029</v>
      </c>
      <c r="K586" s="16" t="s">
        <v>43</v>
      </c>
      <c r="L586" s="16">
        <v>0</v>
      </c>
      <c r="M586" s="16" t="s">
        <v>33</v>
      </c>
      <c r="N586" s="21">
        <f ca="1">VLOOKUP(A586,'[1]Bieu 1a'!$A$8:$AW$855,10,0)</f>
        <v>40</v>
      </c>
      <c r="O586" s="22">
        <f>VLOOKUP(A586,'[1]Bieu 1a'!$A$8:$AW$855,8,0)</f>
        <v>31459</v>
      </c>
      <c r="P586" s="22">
        <f>VLOOKUP(A586,'[1]Bieu 1a'!$A$8:$AW$855,9,0)</f>
        <v>0</v>
      </c>
      <c r="Q586" s="23" t="s">
        <v>50</v>
      </c>
      <c r="R586" s="24" t="str">
        <f>VLOOKUP(A586,'[1]Bieu 1a'!$A$8:$AW$855,23,0)</f>
        <v>1/12/2010</v>
      </c>
      <c r="S586" s="25" t="s">
        <v>2845</v>
      </c>
      <c r="T586" s="26">
        <v>0</v>
      </c>
      <c r="U586" s="16"/>
      <c r="V586" s="16" t="str">
        <f>IFERROR(VLOOKUP(A586,'[2]19.6.2026'!$A$9:$L$1111,5,0),"")</f>
        <v>001062/LS-CCHN</v>
      </c>
      <c r="W586" s="16" t="str">
        <f>IFERROR(VLOOKUP(A586,'[2]19.6.2026'!$A$9:$L$1111,6,0),"")</f>
        <v>24/06/2013</v>
      </c>
      <c r="X586" s="16"/>
      <c r="Y586" s="21" t="str">
        <f>IFERROR(VLOOKUP(A586,'[2]19.6.2026'!$A$9:$L$1111,7,0),"")</f>
        <v>Theo quy định tại Thông tư số 23/2009/TT-BYT ngày 01/12/2009 của Bộ Y tế ban hành tiêu chuẩn nghiệp vụ các ngạch viên chức kỹ thuật y học</v>
      </c>
      <c r="Z586" s="16"/>
      <c r="AA586" s="27" t="str">
        <f>IFERROR(VLOOKUP(A586,'[3]DS UPLOAD 2026 (2)'!$A$2:$P$1111,16,0),"")</f>
        <v/>
      </c>
      <c r="AB586" s="27">
        <v>972566630</v>
      </c>
      <c r="AC586" s="28"/>
    </row>
    <row r="587" spans="1:29" ht="18" customHeight="1" x14ac:dyDescent="0.3">
      <c r="A587" s="17" t="s">
        <v>2846</v>
      </c>
      <c r="B587" s="18" t="s">
        <v>2847</v>
      </c>
      <c r="C587" s="17" t="s">
        <v>2846</v>
      </c>
      <c r="D587" s="19" t="s">
        <v>38</v>
      </c>
      <c r="E587" s="19" t="s">
        <v>142</v>
      </c>
      <c r="F587" s="16" t="str">
        <f>VLOOKUP(E587,'[1]BẢNG MÃ'!$A$2:$B$69,2,0)</f>
        <v>TĐ047</v>
      </c>
      <c r="G587" s="20"/>
      <c r="H587" s="19" t="s">
        <v>142</v>
      </c>
      <c r="I587" s="16" t="s">
        <v>2802</v>
      </c>
      <c r="J587" s="16" t="str">
        <f>VLOOKUP(I587,'[1]BẢNG MÃ'!$C$2:$D$69,2,0)</f>
        <v>KP029</v>
      </c>
      <c r="K587" s="16"/>
      <c r="L587" s="16">
        <v>0</v>
      </c>
      <c r="M587" s="16" t="s">
        <v>129</v>
      </c>
      <c r="N587" s="21">
        <f ca="1">VLOOKUP(A587,'[1]Bieu 1a'!$A$8:$AW$855,10,0)</f>
        <v>44</v>
      </c>
      <c r="O587" s="22">
        <f>VLOOKUP(A587,'[1]Bieu 1a'!$A$8:$AW$855,8,0)</f>
        <v>0</v>
      </c>
      <c r="P587" s="22">
        <f>VLOOKUP(A587,'[1]Bieu 1a'!$A$8:$AW$855,9,0)</f>
        <v>29953</v>
      </c>
      <c r="Q587" s="23" t="s">
        <v>34</v>
      </c>
      <c r="R587" s="24" t="str">
        <f>VLOOKUP(A587,'[1]Bieu 1a'!$A$8:$AW$855,23,0)</f>
        <v>1/11/2004</v>
      </c>
      <c r="S587" s="25" t="s">
        <v>2848</v>
      </c>
      <c r="T587" s="26">
        <v>0</v>
      </c>
      <c r="U587" s="16"/>
      <c r="V587" s="16" t="str">
        <f>IFERROR(VLOOKUP(A587,'[2]19.6.2026'!$A$9:$L$1111,5,0),"")</f>
        <v/>
      </c>
      <c r="W587" s="16" t="str">
        <f>IFERROR(VLOOKUP(A587,'[2]19.6.2026'!$A$9:$L$1111,6,0),"")</f>
        <v/>
      </c>
      <c r="X587" s="16"/>
      <c r="Y587" s="21" t="str">
        <f>IFERROR(VLOOKUP(A587,'[2]19.6.2026'!$A$9:$L$1111,7,0),"")</f>
        <v/>
      </c>
      <c r="Z587" s="16"/>
      <c r="AA587" s="27" t="str">
        <f>IFERROR(VLOOKUP(A587,'[3]DS UPLOAD 2026 (2)'!$A$2:$P$1111,16,0),"")</f>
        <v/>
      </c>
      <c r="AB587" s="27" t="s">
        <v>2849</v>
      </c>
      <c r="AC587" s="28" t="s">
        <v>133</v>
      </c>
    </row>
    <row r="588" spans="1:29" ht="18" customHeight="1" x14ac:dyDescent="0.3">
      <c r="A588" s="17" t="s">
        <v>2850</v>
      </c>
      <c r="B588" s="18" t="s">
        <v>2851</v>
      </c>
      <c r="C588" s="17" t="s">
        <v>2850</v>
      </c>
      <c r="D588" s="19" t="s">
        <v>38</v>
      </c>
      <c r="E588" s="16" t="s">
        <v>28</v>
      </c>
      <c r="F588" s="16" t="str">
        <f>VLOOKUP(E588,'[1]BẢNG MÃ'!$A$2:$B$69,2,0)</f>
        <v>TĐ001</v>
      </c>
      <c r="G588" s="20" t="s">
        <v>29</v>
      </c>
      <c r="H588" s="20" t="s">
        <v>29</v>
      </c>
      <c r="I588" s="16" t="s">
        <v>2852</v>
      </c>
      <c r="J588" s="16" t="str">
        <f>VLOOKUP(I588,'[1]BẢNG MÃ'!$C$2:$D$69,2,0)</f>
        <v>KP030</v>
      </c>
      <c r="K588" s="16" t="s">
        <v>31</v>
      </c>
      <c r="L588" s="16" t="s">
        <v>148</v>
      </c>
      <c r="M588" s="16" t="s">
        <v>33</v>
      </c>
      <c r="N588" s="21">
        <f ca="1">VLOOKUP(A588,'[1]Bieu 1a'!$A$8:$AW$855,10,0)</f>
        <v>47</v>
      </c>
      <c r="O588" s="22">
        <f>VLOOKUP(A588,'[1]Bieu 1a'!$A$8:$AW$855,8,0)</f>
        <v>0</v>
      </c>
      <c r="P588" s="22">
        <f>VLOOKUP(A588,'[1]Bieu 1a'!$A$8:$AW$855,9,0)</f>
        <v>28757</v>
      </c>
      <c r="Q588" s="23" t="s">
        <v>34</v>
      </c>
      <c r="R588" s="24" t="str">
        <f>VLOOKUP(A588,'[1]Bieu 1a'!$A$8:$AW$855,23,0)</f>
        <v>17/2/2003</v>
      </c>
      <c r="S588" s="25" t="s">
        <v>2853</v>
      </c>
      <c r="T588" s="26" t="s">
        <v>2854</v>
      </c>
      <c r="U588" s="16"/>
      <c r="V588" s="16" t="str">
        <f>IFERROR(VLOOKUP(A588,'[2]19.6.2026'!$A$9:$L$1111,5,0),"")</f>
        <v>000125/LS-CCHN</v>
      </c>
      <c r="W588" s="16" t="str">
        <f>IFERROR(VLOOKUP(A588,'[2]19.6.2026'!$A$9:$L$1111,6,0),"")</f>
        <v>28/06/2012</v>
      </c>
      <c r="X588" s="16"/>
      <c r="Y588" s="21" t="str">
        <f>IFERROR(VLOOKUP(A588,'[2]19.6.2026'!$A$9:$L$1111,7,0),"")</f>
        <v>Chuyên khoa xét nghiệm</v>
      </c>
      <c r="Z588" s="16"/>
      <c r="AA588" s="27" t="str">
        <f>IFERROR(VLOOKUP(A588,'[3]DS UPLOAD 2026 (2)'!$A$2:$P$1111,16,0),"")</f>
        <v/>
      </c>
      <c r="AB588" s="27">
        <v>963800896</v>
      </c>
      <c r="AC588" s="28"/>
    </row>
    <row r="589" spans="1:29" ht="18" customHeight="1" x14ac:dyDescent="0.3">
      <c r="A589" s="17" t="s">
        <v>2855</v>
      </c>
      <c r="B589" s="18" t="s">
        <v>2317</v>
      </c>
      <c r="C589" s="17" t="s">
        <v>2855</v>
      </c>
      <c r="D589" s="19" t="s">
        <v>38</v>
      </c>
      <c r="E589" s="19" t="s">
        <v>160</v>
      </c>
      <c r="F589" s="16" t="str">
        <f>VLOOKUP(E589,'[1]BẢNG MÃ'!$A$2:$B$69,2,0)</f>
        <v>TĐ003</v>
      </c>
      <c r="G589" s="20" t="s">
        <v>29</v>
      </c>
      <c r="H589" s="20" t="s">
        <v>29</v>
      </c>
      <c r="I589" s="16" t="s">
        <v>2852</v>
      </c>
      <c r="J589" s="16" t="str">
        <f>VLOOKUP(I589,'[1]BẢNG MÃ'!$C$2:$D$69,2,0)</f>
        <v>KP030</v>
      </c>
      <c r="K589" s="16" t="s">
        <v>31</v>
      </c>
      <c r="L589" s="16" t="s">
        <v>154</v>
      </c>
      <c r="M589" s="16" t="s">
        <v>33</v>
      </c>
      <c r="N589" s="21">
        <f ca="1">VLOOKUP(A589,'[1]Bieu 1a'!$A$8:$AW$855,10,0)</f>
        <v>38</v>
      </c>
      <c r="O589" s="22">
        <f>VLOOKUP(A589,'[1]Bieu 1a'!$A$8:$AW$855,8,0)</f>
        <v>0</v>
      </c>
      <c r="P589" s="22" t="str">
        <f>VLOOKUP(A589,'[1]Bieu 1a'!$A$8:$AW$855,9,0)</f>
        <v>24/6/1988</v>
      </c>
      <c r="Q589" s="23" t="s">
        <v>50</v>
      </c>
      <c r="R589" s="24" t="str">
        <f>VLOOKUP(A589,'[1]Bieu 1a'!$A$8:$AW$855,23,0)</f>
        <v>01/11/2014</v>
      </c>
      <c r="S589" s="25" t="s">
        <v>2856</v>
      </c>
      <c r="T589" s="26" t="s">
        <v>2857</v>
      </c>
      <c r="U589" s="16"/>
      <c r="V589" s="16" t="str">
        <f>IFERROR(VLOOKUP(A589,'[2]19.6.2026'!$A$9:$L$1111,5,0),"")</f>
        <v>000409/LS-CCHN</v>
      </c>
      <c r="W589" s="16" t="str">
        <f>IFERROR(VLOOKUP(A589,'[2]19.6.2026'!$A$9:$L$1111,6,0),"")</f>
        <v>01/06/2016</v>
      </c>
      <c r="X589" s="16"/>
      <c r="Y589" s="21" t="str">
        <f>IFERROR(VLOOKUP(A589,'[2]19.6.2026'!$A$9:$L$1111,7,0),"")</f>
        <v>Chuyên khoa xét nghiệm</v>
      </c>
      <c r="Z589" s="16"/>
      <c r="AA589" s="27" t="str">
        <f>IFERROR(VLOOKUP(A589,'[3]DS UPLOAD 2026 (2)'!$A$2:$P$1111,16,0),"")</f>
        <v/>
      </c>
      <c r="AB589" s="27" t="s">
        <v>2858</v>
      </c>
      <c r="AC589" s="28"/>
    </row>
    <row r="590" spans="1:29" ht="18" customHeight="1" x14ac:dyDescent="0.3">
      <c r="A590" s="17" t="s">
        <v>2859</v>
      </c>
      <c r="B590" s="18" t="s">
        <v>2860</v>
      </c>
      <c r="C590" s="17" t="s">
        <v>2859</v>
      </c>
      <c r="D590" s="19" t="s">
        <v>38</v>
      </c>
      <c r="E590" s="19" t="s">
        <v>2337</v>
      </c>
      <c r="F590" s="16" t="str">
        <f>VLOOKUP(E590,'[1]BẢNG MÃ'!$A$2:$B$69,2,0)</f>
        <v>TĐ014</v>
      </c>
      <c r="G590" s="20" t="s">
        <v>2338</v>
      </c>
      <c r="H590" s="20" t="s">
        <v>2338</v>
      </c>
      <c r="I590" s="16" t="s">
        <v>2852</v>
      </c>
      <c r="J590" s="16" t="str">
        <f>VLOOKUP(I590,'[1]BẢNG MÃ'!$C$2:$D$69,2,0)</f>
        <v>KP030</v>
      </c>
      <c r="K590" s="16" t="s">
        <v>43</v>
      </c>
      <c r="L590" s="16" t="s">
        <v>1053</v>
      </c>
      <c r="M590" s="16" t="s">
        <v>33</v>
      </c>
      <c r="N590" s="21">
        <f ca="1">VLOOKUP(A590,'[1]Bieu 1a'!$A$8:$AW$855,10,0)</f>
        <v>42</v>
      </c>
      <c r="O590" s="22">
        <f>VLOOKUP(A590,'[1]Bieu 1a'!$A$8:$AW$855,8,0)</f>
        <v>0</v>
      </c>
      <c r="P590" s="22">
        <f>VLOOKUP(A590,'[1]Bieu 1a'!$A$8:$AW$855,9,0)</f>
        <v>30768</v>
      </c>
      <c r="Q590" s="23" t="s">
        <v>34</v>
      </c>
      <c r="R590" s="24" t="str">
        <f>VLOOKUP(A590,'[1]Bieu 1a'!$A$8:$AW$855,23,0)</f>
        <v>10/6/2013</v>
      </c>
      <c r="S590" s="25" t="s">
        <v>2861</v>
      </c>
      <c r="T590" s="26" t="s">
        <v>2862</v>
      </c>
      <c r="U590" s="16"/>
      <c r="V590" s="16" t="str">
        <f>IFERROR(VLOOKUP(A590,'[2]19.6.2026'!$A$9:$L$1111,5,0),"")</f>
        <v>000448/LS-CCHN</v>
      </c>
      <c r="W590" s="16" t="str">
        <f>IFERROR(VLOOKUP(A590,'[2]19.6.2026'!$A$9:$L$1111,6,0),"")</f>
        <v>18/07/2016</v>
      </c>
      <c r="X590" s="16"/>
      <c r="Y590" s="21" t="str">
        <f>IFERROR(VLOOKUP(A590,'[2]19.6.2026'!$A$9:$L$1111,7,0),"")</f>
        <v>Chuyên khoa xét nghiệm</v>
      </c>
      <c r="Z590" s="16"/>
      <c r="AA590" s="27" t="str">
        <f>IFERROR(VLOOKUP(A590,'[3]DS UPLOAD 2026 (2)'!$A$2:$P$1111,16,0),"")</f>
        <v/>
      </c>
      <c r="AB590" s="27">
        <v>986668996</v>
      </c>
      <c r="AC590" s="29"/>
    </row>
    <row r="591" spans="1:29" ht="18" customHeight="1" x14ac:dyDescent="0.3">
      <c r="A591" s="17" t="s">
        <v>2863</v>
      </c>
      <c r="B591" s="40" t="s">
        <v>2864</v>
      </c>
      <c r="C591" s="17" t="s">
        <v>2863</v>
      </c>
      <c r="D591" s="19" t="s">
        <v>38</v>
      </c>
      <c r="E591" s="19" t="s">
        <v>2337</v>
      </c>
      <c r="F591" s="16" t="str">
        <f>VLOOKUP(E591,'[1]BẢNG MÃ'!$A$2:$B$69,2,0)</f>
        <v>TĐ014</v>
      </c>
      <c r="G591" s="20"/>
      <c r="H591" s="31" t="s">
        <v>2338</v>
      </c>
      <c r="I591" s="16" t="s">
        <v>2852</v>
      </c>
      <c r="J591" s="16" t="str">
        <f>VLOOKUP(I591,'[1]BẢNG MÃ'!$C$2:$D$69,2,0)</f>
        <v>KP030</v>
      </c>
      <c r="K591" s="16"/>
      <c r="L591" s="16"/>
      <c r="M591" s="23" t="s">
        <v>33</v>
      </c>
      <c r="N591" s="21">
        <f ca="1">VLOOKUP(A591,'[1]Bieu 1a'!$A$8:$AW$855,10,0)</f>
        <v>32</v>
      </c>
      <c r="O591" s="22">
        <f>VLOOKUP(A591,'[1]Bieu 1a'!$A$8:$AW$855,8,0)</f>
        <v>0</v>
      </c>
      <c r="P591" s="22" t="str">
        <f>VLOOKUP(A591,'[1]Bieu 1a'!$A$8:$AW$855,9,0)</f>
        <v>11/08/1993</v>
      </c>
      <c r="Q591" s="23" t="s">
        <v>44</v>
      </c>
      <c r="R591" s="24" t="str">
        <f>VLOOKUP(A591,'[1]Bieu 1a'!$A$8:$AW$855,23,0)</f>
        <v>13/12/2017</v>
      </c>
      <c r="S591" s="25" t="s">
        <v>2865</v>
      </c>
      <c r="T591" s="26" t="s">
        <v>2866</v>
      </c>
      <c r="U591" s="16"/>
      <c r="V591" s="16" t="str">
        <f>IFERROR(VLOOKUP(A591,'[2]19.6.2026'!$A$9:$L$1111,5,0),"")</f>
        <v>003400/LS-CCHN</v>
      </c>
      <c r="W591" s="16" t="str">
        <f>IFERROR(VLOOKUP(A591,'[2]19.6.2026'!$A$9:$L$1111,6,0),"")</f>
        <v>21/11/2018</v>
      </c>
      <c r="X591" s="16"/>
      <c r="Y591" s="21" t="str">
        <f>IFERROR(VLOOKUP(A591,'[2]19.6.2026'!$A$9:$L$1111,7,0),"")</f>
        <v>Chuyên khoa xét nghiệm</v>
      </c>
      <c r="Z591" s="16"/>
      <c r="AA591" s="27" t="str">
        <f>IFERROR(VLOOKUP(A591,'[3]DS UPLOAD 2026 (2)'!$A$2:$P$1111,16,0),"")</f>
        <v/>
      </c>
      <c r="AB591" s="27">
        <v>399395368</v>
      </c>
      <c r="AC591" s="29" t="s">
        <v>2867</v>
      </c>
    </row>
    <row r="592" spans="1:29" ht="18" customHeight="1" x14ac:dyDescent="0.3">
      <c r="A592" s="17" t="s">
        <v>2868</v>
      </c>
      <c r="B592" s="40" t="s">
        <v>2869</v>
      </c>
      <c r="C592" s="17" t="s">
        <v>2868</v>
      </c>
      <c r="D592" s="19" t="s">
        <v>38</v>
      </c>
      <c r="E592" s="19" t="s">
        <v>2337</v>
      </c>
      <c r="F592" s="16" t="str">
        <f>VLOOKUP(E592,'[1]BẢNG MÃ'!$A$2:$B$69,2,0)</f>
        <v>TĐ014</v>
      </c>
      <c r="G592" s="20"/>
      <c r="H592" s="31" t="s">
        <v>2338</v>
      </c>
      <c r="I592" s="16" t="s">
        <v>2852</v>
      </c>
      <c r="J592" s="16" t="str">
        <f>VLOOKUP(I592,'[1]BẢNG MÃ'!$C$2:$D$69,2,0)</f>
        <v>KP030</v>
      </c>
      <c r="K592" s="16"/>
      <c r="L592" s="16"/>
      <c r="M592" s="16" t="s">
        <v>33</v>
      </c>
      <c r="N592" s="21">
        <f ca="1">VLOOKUP(A592,'[1]Bieu 1a'!$A$8:$AW$855,10,0)</f>
        <v>28</v>
      </c>
      <c r="O592" s="22">
        <f>VLOOKUP(A592,'[1]Bieu 1a'!$A$8:$AW$855,8,0)</f>
        <v>0</v>
      </c>
      <c r="P592" s="22">
        <f>VLOOKUP(A592,'[1]Bieu 1a'!$A$8:$AW$855,9,0)</f>
        <v>35667</v>
      </c>
      <c r="Q592" s="23" t="s">
        <v>34</v>
      </c>
      <c r="R592" s="24" t="str">
        <f>VLOOKUP(A592,'[1]Bieu 1a'!$A$8:$AW$855,23,0)</f>
        <v>23/10/2019</v>
      </c>
      <c r="S592" s="25" t="s">
        <v>2870</v>
      </c>
      <c r="T592" s="26" t="s">
        <v>2871</v>
      </c>
      <c r="U592" s="16"/>
      <c r="V592" s="16" t="str">
        <f>IFERROR(VLOOKUP(A592,'[2]19.6.2026'!$A$9:$L$1111,5,0),"")</f>
        <v>004016/LS-CCHN</v>
      </c>
      <c r="W592" s="16" t="str">
        <f>IFERROR(VLOOKUP(A592,'[2]19.6.2026'!$A$9:$L$1111,6,0),"")</f>
        <v>21/10/2020</v>
      </c>
      <c r="X592" s="16"/>
      <c r="Y592" s="21" t="str">
        <f>IFERROR(VLOOKUP(A592,'[2]19.6.2026'!$A$9:$L$1111,7,0),"")</f>
        <v>Chuyên khoa xét nghiệm</v>
      </c>
      <c r="Z592" s="16"/>
      <c r="AA592" s="27" t="str">
        <f>IFERROR(VLOOKUP(A592,'[3]DS UPLOAD 2026 (2)'!$A$2:$P$1111,16,0),"")</f>
        <v/>
      </c>
      <c r="AB592" s="27"/>
      <c r="AC592" s="29" t="s">
        <v>2872</v>
      </c>
    </row>
    <row r="593" spans="1:29" ht="18.75" customHeight="1" x14ac:dyDescent="0.3">
      <c r="A593" s="17" t="s">
        <v>2873</v>
      </c>
      <c r="B593" s="29" t="s">
        <v>2874</v>
      </c>
      <c r="C593" s="17" t="s">
        <v>2873</v>
      </c>
      <c r="D593" s="53" t="s">
        <v>38</v>
      </c>
      <c r="E593" s="19" t="s">
        <v>2337</v>
      </c>
      <c r="F593" s="16" t="str">
        <f>VLOOKUP(E593,'[1]BẢNG MÃ'!$A$2:$B$69,2,0)</f>
        <v>TĐ014</v>
      </c>
      <c r="G593" s="20"/>
      <c r="H593" s="31" t="s">
        <v>2338</v>
      </c>
      <c r="I593" s="16" t="s">
        <v>2852</v>
      </c>
      <c r="J593" s="16" t="str">
        <f>VLOOKUP(I593,'[1]BẢNG MÃ'!$C$2:$D$69,2,0)</f>
        <v>KP030</v>
      </c>
      <c r="K593" s="16"/>
      <c r="L593" s="16"/>
      <c r="M593" s="16" t="s">
        <v>33</v>
      </c>
      <c r="N593" s="21">
        <f ca="1">VLOOKUP(A593,'[1]Bieu 1a'!$A$8:$AW$855,10,0)</f>
        <v>30</v>
      </c>
      <c r="O593" s="22">
        <f>VLOOKUP(A593,'[1]Bieu 1a'!$A$8:$AW$855,8,0)</f>
        <v>0</v>
      </c>
      <c r="P593" s="22">
        <f>VLOOKUP(A593,'[1]Bieu 1a'!$A$8:$AW$855,9,0)</f>
        <v>34969</v>
      </c>
      <c r="Q593" s="23" t="s">
        <v>44</v>
      </c>
      <c r="R593" s="24">
        <f>VLOOKUP(A593,'[1]Bieu 1a'!$A$8:$AW$855,23,0)</f>
        <v>44326</v>
      </c>
      <c r="S593" s="25" t="s">
        <v>2875</v>
      </c>
      <c r="T593" s="26" t="s">
        <v>2876</v>
      </c>
      <c r="U593" s="78">
        <f>EDATE(R593,9)</f>
        <v>44602</v>
      </c>
      <c r="V593" s="16" t="str">
        <f>IFERROR(VLOOKUP(A593,'[2]19.6.2026'!$A$9:$L$1111,5,0),"")</f>
        <v/>
      </c>
      <c r="W593" s="16" t="str">
        <f>IFERROR(VLOOKUP(A593,'[2]19.6.2026'!$A$9:$L$1111,6,0),"")</f>
        <v/>
      </c>
      <c r="X593" s="16"/>
      <c r="Y593" s="21" t="str">
        <f>IFERROR(VLOOKUP(A593,'[2]19.6.2026'!$A$9:$L$1111,7,0),"")</f>
        <v/>
      </c>
      <c r="Z593" s="16"/>
      <c r="AA593" s="27" t="str">
        <f>IFERROR(VLOOKUP(A593,'[3]DS UPLOAD 2026 (2)'!$A$2:$P$1111,16,0),"")</f>
        <v/>
      </c>
      <c r="AB593" s="27">
        <v>865197603</v>
      </c>
      <c r="AC593" s="29" t="s">
        <v>2877</v>
      </c>
    </row>
    <row r="594" spans="1:29" ht="18" customHeight="1" x14ac:dyDescent="0.3">
      <c r="A594" s="17" t="s">
        <v>2878</v>
      </c>
      <c r="B594" s="18" t="s">
        <v>2879</v>
      </c>
      <c r="C594" s="17" t="s">
        <v>2878</v>
      </c>
      <c r="D594" s="19" t="s">
        <v>38</v>
      </c>
      <c r="E594" s="30" t="s">
        <v>2337</v>
      </c>
      <c r="F594" s="16" t="str">
        <f>VLOOKUP(E594,'[1]BẢNG MÃ'!$A$2:$B$69,2,0)</f>
        <v>TĐ014</v>
      </c>
      <c r="G594" s="31" t="s">
        <v>2338</v>
      </c>
      <c r="H594" s="31" t="s">
        <v>2338</v>
      </c>
      <c r="I594" s="16" t="s">
        <v>2852</v>
      </c>
      <c r="J594" s="16" t="str">
        <f>VLOOKUP(I594,'[1]BẢNG MÃ'!$C$2:$D$69,2,0)</f>
        <v>KP030</v>
      </c>
      <c r="K594" s="16" t="s">
        <v>43</v>
      </c>
      <c r="L594" s="16">
        <v>0</v>
      </c>
      <c r="M594" s="16" t="s">
        <v>33</v>
      </c>
      <c r="N594" s="21">
        <f ca="1">VLOOKUP(A594,'[1]Bieu 1a'!$A$8:$AW$855,10,0)</f>
        <v>41</v>
      </c>
      <c r="O594" s="22">
        <f>VLOOKUP(A594,'[1]Bieu 1a'!$A$8:$AW$855,8,0)</f>
        <v>0</v>
      </c>
      <c r="P594" s="22">
        <f>VLOOKUP(A594,'[1]Bieu 1a'!$A$8:$AW$855,9,0)</f>
        <v>30992</v>
      </c>
      <c r="Q594" s="23" t="s">
        <v>50</v>
      </c>
      <c r="R594" s="24" t="str">
        <f>VLOOKUP(A594,'[1]Bieu 1a'!$A$8:$AW$855,23,0)</f>
        <v>15/1/2010</v>
      </c>
      <c r="S594" s="25" t="s">
        <v>2880</v>
      </c>
      <c r="T594" s="26" t="s">
        <v>2881</v>
      </c>
      <c r="U594" s="16"/>
      <c r="V594" s="16" t="str">
        <f>IFERROR(VLOOKUP(A594,'[2]19.6.2026'!$A$9:$L$1111,5,0),"")</f>
        <v>001068/LS-CCHN</v>
      </c>
      <c r="W594" s="16" t="str">
        <f>IFERROR(VLOOKUP(A594,'[2]19.6.2026'!$A$9:$L$1111,6,0),"")</f>
        <v>04/11/2022</v>
      </c>
      <c r="X594" s="16"/>
      <c r="Y594" s="21" t="str">
        <f>IFERROR(VLOOKUP(A594,'[2]19.6.2026'!$A$9:$L$1111,7,0),"")</f>
        <v>Chuyên khoa xét nghiệm</v>
      </c>
      <c r="Z594" s="16"/>
      <c r="AA594" s="27" t="str">
        <f>IFERROR(VLOOKUP(A594,'[3]DS UPLOAD 2026 (2)'!$A$2:$P$1111,16,0),"")</f>
        <v/>
      </c>
      <c r="AB594" s="27" t="s">
        <v>2882</v>
      </c>
      <c r="AC594" s="126"/>
    </row>
    <row r="595" spans="1:29" ht="19.5" customHeight="1" x14ac:dyDescent="0.3">
      <c r="A595" s="17" t="s">
        <v>2883</v>
      </c>
      <c r="B595" s="18" t="s">
        <v>2884</v>
      </c>
      <c r="C595" s="17" t="s">
        <v>2883</v>
      </c>
      <c r="D595" s="19" t="s">
        <v>38</v>
      </c>
      <c r="E595" s="30" t="s">
        <v>2337</v>
      </c>
      <c r="F595" s="16" t="str">
        <f>VLOOKUP(E595,'[1]BẢNG MÃ'!$A$2:$B$69,2,0)</f>
        <v>TĐ014</v>
      </c>
      <c r="G595" s="31" t="s">
        <v>2338</v>
      </c>
      <c r="H595" s="31" t="s">
        <v>2338</v>
      </c>
      <c r="I595" s="16" t="s">
        <v>2852</v>
      </c>
      <c r="J595" s="16" t="str">
        <f>VLOOKUP(I595,'[1]BẢNG MÃ'!$C$2:$D$69,2,0)</f>
        <v>KP030</v>
      </c>
      <c r="K595" s="16" t="s">
        <v>43</v>
      </c>
      <c r="L595" s="16">
        <v>0</v>
      </c>
      <c r="M595" s="16" t="s">
        <v>33</v>
      </c>
      <c r="N595" s="21">
        <f ca="1">VLOOKUP(A595,'[1]Bieu 1a'!$A$8:$AW$855,10,0)</f>
        <v>41</v>
      </c>
      <c r="O595" s="22">
        <f>VLOOKUP(A595,'[1]Bieu 1a'!$A$8:$AW$855,8,0)</f>
        <v>0</v>
      </c>
      <c r="P595" s="22">
        <f>VLOOKUP(A595,'[1]Bieu 1a'!$A$8:$AW$855,9,0)</f>
        <v>30905</v>
      </c>
      <c r="Q595" s="23" t="s">
        <v>50</v>
      </c>
      <c r="R595" s="24" t="str">
        <f>VLOOKUP(A595,'[1]Bieu 1a'!$A$8:$AW$855,23,0)</f>
        <v>1/12/2008</v>
      </c>
      <c r="S595" s="25" t="s">
        <v>2885</v>
      </c>
      <c r="T595" s="26" t="s">
        <v>2886</v>
      </c>
      <c r="U595" s="16"/>
      <c r="V595" s="16" t="str">
        <f>IFERROR(VLOOKUP(A595,'[2]19.6.2026'!$A$9:$L$1111,5,0),"")</f>
        <v>001072/LS-CCHN</v>
      </c>
      <c r="W595" s="16">
        <f>IFERROR(VLOOKUP(A595,'[2]19.6.2026'!$A$9:$L$1111,6,0),"")</f>
        <v>44869</v>
      </c>
      <c r="X595" s="16"/>
      <c r="Y595" s="21" t="str">
        <f>IFERROR(VLOOKUP(A595,'[2]19.6.2026'!$A$9:$L$1111,7,0),"")</f>
        <v>Chuyên khoa xét nghiệm</v>
      </c>
      <c r="Z595" s="16"/>
      <c r="AA595" s="27" t="str">
        <f>IFERROR(VLOOKUP(A595,'[3]DS UPLOAD 2026 (2)'!$A$2:$P$1111,16,0),"")</f>
        <v/>
      </c>
      <c r="AB595" s="27" t="s">
        <v>2887</v>
      </c>
      <c r="AC595" s="28"/>
    </row>
    <row r="596" spans="1:29" ht="16.5" customHeight="1" x14ac:dyDescent="0.3">
      <c r="A596" s="17" t="s">
        <v>2888</v>
      </c>
      <c r="B596" s="18" t="s">
        <v>2889</v>
      </c>
      <c r="C596" s="17" t="s">
        <v>2888</v>
      </c>
      <c r="D596" s="19" t="s">
        <v>38</v>
      </c>
      <c r="E596" s="19" t="s">
        <v>2344</v>
      </c>
      <c r="F596" s="16" t="str">
        <f>VLOOKUP(E596,'[1]BẢNG MÃ'!$A$2:$B$69,2,0)</f>
        <v>TĐ015</v>
      </c>
      <c r="G596" s="20"/>
      <c r="H596" s="31" t="s">
        <v>2345</v>
      </c>
      <c r="I596" s="16" t="s">
        <v>2852</v>
      </c>
      <c r="J596" s="16" t="str">
        <f>VLOOKUP(I596,'[1]BẢNG MÃ'!$C$2:$D$69,2,0)</f>
        <v>KP030</v>
      </c>
      <c r="K596" s="16"/>
      <c r="L596" s="16"/>
      <c r="M596" s="23" t="s">
        <v>33</v>
      </c>
      <c r="N596" s="21">
        <f ca="1">VLOOKUP(A596,'[1]Bieu 1a'!$A$8:$AW$855,10,0)</f>
        <v>33</v>
      </c>
      <c r="O596" s="22">
        <f>VLOOKUP(A596,'[1]Bieu 1a'!$A$8:$AW$855,8,0)</f>
        <v>0</v>
      </c>
      <c r="P596" s="22">
        <f>VLOOKUP(A596,'[1]Bieu 1a'!$A$8:$AW$855,9,0)</f>
        <v>34032</v>
      </c>
      <c r="Q596" s="23" t="s">
        <v>44</v>
      </c>
      <c r="R596" s="24" t="str">
        <f>VLOOKUP(A596,'[1]Bieu 1a'!$A$8:$AW$855,23,0)</f>
        <v>1/1/2015</v>
      </c>
      <c r="S596" s="25" t="s">
        <v>2890</v>
      </c>
      <c r="T596" s="26" t="s">
        <v>2891</v>
      </c>
      <c r="U596" s="16"/>
      <c r="V596" s="16" t="str">
        <f>IFERROR(VLOOKUP(A596,'[2]19.6.2026'!$A$9:$L$1111,5,0),"")</f>
        <v>000555/LS-CCHN</v>
      </c>
      <c r="W596" s="16" t="str">
        <f>IFERROR(VLOOKUP(A596,'[2]19.6.2026'!$A$9:$L$1111,6,0),"")</f>
        <v>13/10/2016</v>
      </c>
      <c r="X596" s="16"/>
      <c r="Y596" s="21" t="str">
        <f>IFERROR(VLOOKUP(A596,'[2]19.6.2026'!$A$9:$L$1111,7,0),"")</f>
        <v>Kỹ thuật viên xét nghiệm</v>
      </c>
      <c r="Z596" s="16"/>
      <c r="AA596" s="27" t="str">
        <f>IFERROR(VLOOKUP(A596,'[3]DS UPLOAD 2026 (2)'!$A$2:$P$1111,16,0),"")</f>
        <v/>
      </c>
      <c r="AB596" s="27" t="s">
        <v>2892</v>
      </c>
      <c r="AC596" s="29" t="s">
        <v>2893</v>
      </c>
    </row>
    <row r="597" spans="1:29" ht="21" customHeight="1" x14ac:dyDescent="0.3">
      <c r="A597" s="17" t="s">
        <v>2894</v>
      </c>
      <c r="B597" s="18" t="s">
        <v>2895</v>
      </c>
      <c r="C597" s="17" t="s">
        <v>2894</v>
      </c>
      <c r="D597" s="19" t="s">
        <v>38</v>
      </c>
      <c r="E597" s="19" t="s">
        <v>2344</v>
      </c>
      <c r="F597" s="16" t="str">
        <f>VLOOKUP(E597,'[1]BẢNG MÃ'!$A$2:$B$69,2,0)</f>
        <v>TĐ015</v>
      </c>
      <c r="G597" s="20" t="s">
        <v>2345</v>
      </c>
      <c r="H597" s="20" t="s">
        <v>2345</v>
      </c>
      <c r="I597" s="16" t="s">
        <v>2852</v>
      </c>
      <c r="J597" s="16" t="str">
        <f>VLOOKUP(I597,'[1]BẢNG MÃ'!$C$2:$D$69,2,0)</f>
        <v>KP030</v>
      </c>
      <c r="K597" s="16" t="s">
        <v>43</v>
      </c>
      <c r="L597" s="16">
        <v>0</v>
      </c>
      <c r="M597" s="16" t="s">
        <v>33</v>
      </c>
      <c r="N597" s="21">
        <f ca="1">VLOOKUP(A597,'[1]Bieu 1a'!$A$8:$AW$855,10,0)</f>
        <v>53</v>
      </c>
      <c r="O597" s="22">
        <f>VLOOKUP(A597,'[1]Bieu 1a'!$A$8:$AW$855,8,0)</f>
        <v>0</v>
      </c>
      <c r="P597" s="22">
        <f>VLOOKUP(A597,'[1]Bieu 1a'!$A$8:$AW$855,9,0)</f>
        <v>26541</v>
      </c>
      <c r="Q597" s="23" t="s">
        <v>50</v>
      </c>
      <c r="R597" s="24" t="str">
        <f>VLOOKUP(A597,'[1]Bieu 1a'!$A$8:$AW$855,23,0)</f>
        <v>1/6/1996</v>
      </c>
      <c r="S597" s="25" t="s">
        <v>2896</v>
      </c>
      <c r="T597" s="26" t="s">
        <v>2897</v>
      </c>
      <c r="U597" s="16"/>
      <c r="V597" s="16" t="str">
        <f>IFERROR(VLOOKUP(A597,'[2]19.6.2026'!$A$9:$L$1111,5,0),"")</f>
        <v>001069/LS-CCHN</v>
      </c>
      <c r="W597" s="16" t="str">
        <f>IFERROR(VLOOKUP(A597,'[2]19.6.2026'!$A$9:$L$1111,6,0),"")</f>
        <v>24/06/2013</v>
      </c>
      <c r="X597" s="16"/>
      <c r="Y597" s="21" t="str">
        <f>IFERROR(VLOOKUP(A597,'[2]19.6.2026'!$A$9:$L$1111,7,0),"")</f>
        <v>Theo quy định tại Thông tư số 23/2009/TT-BYT ngày 01/12/2009 của Bộ Y tế ban hành tiêu chuẩn nghiệp vụ các ngạch viên chức kỹ thuật y học</v>
      </c>
      <c r="Z597" s="16"/>
      <c r="AA597" s="27" t="str">
        <f>IFERROR(VLOOKUP(A597,'[3]DS UPLOAD 2026 (2)'!$A$2:$P$1111,16,0),"")</f>
        <v/>
      </c>
      <c r="AB597" s="27" t="s">
        <v>2898</v>
      </c>
      <c r="AC597" s="28"/>
    </row>
    <row r="598" spans="1:29" ht="16.5" customHeight="1" x14ac:dyDescent="0.3">
      <c r="A598" s="17" t="s">
        <v>2899</v>
      </c>
      <c r="B598" s="18" t="s">
        <v>2900</v>
      </c>
      <c r="C598" s="17" t="s">
        <v>2899</v>
      </c>
      <c r="D598" s="19" t="s">
        <v>38</v>
      </c>
      <c r="E598" s="19" t="s">
        <v>2344</v>
      </c>
      <c r="F598" s="16" t="str">
        <f>VLOOKUP(E598,'[1]BẢNG MÃ'!$A$2:$B$69,2,0)</f>
        <v>TĐ015</v>
      </c>
      <c r="G598" s="20" t="s">
        <v>2345</v>
      </c>
      <c r="H598" s="20" t="s">
        <v>2345</v>
      </c>
      <c r="I598" s="16" t="s">
        <v>2852</v>
      </c>
      <c r="J598" s="16" t="str">
        <f>VLOOKUP(I598,'[1]BẢNG MÃ'!$C$2:$D$69,2,0)</f>
        <v>KP030</v>
      </c>
      <c r="K598" s="16" t="s">
        <v>43</v>
      </c>
      <c r="L598" s="16">
        <v>0</v>
      </c>
      <c r="M598" s="16" t="s">
        <v>33</v>
      </c>
      <c r="N598" s="21">
        <f ca="1">VLOOKUP(A598,'[1]Bieu 1a'!$A$8:$AW$855,10,0)</f>
        <v>34</v>
      </c>
      <c r="O598" s="22">
        <f>VLOOKUP(A598,'[1]Bieu 1a'!$A$8:$AW$855,8,0)</f>
        <v>0</v>
      </c>
      <c r="P598" s="22">
        <f>VLOOKUP(A598,'[1]Bieu 1a'!$A$8:$AW$855,9,0)</f>
        <v>33638</v>
      </c>
      <c r="Q598" s="23" t="s">
        <v>50</v>
      </c>
      <c r="R598" s="24" t="str">
        <f>VLOOKUP(A598,'[1]Bieu 1a'!$A$8:$AW$855,23,0)</f>
        <v>01/11/2014</v>
      </c>
      <c r="S598" s="25" t="s">
        <v>2901</v>
      </c>
      <c r="T598" s="26" t="s">
        <v>2902</v>
      </c>
      <c r="U598" s="16"/>
      <c r="V598" s="16" t="str">
        <f>IFERROR(VLOOKUP(A598,'[2]19.6.2026'!$A$9:$L$1111,5,0),"")</f>
        <v>000556/LS-CCHN</v>
      </c>
      <c r="W598" s="16">
        <f>IFERROR(VLOOKUP(A598,'[2]19.6.2026'!$A$9:$L$1111,6,0),"")</f>
        <v>42656</v>
      </c>
      <c r="X598" s="16"/>
      <c r="Y598" s="21" t="str">
        <f>IFERROR(VLOOKUP(A598,'[2]19.6.2026'!$A$9:$L$1111,7,0),"")</f>
        <v>Kỹ thuật viên xét nghiệm</v>
      </c>
      <c r="Z598" s="16"/>
      <c r="AA598" s="27" t="str">
        <f>IFERROR(VLOOKUP(A598,'[3]DS UPLOAD 2026 (2)'!$A$2:$P$1111,16,0),"")</f>
        <v/>
      </c>
      <c r="AB598" s="27" t="s">
        <v>2903</v>
      </c>
      <c r="AC598" s="28"/>
    </row>
    <row r="599" spans="1:29" ht="20.25" customHeight="1" x14ac:dyDescent="0.3">
      <c r="A599" s="17" t="s">
        <v>2904</v>
      </c>
      <c r="B599" s="120" t="s">
        <v>2905</v>
      </c>
      <c r="C599" s="17" t="s">
        <v>2904</v>
      </c>
      <c r="D599" s="53" t="s">
        <v>38</v>
      </c>
      <c r="E599" s="16" t="s">
        <v>2344</v>
      </c>
      <c r="F599" s="16" t="str">
        <f>VLOOKUP(E599,'[1]BẢNG MÃ'!$A$2:$B$69,2,0)</f>
        <v>TĐ015</v>
      </c>
      <c r="G599" s="20"/>
      <c r="H599" s="31" t="s">
        <v>2345</v>
      </c>
      <c r="I599" s="16" t="s">
        <v>2852</v>
      </c>
      <c r="J599" s="16" t="str">
        <f>VLOOKUP(I599,'[1]BẢNG MÃ'!$C$2:$D$69,2,0)</f>
        <v>KP030</v>
      </c>
      <c r="K599" s="16"/>
      <c r="L599" s="16"/>
      <c r="M599" s="23" t="s">
        <v>33</v>
      </c>
      <c r="N599" s="21">
        <f ca="1">VLOOKUP(A599,'[1]Bieu 1a'!$A$8:$AW$855,10,0)</f>
        <v>32</v>
      </c>
      <c r="O599" s="22">
        <f>VLOOKUP(A599,'[1]Bieu 1a'!$A$8:$AW$855,8,0)</f>
        <v>0</v>
      </c>
      <c r="P599" s="22" t="str">
        <f>VLOOKUP(A599,'[1]Bieu 1a'!$A$8:$AW$855,9,0)</f>
        <v>07/11/1993</v>
      </c>
      <c r="Q599" s="23" t="s">
        <v>50</v>
      </c>
      <c r="R599" s="24" t="str">
        <f>VLOOKUP(A599,'[1]Bieu 1a'!$A$8:$AW$855,23,0)</f>
        <v>13/7/2020</v>
      </c>
      <c r="S599" s="25" t="s">
        <v>2906</v>
      </c>
      <c r="T599" s="26">
        <v>0</v>
      </c>
      <c r="U599" s="78">
        <f>EDATE(R599,9)</f>
        <v>44299</v>
      </c>
      <c r="V599" s="16" t="str">
        <f>IFERROR(VLOOKUP(A599,'[2]19.6.2026'!$A$9:$L$1111,5,0),"")</f>
        <v>000665/LS-CCHN</v>
      </c>
      <c r="W599" s="16" t="str">
        <f>IFERROR(VLOOKUP(A599,'[2]19.6.2026'!$A$9:$L$1111,6,0),"")</f>
        <v/>
      </c>
      <c r="X599" s="16"/>
      <c r="Y599" s="21" t="str">
        <f>IFERROR(VLOOKUP(A599,'[2]19.6.2026'!$A$9:$L$1111,7,0),"")</f>
        <v>Kỹ thuật viên xét nghiệm</v>
      </c>
      <c r="Z599" s="16"/>
      <c r="AA599" s="27" t="str">
        <f>IFERROR(VLOOKUP(A599,'[3]DS UPLOAD 2026 (2)'!$A$2:$P$1111,16,0),"")</f>
        <v/>
      </c>
      <c r="AB599" s="27" t="s">
        <v>2907</v>
      </c>
      <c r="AC599" s="29" t="s">
        <v>2908</v>
      </c>
    </row>
    <row r="600" spans="1:29" ht="18" customHeight="1" x14ac:dyDescent="0.3">
      <c r="A600" s="17" t="s">
        <v>2909</v>
      </c>
      <c r="B600" s="38" t="s">
        <v>2910</v>
      </c>
      <c r="C600" s="17" t="s">
        <v>2909</v>
      </c>
      <c r="D600" s="19"/>
      <c r="E600" s="19" t="s">
        <v>2344</v>
      </c>
      <c r="F600" s="16" t="str">
        <f>VLOOKUP(E600,'[1]BẢNG MÃ'!$A$2:$B$69,2,0)</f>
        <v>TĐ015</v>
      </c>
      <c r="G600" s="20" t="s">
        <v>2345</v>
      </c>
      <c r="H600" s="20" t="s">
        <v>2345</v>
      </c>
      <c r="I600" s="16" t="s">
        <v>2852</v>
      </c>
      <c r="J600" s="16" t="str">
        <f>VLOOKUP(I600,'[1]BẢNG MÃ'!$C$2:$D$69,2,0)</f>
        <v>KP030</v>
      </c>
      <c r="K600" s="16" t="s">
        <v>43</v>
      </c>
      <c r="L600" s="16">
        <v>0</v>
      </c>
      <c r="M600" s="16" t="s">
        <v>33</v>
      </c>
      <c r="N600" s="21">
        <f ca="1">VLOOKUP(A600,'[1]Bieu 1a'!$A$8:$AW$855,10,0)</f>
        <v>34</v>
      </c>
      <c r="O600" s="22" t="str">
        <f>VLOOKUP(A600,'[1]Bieu 1a'!$A$8:$AW$855,8,0)</f>
        <v>28/5/1992</v>
      </c>
      <c r="P600" s="22">
        <f>VLOOKUP(A600,'[1]Bieu 1a'!$A$8:$AW$855,9,0)</f>
        <v>0</v>
      </c>
      <c r="Q600" s="23" t="s">
        <v>44</v>
      </c>
      <c r="R600" s="24" t="str">
        <f>VLOOKUP(A600,'[1]Bieu 1a'!$A$8:$AW$855,23,0)</f>
        <v>01/11/2014</v>
      </c>
      <c r="S600" s="25" t="s">
        <v>2911</v>
      </c>
      <c r="T600" s="26">
        <v>0</v>
      </c>
      <c r="U600" s="16"/>
      <c r="V600" s="16" t="str">
        <f>IFERROR(VLOOKUP(A600,'[2]19.6.2026'!$A$9:$L$1111,5,0),"")</f>
        <v>000368/LS-CCHN</v>
      </c>
      <c r="W600" s="16" t="str">
        <f>IFERROR(VLOOKUP(A600,'[2]19.6.2026'!$A$9:$L$1111,6,0),"")</f>
        <v>01/06/2016</v>
      </c>
      <c r="X600" s="16"/>
      <c r="Y600" s="21" t="str">
        <f>IFERROR(VLOOKUP(A600,'[2]19.6.2026'!$A$9:$L$1111,7,0),"")</f>
        <v>Kỹ thuật viên xét nghiệm</v>
      </c>
      <c r="Z600" s="16"/>
      <c r="AA600" s="27" t="str">
        <f>IFERROR(VLOOKUP(A600,'[3]DS UPLOAD 2026 (2)'!$A$2:$P$1111,16,0),"")</f>
        <v/>
      </c>
      <c r="AB600" s="27" t="s">
        <v>2912</v>
      </c>
      <c r="AC600" s="28" t="s">
        <v>1045</v>
      </c>
    </row>
    <row r="601" spans="1:29" ht="18" customHeight="1" x14ac:dyDescent="0.3">
      <c r="A601" s="17" t="s">
        <v>2913</v>
      </c>
      <c r="B601" s="18" t="s">
        <v>2914</v>
      </c>
      <c r="C601" s="17" t="s">
        <v>2913</v>
      </c>
      <c r="D601" s="19" t="s">
        <v>38</v>
      </c>
      <c r="E601" s="19" t="s">
        <v>2344</v>
      </c>
      <c r="F601" s="16" t="str">
        <f>VLOOKUP(E601,'[1]BẢNG MÃ'!$A$2:$B$69,2,0)</f>
        <v>TĐ015</v>
      </c>
      <c r="G601" s="20" t="s">
        <v>2345</v>
      </c>
      <c r="H601" s="20" t="s">
        <v>2345</v>
      </c>
      <c r="I601" s="16" t="s">
        <v>2852</v>
      </c>
      <c r="J601" s="16" t="str">
        <f>VLOOKUP(I601,'[1]BẢNG MÃ'!$C$2:$D$69,2,0)</f>
        <v>KP030</v>
      </c>
      <c r="K601" s="16" t="s">
        <v>43</v>
      </c>
      <c r="L601" s="16">
        <v>0</v>
      </c>
      <c r="M601" s="16" t="s">
        <v>33</v>
      </c>
      <c r="N601" s="21">
        <f ca="1">VLOOKUP(A601,'[1]Bieu 1a'!$A$8:$AW$855,10,0)</f>
        <v>38</v>
      </c>
      <c r="O601" s="22">
        <f>VLOOKUP(A601,'[1]Bieu 1a'!$A$8:$AW$855,8,0)</f>
        <v>0</v>
      </c>
      <c r="P601" s="22">
        <f>VLOOKUP(A601,'[1]Bieu 1a'!$A$8:$AW$855,9,0)</f>
        <v>32137</v>
      </c>
      <c r="Q601" s="23" t="s">
        <v>34</v>
      </c>
      <c r="R601" s="24" t="str">
        <f>VLOOKUP(A601,'[1]Bieu 1a'!$A$8:$AW$855,23,0)</f>
        <v>10/6/2013</v>
      </c>
      <c r="S601" s="25" t="s">
        <v>2915</v>
      </c>
      <c r="T601" s="26" t="s">
        <v>2916</v>
      </c>
      <c r="U601" s="16"/>
      <c r="V601" s="16" t="str">
        <f>IFERROR(VLOOKUP(A601,'[2]19.6.2026'!$A$9:$L$1111,5,0),"")</f>
        <v>001064/LS-CCHN</v>
      </c>
      <c r="W601" s="16" t="str">
        <f>IFERROR(VLOOKUP(A601,'[2]19.6.2026'!$A$9:$L$1111,6,0),"")</f>
        <v>24/06/2013</v>
      </c>
      <c r="X601" s="16"/>
      <c r="Y601" s="21" t="str">
        <f>IFERROR(VLOOKUP(A601,'[2]19.6.2026'!$A$9:$L$1111,7,0),"")</f>
        <v>Theo quy định tại Thông tư số 23/2009/TT-BYT ngày 01/12/2009 của Bộ Y tế ban hành tiêu chuẩn nghiệp vụ các ngạch viên chức kỹ thuật y học</v>
      </c>
      <c r="Z601" s="16"/>
      <c r="AA601" s="27" t="str">
        <f>IFERROR(VLOOKUP(A601,'[3]DS UPLOAD 2026 (2)'!$A$2:$P$1111,16,0),"")</f>
        <v/>
      </c>
      <c r="AB601" s="27">
        <v>972943262</v>
      </c>
      <c r="AC601" s="28"/>
    </row>
    <row r="602" spans="1:29" ht="18" customHeight="1" x14ac:dyDescent="0.3">
      <c r="A602" s="17" t="s">
        <v>2917</v>
      </c>
      <c r="B602" s="18" t="s">
        <v>2918</v>
      </c>
      <c r="C602" s="17" t="s">
        <v>2917</v>
      </c>
      <c r="D602" s="19" t="s">
        <v>38</v>
      </c>
      <c r="E602" s="19" t="s">
        <v>2351</v>
      </c>
      <c r="F602" s="16" t="str">
        <f>VLOOKUP(E602,'[1]BẢNG MÃ'!$A$2:$B$69,2,0)</f>
        <v>TĐ016</v>
      </c>
      <c r="G602" s="20" t="s">
        <v>2345</v>
      </c>
      <c r="H602" s="20" t="s">
        <v>2345</v>
      </c>
      <c r="I602" s="16" t="s">
        <v>2852</v>
      </c>
      <c r="J602" s="16" t="str">
        <f>VLOOKUP(I602,'[1]BẢNG MÃ'!$C$2:$D$69,2,0)</f>
        <v>KP030</v>
      </c>
      <c r="K602" s="16" t="s">
        <v>43</v>
      </c>
      <c r="L602" s="16">
        <v>0</v>
      </c>
      <c r="M602" s="16" t="s">
        <v>33</v>
      </c>
      <c r="N602" s="21">
        <f ca="1">VLOOKUP(A602,'[1]Bieu 1a'!$A$8:$AW$855,10,0)</f>
        <v>56</v>
      </c>
      <c r="O602" s="22">
        <f>VLOOKUP(A602,'[1]Bieu 1a'!$A$8:$AW$855,8,0)</f>
        <v>0</v>
      </c>
      <c r="P602" s="22">
        <f>VLOOKUP(A602,'[1]Bieu 1a'!$A$8:$AW$855,9,0)</f>
        <v>25486</v>
      </c>
      <c r="Q602" s="23" t="s">
        <v>50</v>
      </c>
      <c r="R602" s="24" t="str">
        <f>VLOOKUP(A602,'[1]Bieu 1a'!$A$8:$AW$855,23,0)</f>
        <v>7/5/1990</v>
      </c>
      <c r="S602" s="25" t="s">
        <v>2919</v>
      </c>
      <c r="T602" s="26">
        <v>0</v>
      </c>
      <c r="U602" s="16"/>
      <c r="V602" s="16" t="str">
        <f>IFERROR(VLOOKUP(A602,'[2]19.6.2026'!$A$9:$L$1111,5,0),"")</f>
        <v>000174/LS-CCHN</v>
      </c>
      <c r="W602" s="16" t="str">
        <f>IFERROR(VLOOKUP(A602,'[2]19.6.2026'!$A$9:$L$1111,6,0),"")</f>
        <v>01/08/2012</v>
      </c>
      <c r="X602" s="16"/>
      <c r="Y602" s="21" t="str">
        <f>IFERROR(VLOOKUP(A602,'[2]19.6.2026'!$A$9:$L$1111,7,0),"")</f>
        <v>Thực hiện kỹ thuật chuyên môn xét nghiệm</v>
      </c>
      <c r="Z602" s="16"/>
      <c r="AA602" s="27" t="str">
        <f>IFERROR(VLOOKUP(A602,'[3]DS UPLOAD 2026 (2)'!$A$2:$P$1111,16,0),"")</f>
        <v/>
      </c>
      <c r="AB602" s="27" t="s">
        <v>2920</v>
      </c>
      <c r="AC602" s="28"/>
    </row>
    <row r="603" spans="1:29" ht="18" customHeight="1" x14ac:dyDescent="0.3">
      <c r="A603" s="17" t="s">
        <v>2921</v>
      </c>
      <c r="B603" s="18" t="s">
        <v>2922</v>
      </c>
      <c r="C603" s="17" t="s">
        <v>2921</v>
      </c>
      <c r="D603" s="19" t="s">
        <v>38</v>
      </c>
      <c r="E603" s="19" t="s">
        <v>128</v>
      </c>
      <c r="F603" s="16" t="str">
        <f>VLOOKUP(E603,'[1]BẢNG MÃ'!$A$2:$B$69,2,0)</f>
        <v>TĐ047</v>
      </c>
      <c r="G603" s="20"/>
      <c r="H603" s="19" t="s">
        <v>128</v>
      </c>
      <c r="I603" s="16" t="s">
        <v>2852</v>
      </c>
      <c r="J603" s="16" t="str">
        <f>VLOOKUP(I603,'[1]BẢNG MÃ'!$C$2:$D$69,2,0)</f>
        <v>KP030</v>
      </c>
      <c r="K603" s="16"/>
      <c r="L603" s="16">
        <v>0</v>
      </c>
      <c r="M603" s="16" t="s">
        <v>129</v>
      </c>
      <c r="N603" s="21">
        <f ca="1">VLOOKUP(A603,'[1]Bieu 1a'!$A$8:$AW$855,10,0)</f>
        <v>53</v>
      </c>
      <c r="O603" s="22">
        <f>VLOOKUP(A603,'[1]Bieu 1a'!$A$8:$AW$855,8,0)</f>
        <v>0</v>
      </c>
      <c r="P603" s="22">
        <f>VLOOKUP(A603,'[1]Bieu 1a'!$A$8:$AW$855,9,0)</f>
        <v>26725</v>
      </c>
      <c r="Q603" s="23" t="s">
        <v>50</v>
      </c>
      <c r="R603" s="24" t="str">
        <f>VLOOKUP(A603,'[1]Bieu 1a'!$A$8:$AW$855,23,0)</f>
        <v>10/5/1999</v>
      </c>
      <c r="S603" s="25" t="s">
        <v>2923</v>
      </c>
      <c r="T603" s="26" t="s">
        <v>2924</v>
      </c>
      <c r="U603" s="16"/>
      <c r="V603" s="16" t="str">
        <f>IFERROR(VLOOKUP(A603,'[2]19.6.2026'!$A$9:$L$1111,5,0),"")</f>
        <v/>
      </c>
      <c r="W603" s="16" t="str">
        <f>IFERROR(VLOOKUP(A603,'[2]19.6.2026'!$A$9:$L$1111,6,0),"")</f>
        <v/>
      </c>
      <c r="X603" s="16"/>
      <c r="Y603" s="21" t="str">
        <f>IFERROR(VLOOKUP(A603,'[2]19.6.2026'!$A$9:$L$1111,7,0),"")</f>
        <v/>
      </c>
      <c r="Z603" s="16"/>
      <c r="AA603" s="27" t="str">
        <f>IFERROR(VLOOKUP(A603,'[3]DS UPLOAD 2026 (2)'!$A$2:$P$1111,16,0),"")</f>
        <v/>
      </c>
      <c r="AB603" s="27" t="s">
        <v>2925</v>
      </c>
      <c r="AC603" s="28" t="s">
        <v>133</v>
      </c>
    </row>
    <row r="604" spans="1:29" ht="18" customHeight="1" x14ac:dyDescent="0.3">
      <c r="A604" s="17" t="s">
        <v>2926</v>
      </c>
      <c r="B604" s="18" t="s">
        <v>1068</v>
      </c>
      <c r="C604" s="17" t="s">
        <v>2926</v>
      </c>
      <c r="D604" s="19" t="s">
        <v>38</v>
      </c>
      <c r="E604" s="16" t="s">
        <v>160</v>
      </c>
      <c r="F604" s="16" t="str">
        <f>VLOOKUP(E604,'[1]BẢNG MÃ'!$A$2:$B$69,2,0)</f>
        <v>TĐ003</v>
      </c>
      <c r="G604" s="20" t="s">
        <v>29</v>
      </c>
      <c r="H604" s="20" t="s">
        <v>29</v>
      </c>
      <c r="I604" s="16" t="s">
        <v>2927</v>
      </c>
      <c r="J604" s="16" t="str">
        <f>VLOOKUP(I604,'[1]BẢNG MÃ'!$C$2:$D$69,2,0)</f>
        <v>KP033</v>
      </c>
      <c r="K604" s="16" t="s">
        <v>31</v>
      </c>
      <c r="L604" s="16" t="s">
        <v>154</v>
      </c>
      <c r="M604" s="16" t="s">
        <v>33</v>
      </c>
      <c r="N604" s="21">
        <f ca="1">VLOOKUP(A604,'[1]Bieu 1a'!$A$8:$AW$855,10,0)</f>
        <v>38</v>
      </c>
      <c r="O604" s="22">
        <f>VLOOKUP(A604,'[1]Bieu 1a'!$A$8:$AW$855,8,0)</f>
        <v>0</v>
      </c>
      <c r="P604" s="22">
        <f>VLOOKUP(A604,'[1]Bieu 1a'!$A$8:$AW$855,9,0)</f>
        <v>32061</v>
      </c>
      <c r="Q604" s="23" t="s">
        <v>34</v>
      </c>
      <c r="R604" s="24" t="str">
        <f>VLOOKUP(A604,'[1]Bieu 1a'!$A$8:$AW$855,23,0)</f>
        <v>10/6/2013</v>
      </c>
      <c r="S604" s="25" t="s">
        <v>2928</v>
      </c>
      <c r="T604" s="26" t="s">
        <v>2929</v>
      </c>
      <c r="U604" s="22">
        <f>EDATE(R604,12)</f>
        <v>41800</v>
      </c>
      <c r="V604" s="16" t="str">
        <f>IFERROR(VLOOKUP(A604,'[2]19.6.2026'!$A$9:$L$1111,5,0),"")</f>
        <v>003064/LS-CCHN</v>
      </c>
      <c r="W604" s="16" t="str">
        <f>IFERROR(VLOOKUP(A604,'[2]19.6.2026'!$A$9:$L$1111,6,0),"")</f>
        <v>11/01/2023</v>
      </c>
      <c r="X604" s="16"/>
      <c r="Y604" s="21" t="str">
        <f>IFERROR(VLOOKUP(A604,'[2]19.6.2026'!$A$9:$L$1111,7,0),"")</f>
        <v>Khám bệnh, chữa bệnh Nội khoa</v>
      </c>
      <c r="Z604" s="16"/>
      <c r="AA604" s="27" t="str">
        <f>IFERROR(VLOOKUP(A604,'[3]DS UPLOAD 2026 (2)'!$A$2:$P$1111,16,0),"")</f>
        <v/>
      </c>
      <c r="AB604" s="27" t="s">
        <v>2930</v>
      </c>
      <c r="AC604" s="28"/>
    </row>
    <row r="605" spans="1:29" ht="18" customHeight="1" x14ac:dyDescent="0.3">
      <c r="A605" s="17" t="s">
        <v>2931</v>
      </c>
      <c r="B605" s="18" t="s">
        <v>2932</v>
      </c>
      <c r="C605" s="17" t="s">
        <v>2931</v>
      </c>
      <c r="D605" s="19"/>
      <c r="E605" s="19" t="s">
        <v>479</v>
      </c>
      <c r="F605" s="16" t="str">
        <f>VLOOKUP(E605,'[1]BẢNG MÃ'!$A$2:$B$69,2,0)</f>
        <v>TĐ004</v>
      </c>
      <c r="G605" s="20" t="s">
        <v>29</v>
      </c>
      <c r="H605" s="20" t="s">
        <v>29</v>
      </c>
      <c r="I605" s="16" t="s">
        <v>2927</v>
      </c>
      <c r="J605" s="16" t="str">
        <f>VLOOKUP(I605,'[1]BẢNG MÃ'!$C$2:$D$69,2,0)</f>
        <v>KP033</v>
      </c>
      <c r="K605" s="16" t="s">
        <v>31</v>
      </c>
      <c r="L605" s="16" t="s">
        <v>148</v>
      </c>
      <c r="M605" s="16" t="s">
        <v>33</v>
      </c>
      <c r="N605" s="21">
        <f ca="1">VLOOKUP(A605,'[1]Bieu 1a'!$A$8:$AW$855,10,0)</f>
        <v>47</v>
      </c>
      <c r="O605" s="22">
        <f>VLOOKUP(A605,'[1]Bieu 1a'!$A$8:$AW$855,8,0)</f>
        <v>28985</v>
      </c>
      <c r="P605" s="22">
        <f>VLOOKUP(A605,'[1]Bieu 1a'!$A$8:$AW$855,9,0)</f>
        <v>0</v>
      </c>
      <c r="Q605" s="23" t="s">
        <v>34</v>
      </c>
      <c r="R605" s="24" t="str">
        <f>VLOOKUP(A605,'[1]Bieu 1a'!$A$8:$AW$855,23,0)</f>
        <v>1/1/2003</v>
      </c>
      <c r="S605" s="25" t="s">
        <v>2933</v>
      </c>
      <c r="T605" s="26" t="s">
        <v>2934</v>
      </c>
      <c r="U605" s="16"/>
      <c r="V605" s="16" t="str">
        <f>IFERROR(VLOOKUP(A605,'[2]19.6.2026'!$A$9:$L$1111,5,0),"")</f>
        <v>001088/LS-CCHN</v>
      </c>
      <c r="W605" s="16" t="str">
        <f>IFERROR(VLOOKUP(A605,'[2]19.6.2026'!$A$9:$L$1111,6,0),"")</f>
        <v>11/01/2023</v>
      </c>
      <c r="X605" s="16"/>
      <c r="Y605" s="21" t="str">
        <f>IFERROR(VLOOKUP(A605,'[2]19.6.2026'!$A$9:$L$1111,7,0),"")</f>
        <v>Khám bệnh, chữa bệnh Nội khoa</v>
      </c>
      <c r="Z605" s="16"/>
      <c r="AA605" s="27" t="str">
        <f>IFERROR(VLOOKUP(A605,'[3]DS UPLOAD 2026 (2)'!$A$2:$P$1111,16,0),"")</f>
        <v/>
      </c>
      <c r="AB605" s="27" t="s">
        <v>2935</v>
      </c>
      <c r="AC605" s="28"/>
    </row>
    <row r="606" spans="1:29" ht="18" customHeight="1" x14ac:dyDescent="0.3">
      <c r="A606" s="17" t="s">
        <v>2936</v>
      </c>
      <c r="B606" s="40" t="s">
        <v>2937</v>
      </c>
      <c r="C606" s="17" t="s">
        <v>2936</v>
      </c>
      <c r="D606" s="19" t="s">
        <v>38</v>
      </c>
      <c r="E606" s="19" t="s">
        <v>173</v>
      </c>
      <c r="F606" s="16" t="str">
        <f>VLOOKUP(E606,'[1]BẢNG MÃ'!$A$2:$B$69,2,0)</f>
        <v>TĐ005</v>
      </c>
      <c r="G606" s="20"/>
      <c r="H606" s="23" t="s">
        <v>161</v>
      </c>
      <c r="I606" s="16" t="s">
        <v>2927</v>
      </c>
      <c r="J606" s="16" t="str">
        <f>VLOOKUP(I606,'[1]BẢNG MÃ'!$C$2:$D$69,2,0)</f>
        <v>KP033</v>
      </c>
      <c r="K606" s="16"/>
      <c r="L606" s="16"/>
      <c r="M606" s="16" t="s">
        <v>136</v>
      </c>
      <c r="N606" s="21">
        <f ca="1">VLOOKUP(A606,'[1]Bieu 1a'!$A$8:$AW$855,10,0)</f>
        <v>32</v>
      </c>
      <c r="O606" s="22">
        <f>VLOOKUP(A606,'[1]Bieu 1a'!$A$8:$AW$855,8,0)</f>
        <v>0</v>
      </c>
      <c r="P606" s="22" t="str">
        <f>VLOOKUP(A606,'[1]Bieu 1a'!$A$8:$AW$855,9,0)</f>
        <v>01/9/1993</v>
      </c>
      <c r="Q606" s="23" t="s">
        <v>50</v>
      </c>
      <c r="R606" s="24" t="str">
        <f>VLOOKUP(A606,'[1]Bieu 1a'!$A$8:$AW$855,23,0)</f>
        <v>26/8/2019</v>
      </c>
      <c r="S606" s="25" t="s">
        <v>2938</v>
      </c>
      <c r="T606" s="26" t="s">
        <v>2939</v>
      </c>
      <c r="U606" s="16"/>
      <c r="V606" s="16" t="str">
        <f>IFERROR(VLOOKUP(A606,'[2]19.6.2026'!$A$9:$L$1111,5,0),"")</f>
        <v>004297/LS-CCHN</v>
      </c>
      <c r="W606" s="16" t="str">
        <f>IFERROR(VLOOKUP(A606,'[2]19.6.2026'!$A$9:$L$1111,6,0),"")</f>
        <v>20/07/2021</v>
      </c>
      <c r="X606" s="16"/>
      <c r="Y606" s="21" t="str">
        <f>IFERROR(VLOOKUP(A606,'[2]19.6.2026'!$A$9:$L$1111,7,0),"")</f>
        <v>Khám bệnh chữa bệnh Nội khoa</v>
      </c>
      <c r="Z606" s="16"/>
      <c r="AA606" s="27" t="str">
        <f>IFERROR(VLOOKUP(A606,'[3]DS UPLOAD 2026 (2)'!$A$2:$P$1111,16,0),"")</f>
        <v/>
      </c>
      <c r="AB606" s="41" t="s">
        <v>2940</v>
      </c>
      <c r="AC606" s="127" t="s">
        <v>2941</v>
      </c>
    </row>
    <row r="607" spans="1:29" ht="18" customHeight="1" x14ac:dyDescent="0.3">
      <c r="A607" s="17" t="s">
        <v>2942</v>
      </c>
      <c r="B607" s="36" t="s">
        <v>2943</v>
      </c>
      <c r="C607" s="17" t="s">
        <v>2942</v>
      </c>
      <c r="D607" s="19"/>
      <c r="E607" s="19" t="s">
        <v>173</v>
      </c>
      <c r="F607" s="16" t="str">
        <f>VLOOKUP(E607,'[1]BẢNG MÃ'!$A$2:$B$69,2,0)</f>
        <v>TĐ005</v>
      </c>
      <c r="G607" s="20" t="s">
        <v>161</v>
      </c>
      <c r="H607" s="20" t="s">
        <v>161</v>
      </c>
      <c r="I607" s="16" t="s">
        <v>2927</v>
      </c>
      <c r="J607" s="16" t="str">
        <f>VLOOKUP(I607,'[1]BẢNG MÃ'!$C$2:$D$69,2,0)</f>
        <v>KP033</v>
      </c>
      <c r="K607" s="16" t="s">
        <v>43</v>
      </c>
      <c r="L607" s="16">
        <v>0</v>
      </c>
      <c r="M607" s="16" t="s">
        <v>33</v>
      </c>
      <c r="N607" s="21">
        <f ca="1">VLOOKUP(A607,'[1]Bieu 1a'!$A$8:$AW$855,10,0)</f>
        <v>36</v>
      </c>
      <c r="O607" s="22" t="str">
        <f>VLOOKUP(A607,'[1]Bieu 1a'!$A$8:$AW$855,8,0)</f>
        <v>04/11/1989</v>
      </c>
      <c r="P607" s="22">
        <f>VLOOKUP(A607,'[1]Bieu 1a'!$A$8:$AW$855,9,0)</f>
        <v>0</v>
      </c>
      <c r="Q607" s="23" t="s">
        <v>50</v>
      </c>
      <c r="R607" s="24" t="str">
        <f>VLOOKUP(A607,'[1]Bieu 1a'!$A$8:$AW$855,23,0)</f>
        <v>20/3/2018</v>
      </c>
      <c r="S607" s="25" t="s">
        <v>2944</v>
      </c>
      <c r="T607" s="26" t="s">
        <v>2945</v>
      </c>
      <c r="U607" s="16"/>
      <c r="V607" s="16" t="str">
        <f>IFERROR(VLOOKUP(A607,'[2]19.6.2026'!$A$9:$L$1111,5,0),"")</f>
        <v>003574/LS-CCHN</v>
      </c>
      <c r="W607" s="16" t="str">
        <f>IFERROR(VLOOKUP(A607,'[2]19.6.2026'!$A$9:$L$1111,6,0),"")</f>
        <v>20/09/2019</v>
      </c>
      <c r="X607" s="16"/>
      <c r="Y607" s="21" t="str">
        <f>IFERROR(VLOOKUP(A607,'[2]19.6.2026'!$A$9:$L$1111,7,0),"")</f>
        <v>Khám bệnh, chữa bệnh Nội khoa</v>
      </c>
      <c r="Z607" s="16"/>
      <c r="AA607" s="27" t="str">
        <f>IFERROR(VLOOKUP(A607,'[3]DS UPLOAD 2026 (2)'!$A$2:$P$1111,16,0),"")</f>
        <v/>
      </c>
      <c r="AB607" s="27">
        <v>965399858</v>
      </c>
      <c r="AC607" s="28" t="s">
        <v>374</v>
      </c>
    </row>
    <row r="608" spans="1:29" ht="18" customHeight="1" x14ac:dyDescent="0.3">
      <c r="A608" s="17" t="s">
        <v>2946</v>
      </c>
      <c r="B608" s="18" t="s">
        <v>2947</v>
      </c>
      <c r="C608" s="17" t="s">
        <v>2946</v>
      </c>
      <c r="D608" s="19" t="s">
        <v>38</v>
      </c>
      <c r="E608" s="19" t="s">
        <v>41</v>
      </c>
      <c r="F608" s="16" t="str">
        <f>VLOOKUP(E608,'[1]BẢNG MÃ'!$A$2:$B$69,2,0)</f>
        <v>TĐ011</v>
      </c>
      <c r="G608" s="20" t="s">
        <v>42</v>
      </c>
      <c r="H608" s="20" t="s">
        <v>42</v>
      </c>
      <c r="I608" s="16" t="s">
        <v>2927</v>
      </c>
      <c r="J608" s="16" t="str">
        <f>VLOOKUP(I608,'[1]BẢNG MÃ'!$C$2:$D$69,2,0)</f>
        <v>KP033</v>
      </c>
      <c r="K608" s="16" t="s">
        <v>31</v>
      </c>
      <c r="L608" s="16" t="s">
        <v>201</v>
      </c>
      <c r="M608" s="16" t="s">
        <v>33</v>
      </c>
      <c r="N608" s="21">
        <f ca="1">VLOOKUP(A608,'[1]Bieu 1a'!$A$8:$AW$855,10,0)</f>
        <v>38</v>
      </c>
      <c r="O608" s="22">
        <f>VLOOKUP(A608,'[1]Bieu 1a'!$A$8:$AW$855,8,0)</f>
        <v>0</v>
      </c>
      <c r="P608" s="22">
        <f>VLOOKUP(A608,'[1]Bieu 1a'!$A$8:$AW$855,9,0)</f>
        <v>32194</v>
      </c>
      <c r="Q608" s="23" t="s">
        <v>50</v>
      </c>
      <c r="R608" s="24" t="str">
        <f>VLOOKUP(A608,'[1]Bieu 1a'!$A$8:$AW$855,23,0)</f>
        <v>15/1/2010</v>
      </c>
      <c r="S608" s="25" t="s">
        <v>2948</v>
      </c>
      <c r="T608" s="26" t="s">
        <v>2949</v>
      </c>
      <c r="U608" s="16"/>
      <c r="V608" s="16" t="str">
        <f>IFERROR(VLOOKUP(A608,'[2]19.6.2026'!$A$9:$L$1111,5,0),"")</f>
        <v>000750/LS-CCHN</v>
      </c>
      <c r="W608" s="16" t="str">
        <f>IFERROR(VLOOKUP(A608,'[2]19.6.2026'!$A$9:$L$1111,6,0),"")</f>
        <v>11/01/2023</v>
      </c>
      <c r="X608" s="16"/>
      <c r="Y608" s="21" t="str">
        <f>IFERROR(VLOOKUP(A608,'[2]19.6.2026'!$A$9:$L$1111,7,0),"")</f>
        <v>Thực hiện phạm vi hoạt động chuyên môn theo Thông tư số 26/2015/TTLT-BYT-BNV ngày 07/10/2015 quy định  mã số, tiêu chuẩn chức danh nghề nghiệp, điều dưỡng, hộ sinh, kỹ thuật y</v>
      </c>
      <c r="Z608" s="16"/>
      <c r="AA608" s="27" t="str">
        <f>IFERROR(VLOOKUP(A608,'[3]DS UPLOAD 2026 (2)'!$A$2:$P$1111,16,0),"")</f>
        <v/>
      </c>
      <c r="AB608" s="27" t="s">
        <v>2950</v>
      </c>
      <c r="AC608" s="51"/>
    </row>
    <row r="609" spans="1:29" ht="18" customHeight="1" x14ac:dyDescent="0.3">
      <c r="A609" s="17" t="s">
        <v>2951</v>
      </c>
      <c r="B609" s="18" t="s">
        <v>1777</v>
      </c>
      <c r="C609" s="17" t="s">
        <v>2951</v>
      </c>
      <c r="D609" s="19" t="s">
        <v>38</v>
      </c>
      <c r="E609" s="19" t="s">
        <v>41</v>
      </c>
      <c r="F609" s="16" t="str">
        <f>VLOOKUP(E609,'[1]BẢNG MÃ'!$A$2:$B$69,2,0)</f>
        <v>TĐ011</v>
      </c>
      <c r="G609" s="20" t="s">
        <v>42</v>
      </c>
      <c r="H609" s="20" t="s">
        <v>42</v>
      </c>
      <c r="I609" s="16" t="s">
        <v>2927</v>
      </c>
      <c r="J609" s="16" t="str">
        <f>VLOOKUP(I609,'[1]BẢNG MÃ'!$C$2:$D$69,2,0)</f>
        <v>KP033</v>
      </c>
      <c r="K609" s="16" t="s">
        <v>43</v>
      </c>
      <c r="L609" s="16">
        <v>0</v>
      </c>
      <c r="M609" s="16" t="s">
        <v>33</v>
      </c>
      <c r="N609" s="21">
        <f ca="1">VLOOKUP(A609,'[1]Bieu 1a'!$A$8:$AW$855,10,0)</f>
        <v>52</v>
      </c>
      <c r="O609" s="22">
        <f>VLOOKUP(A609,'[1]Bieu 1a'!$A$8:$AW$855,8,0)</f>
        <v>0</v>
      </c>
      <c r="P609" s="22">
        <f>VLOOKUP(A609,'[1]Bieu 1a'!$A$8:$AW$855,9,0)</f>
        <v>26969</v>
      </c>
      <c r="Q609" s="23" t="s">
        <v>50</v>
      </c>
      <c r="R609" s="24" t="str">
        <f>VLOOKUP(A609,'[1]Bieu 1a'!$A$8:$AW$855,23,0)</f>
        <v>19/10/1994</v>
      </c>
      <c r="S609" s="25" t="s">
        <v>2952</v>
      </c>
      <c r="T609" s="26" t="s">
        <v>2953</v>
      </c>
      <c r="U609" s="16"/>
      <c r="V609" s="16" t="str">
        <f>IFERROR(VLOOKUP(A609,'[2]19.6.2026'!$A$9:$L$1111,5,0),"")</f>
        <v>001092/LS-CCHN</v>
      </c>
      <c r="W609" s="16" t="str">
        <f>IFERROR(VLOOKUP(A609,'[2]19.6.2026'!$A$9:$L$1111,6,0),"")</f>
        <v>24/06/2013</v>
      </c>
      <c r="X609" s="16"/>
      <c r="Y609" s="21" t="str">
        <f>IFERROR(VLOOKUP(A609,'[2]19.6.2026'!$A$9:$L$1111,7,0),"")</f>
        <v>Theo quy định tại Quyết định số 41/2005/QĐ-BNV ngày 22/4/2005 của Bộ trưởng Bộ Nội vụ về việc ban hành tiêu chuẩn nghiệp vụ các ngạch viên chức y tế điều dưỡng</v>
      </c>
      <c r="Z609" s="16"/>
      <c r="AA609" s="27" t="str">
        <f>IFERROR(VLOOKUP(A609,'[3]DS UPLOAD 2026 (2)'!$A$2:$P$1111,16,0),"")</f>
        <v/>
      </c>
      <c r="AB609" s="27" t="s">
        <v>2954</v>
      </c>
      <c r="AC609" s="51"/>
    </row>
    <row r="610" spans="1:29" ht="18" customHeight="1" x14ac:dyDescent="0.3">
      <c r="A610" s="17" t="s">
        <v>2955</v>
      </c>
      <c r="B610" s="18" t="s">
        <v>2956</v>
      </c>
      <c r="C610" s="17" t="s">
        <v>2955</v>
      </c>
      <c r="D610" s="19"/>
      <c r="E610" s="19" t="s">
        <v>61</v>
      </c>
      <c r="F610" s="16" t="str">
        <f>VLOOKUP(E610,'[1]BẢNG MÃ'!$A$2:$B$69,2,0)</f>
        <v>TĐ012</v>
      </c>
      <c r="G610" s="20" t="s">
        <v>62</v>
      </c>
      <c r="H610" s="20" t="s">
        <v>62</v>
      </c>
      <c r="I610" s="16" t="s">
        <v>2927</v>
      </c>
      <c r="J610" s="16" t="str">
        <f>VLOOKUP(I610,'[1]BẢNG MÃ'!$C$2:$D$69,2,0)</f>
        <v>KP033</v>
      </c>
      <c r="K610" s="16" t="s">
        <v>43</v>
      </c>
      <c r="L610" s="16">
        <v>0</v>
      </c>
      <c r="M610" s="16" t="s">
        <v>33</v>
      </c>
      <c r="N610" s="21">
        <f ca="1">VLOOKUP(A610,'[1]Bieu 1a'!$A$8:$AW$855,10,0)</f>
        <v>41</v>
      </c>
      <c r="O610" s="22">
        <f>VLOOKUP(A610,'[1]Bieu 1a'!$A$8:$AW$855,8,0)</f>
        <v>31188</v>
      </c>
      <c r="P610" s="22">
        <f>VLOOKUP(A610,'[1]Bieu 1a'!$A$8:$AW$855,9,0)</f>
        <v>0</v>
      </c>
      <c r="Q610" s="23" t="s">
        <v>44</v>
      </c>
      <c r="R610" s="24" t="str">
        <f>VLOOKUP(A610,'[1]Bieu 1a'!$A$8:$AW$855,23,0)</f>
        <v>14/1/2011</v>
      </c>
      <c r="S610" s="25" t="s">
        <v>2957</v>
      </c>
      <c r="T610" s="26" t="s">
        <v>2958</v>
      </c>
      <c r="U610" s="16"/>
      <c r="V610" s="16" t="str">
        <f>IFERROR(VLOOKUP(A610,'[2]19.6.2026'!$A$9:$L$1111,5,0),"")</f>
        <v>000949/LS-CCHN</v>
      </c>
      <c r="W610" s="16" t="str">
        <f>IFERROR(VLOOKUP(A610,'[2]19.6.2026'!$A$9:$L$1111,6,0),"")</f>
        <v>11/01/2023</v>
      </c>
      <c r="X610" s="16"/>
      <c r="Y610" s="21" t="str">
        <f>IFERROR(VLOOKUP(A610,'[2]19.6.2026'!$A$9:$L$1111,7,0),"")</f>
        <v>Thực hiện phạm vi hoạt động chuyên môn theo Thông tư số 26/2015/TTLT-BYT-BNV ngày 07/10/2015 quy định  mã số, tiêu chuẩn chức danh nghề nghiệp, điều dưỡng, hộ sinh, kỹ thuật y</v>
      </c>
      <c r="Z610" s="16"/>
      <c r="AA610" s="27" t="str">
        <f>IFERROR(VLOOKUP(A610,'[3]DS UPLOAD 2026 (2)'!$A$2:$P$1111,16,0),"")</f>
        <v/>
      </c>
      <c r="AB610" s="27">
        <v>987812889</v>
      </c>
      <c r="AC610" s="28"/>
    </row>
    <row r="611" spans="1:29" ht="18" customHeight="1" x14ac:dyDescent="0.3">
      <c r="A611" s="17" t="s">
        <v>2959</v>
      </c>
      <c r="B611" s="18" t="s">
        <v>2960</v>
      </c>
      <c r="C611" s="17" t="s">
        <v>2959</v>
      </c>
      <c r="D611" s="19" t="s">
        <v>38</v>
      </c>
      <c r="E611" s="19" t="s">
        <v>61</v>
      </c>
      <c r="F611" s="16" t="str">
        <f>VLOOKUP(E611,'[1]BẢNG MÃ'!$A$2:$B$69,2,0)</f>
        <v>TĐ012</v>
      </c>
      <c r="G611" s="20" t="s">
        <v>62</v>
      </c>
      <c r="H611" s="20" t="s">
        <v>62</v>
      </c>
      <c r="I611" s="16" t="s">
        <v>2927</v>
      </c>
      <c r="J611" s="16" t="str">
        <f>VLOOKUP(I611,'[1]BẢNG MÃ'!$C$2:$D$69,2,0)</f>
        <v>KP033</v>
      </c>
      <c r="K611" s="16" t="s">
        <v>43</v>
      </c>
      <c r="L611" s="16">
        <v>0</v>
      </c>
      <c r="M611" s="16" t="s">
        <v>33</v>
      </c>
      <c r="N611" s="21">
        <f ca="1">VLOOKUP(A611,'[1]Bieu 1a'!$A$8:$AW$855,10,0)</f>
        <v>52</v>
      </c>
      <c r="O611" s="22">
        <f>VLOOKUP(A611,'[1]Bieu 1a'!$A$8:$AW$855,8,0)</f>
        <v>0</v>
      </c>
      <c r="P611" s="22">
        <f>VLOOKUP(A611,'[1]Bieu 1a'!$A$8:$AW$855,9,0)</f>
        <v>27208</v>
      </c>
      <c r="Q611" s="23" t="s">
        <v>50</v>
      </c>
      <c r="R611" s="24" t="str">
        <f>VLOOKUP(A611,'[1]Bieu 1a'!$A$8:$AW$855,23,0)</f>
        <v>1/11/1994</v>
      </c>
      <c r="S611" s="25" t="s">
        <v>2961</v>
      </c>
      <c r="T611" s="26" t="s">
        <v>2962</v>
      </c>
      <c r="U611" s="16"/>
      <c r="V611" s="16" t="str">
        <f>IFERROR(VLOOKUP(A611,'[2]19.6.2026'!$A$9:$L$1111,5,0),"")</f>
        <v>000824/LS-CCHN</v>
      </c>
      <c r="W611" s="16" t="str">
        <f>IFERROR(VLOOKUP(A611,'[2]19.6.2026'!$A$9:$L$1111,6,0),"")</f>
        <v>24/06/2013</v>
      </c>
      <c r="X611" s="16"/>
      <c r="Y611" s="21" t="str">
        <f>IFERROR(VLOOKUP(A611,'[2]19.6.2026'!$A$9:$L$1111,7,0),"")</f>
        <v>Theo quy định tại Quyết định số 41/2005/QĐ-BNV ngày 22/4/2005 của Bộ trưởng Bộ Nội vụ về việc ban hành tiêu chuẩn nghiệp vụ các ngạch viên chức y tế điều dưỡng</v>
      </c>
      <c r="Z611" s="16"/>
      <c r="AA611" s="27" t="str">
        <f>IFERROR(VLOOKUP(A611,'[3]DS UPLOAD 2026 (2)'!$A$2:$P$1111,16,0),"")</f>
        <v/>
      </c>
      <c r="AB611" s="27" t="s">
        <v>2963</v>
      </c>
      <c r="AC611" s="28"/>
    </row>
    <row r="612" spans="1:29" ht="18" customHeight="1" x14ac:dyDescent="0.3">
      <c r="A612" s="17" t="s">
        <v>2964</v>
      </c>
      <c r="B612" s="18" t="s">
        <v>2965</v>
      </c>
      <c r="C612" s="17" t="s">
        <v>2964</v>
      </c>
      <c r="D612" s="19" t="s">
        <v>38</v>
      </c>
      <c r="E612" s="19" t="s">
        <v>61</v>
      </c>
      <c r="F612" s="16" t="str">
        <f>VLOOKUP(E612,'[1]BẢNG MÃ'!$A$2:$B$69,2,0)</f>
        <v>TĐ012</v>
      </c>
      <c r="G612" s="20" t="s">
        <v>62</v>
      </c>
      <c r="H612" s="20" t="s">
        <v>62</v>
      </c>
      <c r="I612" s="16" t="s">
        <v>2927</v>
      </c>
      <c r="J612" s="16" t="str">
        <f>VLOOKUP(I612,'[1]BẢNG MÃ'!$C$2:$D$69,2,0)</f>
        <v>KP033</v>
      </c>
      <c r="K612" s="16" t="s">
        <v>43</v>
      </c>
      <c r="L612" s="16">
        <v>0</v>
      </c>
      <c r="M612" s="16" t="s">
        <v>33</v>
      </c>
      <c r="N612" s="21">
        <f ca="1">VLOOKUP(A612,'[1]Bieu 1a'!$A$8:$AW$855,10,0)</f>
        <v>42</v>
      </c>
      <c r="O612" s="22">
        <f>VLOOKUP(A612,'[1]Bieu 1a'!$A$8:$AW$855,8,0)</f>
        <v>0</v>
      </c>
      <c r="P612" s="22">
        <f>VLOOKUP(A612,'[1]Bieu 1a'!$A$8:$AW$855,9,0)</f>
        <v>30522</v>
      </c>
      <c r="Q612" s="23" t="s">
        <v>50</v>
      </c>
      <c r="R612" s="24" t="str">
        <f>VLOOKUP(A612,'[1]Bieu 1a'!$A$8:$AW$855,23,0)</f>
        <v>8/12/2008</v>
      </c>
      <c r="S612" s="25" t="s">
        <v>2966</v>
      </c>
      <c r="T612" s="26" t="s">
        <v>2967</v>
      </c>
      <c r="U612" s="16"/>
      <c r="V612" s="16" t="str">
        <f>IFERROR(VLOOKUP(A612,'[2]19.6.2026'!$A$9:$L$1111,5,0),"")</f>
        <v>001095/LS-CCHN</v>
      </c>
      <c r="W612" s="16" t="str">
        <f>IFERROR(VLOOKUP(A612,'[2]19.6.2026'!$A$9:$L$1111,6,0),"")</f>
        <v>11/01/2023</v>
      </c>
      <c r="X612" s="16"/>
      <c r="Y612" s="21" t="str">
        <f>IFERROR(VLOOKUP(A612,'[2]19.6.2026'!$A$9:$L$1111,7,0),"")</f>
        <v>Thực hiện phạm vi hoạt động chuyên môn theo Thông tư số 26/2015/TTLT-BYT-BNV ngày 07/10/2015 quy định  mã số, tiêu chuẩn chức danh nghề nghiệp, điều dưỡng, hộ sinh, kỹ thuật y</v>
      </c>
      <c r="Z612" s="16"/>
      <c r="AA612" s="27" t="str">
        <f>IFERROR(VLOOKUP(A612,'[3]DS UPLOAD 2026 (2)'!$A$2:$P$1111,16,0),"")</f>
        <v/>
      </c>
      <c r="AB612" s="27" t="s">
        <v>2968</v>
      </c>
      <c r="AC612" s="28"/>
    </row>
    <row r="613" spans="1:29" ht="18" customHeight="1" x14ac:dyDescent="0.3">
      <c r="A613" s="17" t="s">
        <v>2969</v>
      </c>
      <c r="B613" s="18" t="s">
        <v>2970</v>
      </c>
      <c r="C613" s="17" t="s">
        <v>2969</v>
      </c>
      <c r="D613" s="19" t="s">
        <v>38</v>
      </c>
      <c r="E613" s="19" t="s">
        <v>61</v>
      </c>
      <c r="F613" s="16" t="str">
        <f>VLOOKUP(E613,'[1]BẢNG MÃ'!$A$2:$B$69,2,0)</f>
        <v>TĐ012</v>
      </c>
      <c r="G613" s="20" t="s">
        <v>62</v>
      </c>
      <c r="H613" s="20" t="s">
        <v>62</v>
      </c>
      <c r="I613" s="16" t="s">
        <v>2927</v>
      </c>
      <c r="J613" s="16" t="str">
        <f>VLOOKUP(I613,'[1]BẢNG MÃ'!$C$2:$D$69,2,0)</f>
        <v>KP033</v>
      </c>
      <c r="K613" s="16" t="s">
        <v>43</v>
      </c>
      <c r="L613" s="16">
        <v>0</v>
      </c>
      <c r="M613" s="16" t="s">
        <v>33</v>
      </c>
      <c r="N613" s="21">
        <f ca="1">VLOOKUP(A613,'[1]Bieu 1a'!$A$8:$AW$855,10,0)</f>
        <v>51</v>
      </c>
      <c r="O613" s="22">
        <f>VLOOKUP(A613,'[1]Bieu 1a'!$A$8:$AW$855,8,0)</f>
        <v>0</v>
      </c>
      <c r="P613" s="22">
        <f>VLOOKUP(A613,'[1]Bieu 1a'!$A$8:$AW$855,9,0)</f>
        <v>27342</v>
      </c>
      <c r="Q613" s="23" t="s">
        <v>50</v>
      </c>
      <c r="R613" s="24" t="str">
        <f>VLOOKUP(A613,'[1]Bieu 1a'!$A$8:$AW$855,23,0)</f>
        <v>1/11/1994</v>
      </c>
      <c r="S613" s="25" t="s">
        <v>2971</v>
      </c>
      <c r="T613" s="26" t="s">
        <v>2972</v>
      </c>
      <c r="U613" s="16"/>
      <c r="V613" s="16" t="str">
        <f>IFERROR(VLOOKUP(A613,'[2]19.6.2026'!$A$9:$L$1111,5,0),"")</f>
        <v>001091/LS-CCHN</v>
      </c>
      <c r="W613" s="16" t="str">
        <f>IFERROR(VLOOKUP(A613,'[2]19.6.2026'!$A$9:$L$1111,6,0),"")</f>
        <v>11/01/2023</v>
      </c>
      <c r="X613" s="16"/>
      <c r="Y613" s="21" t="str">
        <f>IFERROR(VLOOKUP(A613,'[2]19.6.2026'!$A$9:$L$1111,7,0),"")</f>
        <v>Thực hiện phạm vi hoạt động chuyên môn theo Thông tư số 26/2015/TTLT-BYT-BNV ngày 07/10/2015 quy định  mã số, tiêu chuẩn chức danh nghề nghiệp, điều dưỡng, hộ sinh, kỹ thuật y</v>
      </c>
      <c r="Z613" s="16"/>
      <c r="AA613" s="27" t="str">
        <f>IFERROR(VLOOKUP(A613,'[3]DS UPLOAD 2026 (2)'!$A$2:$P$1111,16,0),"")</f>
        <v/>
      </c>
      <c r="AB613" s="27" t="s">
        <v>2973</v>
      </c>
      <c r="AC613" s="28"/>
    </row>
    <row r="614" spans="1:29" ht="18" customHeight="1" x14ac:dyDescent="0.3">
      <c r="A614" s="17" t="s">
        <v>2974</v>
      </c>
      <c r="B614" s="18" t="s">
        <v>2975</v>
      </c>
      <c r="C614" s="17" t="s">
        <v>2974</v>
      </c>
      <c r="D614" s="19" t="s">
        <v>38</v>
      </c>
      <c r="E614" s="19" t="s">
        <v>61</v>
      </c>
      <c r="F614" s="16" t="str">
        <f>VLOOKUP(E614,'[1]BẢNG MÃ'!$A$2:$B$69,2,0)</f>
        <v>TĐ012</v>
      </c>
      <c r="G614" s="20" t="s">
        <v>62</v>
      </c>
      <c r="H614" s="20" t="s">
        <v>62</v>
      </c>
      <c r="I614" s="16" t="s">
        <v>2927</v>
      </c>
      <c r="J614" s="16" t="str">
        <f>VLOOKUP(I614,'[1]BẢNG MÃ'!$C$2:$D$69,2,0)</f>
        <v>KP033</v>
      </c>
      <c r="K614" s="16" t="s">
        <v>43</v>
      </c>
      <c r="L614" s="16">
        <v>0</v>
      </c>
      <c r="M614" s="16" t="s">
        <v>33</v>
      </c>
      <c r="N614" s="21">
        <f ca="1">VLOOKUP(A614,'[1]Bieu 1a'!$A$8:$AW$855,10,0)</f>
        <v>54</v>
      </c>
      <c r="O614" s="22">
        <f>VLOOKUP(A614,'[1]Bieu 1a'!$A$8:$AW$855,8,0)</f>
        <v>0</v>
      </c>
      <c r="P614" s="22">
        <f>VLOOKUP(A614,'[1]Bieu 1a'!$A$8:$AW$855,9,0)</f>
        <v>26345</v>
      </c>
      <c r="Q614" s="23" t="s">
        <v>44</v>
      </c>
      <c r="R614" s="24" t="str">
        <f>VLOOKUP(A614,'[1]Bieu 1a'!$A$8:$AW$855,23,0)</f>
        <v>11/10/1995</v>
      </c>
      <c r="S614" s="25" t="s">
        <v>2976</v>
      </c>
      <c r="T614" s="26" t="s">
        <v>2977</v>
      </c>
      <c r="U614" s="16"/>
      <c r="V614" s="16" t="str">
        <f>IFERROR(VLOOKUP(A614,'[2]19.6.2026'!$A$9:$L$1111,5,0),"")</f>
        <v>001093/LS-CCHN</v>
      </c>
      <c r="W614" s="16" t="str">
        <f>IFERROR(VLOOKUP(A614,'[2]19.6.2026'!$A$9:$L$1111,6,0),"")</f>
        <v>11/01/2023</v>
      </c>
      <c r="X614" s="16"/>
      <c r="Y614" s="21" t="str">
        <f>IFERROR(VLOOKUP(A614,'[2]19.6.2026'!$A$9:$L$1111,7,0),"")</f>
        <v>Thực hiện phạm vi hoạt động chuyên môn theo Thông tư số 26/2015/TTLT-BYT-BNV ngày 07/10/2015 quy định  mã số, tiêu chuẩn chức danh nghề nghiệp, điều dưỡng, hộ sinh, kỹ thuật y</v>
      </c>
      <c r="Z614" s="16"/>
      <c r="AA614" s="27" t="str">
        <f>IFERROR(VLOOKUP(A614,'[3]DS UPLOAD 2026 (2)'!$A$2:$P$1111,16,0),"")</f>
        <v/>
      </c>
      <c r="AB614" s="27" t="s">
        <v>2978</v>
      </c>
      <c r="AC614" s="28"/>
    </row>
    <row r="615" spans="1:29" ht="18" customHeight="1" x14ac:dyDescent="0.3">
      <c r="A615" s="17" t="s">
        <v>2979</v>
      </c>
      <c r="B615" s="38" t="s">
        <v>2980</v>
      </c>
      <c r="C615" s="17" t="s">
        <v>2979</v>
      </c>
      <c r="D615" s="19" t="s">
        <v>38</v>
      </c>
      <c r="E615" s="19" t="s">
        <v>61</v>
      </c>
      <c r="F615" s="16" t="str">
        <f>VLOOKUP(E615,'[1]BẢNG MÃ'!$A$2:$B$69,2,0)</f>
        <v>TĐ012</v>
      </c>
      <c r="G615" s="38"/>
      <c r="H615" s="20" t="s">
        <v>62</v>
      </c>
      <c r="I615" s="16" t="s">
        <v>2927</v>
      </c>
      <c r="J615" s="16" t="str">
        <f>VLOOKUP(I615,'[1]BẢNG MÃ'!$C$2:$D$69,2,0)</f>
        <v>KP033</v>
      </c>
      <c r="K615" s="16"/>
      <c r="L615" s="16"/>
      <c r="M615" s="16" t="s">
        <v>33</v>
      </c>
      <c r="N615" s="21">
        <f ca="1">VLOOKUP(A615,'[1]Bieu 1a'!$A$8:$AW$855,10,0)</f>
        <v>33</v>
      </c>
      <c r="O615" s="22">
        <f>VLOOKUP(A615,'[1]Bieu 1a'!$A$8:$AW$855,8,0)</f>
        <v>0</v>
      </c>
      <c r="P615" s="22" t="str">
        <f>VLOOKUP(A615,'[1]Bieu 1a'!$A$8:$AW$855,9,0)</f>
        <v>12/03/1993</v>
      </c>
      <c r="Q615" s="23" t="s">
        <v>50</v>
      </c>
      <c r="R615" s="24" t="str">
        <f>VLOOKUP(A615,'[1]Bieu 1a'!$A$8:$AW$855,23,0)</f>
        <v>17/4/2019</v>
      </c>
      <c r="S615" s="25" t="s">
        <v>2981</v>
      </c>
      <c r="T615" s="26" t="s">
        <v>2939</v>
      </c>
      <c r="U615" s="16"/>
      <c r="V615" s="16" t="str">
        <f>IFERROR(VLOOKUP(A615,'[2]19.6.2026'!$A$9:$L$1111,5,0),"")</f>
        <v>003723/LS-CCHN</v>
      </c>
      <c r="W615" s="16" t="str">
        <f>IFERROR(VLOOKUP(A615,'[2]19.6.2026'!$A$9:$L$1111,6,0),"")</f>
        <v>22/05/2020</v>
      </c>
      <c r="X615" s="16"/>
      <c r="Y615" s="21" t="str">
        <f>IFERROR(VLOOKUP(A615,'[2]19.6.2026'!$A$9:$L$1111,7,0),"")</f>
        <v>Thực hiện phạm vi hoạt động chuyên môn theo quy định tại Thông tư số 26/2015/TTLT-BYT-BNV ngày 07/10/2015 quy định mã số, tiêu chuẩn chức danh nghề nghiệp điều dưỡng, hộ sinh, kỹ thuật y</v>
      </c>
      <c r="Z615" s="16"/>
      <c r="AA615" s="27" t="str">
        <f>IFERROR(VLOOKUP(A615,'[3]DS UPLOAD 2026 (2)'!$A$2:$P$1111,16,0),"")</f>
        <v/>
      </c>
      <c r="AB615" s="27">
        <v>972247976</v>
      </c>
      <c r="AC615" s="29" t="s">
        <v>2982</v>
      </c>
    </row>
    <row r="616" spans="1:29" ht="18" customHeight="1" x14ac:dyDescent="0.3">
      <c r="A616" s="17" t="s">
        <v>2983</v>
      </c>
      <c r="B616" s="18" t="s">
        <v>2984</v>
      </c>
      <c r="C616" s="17" t="s">
        <v>2983</v>
      </c>
      <c r="D616" s="19"/>
      <c r="E616" s="19" t="s">
        <v>61</v>
      </c>
      <c r="F616" s="16" t="str">
        <f>VLOOKUP(E616,'[1]BẢNG MÃ'!$A$2:$B$69,2,0)</f>
        <v>TĐ012</v>
      </c>
      <c r="G616" s="20" t="s">
        <v>62</v>
      </c>
      <c r="H616" s="20" t="s">
        <v>62</v>
      </c>
      <c r="I616" s="16" t="s">
        <v>2927</v>
      </c>
      <c r="J616" s="16" t="str">
        <f>VLOOKUP(I616,'[1]BẢNG MÃ'!$C$2:$D$69,2,0)</f>
        <v>KP033</v>
      </c>
      <c r="K616" s="16" t="s">
        <v>43</v>
      </c>
      <c r="L616" s="16">
        <v>0</v>
      </c>
      <c r="M616" s="16" t="s">
        <v>33</v>
      </c>
      <c r="N616" s="21">
        <f ca="1">VLOOKUP(A616,'[1]Bieu 1a'!$A$8:$AW$855,10,0)</f>
        <v>45</v>
      </c>
      <c r="O616" s="22">
        <f>VLOOKUP(A616,'[1]Bieu 1a'!$A$8:$AW$855,8,0)</f>
        <v>29587</v>
      </c>
      <c r="P616" s="22">
        <f>VLOOKUP(A616,'[1]Bieu 1a'!$A$8:$AW$855,9,0)</f>
        <v>0</v>
      </c>
      <c r="Q616" s="23" t="s">
        <v>44</v>
      </c>
      <c r="R616" s="24" t="str">
        <f>VLOOKUP(A616,'[1]Bieu 1a'!$A$8:$AW$855,23,0)</f>
        <v>17/11/2003</v>
      </c>
      <c r="S616" s="25" t="s">
        <v>2985</v>
      </c>
      <c r="T616" s="26" t="s">
        <v>2986</v>
      </c>
      <c r="U616" s="16"/>
      <c r="V616" s="16" t="str">
        <f>IFERROR(VLOOKUP(A616,'[2]19.6.2026'!$A$9:$L$1111,5,0),"")</f>
        <v>000775/LS-CCHN</v>
      </c>
      <c r="W616" s="16" t="str">
        <f>IFERROR(VLOOKUP(A616,'[2]19.6.2026'!$A$9:$L$1111,6,0),"")</f>
        <v>11/01/2023</v>
      </c>
      <c r="X616" s="16"/>
      <c r="Y616" s="21" t="str">
        <f>IFERROR(VLOOKUP(A616,'[2]19.6.2026'!$A$9:$L$1111,7,0),"")</f>
        <v>Thực hiện phạm vi hoạt động chuyên môn theo Thông tư số 26/2015/TTLT-BYT-BNV ngày 07/10/2015 quy định  mã số, tiêu chuẩn chức danh nghề nghiệp, điều dưỡng, hộ sinh, kỹ thuật y</v>
      </c>
      <c r="Z616" s="16"/>
      <c r="AA616" s="27" t="str">
        <f>IFERROR(VLOOKUP(A616,'[3]DS UPLOAD 2026 (2)'!$A$2:$P$1111,16,0),"")</f>
        <v/>
      </c>
      <c r="AB616" s="27" t="s">
        <v>2987</v>
      </c>
      <c r="AC616" s="28"/>
    </row>
    <row r="617" spans="1:29" ht="18" customHeight="1" x14ac:dyDescent="0.3">
      <c r="A617" s="17" t="s">
        <v>2988</v>
      </c>
      <c r="B617" s="29" t="s">
        <v>2989</v>
      </c>
      <c r="C617" s="17" t="s">
        <v>2988</v>
      </c>
      <c r="D617" s="19" t="s">
        <v>38</v>
      </c>
      <c r="E617" s="19" t="s">
        <v>61</v>
      </c>
      <c r="F617" s="16" t="str">
        <f>VLOOKUP(E617,'[1]BẢNG MÃ'!$A$2:$B$69,2,0)</f>
        <v>TĐ012</v>
      </c>
      <c r="G617" s="20" t="s">
        <v>62</v>
      </c>
      <c r="H617" s="20" t="s">
        <v>62</v>
      </c>
      <c r="I617" s="16" t="s">
        <v>2927</v>
      </c>
      <c r="J617" s="16" t="str">
        <f>VLOOKUP(I617,'[1]BẢNG MÃ'!$C$2:$D$69,2,0)</f>
        <v>KP033</v>
      </c>
      <c r="K617" s="16" t="s">
        <v>43</v>
      </c>
      <c r="L617" s="16">
        <v>0</v>
      </c>
      <c r="M617" s="16" t="s">
        <v>33</v>
      </c>
      <c r="N617" s="21">
        <f ca="1">VLOOKUP(A617,'[1]Bieu 1a'!$A$8:$AW$855,10,0)</f>
        <v>39</v>
      </c>
      <c r="O617" s="22">
        <f>VLOOKUP(A617,'[1]Bieu 1a'!$A$8:$AW$855,8,0)</f>
        <v>0</v>
      </c>
      <c r="P617" s="22">
        <f>VLOOKUP(A617,'[1]Bieu 1a'!$A$8:$AW$855,9,0)</f>
        <v>31855</v>
      </c>
      <c r="Q617" s="23" t="s">
        <v>50</v>
      </c>
      <c r="R617" s="24" t="str">
        <f>VLOOKUP(A617,'[1]Bieu 1a'!$A$8:$AW$855,23,0)</f>
        <v>15/1/2010</v>
      </c>
      <c r="S617" s="25" t="s">
        <v>2990</v>
      </c>
      <c r="T617" s="26" t="s">
        <v>2991</v>
      </c>
      <c r="U617" s="16"/>
      <c r="V617" s="16" t="str">
        <f>IFERROR(VLOOKUP(A617,'[2]19.6.2026'!$A$9:$L$1111,5,0),"")</f>
        <v>000787/LS-CCHN</v>
      </c>
      <c r="W617" s="16" t="str">
        <f>IFERROR(VLOOKUP(A617,'[2]19.6.2026'!$A$9:$L$1111,6,0),"")</f>
        <v>11/01/2023</v>
      </c>
      <c r="X617" s="16"/>
      <c r="Y617" s="21" t="str">
        <f>IFERROR(VLOOKUP(A617,'[2]19.6.2026'!$A$9:$L$1111,7,0),"")</f>
        <v>Thực hiện phạm vi hoạt động chuyên môn theo Thông tư số 26/2015/TTLT-BYT-BNV ngày 07/10/2015 quy định  mã số, tiêu chuẩn chức danh nghề nghiệp, điều dưỡng, hộ sinh, kỹ thuật y</v>
      </c>
      <c r="Z617" s="16"/>
      <c r="AA617" s="27" t="str">
        <f>IFERROR(VLOOKUP(A617,'[3]DS UPLOAD 2026 (2)'!$A$2:$P$1111,16,0),"")</f>
        <v/>
      </c>
      <c r="AB617" s="27">
        <v>917325388</v>
      </c>
      <c r="AC617" s="28"/>
    </row>
    <row r="618" spans="1:29" ht="18" customHeight="1" x14ac:dyDescent="0.3">
      <c r="A618" s="17" t="s">
        <v>2992</v>
      </c>
      <c r="B618" s="18" t="s">
        <v>2993</v>
      </c>
      <c r="C618" s="17" t="s">
        <v>2992</v>
      </c>
      <c r="D618" s="19" t="s">
        <v>38</v>
      </c>
      <c r="E618" s="19" t="s">
        <v>128</v>
      </c>
      <c r="F618" s="16" t="str">
        <f>VLOOKUP(E618,'[1]BẢNG MÃ'!$A$2:$B$69,2,0)</f>
        <v>TĐ047</v>
      </c>
      <c r="G618" s="20"/>
      <c r="H618" s="19" t="s">
        <v>128</v>
      </c>
      <c r="I618" s="16" t="s">
        <v>2927</v>
      </c>
      <c r="J618" s="16" t="str">
        <f>VLOOKUP(I618,'[1]BẢNG MÃ'!$C$2:$D$69,2,0)</f>
        <v>KP033</v>
      </c>
      <c r="K618" s="16"/>
      <c r="L618" s="16">
        <v>0</v>
      </c>
      <c r="M618" s="16" t="s">
        <v>129</v>
      </c>
      <c r="N618" s="21">
        <f ca="1">VLOOKUP(A618,'[1]Bieu 1a'!$A$8:$AW$855,10,0)</f>
        <v>54</v>
      </c>
      <c r="O618" s="22">
        <f>VLOOKUP(A618,'[1]Bieu 1a'!$A$8:$AW$855,8,0)</f>
        <v>0</v>
      </c>
      <c r="P618" s="22">
        <f>VLOOKUP(A618,'[1]Bieu 1a'!$A$8:$AW$855,9,0)</f>
        <v>26331</v>
      </c>
      <c r="Q618" s="23" t="s">
        <v>50</v>
      </c>
      <c r="R618" s="24" t="str">
        <f>VLOOKUP(A618,'[1]Bieu 1a'!$A$8:$AW$855,23,0)</f>
        <v>10/5/1999</v>
      </c>
      <c r="S618" s="25" t="s">
        <v>2994</v>
      </c>
      <c r="T618" s="26" t="s">
        <v>2995</v>
      </c>
      <c r="U618" s="16"/>
      <c r="V618" s="16" t="str">
        <f>IFERROR(VLOOKUP(A618,'[2]19.6.2026'!$A$9:$L$1111,5,0),"")</f>
        <v/>
      </c>
      <c r="W618" s="16" t="str">
        <f>IFERROR(VLOOKUP(A618,'[2]19.6.2026'!$A$9:$L$1111,6,0),"")</f>
        <v/>
      </c>
      <c r="X618" s="16"/>
      <c r="Y618" s="21" t="str">
        <f>IFERROR(VLOOKUP(A618,'[2]19.6.2026'!$A$9:$L$1111,7,0),"")</f>
        <v/>
      </c>
      <c r="Z618" s="16"/>
      <c r="AA618" s="27" t="str">
        <f>IFERROR(VLOOKUP(A618,'[3]DS UPLOAD 2026 (2)'!$A$2:$P$1111,16,0),"")</f>
        <v/>
      </c>
      <c r="AB618" s="27" t="s">
        <v>2996</v>
      </c>
      <c r="AC618" s="28" t="s">
        <v>133</v>
      </c>
    </row>
    <row r="619" spans="1:29" ht="18" customHeight="1" x14ac:dyDescent="0.3">
      <c r="A619" s="17" t="s">
        <v>2997</v>
      </c>
      <c r="B619" s="18" t="s">
        <v>2998</v>
      </c>
      <c r="C619" s="17" t="s">
        <v>2997</v>
      </c>
      <c r="D619" s="19"/>
      <c r="E619" s="16" t="s">
        <v>160</v>
      </c>
      <c r="F619" s="16" t="str">
        <f>VLOOKUP(E619,'[1]BẢNG MÃ'!$A$2:$B$69,2,0)</f>
        <v>TĐ003</v>
      </c>
      <c r="G619" s="20" t="s">
        <v>29</v>
      </c>
      <c r="H619" s="20" t="s">
        <v>29</v>
      </c>
      <c r="I619" s="16" t="s">
        <v>1090</v>
      </c>
      <c r="J619" s="16" t="str">
        <f>VLOOKUP(I619,'[1]BẢNG MÃ'!$C$2:$D$69,2,0)</f>
        <v>KP034</v>
      </c>
      <c r="K619" s="16" t="s">
        <v>31</v>
      </c>
      <c r="L619" s="16" t="s">
        <v>148</v>
      </c>
      <c r="M619" s="16" t="s">
        <v>33</v>
      </c>
      <c r="N619" s="21">
        <f ca="1">VLOOKUP(A619,'[1]Bieu 1a'!$A$8:$AW$855,10,0)</f>
        <v>42</v>
      </c>
      <c r="O619" s="22">
        <f>VLOOKUP(A619,'[1]Bieu 1a'!$A$8:$AW$855,8,0)</f>
        <v>30614</v>
      </c>
      <c r="P619" s="22">
        <f>VLOOKUP(A619,'[1]Bieu 1a'!$A$8:$AW$855,9,0)</f>
        <v>0</v>
      </c>
      <c r="Q619" s="23" t="s">
        <v>44</v>
      </c>
      <c r="R619" s="24" t="str">
        <f>VLOOKUP(A619,'[1]Bieu 1a'!$A$8:$AW$855,23,0)</f>
        <v>15/1/2010</v>
      </c>
      <c r="S619" s="25" t="s">
        <v>2999</v>
      </c>
      <c r="T619" s="26">
        <v>0</v>
      </c>
      <c r="U619" s="16"/>
      <c r="V619" s="16" t="str">
        <f>IFERROR(VLOOKUP(A619,'[2]19.6.2026'!$A$9:$L$1111,5,0),"")</f>
        <v>003062/LS-CCHN</v>
      </c>
      <c r="W619" s="16" t="str">
        <f>IFERROR(VLOOKUP(A619,'[2]19.6.2026'!$A$9:$L$1111,6,0),"")</f>
        <v>11/01/2023</v>
      </c>
      <c r="X619" s="16"/>
      <c r="Y619" s="21" t="str">
        <f>IFERROR(VLOOKUP(A619,'[2]19.6.2026'!$A$9:$L$1111,7,0),"")</f>
        <v>Chuyên khoa Chẩn đoán hình ảnh</v>
      </c>
      <c r="Z619" s="16"/>
      <c r="AA619" s="27" t="str">
        <f>IFERROR(VLOOKUP(A619,'[3]DS UPLOAD 2026 (2)'!$A$2:$P$1111,16,0),"")</f>
        <v/>
      </c>
      <c r="AB619" s="27">
        <v>359933345</v>
      </c>
      <c r="AC619" s="28"/>
    </row>
    <row r="620" spans="1:29" ht="16.5" customHeight="1" x14ac:dyDescent="0.3">
      <c r="A620" s="17" t="s">
        <v>3000</v>
      </c>
      <c r="B620" s="18" t="s">
        <v>3001</v>
      </c>
      <c r="C620" s="17" t="s">
        <v>3000</v>
      </c>
      <c r="D620" s="19"/>
      <c r="E620" s="19" t="s">
        <v>160</v>
      </c>
      <c r="F620" s="16" t="str">
        <f>VLOOKUP(E620,'[1]BẢNG MÃ'!$A$2:$B$69,2,0)</f>
        <v>TĐ003</v>
      </c>
      <c r="G620" s="20" t="s">
        <v>29</v>
      </c>
      <c r="H620" s="20" t="s">
        <v>29</v>
      </c>
      <c r="I620" s="16" t="s">
        <v>1090</v>
      </c>
      <c r="J620" s="16" t="str">
        <f>VLOOKUP(I620,'[1]BẢNG MÃ'!$C$2:$D$69,2,0)</f>
        <v>KP034</v>
      </c>
      <c r="K620" s="16" t="s">
        <v>31</v>
      </c>
      <c r="L620" s="16" t="s">
        <v>154</v>
      </c>
      <c r="M620" s="16" t="s">
        <v>33</v>
      </c>
      <c r="N620" s="21">
        <f ca="1">VLOOKUP(A620,'[1]Bieu 1a'!$A$8:$AW$855,10,0)</f>
        <v>38</v>
      </c>
      <c r="O620" s="22">
        <f>VLOOKUP(A620,'[1]Bieu 1a'!$A$8:$AW$855,8,0)</f>
        <v>32055</v>
      </c>
      <c r="P620" s="22">
        <f>VLOOKUP(A620,'[1]Bieu 1a'!$A$8:$AW$855,9,0)</f>
        <v>0</v>
      </c>
      <c r="Q620" s="23" t="s">
        <v>44</v>
      </c>
      <c r="R620" s="24" t="str">
        <f>VLOOKUP(A620,'[1]Bieu 1a'!$A$8:$AW$855,23,0)</f>
        <v>01/11/2014</v>
      </c>
      <c r="S620" s="25" t="s">
        <v>3002</v>
      </c>
      <c r="T620" s="26">
        <v>0</v>
      </c>
      <c r="U620" s="16"/>
      <c r="V620" s="16" t="str">
        <f>IFERROR(VLOOKUP(A620,'[2]19.6.2026'!$A$9:$L$1111,5,0),"")</f>
        <v>003649/LS-CCHN</v>
      </c>
      <c r="W620" s="16" t="str">
        <f>IFERROR(VLOOKUP(A620,'[2]19.6.2026'!$A$9:$L$1111,6,0),"")</f>
        <v>29/11/2019</v>
      </c>
      <c r="X620" s="16"/>
      <c r="Y620" s="21" t="str">
        <f>IFERROR(VLOOKUP(A620,'[2]19.6.2026'!$A$9:$L$1111,7,0),"")</f>
        <v>Chuyên khoa Chẩn đoán hình ảnh</v>
      </c>
      <c r="Z620" s="16"/>
      <c r="AA620" s="27" t="str">
        <f>IFERROR(VLOOKUP(A620,'[3]DS UPLOAD 2026 (2)'!$A$2:$P$1111,16,0),"")</f>
        <v/>
      </c>
      <c r="AB620" s="27" t="s">
        <v>3003</v>
      </c>
      <c r="AC620" s="28"/>
    </row>
    <row r="621" spans="1:29" ht="16.5" customHeight="1" x14ac:dyDescent="0.3">
      <c r="A621" s="17" t="s">
        <v>3004</v>
      </c>
      <c r="B621" s="29" t="s">
        <v>3005</v>
      </c>
      <c r="C621" s="17" t="s">
        <v>3004</v>
      </c>
      <c r="D621" s="19" t="s">
        <v>38</v>
      </c>
      <c r="E621" s="19" t="s">
        <v>173</v>
      </c>
      <c r="F621" s="16" t="str">
        <f>VLOOKUP(E621,'[1]BẢNG MÃ'!$A$2:$B$69,2,0)</f>
        <v>TĐ005</v>
      </c>
      <c r="G621" s="20" t="s">
        <v>161</v>
      </c>
      <c r="H621" s="20" t="s">
        <v>161</v>
      </c>
      <c r="I621" s="16" t="s">
        <v>1090</v>
      </c>
      <c r="J621" s="16" t="str">
        <f>VLOOKUP(I621,'[1]BẢNG MÃ'!$C$2:$D$69,2,0)</f>
        <v>KP034</v>
      </c>
      <c r="K621" s="16" t="s">
        <v>43</v>
      </c>
      <c r="L621" s="16">
        <v>0</v>
      </c>
      <c r="M621" s="16" t="s">
        <v>33</v>
      </c>
      <c r="N621" s="21">
        <f ca="1">VLOOKUP(A621,'[1]Bieu 1a'!$A$8:$AW$855,10,0)</f>
        <v>36</v>
      </c>
      <c r="O621" s="22">
        <f>VLOOKUP(A621,'[1]Bieu 1a'!$A$8:$AW$855,8,0)</f>
        <v>0</v>
      </c>
      <c r="P621" s="22" t="str">
        <f>VLOOKUP(A621,'[1]Bieu 1a'!$A$8:$AW$855,9,0)</f>
        <v>17/6/1990</v>
      </c>
      <c r="Q621" s="23" t="s">
        <v>34</v>
      </c>
      <c r="R621" s="24" t="str">
        <f>VLOOKUP(A621,'[1]Bieu 1a'!$A$8:$AW$855,23,0)</f>
        <v>20/3/2018</v>
      </c>
      <c r="S621" s="25" t="s">
        <v>3006</v>
      </c>
      <c r="T621" s="26" t="s">
        <v>3007</v>
      </c>
      <c r="U621" s="16"/>
      <c r="V621" s="16" t="str">
        <f>IFERROR(VLOOKUP(A621,'[2]19.6.2026'!$A$9:$L$1111,5,0),"")</f>
        <v>003590/LS-CCHN</v>
      </c>
      <c r="W621" s="16" t="str">
        <f>IFERROR(VLOOKUP(A621,'[2]19.6.2026'!$A$9:$L$1111,6,0),"")</f>
        <v>20/09/2019</v>
      </c>
      <c r="X621" s="16"/>
      <c r="Y621" s="21" t="str">
        <f>IFERROR(VLOOKUP(A621,'[2]19.6.2026'!$A$9:$L$1111,7,0),"")</f>
        <v>Khám bệnh, chữa bệnh Nội khoa</v>
      </c>
      <c r="Z621" s="16"/>
      <c r="AA621" s="27" t="str">
        <f>IFERROR(VLOOKUP(A621,'[3]DS UPLOAD 2026 (2)'!$A$2:$P$1111,16,0),"")</f>
        <v/>
      </c>
      <c r="AB621" s="27" t="s">
        <v>3008</v>
      </c>
      <c r="AC621" s="28" t="s">
        <v>3009</v>
      </c>
    </row>
    <row r="622" spans="1:29" ht="16.5" customHeight="1" x14ac:dyDescent="0.3">
      <c r="A622" s="17" t="s">
        <v>3010</v>
      </c>
      <c r="B622" s="18" t="s">
        <v>3011</v>
      </c>
      <c r="C622" s="17" t="s">
        <v>3010</v>
      </c>
      <c r="D622" s="19" t="s">
        <v>38</v>
      </c>
      <c r="E622" s="19" t="s">
        <v>173</v>
      </c>
      <c r="F622" s="16" t="str">
        <f>VLOOKUP(E622,'[1]BẢNG MÃ'!$A$2:$B$69,2,0)</f>
        <v>TĐ005</v>
      </c>
      <c r="G622" s="20" t="s">
        <v>161</v>
      </c>
      <c r="H622" s="20" t="s">
        <v>161</v>
      </c>
      <c r="I622" s="16" t="s">
        <v>1090</v>
      </c>
      <c r="J622" s="16" t="str">
        <f>VLOOKUP(I622,'[1]BẢNG MÃ'!$C$2:$D$69,2,0)</f>
        <v>KP034</v>
      </c>
      <c r="K622" s="16" t="s">
        <v>43</v>
      </c>
      <c r="L622" s="16">
        <v>0</v>
      </c>
      <c r="M622" s="16" t="s">
        <v>33</v>
      </c>
      <c r="N622" s="21">
        <f ca="1">VLOOKUP(A622,'[1]Bieu 1a'!$A$8:$AW$855,10,0)</f>
        <v>36</v>
      </c>
      <c r="O622" s="22">
        <f>VLOOKUP(A622,'[1]Bieu 1a'!$A$8:$AW$855,8,0)</f>
        <v>0</v>
      </c>
      <c r="P622" s="22">
        <f>VLOOKUP(A622,'[1]Bieu 1a'!$A$8:$AW$855,9,0)</f>
        <v>32905</v>
      </c>
      <c r="Q622" s="23" t="s">
        <v>50</v>
      </c>
      <c r="R622" s="24" t="str">
        <f>VLOOKUP(A622,'[1]Bieu 1a'!$A$8:$AW$855,23,0)</f>
        <v>01/11/2014</v>
      </c>
      <c r="S622" s="25" t="s">
        <v>3012</v>
      </c>
      <c r="T622" s="26" t="s">
        <v>3013</v>
      </c>
      <c r="U622" s="16"/>
      <c r="V622" s="16" t="str">
        <f>IFERROR(VLOOKUP(A622,'[2]19.6.2026'!$A$9:$L$1111,5,0),"")</f>
        <v>002144/LS-CCHN</v>
      </c>
      <c r="W622" s="16" t="str">
        <f>IFERROR(VLOOKUP(A622,'[2]19.6.2026'!$A$9:$L$1111,6,0),"")</f>
        <v>01/12/2017</v>
      </c>
      <c r="X622" s="16"/>
      <c r="Y622" s="21" t="str">
        <f>IFERROR(VLOOKUP(A622,'[2]19.6.2026'!$A$9:$L$1111,7,0),"")</f>
        <v>Chuyên khoa Chẩn đoán hình ảnh</v>
      </c>
      <c r="Z622" s="16"/>
      <c r="AA622" s="27" t="str">
        <f>IFERROR(VLOOKUP(A622,'[3]DS UPLOAD 2026 (2)'!$A$2:$P$1111,16,0),"")</f>
        <v/>
      </c>
      <c r="AB622" s="27" t="s">
        <v>3014</v>
      </c>
      <c r="AC622" s="28"/>
    </row>
    <row r="623" spans="1:29" ht="18" customHeight="1" x14ac:dyDescent="0.3">
      <c r="A623" s="17" t="s">
        <v>3015</v>
      </c>
      <c r="B623" s="40" t="s">
        <v>3016</v>
      </c>
      <c r="C623" s="17" t="s">
        <v>3015</v>
      </c>
      <c r="D623" s="39"/>
      <c r="E623" s="19" t="s">
        <v>160</v>
      </c>
      <c r="F623" s="16" t="str">
        <f>VLOOKUP(E623,'[1]BẢNG MÃ'!$A$2:$B$69,2,0)</f>
        <v>TĐ003</v>
      </c>
      <c r="G623" s="20" t="s">
        <v>161</v>
      </c>
      <c r="H623" s="20" t="s">
        <v>161</v>
      </c>
      <c r="I623" s="16" t="s">
        <v>1090</v>
      </c>
      <c r="J623" s="16" t="str">
        <f>VLOOKUP(I623,'[1]BẢNG MÃ'!$C$2:$D$69,2,0)</f>
        <v>KP034</v>
      </c>
      <c r="K623" s="16" t="s">
        <v>43</v>
      </c>
      <c r="L623" s="16">
        <v>0</v>
      </c>
      <c r="M623" s="16" t="s">
        <v>33</v>
      </c>
      <c r="N623" s="21">
        <f ca="1">VLOOKUP(A623,'[1]Bieu 1a'!$A$8:$AW$855,10,0)</f>
        <v>36</v>
      </c>
      <c r="O623" s="22" t="str">
        <f>VLOOKUP(A623,'[1]Bieu 1a'!$A$8:$AW$855,8,0)</f>
        <v>14/3/1990</v>
      </c>
      <c r="P623" s="22">
        <f>VLOOKUP(A623,'[1]Bieu 1a'!$A$8:$AW$855,9,0)</f>
        <v>0</v>
      </c>
      <c r="Q623" s="23" t="s">
        <v>50</v>
      </c>
      <c r="R623" s="24" t="str">
        <f>VLOOKUP(A623,'[1]Bieu 1a'!$A$8:$AW$855,23,0)</f>
        <v>10/01/2016</v>
      </c>
      <c r="S623" s="25" t="s">
        <v>3017</v>
      </c>
      <c r="T623" s="26">
        <v>0</v>
      </c>
      <c r="U623" s="16"/>
      <c r="V623" s="16" t="str">
        <f>IFERROR(VLOOKUP(A623,'[2]19.6.2026'!$A$9:$L$1111,5,0),"")</f>
        <v>003319/LS-CCHN</v>
      </c>
      <c r="W623" s="16" t="str">
        <f>IFERROR(VLOOKUP(A623,'[2]19.6.2026'!$A$9:$L$1111,6,0),"")</f>
        <v>20/07/2018</v>
      </c>
      <c r="X623" s="16"/>
      <c r="Y623" s="21" t="str">
        <f>IFERROR(VLOOKUP(A623,'[2]19.6.2026'!$A$9:$L$1111,7,0),"")</f>
        <v>Khám bệnh, chữa bệnh Nội khoa</v>
      </c>
      <c r="Z623" s="16"/>
      <c r="AA623" s="27" t="str">
        <f>IFERROR(VLOOKUP(A623,'[3]DS UPLOAD 2026 (2)'!$A$2:$P$1111,16,0),"")</f>
        <v/>
      </c>
      <c r="AB623" s="27" t="s">
        <v>3018</v>
      </c>
      <c r="AC623" s="28"/>
    </row>
    <row r="624" spans="1:29" ht="18" customHeight="1" x14ac:dyDescent="0.3">
      <c r="A624" s="17" t="s">
        <v>3019</v>
      </c>
      <c r="B624" s="18" t="s">
        <v>3020</v>
      </c>
      <c r="C624" s="17" t="s">
        <v>3019</v>
      </c>
      <c r="D624" s="19" t="s">
        <v>38</v>
      </c>
      <c r="E624" s="19" t="s">
        <v>173</v>
      </c>
      <c r="F624" s="16" t="str">
        <f>VLOOKUP(E624,'[1]BẢNG MÃ'!$A$2:$B$69,2,0)</f>
        <v>TĐ005</v>
      </c>
      <c r="G624" s="20"/>
      <c r="H624" s="23" t="s">
        <v>161</v>
      </c>
      <c r="I624" s="16" t="s">
        <v>1090</v>
      </c>
      <c r="J624" s="16" t="str">
        <f>VLOOKUP(I624,'[1]BẢNG MÃ'!$C$2:$D$69,2,0)</f>
        <v>KP034</v>
      </c>
      <c r="K624" s="16"/>
      <c r="L624" s="16"/>
      <c r="M624" s="16" t="s">
        <v>33</v>
      </c>
      <c r="N624" s="21">
        <f ca="1">VLOOKUP(A624,'[1]Bieu 1a'!$A$8:$AW$855,10,0)</f>
        <v>29</v>
      </c>
      <c r="O624" s="22">
        <f>VLOOKUP(A624,'[1]Bieu 1a'!$A$8:$AW$855,8,0)</f>
        <v>0</v>
      </c>
      <c r="P624" s="22" t="str">
        <f>VLOOKUP(A624,'[1]Bieu 1a'!$A$8:$AW$855,9,0)</f>
        <v>27/11/1996</v>
      </c>
      <c r="Q624" s="23" t="s">
        <v>44</v>
      </c>
      <c r="R624" s="24">
        <f>VLOOKUP(A624,'[1]Bieu 1a'!$A$8:$AW$855,23,0)</f>
        <v>44991</v>
      </c>
      <c r="S624" s="25" t="s">
        <v>3021</v>
      </c>
      <c r="T624" s="26">
        <v>0</v>
      </c>
      <c r="U624" s="16"/>
      <c r="V624" s="16" t="str">
        <f>IFERROR(VLOOKUP(A624,'[2]19.6.2026'!$A$9:$L$1111,5,0),"")</f>
        <v>004490/LS-CCHN</v>
      </c>
      <c r="W624" s="16" t="str">
        <f>IFERROR(VLOOKUP(A624,'[2]19.6.2026'!$A$9:$L$1111,6,0),"")</f>
        <v>06/04/2022</v>
      </c>
      <c r="X624" s="16"/>
      <c r="Y624" s="21" t="str">
        <f>IFERROR(VLOOKUP(A624,'[2]19.6.2026'!$A$9:$L$1111,7,0),"")</f>
        <v>Khám bệnh chữa bệnh Nội khoa</v>
      </c>
      <c r="Z624" s="16"/>
      <c r="AA624" s="27" t="str">
        <f>IFERROR(VLOOKUP(A624,'[3]DS UPLOAD 2026 (2)'!$A$2:$P$1111,16,0),"")</f>
        <v/>
      </c>
      <c r="AB624" s="58" t="s">
        <v>3022</v>
      </c>
      <c r="AC624" s="29" t="s">
        <v>3023</v>
      </c>
    </row>
    <row r="625" spans="1:29" ht="18" customHeight="1" x14ac:dyDescent="0.3">
      <c r="A625" s="17" t="s">
        <v>3024</v>
      </c>
      <c r="B625" s="18" t="s">
        <v>3025</v>
      </c>
      <c r="C625" s="17" t="s">
        <v>3024</v>
      </c>
      <c r="D625" s="19" t="s">
        <v>38</v>
      </c>
      <c r="E625" s="19" t="s">
        <v>173</v>
      </c>
      <c r="F625" s="16" t="str">
        <f>VLOOKUP(E625,'[1]BẢNG MÃ'!$A$2:$B$69,2,0)</f>
        <v>TĐ005</v>
      </c>
      <c r="G625" s="60"/>
      <c r="H625" s="23" t="s">
        <v>161</v>
      </c>
      <c r="I625" s="16" t="s">
        <v>1090</v>
      </c>
      <c r="J625" s="16" t="str">
        <f>VLOOKUP(I625,'[1]BẢNG MÃ'!$C$2:$D$69,2,0)</f>
        <v>KP034</v>
      </c>
      <c r="K625" s="16"/>
      <c r="L625" s="16"/>
      <c r="M625" s="16" t="s">
        <v>136</v>
      </c>
      <c r="N625" s="21">
        <f ca="1">VLOOKUP(A625,'[1]Bieu 1a'!$A$8:$AW$855,10,0)</f>
        <v>30</v>
      </c>
      <c r="O625" s="22">
        <f>VLOOKUP(A625,'[1]Bieu 1a'!$A$8:$AW$855,8,0)</f>
        <v>0</v>
      </c>
      <c r="P625" s="22" t="str">
        <f>VLOOKUP(A625,'[1]Bieu 1a'!$A$8:$AW$855,9,0)</f>
        <v>06/05/1996</v>
      </c>
      <c r="Q625" s="23" t="s">
        <v>50</v>
      </c>
      <c r="R625" s="24">
        <f>VLOOKUP(A625,'[1]Bieu 1a'!$A$8:$AW$855,23,0)</f>
        <v>45030</v>
      </c>
      <c r="S625" s="25" t="s">
        <v>3026</v>
      </c>
      <c r="T625" s="26" t="s">
        <v>3027</v>
      </c>
      <c r="U625" s="22">
        <f>EDATE(R625,12)</f>
        <v>45396</v>
      </c>
      <c r="V625" s="16" t="str">
        <f>IFERROR(VLOOKUP(A625,'[2]19.6.2026'!$A$9:$L$1111,5,0),"")</f>
        <v>000057/LS-GPHN</v>
      </c>
      <c r="W625" s="16" t="str">
        <f>IFERROR(VLOOKUP(A625,'[2]19.6.2026'!$A$9:$L$1111,6,0),"")</f>
        <v/>
      </c>
      <c r="X625" s="16"/>
      <c r="Y625" s="21" t="str">
        <f>IFERROR(VLOOKUP(A625,'[2]19.6.2026'!$A$9:$L$1111,7,0),"")</f>
        <v>Chuyên khoa Nội khoa</v>
      </c>
      <c r="Z625" s="16"/>
      <c r="AA625" s="27" t="str">
        <f>IFERROR(VLOOKUP(A625,'[3]DS UPLOAD 2026 (2)'!$A$2:$P$1111,16,0),"")</f>
        <v/>
      </c>
      <c r="AB625" s="27" t="s">
        <v>3028</v>
      </c>
      <c r="AC625" s="28" t="s">
        <v>338</v>
      </c>
    </row>
    <row r="626" spans="1:29" ht="18" customHeight="1" x14ac:dyDescent="0.3">
      <c r="A626" s="46" t="s">
        <v>3029</v>
      </c>
      <c r="B626" s="28" t="s">
        <v>3030</v>
      </c>
      <c r="C626" s="47" t="s">
        <v>3029</v>
      </c>
      <c r="D626" s="23" t="s">
        <v>38</v>
      </c>
      <c r="E626" s="23" t="s">
        <v>173</v>
      </c>
      <c r="F626" s="16" t="str">
        <f>VLOOKUP(E626,'[1]BẢNG MÃ'!$A$2:$B$69,2,0)</f>
        <v>TĐ005</v>
      </c>
      <c r="G626" s="48"/>
      <c r="H626" s="23" t="s">
        <v>161</v>
      </c>
      <c r="I626" s="19" t="s">
        <v>1090</v>
      </c>
      <c r="J626" s="16" t="str">
        <f>VLOOKUP(I626,'[1]BẢNG MÃ'!$C$2:$D$69,2,0)</f>
        <v>KP034</v>
      </c>
      <c r="K626" s="23"/>
      <c r="L626" s="23"/>
      <c r="M626" s="16" t="s">
        <v>33</v>
      </c>
      <c r="N626" s="21">
        <f ca="1">VLOOKUP(A626,'[1]Bieu 1a'!$A$8:$AW$855,10,0)</f>
        <v>28</v>
      </c>
      <c r="O626" s="22">
        <f>VLOOKUP(A626,'[1]Bieu 1a'!$A$8:$AW$855,8,0)</f>
        <v>0</v>
      </c>
      <c r="P626" s="22" t="str">
        <f>VLOOKUP(A626,'[1]Bieu 1a'!$A$8:$AW$855,9,0)</f>
        <v>20/02/1998</v>
      </c>
      <c r="Q626" s="23" t="s">
        <v>50</v>
      </c>
      <c r="R626" s="24" t="str">
        <f>VLOOKUP(A626,'[1]Bieu 1a'!$A$8:$AW$855,23,0)</f>
        <v>02/4/2024</v>
      </c>
      <c r="S626" s="25" t="s">
        <v>3031</v>
      </c>
      <c r="T626" s="26">
        <v>0</v>
      </c>
      <c r="U626" s="49">
        <v>45870</v>
      </c>
      <c r="V626" s="16" t="str">
        <f>IFERROR(VLOOKUP(A626,'[2]19.6.2026'!$A$9:$L$1111,5,0),"")</f>
        <v>000359/LS-GPHN</v>
      </c>
      <c r="W626" s="16">
        <f>IFERROR(VLOOKUP(A626,'[2]19.6.2026'!$A$9:$L$1111,6,0),"")</f>
        <v>45917</v>
      </c>
      <c r="X626" s="16"/>
      <c r="Y626" s="21" t="str">
        <f>IFERROR(VLOOKUP(A626,'[2]19.6.2026'!$A$9:$L$1111,7,0),"")</f>
        <v>Y khoa</v>
      </c>
      <c r="Z626" s="16"/>
      <c r="AA626" s="27" t="str">
        <f>IFERROR(VLOOKUP(A626,'[3]DS UPLOAD 2026 (2)'!$A$2:$P$1111,16,0),"")</f>
        <v/>
      </c>
      <c r="AB626" s="50" t="s">
        <v>3032</v>
      </c>
      <c r="AC626" s="29" t="s">
        <v>3033</v>
      </c>
    </row>
    <row r="627" spans="1:29" ht="18" customHeight="1" x14ac:dyDescent="0.3">
      <c r="A627" s="128" t="s">
        <v>3034</v>
      </c>
      <c r="B627" s="93" t="s">
        <v>3035</v>
      </c>
      <c r="C627" s="129" t="s">
        <v>3034</v>
      </c>
      <c r="D627" s="95"/>
      <c r="E627" s="19" t="s">
        <v>173</v>
      </c>
      <c r="F627" s="16" t="str">
        <f>VLOOKUP(E627,'[1]BẢNG MÃ'!$A$2:$B$69,2,0)</f>
        <v>TĐ005</v>
      </c>
      <c r="G627" s="97"/>
      <c r="H627" s="130" t="s">
        <v>161</v>
      </c>
      <c r="I627" s="19" t="s">
        <v>1090</v>
      </c>
      <c r="J627" s="16" t="str">
        <f>VLOOKUP(I627,'[1]BẢNG MÃ'!$C$2:$D$69,2,0)</f>
        <v>KP034</v>
      </c>
      <c r="K627" s="131"/>
      <c r="L627" s="131"/>
      <c r="M627" s="16" t="s">
        <v>136</v>
      </c>
      <c r="N627" s="21">
        <f ca="1">VLOOKUP(A627,'[1]Bieu 1a'!$A$8:$AW$855,10,0)</f>
        <v>29</v>
      </c>
      <c r="O627" s="22">
        <f>VLOOKUP(A627,'[1]Bieu 1a'!$A$8:$AW$855,8,0)</f>
        <v>35397</v>
      </c>
      <c r="P627" s="22">
        <f>VLOOKUP(A627,'[1]Bieu 1a'!$A$8:$AW$855,9,0)</f>
        <v>0</v>
      </c>
      <c r="Q627" s="23" t="s">
        <v>50</v>
      </c>
      <c r="R627" s="24">
        <f>VLOOKUP(A627,'[1]Bieu 1a'!$A$8:$AW$855,23,0)</f>
        <v>45698</v>
      </c>
      <c r="S627" s="25" t="s">
        <v>3036</v>
      </c>
      <c r="T627" s="26">
        <v>0</v>
      </c>
      <c r="U627" s="132"/>
      <c r="V627" s="16" t="str">
        <f>IFERROR(VLOOKUP(A627,'[2]19.6.2026'!$A$9:$L$1111,5,0),"")</f>
        <v/>
      </c>
      <c r="W627" s="16" t="str">
        <f>IFERROR(VLOOKUP(A627,'[2]19.6.2026'!$A$9:$L$1111,6,0),"")</f>
        <v/>
      </c>
      <c r="X627" s="39"/>
      <c r="Y627" s="21" t="str">
        <f>IFERROR(VLOOKUP(A627,'[2]19.6.2026'!$A$9:$L$1111,7,0),"")</f>
        <v/>
      </c>
      <c r="Z627" s="16"/>
      <c r="AA627" s="27" t="str">
        <f>IFERROR(VLOOKUP(A627,'[3]DS UPLOAD 2026 (2)'!$A$2:$P$1111,16,0),"")</f>
        <v/>
      </c>
      <c r="AB627" s="97" t="s">
        <v>3037</v>
      </c>
      <c r="AC627" s="39" t="s">
        <v>3038</v>
      </c>
    </row>
    <row r="628" spans="1:29" ht="18" customHeight="1" x14ac:dyDescent="0.3">
      <c r="A628" s="17" t="s">
        <v>3039</v>
      </c>
      <c r="B628" s="18" t="s">
        <v>3040</v>
      </c>
      <c r="C628" s="17" t="s">
        <v>3039</v>
      </c>
      <c r="D628" s="19"/>
      <c r="E628" s="30" t="s">
        <v>41</v>
      </c>
      <c r="F628" s="16" t="str">
        <f>VLOOKUP(E628,'[1]BẢNG MÃ'!$A$2:$B$69,2,0)</f>
        <v>TĐ011</v>
      </c>
      <c r="G628" s="31" t="s">
        <v>42</v>
      </c>
      <c r="H628" s="31" t="s">
        <v>42</v>
      </c>
      <c r="I628" s="16" t="s">
        <v>1090</v>
      </c>
      <c r="J628" s="16" t="str">
        <f>VLOOKUP(I628,'[1]BẢNG MÃ'!$C$2:$D$69,2,0)</f>
        <v>KP034</v>
      </c>
      <c r="K628" s="16" t="s">
        <v>43</v>
      </c>
      <c r="L628" s="16">
        <v>0</v>
      </c>
      <c r="M628" s="16" t="s">
        <v>33</v>
      </c>
      <c r="N628" s="21">
        <f ca="1">VLOOKUP(A628,'[1]Bieu 1a'!$A$8:$AW$855,10,0)</f>
        <v>40</v>
      </c>
      <c r="O628" s="22">
        <f>VLOOKUP(A628,'[1]Bieu 1a'!$A$8:$AW$855,8,0)</f>
        <v>31583</v>
      </c>
      <c r="P628" s="22">
        <f>VLOOKUP(A628,'[1]Bieu 1a'!$A$8:$AW$855,9,0)</f>
        <v>0</v>
      </c>
      <c r="Q628" s="23" t="s">
        <v>50</v>
      </c>
      <c r="R628" s="24" t="str">
        <f>VLOOKUP(A628,'[1]Bieu 1a'!$A$8:$AW$855,23,0)</f>
        <v>1/12/2010</v>
      </c>
      <c r="S628" s="25" t="s">
        <v>3041</v>
      </c>
      <c r="T628" s="26">
        <v>0</v>
      </c>
      <c r="U628" s="16"/>
      <c r="V628" s="16" t="str">
        <f>IFERROR(VLOOKUP(A628,'[2]19.6.2026'!$A$9:$L$1111,5,0),"")</f>
        <v>001083/LS-CCHN</v>
      </c>
      <c r="W628" s="16" t="str">
        <f>IFERROR(VLOOKUP(A628,'[2]19.6.2026'!$A$9:$L$1111,6,0),"")</f>
        <v>11/12/2022</v>
      </c>
      <c r="X628" s="16"/>
      <c r="Y628" s="21" t="str">
        <f>IFERROR(VLOOKUP(A628,'[2]19.6.2026'!$A$9:$L$1111,7,0),"")</f>
        <v>Thực hiện phạm vi hoạt động chuyên môn theo quy định tại Thông tư số 26/2015/TTLT-BYT-BNV ngày 07/10/2015 quy định mã số, tiêu chuẩn chức danh nghề nghiệp điều dưỡng, hộ sinh, kỹ thuật y</v>
      </c>
      <c r="Z628" s="16"/>
      <c r="AA628" s="27" t="str">
        <f>IFERROR(VLOOKUP(A628,'[3]DS UPLOAD 2026 (2)'!$A$2:$P$1111,16,0),"")</f>
        <v/>
      </c>
      <c r="AB628" s="27">
        <v>986188486</v>
      </c>
      <c r="AC628" s="28"/>
    </row>
    <row r="629" spans="1:29" ht="18" customHeight="1" x14ac:dyDescent="0.3">
      <c r="A629" s="17" t="s">
        <v>3042</v>
      </c>
      <c r="B629" s="18" t="s">
        <v>3043</v>
      </c>
      <c r="C629" s="17" t="s">
        <v>3042</v>
      </c>
      <c r="D629" s="19"/>
      <c r="E629" s="30" t="s">
        <v>41</v>
      </c>
      <c r="F629" s="16" t="str">
        <f>VLOOKUP(E629,'[1]BẢNG MÃ'!$A$2:$B$69,2,0)</f>
        <v>TĐ011</v>
      </c>
      <c r="G629" s="31" t="s">
        <v>42</v>
      </c>
      <c r="H629" s="31" t="s">
        <v>42</v>
      </c>
      <c r="I629" s="16" t="s">
        <v>1090</v>
      </c>
      <c r="J629" s="16" t="str">
        <f>VLOOKUP(I629,'[1]BẢNG MÃ'!$C$2:$D$69,2,0)</f>
        <v>KP034</v>
      </c>
      <c r="K629" s="16" t="s">
        <v>43</v>
      </c>
      <c r="L629" s="16">
        <v>0</v>
      </c>
      <c r="M629" s="16" t="s">
        <v>33</v>
      </c>
      <c r="N629" s="21">
        <f ca="1">VLOOKUP(A629,'[1]Bieu 1a'!$A$8:$AW$855,10,0)</f>
        <v>37</v>
      </c>
      <c r="O629" s="22">
        <f>VLOOKUP(A629,'[1]Bieu 1a'!$A$8:$AW$855,8,0)</f>
        <v>32388</v>
      </c>
      <c r="P629" s="22">
        <f>VLOOKUP(A629,'[1]Bieu 1a'!$A$8:$AW$855,9,0)</f>
        <v>0</v>
      </c>
      <c r="Q629" s="23" t="s">
        <v>44</v>
      </c>
      <c r="R629" s="24" t="str">
        <f>VLOOKUP(A629,'[1]Bieu 1a'!$A$8:$AW$855,23,0)</f>
        <v>14/1/2011</v>
      </c>
      <c r="S629" s="25" t="s">
        <v>3044</v>
      </c>
      <c r="T629" s="26" t="s">
        <v>3045</v>
      </c>
      <c r="U629" s="16"/>
      <c r="V629" s="16" t="str">
        <f>IFERROR(VLOOKUP(A629,'[2]19.6.2026'!$A$9:$L$1111,5,0),"")</f>
        <v>001084/LS-CCHN</v>
      </c>
      <c r="W629" s="16" t="str">
        <f>IFERROR(VLOOKUP(A629,'[2]19.6.2026'!$A$9:$L$1111,6,0),"")</f>
        <v>11/12/2022</v>
      </c>
      <c r="X629" s="16"/>
      <c r="Y629" s="21" t="str">
        <f>IFERROR(VLOOKUP(A629,'[2]19.6.2026'!$A$9:$L$1111,7,0),"")</f>
        <v>Thực hiện phạm vi hoạt động chuyên môn theo quy định tại Thông tư số 26/2015/TTLT-BYT-BNV ngày 07/10/2015 quy định mã số, tiêu chuẩn chức danh nghề nghiệp điều dưỡng, hộ sinh, kỹ thuật y</v>
      </c>
      <c r="Z629" s="16"/>
      <c r="AA629" s="27" t="str">
        <f>IFERROR(VLOOKUP(A629,'[3]DS UPLOAD 2026 (2)'!$A$2:$P$1111,16,0),"")</f>
        <v/>
      </c>
      <c r="AB629" s="27" t="s">
        <v>3046</v>
      </c>
      <c r="AC629" s="28"/>
    </row>
    <row r="630" spans="1:29" ht="18" customHeight="1" x14ac:dyDescent="0.3">
      <c r="A630" s="17" t="s">
        <v>3047</v>
      </c>
      <c r="B630" s="18" t="s">
        <v>3048</v>
      </c>
      <c r="C630" s="17" t="s">
        <v>3047</v>
      </c>
      <c r="D630" s="19"/>
      <c r="E630" s="30" t="s">
        <v>41</v>
      </c>
      <c r="F630" s="16" t="str">
        <f>VLOOKUP(E630,'[1]BẢNG MÃ'!$A$2:$B$69,2,0)</f>
        <v>TĐ011</v>
      </c>
      <c r="G630" s="31" t="s">
        <v>42</v>
      </c>
      <c r="H630" s="31" t="s">
        <v>42</v>
      </c>
      <c r="I630" s="16" t="s">
        <v>1090</v>
      </c>
      <c r="J630" s="16" t="str">
        <f>VLOOKUP(I630,'[1]BẢNG MÃ'!$C$2:$D$69,2,0)</f>
        <v>KP034</v>
      </c>
      <c r="K630" s="16" t="s">
        <v>43</v>
      </c>
      <c r="L630" s="16">
        <v>0</v>
      </c>
      <c r="M630" s="16" t="s">
        <v>33</v>
      </c>
      <c r="N630" s="21">
        <f ca="1">VLOOKUP(A630,'[1]Bieu 1a'!$A$8:$AW$855,10,0)</f>
        <v>42</v>
      </c>
      <c r="O630" s="22">
        <f>VLOOKUP(A630,'[1]Bieu 1a'!$A$8:$AW$855,8,0)</f>
        <v>30697</v>
      </c>
      <c r="P630" s="22">
        <f>VLOOKUP(A630,'[1]Bieu 1a'!$A$8:$AW$855,9,0)</f>
        <v>0</v>
      </c>
      <c r="Q630" s="23" t="s">
        <v>50</v>
      </c>
      <c r="R630" s="24" t="str">
        <f>VLOOKUP(A630,'[1]Bieu 1a'!$A$8:$AW$855,23,0)</f>
        <v>15/1/2010</v>
      </c>
      <c r="S630" s="25" t="s">
        <v>3049</v>
      </c>
      <c r="T630" s="26" t="s">
        <v>3050</v>
      </c>
      <c r="U630" s="16"/>
      <c r="V630" s="16" t="str">
        <f>IFERROR(VLOOKUP(A630,'[2]19.6.2026'!$A$9:$L$1111,5,0),"")</f>
        <v>001082/LS-CCHN</v>
      </c>
      <c r="W630" s="16" t="str">
        <f>IFERROR(VLOOKUP(A630,'[2]19.6.2026'!$A$9:$L$1111,6,0),"")</f>
        <v>11/12/2022</v>
      </c>
      <c r="X630" s="16"/>
      <c r="Y630" s="21" t="str">
        <f>IFERROR(VLOOKUP(A630,'[2]19.6.2026'!$A$9:$L$1111,7,0),"")</f>
        <v>Thực hiện phạm vi hoạt động chuyên môn theo quy định tại Thông tư số 26/2015/TTLT-BYT-BNV ngày 07/10/2015 quy định mã số, tiêu chuẩn chức danh nghề nghiệp điều dưỡng, hộ sinh, kỹ thuật y</v>
      </c>
      <c r="Z630" s="16"/>
      <c r="AA630" s="27" t="str">
        <f>IFERROR(VLOOKUP(A630,'[3]DS UPLOAD 2026 (2)'!$A$2:$P$1111,16,0),"")</f>
        <v/>
      </c>
      <c r="AB630" s="27" t="s">
        <v>3051</v>
      </c>
      <c r="AC630" s="28"/>
    </row>
    <row r="631" spans="1:29" ht="18" customHeight="1" x14ac:dyDescent="0.3">
      <c r="A631" s="17" t="s">
        <v>3052</v>
      </c>
      <c r="B631" s="18" t="s">
        <v>3053</v>
      </c>
      <c r="C631" s="17" t="s">
        <v>3052</v>
      </c>
      <c r="D631" s="19"/>
      <c r="E631" s="30" t="s">
        <v>41</v>
      </c>
      <c r="F631" s="16" t="str">
        <f>VLOOKUP(E631,'[1]BẢNG MÃ'!$A$2:$B$69,2,0)</f>
        <v>TĐ011</v>
      </c>
      <c r="G631" s="31" t="s">
        <v>42</v>
      </c>
      <c r="H631" s="31" t="s">
        <v>42</v>
      </c>
      <c r="I631" s="16" t="s">
        <v>1090</v>
      </c>
      <c r="J631" s="16" t="str">
        <f>VLOOKUP(I631,'[1]BẢNG MÃ'!$C$2:$D$69,2,0)</f>
        <v>KP034</v>
      </c>
      <c r="K631" s="16" t="s">
        <v>43</v>
      </c>
      <c r="L631" s="16">
        <v>0</v>
      </c>
      <c r="M631" s="16" t="s">
        <v>33</v>
      </c>
      <c r="N631" s="21">
        <f ca="1">VLOOKUP(A631,'[1]Bieu 1a'!$A$8:$AW$855,10,0)</f>
        <v>38</v>
      </c>
      <c r="O631" s="22">
        <f>VLOOKUP(A631,'[1]Bieu 1a'!$A$8:$AW$855,8,0)</f>
        <v>32013</v>
      </c>
      <c r="P631" s="22">
        <f>VLOOKUP(A631,'[1]Bieu 1a'!$A$8:$AW$855,9,0)</f>
        <v>0</v>
      </c>
      <c r="Q631" s="23" t="s">
        <v>44</v>
      </c>
      <c r="R631" s="24" t="str">
        <f>VLOOKUP(A631,'[1]Bieu 1a'!$A$8:$AW$855,23,0)</f>
        <v>1/12/2008</v>
      </c>
      <c r="S631" s="25" t="s">
        <v>3054</v>
      </c>
      <c r="T631" s="26" t="s">
        <v>3055</v>
      </c>
      <c r="U631" s="16"/>
      <c r="V631" s="16" t="str">
        <f>IFERROR(VLOOKUP(A631,'[2]19.6.2026'!$A$9:$L$1111,5,0),"")</f>
        <v>001081/LS-CCHN</v>
      </c>
      <c r="W631" s="16" t="str">
        <f>IFERROR(VLOOKUP(A631,'[2]19.6.2026'!$A$9:$L$1111,6,0),"")</f>
        <v>11/12/2022</v>
      </c>
      <c r="X631" s="16"/>
      <c r="Y631" s="21" t="str">
        <f>IFERROR(VLOOKUP(A631,'[2]19.6.2026'!$A$9:$L$1111,7,0),"")</f>
        <v>Thực hiện phạm vi hoạt động chuyên môn theo quy định tại Thông tư số 26/2015/TTLT-BYT-BNV ngày 07/10/2015 quy định mã số, tiêu chuẩn chức danh nghề nghiệp điều dưỡng, hộ sinh, kỹ thuật y</v>
      </c>
      <c r="Z631" s="16"/>
      <c r="AA631" s="27" t="str">
        <f>IFERROR(VLOOKUP(A631,'[3]DS UPLOAD 2026 (2)'!$A$2:$P$1111,16,0),"")</f>
        <v/>
      </c>
      <c r="AB631" s="27" t="s">
        <v>3056</v>
      </c>
      <c r="AC631" s="28"/>
    </row>
    <row r="632" spans="1:29" ht="18" customHeight="1" x14ac:dyDescent="0.3">
      <c r="A632" s="17" t="s">
        <v>3057</v>
      </c>
      <c r="B632" s="18" t="s">
        <v>3058</v>
      </c>
      <c r="C632" s="17" t="s">
        <v>3057</v>
      </c>
      <c r="D632" s="19" t="s">
        <v>38</v>
      </c>
      <c r="E632" s="19" t="s">
        <v>61</v>
      </c>
      <c r="F632" s="16" t="str">
        <f>VLOOKUP(E632,'[1]BẢNG MÃ'!$A$2:$B$69,2,0)</f>
        <v>TĐ012</v>
      </c>
      <c r="G632" s="20" t="s">
        <v>62</v>
      </c>
      <c r="H632" s="20" t="s">
        <v>62</v>
      </c>
      <c r="I632" s="16" t="s">
        <v>1090</v>
      </c>
      <c r="J632" s="16" t="str">
        <f>VLOOKUP(I632,'[1]BẢNG MÃ'!$C$2:$D$69,2,0)</f>
        <v>KP034</v>
      </c>
      <c r="K632" s="16" t="s">
        <v>43</v>
      </c>
      <c r="L632" s="16">
        <v>0</v>
      </c>
      <c r="M632" s="16" t="s">
        <v>33</v>
      </c>
      <c r="N632" s="21">
        <f ca="1">VLOOKUP(A632,'[1]Bieu 1a'!$A$8:$AW$855,10,0)</f>
        <v>46</v>
      </c>
      <c r="O632" s="22">
        <f>VLOOKUP(A632,'[1]Bieu 1a'!$A$8:$AW$855,8,0)</f>
        <v>0</v>
      </c>
      <c r="P632" s="22">
        <f>VLOOKUP(A632,'[1]Bieu 1a'!$A$8:$AW$855,9,0)</f>
        <v>29285</v>
      </c>
      <c r="Q632" s="23" t="s">
        <v>44</v>
      </c>
      <c r="R632" s="24" t="str">
        <f>VLOOKUP(A632,'[1]Bieu 1a'!$A$8:$AW$855,23,0)</f>
        <v>16/2/2005</v>
      </c>
      <c r="S632" s="25" t="s">
        <v>3059</v>
      </c>
      <c r="T632" s="26">
        <v>0</v>
      </c>
      <c r="U632" s="16"/>
      <c r="V632" s="16" t="str">
        <f>IFERROR(VLOOKUP(A632,'[2]19.6.2026'!$A$9:$L$1111,5,0),"")</f>
        <v>001080/LS-CCHN</v>
      </c>
      <c r="W632" s="16" t="str">
        <f>IFERROR(VLOOKUP(A632,'[2]19.6.2026'!$A$9:$L$1111,6,0),"")</f>
        <v>11/12/2022</v>
      </c>
      <c r="X632" s="16"/>
      <c r="Y632" s="21" t="str">
        <f>IFERROR(VLOOKUP(A632,'[2]19.6.2026'!$A$9:$L$1111,7,0),"")</f>
        <v>Thực hiện phạm vi hoạt động chuyên môn theo quy định tại Thông tư số 26/2015/TTLT-BYT-BNV ngày 07/10/2015 quy định mã số, tiêu chuẩn chức danh nghề nghiệp điều dưỡng, hộ sinh, kỹ thuật y</v>
      </c>
      <c r="Z632" s="16"/>
      <c r="AA632" s="27" t="str">
        <f>IFERROR(VLOOKUP(A632,'[3]DS UPLOAD 2026 (2)'!$A$2:$P$1111,16,0),"")</f>
        <v/>
      </c>
      <c r="AB632" s="27" t="s">
        <v>3060</v>
      </c>
      <c r="AC632" s="28"/>
    </row>
    <row r="633" spans="1:29" ht="18" customHeight="1" x14ac:dyDescent="0.3">
      <c r="A633" s="17" t="s">
        <v>3061</v>
      </c>
      <c r="B633" s="18" t="s">
        <v>3062</v>
      </c>
      <c r="C633" s="17" t="s">
        <v>3061</v>
      </c>
      <c r="D633" s="19"/>
      <c r="E633" s="19" t="s">
        <v>61</v>
      </c>
      <c r="F633" s="16" t="str">
        <f>VLOOKUP(E633,'[1]BẢNG MÃ'!$A$2:$B$69,2,0)</f>
        <v>TĐ012</v>
      </c>
      <c r="G633" s="20" t="s">
        <v>62</v>
      </c>
      <c r="H633" s="20" t="s">
        <v>62</v>
      </c>
      <c r="I633" s="16" t="s">
        <v>1090</v>
      </c>
      <c r="J633" s="16" t="str">
        <f>VLOOKUP(I633,'[1]BẢNG MÃ'!$C$2:$D$69,2,0)</f>
        <v>KP034</v>
      </c>
      <c r="K633" s="16" t="s">
        <v>43</v>
      </c>
      <c r="L633" s="16">
        <v>0</v>
      </c>
      <c r="M633" s="16" t="s">
        <v>33</v>
      </c>
      <c r="N633" s="21">
        <f ca="1">VLOOKUP(A633,'[1]Bieu 1a'!$A$8:$AW$855,10,0)</f>
        <v>39</v>
      </c>
      <c r="O633" s="22">
        <f>VLOOKUP(A633,'[1]Bieu 1a'!$A$8:$AW$855,8,0)</f>
        <v>31677</v>
      </c>
      <c r="P633" s="22">
        <f>VLOOKUP(A633,'[1]Bieu 1a'!$A$8:$AW$855,9,0)</f>
        <v>0</v>
      </c>
      <c r="Q633" s="23" t="s">
        <v>50</v>
      </c>
      <c r="R633" s="24" t="str">
        <f>VLOOKUP(A633,'[1]Bieu 1a'!$A$8:$AW$855,23,0)</f>
        <v>01/12/2010</v>
      </c>
      <c r="S633" s="25" t="s">
        <v>3063</v>
      </c>
      <c r="T633" s="26" t="s">
        <v>3064</v>
      </c>
      <c r="U633" s="22"/>
      <c r="V633" s="16" t="str">
        <f>IFERROR(VLOOKUP(A633,'[2]19.6.2026'!$A$9:$L$1111,5,0),"")</f>
        <v>000814/LS-CCHN</v>
      </c>
      <c r="W633" s="16" t="str">
        <f>IFERROR(VLOOKUP(A633,'[2]19.6.2026'!$A$9:$L$1111,6,0),"")</f>
        <v>11/12/2022</v>
      </c>
      <c r="X633" s="16"/>
      <c r="Y633" s="21" t="str">
        <f>IFERROR(VLOOKUP(A633,'[2]19.6.2026'!$A$9:$L$1111,7,0),"")</f>
        <v>Thực hiện phạm vi hoạt động chuyên môn theo quy định tại Thông tư số 26/2015/TTLT-BYT-BNV ngày 07/10/2015 quy định mã số, tiêu chuẩn chức danh nghề nghiệp điều dưỡng, hộ sinh, kỹ thuật y</v>
      </c>
      <c r="Z633" s="16"/>
      <c r="AA633" s="27" t="str">
        <f>IFERROR(VLOOKUP(A633,'[3]DS UPLOAD 2026 (2)'!$A$2:$P$1111,16,0),"")</f>
        <v/>
      </c>
      <c r="AB633" s="27">
        <v>986022249</v>
      </c>
      <c r="AC633" s="28"/>
    </row>
    <row r="634" spans="1:29" ht="18" customHeight="1" x14ac:dyDescent="0.3">
      <c r="A634" s="17" t="s">
        <v>3065</v>
      </c>
      <c r="B634" s="38" t="s">
        <v>3066</v>
      </c>
      <c r="C634" s="17" t="s">
        <v>3065</v>
      </c>
      <c r="D634" s="19"/>
      <c r="E634" s="19" t="s">
        <v>61</v>
      </c>
      <c r="F634" s="16" t="str">
        <f>VLOOKUP(E634,'[1]BẢNG MÃ'!$A$2:$B$69,2,0)</f>
        <v>TĐ012</v>
      </c>
      <c r="G634" s="20" t="s">
        <v>62</v>
      </c>
      <c r="H634" s="20" t="s">
        <v>62</v>
      </c>
      <c r="I634" s="16" t="s">
        <v>1090</v>
      </c>
      <c r="J634" s="16" t="str">
        <f>VLOOKUP(I634,'[1]BẢNG MÃ'!$C$2:$D$69,2,0)</f>
        <v>KP034</v>
      </c>
      <c r="K634" s="16" t="s">
        <v>43</v>
      </c>
      <c r="L634" s="16">
        <v>0</v>
      </c>
      <c r="M634" s="16" t="s">
        <v>33</v>
      </c>
      <c r="N634" s="21">
        <f ca="1">VLOOKUP(A634,'[1]Bieu 1a'!$A$8:$AW$855,10,0)</f>
        <v>40</v>
      </c>
      <c r="O634" s="22" t="str">
        <f>VLOOKUP(A634,'[1]Bieu 1a'!$A$8:$AW$855,8,0)</f>
        <v>19/10/1985</v>
      </c>
      <c r="P634" s="22">
        <f>VLOOKUP(A634,'[1]Bieu 1a'!$A$8:$AW$855,9,0)</f>
        <v>0</v>
      </c>
      <c r="Q634" s="23" t="s">
        <v>50</v>
      </c>
      <c r="R634" s="24" t="str">
        <f>VLOOKUP(A634,'[1]Bieu 1a'!$A$8:$AW$855,23,0)</f>
        <v>15/01/2010</v>
      </c>
      <c r="S634" s="25" t="s">
        <v>3067</v>
      </c>
      <c r="T634" s="26" t="s">
        <v>3068</v>
      </c>
      <c r="U634" s="16"/>
      <c r="V634" s="16" t="str">
        <f>IFERROR(VLOOKUP(A634,'[2]19.6.2026'!$A$9:$L$1111,5,0),"")</f>
        <v>002951/LS-CCHN</v>
      </c>
      <c r="W634" s="16" t="str">
        <f>IFERROR(VLOOKUP(A634,'[2]19.6.2026'!$A$9:$L$1111,6,0),"")</f>
        <v>11/01/2023</v>
      </c>
      <c r="X634" s="16"/>
      <c r="Y634" s="21" t="str">
        <f>IFERROR(VLOOKUP(A634,'[2]19.6.2026'!$A$9:$L$1111,7,0),"")</f>
        <v>Thực hiện phạm vi hoạt động chuyên môn theo Thông tư số 26/2015/TTLT-BYT-BNV ngày 07/10/2015 quy định  mã số, tiêu chuẩn chức danh nghề nghiệp, điều dưỡng, hộ sinh, kỹ thuật y</v>
      </c>
      <c r="Z634" s="16"/>
      <c r="AA634" s="27" t="str">
        <f>IFERROR(VLOOKUP(A634,'[3]DS UPLOAD 2026 (2)'!$A$2:$P$1111,16,0),"")</f>
        <v/>
      </c>
      <c r="AB634" s="27">
        <v>399891545</v>
      </c>
      <c r="AC634" s="28" t="s">
        <v>1045</v>
      </c>
    </row>
    <row r="635" spans="1:29" ht="18" customHeight="1" x14ac:dyDescent="0.3">
      <c r="A635" s="17" t="s">
        <v>3069</v>
      </c>
      <c r="B635" s="18" t="s">
        <v>3070</v>
      </c>
      <c r="C635" s="17" t="s">
        <v>3069</v>
      </c>
      <c r="D635" s="19"/>
      <c r="E635" s="19" t="s">
        <v>61</v>
      </c>
      <c r="F635" s="16" t="str">
        <f>VLOOKUP(E635,'[1]BẢNG MÃ'!$A$2:$B$69,2,0)</f>
        <v>TĐ012</v>
      </c>
      <c r="G635" s="20" t="s">
        <v>62</v>
      </c>
      <c r="H635" s="20" t="s">
        <v>62</v>
      </c>
      <c r="I635" s="16" t="s">
        <v>1090</v>
      </c>
      <c r="J635" s="16" t="str">
        <f>VLOOKUP(I635,'[1]BẢNG MÃ'!$C$2:$D$69,2,0)</f>
        <v>KP034</v>
      </c>
      <c r="K635" s="16" t="s">
        <v>43</v>
      </c>
      <c r="L635" s="16">
        <v>0</v>
      </c>
      <c r="M635" s="16" t="s">
        <v>33</v>
      </c>
      <c r="N635" s="21">
        <f ca="1">VLOOKUP(A635,'[1]Bieu 1a'!$A$8:$AW$855,10,0)</f>
        <v>41</v>
      </c>
      <c r="O635" s="22">
        <f>VLOOKUP(A635,'[1]Bieu 1a'!$A$8:$AW$855,8,0)</f>
        <v>30918</v>
      </c>
      <c r="P635" s="22">
        <f>VLOOKUP(A635,'[1]Bieu 1a'!$A$8:$AW$855,9,0)</f>
        <v>0</v>
      </c>
      <c r="Q635" s="23" t="s">
        <v>435</v>
      </c>
      <c r="R635" s="24" t="str">
        <f>VLOOKUP(A635,'[1]Bieu 1a'!$A$8:$AW$855,23,0)</f>
        <v>1/12/2008</v>
      </c>
      <c r="S635" s="25" t="s">
        <v>3071</v>
      </c>
      <c r="T635" s="26">
        <v>0</v>
      </c>
      <c r="U635" s="16"/>
      <c r="V635" s="16" t="str">
        <f>IFERROR(VLOOKUP(A635,'[2]19.6.2026'!$A$9:$L$1111,5,0),"")</f>
        <v>001085/LS-CCHN</v>
      </c>
      <c r="W635" s="16" t="str">
        <f>IFERROR(VLOOKUP(A635,'[2]19.6.2026'!$A$9:$L$1111,6,0),"")</f>
        <v>11/12/2022</v>
      </c>
      <c r="X635" s="16"/>
      <c r="Y635" s="21" t="str">
        <f>IFERROR(VLOOKUP(A635,'[2]19.6.2026'!$A$9:$L$1111,7,0),"")</f>
        <v>Thực hiện phạm vi hoạt động chuyên môn theo quy định tại Thông tư số 26/2015/TTLT-BYT-BNV ngày 07/10/2015 quy định mã số, tiêu chuẩn chức danh nghề nghiệp điều dưỡng, hộ sinh, kỹ thuật y</v>
      </c>
      <c r="Z635" s="16"/>
      <c r="AA635" s="27" t="str">
        <f>IFERROR(VLOOKUP(A635,'[3]DS UPLOAD 2026 (2)'!$A$2:$P$1111,16,0),"")</f>
        <v/>
      </c>
      <c r="AB635" s="27" t="s">
        <v>3072</v>
      </c>
      <c r="AC635" s="28"/>
    </row>
    <row r="636" spans="1:29" ht="18" customHeight="1" x14ac:dyDescent="0.3">
      <c r="A636" s="17" t="s">
        <v>3073</v>
      </c>
      <c r="B636" s="18" t="s">
        <v>3074</v>
      </c>
      <c r="C636" s="17" t="s">
        <v>3073</v>
      </c>
      <c r="D636" s="19"/>
      <c r="E636" s="19" t="s">
        <v>2337</v>
      </c>
      <c r="F636" s="16" t="str">
        <f>VLOOKUP(E636,'[1]BẢNG MÃ'!$A$2:$B$69,2,0)</f>
        <v>TĐ014</v>
      </c>
      <c r="G636" s="20" t="s">
        <v>2338</v>
      </c>
      <c r="H636" s="20" t="s">
        <v>2338</v>
      </c>
      <c r="I636" s="16" t="s">
        <v>1090</v>
      </c>
      <c r="J636" s="16" t="str">
        <f>VLOOKUP(I636,'[1]BẢNG MÃ'!$C$2:$D$69,2,0)</f>
        <v>KP034</v>
      </c>
      <c r="K636" s="16" t="s">
        <v>43</v>
      </c>
      <c r="L636" s="16">
        <v>0</v>
      </c>
      <c r="M636" s="16" t="s">
        <v>33</v>
      </c>
      <c r="N636" s="21">
        <f ca="1">VLOOKUP(A636,'[1]Bieu 1a'!$A$8:$AW$855,10,0)</f>
        <v>44</v>
      </c>
      <c r="O636" s="22">
        <f>VLOOKUP(A636,'[1]Bieu 1a'!$A$8:$AW$855,8,0)</f>
        <v>30132</v>
      </c>
      <c r="P636" s="22">
        <f>VLOOKUP(A636,'[1]Bieu 1a'!$A$8:$AW$855,9,0)</f>
        <v>0</v>
      </c>
      <c r="Q636" s="23" t="s">
        <v>50</v>
      </c>
      <c r="R636" s="24" t="str">
        <f>VLOOKUP(A636,'[1]Bieu 1a'!$A$8:$AW$855,23,0)</f>
        <v>15/1/2010</v>
      </c>
      <c r="S636" s="25" t="s">
        <v>3075</v>
      </c>
      <c r="T636" s="26" t="s">
        <v>3076</v>
      </c>
      <c r="U636" s="16"/>
      <c r="V636" s="16" t="str">
        <f>IFERROR(VLOOKUP(A636,'[2]19.6.2026'!$A$9:$L$1111,5,0),"")</f>
        <v>001075/LS-CCHN</v>
      </c>
      <c r="W636" s="16" t="str">
        <f>IFERROR(VLOOKUP(A636,'[2]19.6.2026'!$A$9:$L$1111,6,0),"")</f>
        <v>24/06/2013</v>
      </c>
      <c r="X636" s="16"/>
      <c r="Y636" s="21" t="str">
        <f>IFERROR(VLOOKUP(A636,'[2]19.6.2026'!$A$9:$L$1111,7,0),"")</f>
        <v>Theo quy định tại Thông tư số 23/2009/TT-BYT ngày 01/12/2009 của Bộ Y tế ban hành tiêu chuẩn nghiệp vụ các ngạch viên chức kỹ thuật y học</v>
      </c>
      <c r="Z636" s="16"/>
      <c r="AA636" s="27" t="str">
        <f>IFERROR(VLOOKUP(A636,'[3]DS UPLOAD 2026 (2)'!$A$2:$P$1111,16,0),"")</f>
        <v/>
      </c>
      <c r="AB636" s="27" t="s">
        <v>3077</v>
      </c>
      <c r="AC636" s="51"/>
    </row>
    <row r="637" spans="1:29" ht="18" customHeight="1" x14ac:dyDescent="0.3">
      <c r="A637" s="17" t="s">
        <v>3078</v>
      </c>
      <c r="B637" s="18" t="s">
        <v>3079</v>
      </c>
      <c r="C637" s="17" t="s">
        <v>3078</v>
      </c>
      <c r="D637" s="19"/>
      <c r="E637" s="19" t="s">
        <v>2337</v>
      </c>
      <c r="F637" s="16" t="str">
        <f>VLOOKUP(E637,'[1]BẢNG MÃ'!$A$2:$B$69,2,0)</f>
        <v>TĐ014</v>
      </c>
      <c r="G637" s="20" t="s">
        <v>2338</v>
      </c>
      <c r="H637" s="20" t="s">
        <v>2338</v>
      </c>
      <c r="I637" s="16" t="s">
        <v>1090</v>
      </c>
      <c r="J637" s="16" t="str">
        <f>VLOOKUP(I637,'[1]BẢNG MÃ'!$C$2:$D$69,2,0)</f>
        <v>KP034</v>
      </c>
      <c r="K637" s="16" t="s">
        <v>43</v>
      </c>
      <c r="L637" s="16">
        <v>0</v>
      </c>
      <c r="M637" s="16" t="s">
        <v>33</v>
      </c>
      <c r="N637" s="21">
        <f ca="1">VLOOKUP(A637,'[1]Bieu 1a'!$A$8:$AW$855,10,0)</f>
        <v>54</v>
      </c>
      <c r="O637" s="22">
        <f>VLOOKUP(A637,'[1]Bieu 1a'!$A$8:$AW$855,8,0)</f>
        <v>26472</v>
      </c>
      <c r="P637" s="22">
        <f>VLOOKUP(A637,'[1]Bieu 1a'!$A$8:$AW$855,9,0)</f>
        <v>0</v>
      </c>
      <c r="Q637" s="23" t="s">
        <v>50</v>
      </c>
      <c r="R637" s="24" t="str">
        <f>VLOOKUP(A637,'[1]Bieu 1a'!$A$8:$AW$855,23,0)</f>
        <v>10/10/1996</v>
      </c>
      <c r="S637" s="25" t="s">
        <v>3080</v>
      </c>
      <c r="T637" s="26" t="s">
        <v>3081</v>
      </c>
      <c r="U637" s="16"/>
      <c r="V637" s="16" t="str">
        <f>IFERROR(VLOOKUP(A637,'[2]19.6.2026'!$A$9:$L$1111,5,0),"")</f>
        <v>000170/LS-CCHN</v>
      </c>
      <c r="W637" s="16" t="str">
        <f>IFERROR(VLOOKUP(A637,'[2]19.6.2026'!$A$9:$L$1111,6,0),"")</f>
        <v>01/08/2012</v>
      </c>
      <c r="X637" s="16"/>
      <c r="Y637" s="21" t="str">
        <f>IFERROR(VLOOKUP(A637,'[2]19.6.2026'!$A$9:$L$1111,7,0),"")</f>
        <v>Thực hiện kỹ thuật chuyên môn về hình ảnh y học</v>
      </c>
      <c r="Z637" s="16"/>
      <c r="AA637" s="27" t="str">
        <f>IFERROR(VLOOKUP(A637,'[3]DS UPLOAD 2026 (2)'!$A$2:$P$1111,16,0),"")</f>
        <v/>
      </c>
      <c r="AB637" s="27" t="s">
        <v>3082</v>
      </c>
      <c r="AC637" s="51"/>
    </row>
    <row r="638" spans="1:29" ht="18" customHeight="1" x14ac:dyDescent="0.3">
      <c r="A638" s="17" t="s">
        <v>3083</v>
      </c>
      <c r="B638" s="18" t="s">
        <v>3084</v>
      </c>
      <c r="C638" s="17" t="s">
        <v>3083</v>
      </c>
      <c r="D638" s="19"/>
      <c r="E638" s="19" t="s">
        <v>2337</v>
      </c>
      <c r="F638" s="16" t="str">
        <f>VLOOKUP(E638,'[1]BẢNG MÃ'!$A$2:$B$69,2,0)</f>
        <v>TĐ014</v>
      </c>
      <c r="G638" s="20" t="s">
        <v>2338</v>
      </c>
      <c r="H638" s="20" t="s">
        <v>2338</v>
      </c>
      <c r="I638" s="16" t="s">
        <v>1090</v>
      </c>
      <c r="J638" s="16" t="str">
        <f>VLOOKUP(I638,'[1]BẢNG MÃ'!$C$2:$D$69,2,0)</f>
        <v>KP034</v>
      </c>
      <c r="K638" s="16" t="s">
        <v>31</v>
      </c>
      <c r="L638" s="16" t="s">
        <v>2810</v>
      </c>
      <c r="M638" s="16" t="s">
        <v>33</v>
      </c>
      <c r="N638" s="21">
        <f ca="1">VLOOKUP(A638,'[1]Bieu 1a'!$A$8:$AW$855,10,0)</f>
        <v>52</v>
      </c>
      <c r="O638" s="22">
        <f>VLOOKUP(A638,'[1]Bieu 1a'!$A$8:$AW$855,8,0)</f>
        <v>26972</v>
      </c>
      <c r="P638" s="22">
        <f>VLOOKUP(A638,'[1]Bieu 1a'!$A$8:$AW$855,9,0)</f>
        <v>0</v>
      </c>
      <c r="Q638" s="23" t="s">
        <v>34</v>
      </c>
      <c r="R638" s="24" t="str">
        <f>VLOOKUP(A638,'[1]Bieu 1a'!$A$8:$AW$855,23,0)</f>
        <v>3/12/1993</v>
      </c>
      <c r="S638" s="25" t="s">
        <v>3085</v>
      </c>
      <c r="T638" s="26">
        <v>0</v>
      </c>
      <c r="U638" s="16"/>
      <c r="V638" s="16" t="str">
        <f>IFERROR(VLOOKUP(A638,'[2]19.6.2026'!$A$9:$L$1111,5,0),"")</f>
        <v>000173/LS-CCHN</v>
      </c>
      <c r="W638" s="16" t="str">
        <f>IFERROR(VLOOKUP(A638,'[2]19.6.2026'!$A$9:$L$1111,6,0),"")</f>
        <v>01/08/2012</v>
      </c>
      <c r="X638" s="16"/>
      <c r="Y638" s="21" t="str">
        <f>IFERROR(VLOOKUP(A638,'[2]19.6.2026'!$A$9:$L$1111,7,0),"")</f>
        <v>Thực hiện kỹ thuật chuyên môn về hình ảnh y học</v>
      </c>
      <c r="Z638" s="16"/>
      <c r="AA638" s="27" t="str">
        <f>IFERROR(VLOOKUP(A638,'[3]DS UPLOAD 2026 (2)'!$A$2:$P$1111,16,0),"")</f>
        <v/>
      </c>
      <c r="AB638" s="27">
        <v>985922666</v>
      </c>
      <c r="AC638" s="51"/>
    </row>
    <row r="639" spans="1:29" ht="18" customHeight="1" x14ac:dyDescent="0.35">
      <c r="A639" s="29" t="s">
        <v>3086</v>
      </c>
      <c r="B639" s="18" t="s">
        <v>3087</v>
      </c>
      <c r="C639" s="29" t="s">
        <v>3086</v>
      </c>
      <c r="D639" s="53"/>
      <c r="E639" s="19" t="s">
        <v>2337</v>
      </c>
      <c r="F639" s="16" t="str">
        <f>VLOOKUP(E639,'[1]BẢNG MÃ'!$A$2:$B$69,2,0)</f>
        <v>TĐ014</v>
      </c>
      <c r="G639" s="20" t="s">
        <v>2338</v>
      </c>
      <c r="H639" s="20" t="s">
        <v>2338</v>
      </c>
      <c r="I639" s="16" t="s">
        <v>1090</v>
      </c>
      <c r="J639" s="16" t="str">
        <f>VLOOKUP(I639,'[1]BẢNG MÃ'!$C$2:$D$69,2,0)</f>
        <v>KP034</v>
      </c>
      <c r="K639" s="16" t="s">
        <v>43</v>
      </c>
      <c r="L639" s="16">
        <v>0</v>
      </c>
      <c r="M639" s="16" t="s">
        <v>33</v>
      </c>
      <c r="N639" s="21">
        <f ca="1">VLOOKUP(A639,'[1]Bieu 1a'!$A$8:$AW$855,10,0)</f>
        <v>34</v>
      </c>
      <c r="O639" s="22">
        <f>VLOOKUP(A639,'[1]Bieu 1a'!$A$8:$AW$855,8,0)</f>
        <v>33634</v>
      </c>
      <c r="P639" s="22">
        <f>VLOOKUP(A639,'[1]Bieu 1a'!$A$8:$AW$855,9,0)</f>
        <v>0</v>
      </c>
      <c r="Q639" s="23" t="s">
        <v>34</v>
      </c>
      <c r="R639" s="24" t="str">
        <f>VLOOKUP(A639,'[1]Bieu 1a'!$A$8:$AW$855,23,0)</f>
        <v>11/01/2016</v>
      </c>
      <c r="S639" s="25" t="s">
        <v>3088</v>
      </c>
      <c r="T639" s="26" t="s">
        <v>3089</v>
      </c>
      <c r="U639" s="16"/>
      <c r="V639" s="16" t="str">
        <f>IFERROR(VLOOKUP(A639,'[2]19.6.2026'!$A$9:$L$1111,5,0),"")</f>
        <v>002106/LS-CCHN</v>
      </c>
      <c r="W639" s="16" t="str">
        <f>IFERROR(VLOOKUP(A639,'[2]19.6.2026'!$A$9:$L$1111,6,0),"")</f>
        <v>30/10/2017</v>
      </c>
      <c r="X639" s="16"/>
      <c r="Y639" s="21" t="str">
        <f>IFERROR(VLOOKUP(A639,'[2]19.6.2026'!$A$9:$L$1111,7,0),"")</f>
        <v>Kỹ thuật viên hình ảnh y học</v>
      </c>
      <c r="Z639" s="16"/>
      <c r="AA639" s="27" t="str">
        <f>IFERROR(VLOOKUP(A639,'[3]DS UPLOAD 2026 (2)'!$A$2:$P$1111,16,0),"")</f>
        <v/>
      </c>
      <c r="AB639" s="133">
        <v>357973696</v>
      </c>
      <c r="AC639" s="29" t="s">
        <v>3090</v>
      </c>
    </row>
    <row r="640" spans="1:29" ht="18" customHeight="1" x14ac:dyDescent="0.3">
      <c r="A640" s="17" t="s">
        <v>3091</v>
      </c>
      <c r="B640" s="18" t="s">
        <v>3092</v>
      </c>
      <c r="C640" s="17" t="s">
        <v>3091</v>
      </c>
      <c r="D640" s="19"/>
      <c r="E640" s="19" t="s">
        <v>2337</v>
      </c>
      <c r="F640" s="16" t="str">
        <f>VLOOKUP(E640,'[1]BẢNG MÃ'!$A$2:$B$69,2,0)</f>
        <v>TĐ014</v>
      </c>
      <c r="G640" s="20" t="s">
        <v>2338</v>
      </c>
      <c r="H640" s="20" t="s">
        <v>2338</v>
      </c>
      <c r="I640" s="16" t="s">
        <v>1090</v>
      </c>
      <c r="J640" s="16" t="str">
        <f>VLOOKUP(I640,'[1]BẢNG MÃ'!$C$2:$D$69,2,0)</f>
        <v>KP034</v>
      </c>
      <c r="K640" s="16" t="s">
        <v>43</v>
      </c>
      <c r="L640" s="16">
        <v>0</v>
      </c>
      <c r="M640" s="16" t="s">
        <v>33</v>
      </c>
      <c r="N640" s="21">
        <f ca="1">VLOOKUP(A640,'[1]Bieu 1a'!$A$8:$AW$855,10,0)</f>
        <v>43</v>
      </c>
      <c r="O640" s="22">
        <f>VLOOKUP(A640,'[1]Bieu 1a'!$A$8:$AW$855,8,0)</f>
        <v>30198</v>
      </c>
      <c r="P640" s="22">
        <f>VLOOKUP(A640,'[1]Bieu 1a'!$A$8:$AW$855,9,0)</f>
        <v>0</v>
      </c>
      <c r="Q640" s="23" t="s">
        <v>44</v>
      </c>
      <c r="R640" s="24" t="str">
        <f>VLOOKUP(A640,'[1]Bieu 1a'!$A$8:$AW$855,23,0)</f>
        <v>16/2/2005</v>
      </c>
      <c r="S640" s="25" t="s">
        <v>3093</v>
      </c>
      <c r="T640" s="26" t="s">
        <v>3094</v>
      </c>
      <c r="U640" s="16"/>
      <c r="V640" s="16" t="str">
        <f>IFERROR(VLOOKUP(A640,'[2]19.6.2026'!$A$9:$L$1111,5,0),"")</f>
        <v>000171/LS-CCHN</v>
      </c>
      <c r="W640" s="16" t="str">
        <f>IFERROR(VLOOKUP(A640,'[2]19.6.2026'!$A$9:$L$1111,6,0),"")</f>
        <v>01/08/2012</v>
      </c>
      <c r="X640" s="16"/>
      <c r="Y640" s="21" t="str">
        <f>IFERROR(VLOOKUP(A640,'[2]19.6.2026'!$A$9:$L$1111,7,0),"")</f>
        <v>Thực hiện kỹ thuật chuyên môn về hình ảnh y học</v>
      </c>
      <c r="Z640" s="16"/>
      <c r="AA640" s="27" t="str">
        <f>IFERROR(VLOOKUP(A640,'[3]DS UPLOAD 2026 (2)'!$A$2:$P$1111,16,0),"")</f>
        <v/>
      </c>
      <c r="AB640" s="27" t="s">
        <v>3095</v>
      </c>
      <c r="AC640" s="28"/>
    </row>
    <row r="641" spans="1:29" ht="18" customHeight="1" x14ac:dyDescent="0.3">
      <c r="A641" s="17" t="s">
        <v>3096</v>
      </c>
      <c r="B641" s="18" t="s">
        <v>3097</v>
      </c>
      <c r="C641" s="17" t="s">
        <v>3096</v>
      </c>
      <c r="D641" s="19"/>
      <c r="E641" s="19" t="s">
        <v>2344</v>
      </c>
      <c r="F641" s="16" t="str">
        <f>VLOOKUP(E641,'[1]BẢNG MÃ'!$A$2:$B$69,2,0)</f>
        <v>TĐ015</v>
      </c>
      <c r="G641" s="20" t="s">
        <v>2345</v>
      </c>
      <c r="H641" s="20" t="s">
        <v>2345</v>
      </c>
      <c r="I641" s="16" t="s">
        <v>1090</v>
      </c>
      <c r="J641" s="16" t="str">
        <f>VLOOKUP(I641,'[1]BẢNG MÃ'!$C$2:$D$69,2,0)</f>
        <v>KP034</v>
      </c>
      <c r="K641" s="16" t="s">
        <v>43</v>
      </c>
      <c r="L641" s="16">
        <v>0</v>
      </c>
      <c r="M641" s="16" t="s">
        <v>33</v>
      </c>
      <c r="N641" s="21">
        <f ca="1">VLOOKUP(A641,'[1]Bieu 1a'!$A$8:$AW$855,10,0)</f>
        <v>53</v>
      </c>
      <c r="O641" s="22">
        <f>VLOOKUP(A641,'[1]Bieu 1a'!$A$8:$AW$855,8,0)</f>
        <v>26764</v>
      </c>
      <c r="P641" s="22">
        <f>VLOOKUP(A641,'[1]Bieu 1a'!$A$8:$AW$855,9,0)</f>
        <v>0</v>
      </c>
      <c r="Q641" s="23" t="s">
        <v>50</v>
      </c>
      <c r="R641" s="24" t="str">
        <f>VLOOKUP(A641,'[1]Bieu 1a'!$A$8:$AW$855,23,0)</f>
        <v>1/1/1998</v>
      </c>
      <c r="S641" s="25" t="s">
        <v>3098</v>
      </c>
      <c r="T641" s="26" t="s">
        <v>3099</v>
      </c>
      <c r="U641" s="16"/>
      <c r="V641" s="16" t="str">
        <f>IFERROR(VLOOKUP(A641,'[2]19.6.2026'!$A$9:$L$1111,5,0),"")</f>
        <v>001076/LS-CCHN</v>
      </c>
      <c r="W641" s="16" t="str">
        <f>IFERROR(VLOOKUP(A641,'[2]19.6.2026'!$A$9:$L$1111,6,0),"")</f>
        <v>24/06/2013</v>
      </c>
      <c r="X641" s="16"/>
      <c r="Y641" s="21" t="str">
        <f>IFERROR(VLOOKUP(A641,'[2]19.6.2026'!$A$9:$L$1111,7,0),"")</f>
        <v>Theo quy định tại Thông tư số 23/2009/TT-BYT ngày 01/12/2009 của Bộ Y tế ban hành tiêu chuẩn nghiệp vụ các ngạch viên chức kỹ thuật y học</v>
      </c>
      <c r="Z641" s="16"/>
      <c r="AA641" s="27" t="str">
        <f>IFERROR(VLOOKUP(A641,'[3]DS UPLOAD 2026 (2)'!$A$2:$P$1111,16,0),"")</f>
        <v/>
      </c>
      <c r="AB641" s="27" t="s">
        <v>3100</v>
      </c>
      <c r="AC641" s="28"/>
    </row>
    <row r="642" spans="1:29" ht="16.5" customHeight="1" x14ac:dyDescent="0.3">
      <c r="A642" s="17" t="s">
        <v>3101</v>
      </c>
      <c r="B642" s="38" t="s">
        <v>3102</v>
      </c>
      <c r="C642" s="17" t="s">
        <v>3101</v>
      </c>
      <c r="D642" s="53"/>
      <c r="E642" s="19" t="s">
        <v>2344</v>
      </c>
      <c r="F642" s="16" t="str">
        <f>VLOOKUP(E642,'[1]BẢNG MÃ'!$A$2:$B$69,2,0)</f>
        <v>TĐ015</v>
      </c>
      <c r="G642" s="134"/>
      <c r="H642" s="134" t="s">
        <v>2345</v>
      </c>
      <c r="I642" s="16" t="s">
        <v>1090</v>
      </c>
      <c r="J642" s="16" t="str">
        <f>VLOOKUP(I642,'[1]BẢNG MÃ'!$C$2:$D$69,2,0)</f>
        <v>KP034</v>
      </c>
      <c r="K642" s="37"/>
      <c r="L642" s="16"/>
      <c r="M642" s="23" t="s">
        <v>33</v>
      </c>
      <c r="N642" s="21">
        <f ca="1">VLOOKUP(A642,'[1]Bieu 1a'!$A$8:$AW$855,10,0)</f>
        <v>30</v>
      </c>
      <c r="O642" s="22" t="str">
        <f>VLOOKUP(A642,'[1]Bieu 1a'!$A$8:$AW$855,8,0)</f>
        <v>10/02/1996</v>
      </c>
      <c r="P642" s="22">
        <f>VLOOKUP(A642,'[1]Bieu 1a'!$A$8:$AW$855,9,0)</f>
        <v>0</v>
      </c>
      <c r="Q642" s="23" t="s">
        <v>34</v>
      </c>
      <c r="R642" s="24" t="str">
        <f>VLOOKUP(A642,'[1]Bieu 1a'!$A$8:$AW$855,23,0)</f>
        <v>05/9/2018</v>
      </c>
      <c r="S642" s="25" t="s">
        <v>3103</v>
      </c>
      <c r="T642" s="26">
        <v>0</v>
      </c>
      <c r="U642" s="16"/>
      <c r="V642" s="16" t="str">
        <f>IFERROR(VLOOKUP(A642,'[2]19.6.2026'!$A$9:$L$1111,5,0),"")</f>
        <v>003798/LS-CCHN</v>
      </c>
      <c r="W642" s="16" t="str">
        <f>IFERROR(VLOOKUP(A642,'[2]19.6.2026'!$A$9:$L$1111,6,0),"")</f>
        <v>21/07/2020</v>
      </c>
      <c r="X642" s="16"/>
      <c r="Y642" s="21" t="str">
        <f>IFERROR(VLOOKUP(A642,'[2]19.6.2026'!$A$9:$L$1111,7,0),"")</f>
        <v>Thực hiện phạm vi hoạt động chuyên môn theo quy định tại Thông tư số 26/2015/TTLT-BYT-BNV ngày 07/10/2015 quy định mã số, tiêu chuẩn chức danh nghề nghiệp điều dưỡng, hộ sinh, kỹ thuật y</v>
      </c>
      <c r="Z642" s="16"/>
      <c r="AA642" s="27" t="str">
        <f>IFERROR(VLOOKUP(A642,'[3]DS UPLOAD 2026 (2)'!$A$2:$P$1111,16,0),"")</f>
        <v/>
      </c>
      <c r="AB642" s="27">
        <v>354349630</v>
      </c>
      <c r="AC642" s="29" t="s">
        <v>3104</v>
      </c>
    </row>
    <row r="643" spans="1:29" ht="16.5" customHeight="1" x14ac:dyDescent="0.3">
      <c r="A643" s="17" t="s">
        <v>3105</v>
      </c>
      <c r="B643" s="18" t="s">
        <v>3106</v>
      </c>
      <c r="C643" s="17" t="s">
        <v>3105</v>
      </c>
      <c r="D643" s="19"/>
      <c r="E643" s="19" t="s">
        <v>2344</v>
      </c>
      <c r="F643" s="16" t="str">
        <f>VLOOKUP(E643,'[1]BẢNG MÃ'!$A$2:$B$69,2,0)</f>
        <v>TĐ015</v>
      </c>
      <c r="G643" s="20" t="s">
        <v>2345</v>
      </c>
      <c r="H643" s="20" t="s">
        <v>2345</v>
      </c>
      <c r="I643" s="16" t="s">
        <v>1090</v>
      </c>
      <c r="J643" s="16" t="str">
        <f>VLOOKUP(I643,'[1]BẢNG MÃ'!$C$2:$D$69,2,0)</f>
        <v>KP034</v>
      </c>
      <c r="K643" s="16" t="s">
        <v>43</v>
      </c>
      <c r="L643" s="16">
        <v>0</v>
      </c>
      <c r="M643" s="16" t="s">
        <v>33</v>
      </c>
      <c r="N643" s="21">
        <f ca="1">VLOOKUP(A643,'[1]Bieu 1a'!$A$8:$AW$855,10,0)</f>
        <v>41</v>
      </c>
      <c r="O643" s="22">
        <f>VLOOKUP(A643,'[1]Bieu 1a'!$A$8:$AW$855,8,0)</f>
        <v>31106</v>
      </c>
      <c r="P643" s="22">
        <f>VLOOKUP(A643,'[1]Bieu 1a'!$A$8:$AW$855,9,0)</f>
        <v>0</v>
      </c>
      <c r="Q643" s="23" t="s">
        <v>50</v>
      </c>
      <c r="R643" s="24" t="str">
        <f>VLOOKUP(A643,'[1]Bieu 1a'!$A$8:$AW$855,23,0)</f>
        <v>1/12/2008</v>
      </c>
      <c r="S643" s="25" t="s">
        <v>3107</v>
      </c>
      <c r="T643" s="26" t="s">
        <v>3108</v>
      </c>
      <c r="U643" s="16"/>
      <c r="V643" s="16" t="str">
        <f>IFERROR(VLOOKUP(A643,'[2]19.6.2026'!$A$9:$L$1111,5,0),"")</f>
        <v>001079/LS-CCHN</v>
      </c>
      <c r="W643" s="16" t="str">
        <f>IFERROR(VLOOKUP(A643,'[2]19.6.2026'!$A$9:$L$1111,6,0),"")</f>
        <v>11/12/2022</v>
      </c>
      <c r="X643" s="16"/>
      <c r="Y643" s="21" t="str">
        <f>IFERROR(VLOOKUP(A643,'[2]19.6.2026'!$A$9:$L$1111,7,0),"")</f>
        <v>Thực hiện phạm vi hoạt động chuyên môn theo quy định tại Thông tư số 26/2015/TTLT-BYT-BNV ngày 07/10/2015 quy định mã số, tiêu chuẩn chức danh nghề nghiệp điều dưỡng, hộ sinh, kỹ thuật y</v>
      </c>
      <c r="Z643" s="16"/>
      <c r="AA643" s="27" t="str">
        <f>IFERROR(VLOOKUP(A643,'[3]DS UPLOAD 2026 (2)'!$A$2:$P$1111,16,0),"")</f>
        <v/>
      </c>
      <c r="AB643" s="27" t="s">
        <v>3109</v>
      </c>
      <c r="AC643" s="28"/>
    </row>
    <row r="644" spans="1:29" ht="16.5" customHeight="1" x14ac:dyDescent="0.3">
      <c r="A644" s="17" t="s">
        <v>3110</v>
      </c>
      <c r="B644" s="18" t="s">
        <v>3111</v>
      </c>
      <c r="C644" s="17" t="s">
        <v>3110</v>
      </c>
      <c r="D644" s="19"/>
      <c r="E644" s="19" t="s">
        <v>2344</v>
      </c>
      <c r="F644" s="16" t="str">
        <f>VLOOKUP(E644,'[1]BẢNG MÃ'!$A$2:$B$69,2,0)</f>
        <v>TĐ015</v>
      </c>
      <c r="G644" s="20" t="s">
        <v>2345</v>
      </c>
      <c r="H644" s="20" t="s">
        <v>2345</v>
      </c>
      <c r="I644" s="16" t="s">
        <v>1090</v>
      </c>
      <c r="J644" s="16" t="str">
        <f>VLOOKUP(I644,'[1]BẢNG MÃ'!$C$2:$D$69,2,0)</f>
        <v>KP034</v>
      </c>
      <c r="K644" s="16" t="s">
        <v>43</v>
      </c>
      <c r="L644" s="16">
        <v>0</v>
      </c>
      <c r="M644" s="16" t="s">
        <v>33</v>
      </c>
      <c r="N644" s="21">
        <f ca="1">VLOOKUP(A644,'[1]Bieu 1a'!$A$8:$AW$855,10,0)</f>
        <v>51</v>
      </c>
      <c r="O644" s="22">
        <f>VLOOKUP(A644,'[1]Bieu 1a'!$A$8:$AW$855,8,0)</f>
        <v>27518</v>
      </c>
      <c r="P644" s="22">
        <f>VLOOKUP(A644,'[1]Bieu 1a'!$A$8:$AW$855,9,0)</f>
        <v>0</v>
      </c>
      <c r="Q644" s="23" t="s">
        <v>50</v>
      </c>
      <c r="R644" s="24" t="str">
        <f>VLOOKUP(A644,'[1]Bieu 1a'!$A$8:$AW$855,23,0)</f>
        <v>17/11/2003</v>
      </c>
      <c r="S644" s="25" t="s">
        <v>3112</v>
      </c>
      <c r="T644" s="26" t="s">
        <v>3113</v>
      </c>
      <c r="U644" s="16"/>
      <c r="V644" s="16" t="str">
        <f>IFERROR(VLOOKUP(A644,'[2]19.6.2026'!$A$9:$L$1111,5,0),"")</f>
        <v>001078/LS-CCHN</v>
      </c>
      <c r="W644" s="16" t="str">
        <f>IFERROR(VLOOKUP(A644,'[2]19.6.2026'!$A$9:$L$1111,6,0),"")</f>
        <v>11/12/2022</v>
      </c>
      <c r="X644" s="16"/>
      <c r="Y644" s="21" t="str">
        <f>IFERROR(VLOOKUP(A644,'[2]19.6.2026'!$A$9:$L$1111,7,0),"")</f>
        <v>Thực hiện phạm vi hoạt động chuyên môn theo quy định tại Thông tư số 26/2015/TTLT-BYT-BNV ngày 07/10/2015 quy định mã số, tiêu chuẩn chức danh nghề nghiệp điều dưỡng, hộ sinh, kỹ thuật y</v>
      </c>
      <c r="Z644" s="16"/>
      <c r="AA644" s="27" t="str">
        <f>IFERROR(VLOOKUP(A644,'[3]DS UPLOAD 2026 (2)'!$A$2:$P$1111,16,0),"")</f>
        <v/>
      </c>
      <c r="AB644" s="27" t="s">
        <v>3114</v>
      </c>
      <c r="AC644" s="28"/>
    </row>
    <row r="645" spans="1:29" ht="16.5" customHeight="1" x14ac:dyDescent="0.3">
      <c r="A645" s="17" t="s">
        <v>3115</v>
      </c>
      <c r="B645" s="18" t="s">
        <v>3116</v>
      </c>
      <c r="C645" s="17" t="s">
        <v>3115</v>
      </c>
      <c r="D645" s="19"/>
      <c r="E645" s="19" t="s">
        <v>2344</v>
      </c>
      <c r="F645" s="16" t="str">
        <f>VLOOKUP(E645,'[1]BẢNG MÃ'!$A$2:$B$69,2,0)</f>
        <v>TĐ015</v>
      </c>
      <c r="G645" s="20" t="s">
        <v>2345</v>
      </c>
      <c r="H645" s="20" t="s">
        <v>2345</v>
      </c>
      <c r="I645" s="16" t="s">
        <v>1090</v>
      </c>
      <c r="J645" s="16" t="str">
        <f>VLOOKUP(I645,'[1]BẢNG MÃ'!$C$2:$D$69,2,0)</f>
        <v>KP034</v>
      </c>
      <c r="K645" s="16" t="s">
        <v>43</v>
      </c>
      <c r="L645" s="16">
        <v>0</v>
      </c>
      <c r="M645" s="16" t="s">
        <v>33</v>
      </c>
      <c r="N645" s="21">
        <f ca="1">VLOOKUP(A645,'[1]Bieu 1a'!$A$8:$AW$855,10,0)</f>
        <v>42</v>
      </c>
      <c r="O645" s="22">
        <f>VLOOKUP(A645,'[1]Bieu 1a'!$A$8:$AW$855,8,0)</f>
        <v>30612</v>
      </c>
      <c r="P645" s="22">
        <f>VLOOKUP(A645,'[1]Bieu 1a'!$A$8:$AW$855,9,0)</f>
        <v>0</v>
      </c>
      <c r="Q645" s="23" t="s">
        <v>50</v>
      </c>
      <c r="R645" s="24" t="str">
        <f>VLOOKUP(A645,'[1]Bieu 1a'!$A$8:$AW$855,23,0)</f>
        <v>07/11/2006</v>
      </c>
      <c r="S645" s="25" t="s">
        <v>3117</v>
      </c>
      <c r="T645" s="26">
        <v>0</v>
      </c>
      <c r="U645" s="16"/>
      <c r="V645" s="16" t="str">
        <f>IFERROR(VLOOKUP(A645,'[2]19.6.2026'!$A$9:$L$1111,5,0),"")</f>
        <v>001077/LS-CCHN</v>
      </c>
      <c r="W645" s="16" t="str">
        <f>IFERROR(VLOOKUP(A645,'[2]19.6.2026'!$A$9:$L$1111,6,0),"")</f>
        <v>24/06/2013</v>
      </c>
      <c r="X645" s="16"/>
      <c r="Y645" s="21" t="str">
        <f>IFERROR(VLOOKUP(A645,'[2]19.6.2026'!$A$9:$L$1111,7,0),"")</f>
        <v>Theo quy định tại Thông tư số 23/2009/TT-BYT ngày 01/12/2009 của Bộ Y tế ban hành tiêu chuẩn nghiệp vụ các ngạch viên chức kỹ thuật y học</v>
      </c>
      <c r="Z645" s="16"/>
      <c r="AA645" s="27" t="str">
        <f>IFERROR(VLOOKUP(A645,'[3]DS UPLOAD 2026 (2)'!$A$2:$P$1111,16,0),"")</f>
        <v/>
      </c>
      <c r="AB645" s="27" t="s">
        <v>3118</v>
      </c>
      <c r="AC645" s="28"/>
    </row>
    <row r="646" spans="1:29" ht="16.5" customHeight="1" x14ac:dyDescent="0.3">
      <c r="A646" s="46" t="s">
        <v>3119</v>
      </c>
      <c r="B646" s="28" t="s">
        <v>3120</v>
      </c>
      <c r="C646" s="47" t="s">
        <v>3119</v>
      </c>
      <c r="D646" s="23"/>
      <c r="E646" s="23" t="s">
        <v>2344</v>
      </c>
      <c r="F646" s="16" t="str">
        <f>VLOOKUP(E646,'[1]BẢNG MÃ'!$A$2:$B$69,2,0)</f>
        <v>TĐ015</v>
      </c>
      <c r="G646" s="48"/>
      <c r="H646" s="48" t="s">
        <v>2345</v>
      </c>
      <c r="I646" s="19" t="s">
        <v>1090</v>
      </c>
      <c r="J646" s="16" t="str">
        <f>VLOOKUP(I646,'[1]BẢNG MÃ'!$C$2:$D$69,2,0)</f>
        <v>KP034</v>
      </c>
      <c r="K646" s="23"/>
      <c r="L646" s="23"/>
      <c r="M646" s="16" t="s">
        <v>136</v>
      </c>
      <c r="N646" s="21">
        <f ca="1">VLOOKUP(A646,'[1]Bieu 1a'!$A$8:$AW$855,10,0)</f>
        <v>23</v>
      </c>
      <c r="O646" s="22">
        <f>VLOOKUP(A646,'[1]Bieu 1a'!$A$8:$AW$855,8,0)</f>
        <v>37564</v>
      </c>
      <c r="P646" s="22">
        <f>VLOOKUP(A646,'[1]Bieu 1a'!$A$8:$AW$855,9,0)</f>
        <v>0</v>
      </c>
      <c r="Q646" s="23" t="s">
        <v>34</v>
      </c>
      <c r="R646" s="24" t="str">
        <f>VLOOKUP(A646,'[1]Bieu 1a'!$A$8:$AW$855,23,0)</f>
        <v>15/4/2024</v>
      </c>
      <c r="S646" s="25" t="s">
        <v>3121</v>
      </c>
      <c r="T646" s="26">
        <v>0</v>
      </c>
      <c r="U646" s="49">
        <v>45689</v>
      </c>
      <c r="V646" s="16" t="str">
        <f>IFERROR(VLOOKUP(A646,'[2]19.6.2026'!$A$9:$L$1111,5,0),"")</f>
        <v>000352/LS-GPHN</v>
      </c>
      <c r="W646" s="16">
        <f>IFERROR(VLOOKUP(A646,'[2]19.6.2026'!$A$9:$L$1111,6,0),"")</f>
        <v>45917</v>
      </c>
      <c r="X646" s="16"/>
      <c r="Y646" s="21" t="str">
        <f>IFERROR(VLOOKUP(A646,'[2]19.6.2026'!$A$9:$L$1111,7,0),"")</f>
        <v>Hình ảnh y học</v>
      </c>
      <c r="Z646" s="16"/>
      <c r="AA646" s="27" t="str">
        <f>IFERROR(VLOOKUP(A646,'[3]DS UPLOAD 2026 (2)'!$A$2:$P$1111,16,0),"")</f>
        <v/>
      </c>
      <c r="AB646" s="50" t="s">
        <v>3122</v>
      </c>
      <c r="AC646" s="51" t="s">
        <v>198</v>
      </c>
    </row>
    <row r="647" spans="1:29" ht="16.5" customHeight="1" x14ac:dyDescent="0.3">
      <c r="A647" s="17" t="s">
        <v>3123</v>
      </c>
      <c r="B647" s="18" t="s">
        <v>3124</v>
      </c>
      <c r="C647" s="17" t="s">
        <v>3123</v>
      </c>
      <c r="D647" s="19" t="s">
        <v>38</v>
      </c>
      <c r="E647" s="19" t="s">
        <v>121</v>
      </c>
      <c r="F647" s="16" t="str">
        <f>VLOOKUP(E647,'[1]BẢNG MÃ'!$A$2:$B$69,2,0)</f>
        <v>TĐ018</v>
      </c>
      <c r="G647" s="20" t="s">
        <v>122</v>
      </c>
      <c r="H647" s="20" t="s">
        <v>122</v>
      </c>
      <c r="I647" s="16" t="s">
        <v>1090</v>
      </c>
      <c r="J647" s="16" t="str">
        <f>VLOOKUP(I647,'[1]BẢNG MÃ'!$C$2:$D$69,2,0)</f>
        <v>KP034</v>
      </c>
      <c r="K647" s="16" t="s">
        <v>43</v>
      </c>
      <c r="L647" s="16">
        <v>0</v>
      </c>
      <c r="M647" s="16" t="s">
        <v>33</v>
      </c>
      <c r="N647" s="21">
        <f ca="1">VLOOKUP(A647,'[1]Bieu 1a'!$A$8:$AW$855,10,0)</f>
        <v>42</v>
      </c>
      <c r="O647" s="22">
        <f>VLOOKUP(A647,'[1]Bieu 1a'!$A$8:$AW$855,8,0)</f>
        <v>0</v>
      </c>
      <c r="P647" s="22">
        <f>VLOOKUP(A647,'[1]Bieu 1a'!$A$8:$AW$855,9,0)</f>
        <v>30553</v>
      </c>
      <c r="Q647" s="23" t="s">
        <v>34</v>
      </c>
      <c r="R647" s="24" t="str">
        <f>VLOOKUP(A647,'[1]Bieu 1a'!$A$8:$AW$855,23,0)</f>
        <v>15/1/2010</v>
      </c>
      <c r="S647" s="25" t="s">
        <v>3125</v>
      </c>
      <c r="T647" s="26" t="s">
        <v>3126</v>
      </c>
      <c r="U647" s="16"/>
      <c r="V647" s="16" t="str">
        <f>IFERROR(VLOOKUP(A647,'[2]19.6.2026'!$A$9:$L$1111,5,0),"")</f>
        <v>000745/LS-CCHN</v>
      </c>
      <c r="W647" s="16" t="str">
        <f>IFERROR(VLOOKUP(A647,'[2]19.6.2026'!$A$9:$L$1111,6,0),"")</f>
        <v/>
      </c>
      <c r="X647" s="16"/>
      <c r="Y647" s="21" t="str">
        <f>IFERROR(VLOOKUP(A647,'[2]19.6.2026'!$A$9:$L$1111,7,0),"")</f>
        <v>Theo Quy định tại Thông tư số 12/2011/TT-BYT ngày 15/3/2011 của Bộ Y tế quy định tiêu chuẩn các ngạch viên chức hộ sinh</v>
      </c>
      <c r="Z647" s="16"/>
      <c r="AA647" s="27" t="str">
        <f>IFERROR(VLOOKUP(A647,'[3]DS UPLOAD 2026 (2)'!$A$2:$P$1111,16,0),"")</f>
        <v/>
      </c>
      <c r="AB647" s="27" t="s">
        <v>3127</v>
      </c>
      <c r="AC647" s="54"/>
    </row>
    <row r="648" spans="1:29" ht="16.5" customHeight="1" x14ac:dyDescent="0.3">
      <c r="A648" s="17" t="s">
        <v>3128</v>
      </c>
      <c r="B648" s="18" t="s">
        <v>3129</v>
      </c>
      <c r="C648" s="17" t="s">
        <v>3128</v>
      </c>
      <c r="D648" s="19" t="s">
        <v>38</v>
      </c>
      <c r="E648" s="19" t="s">
        <v>128</v>
      </c>
      <c r="F648" s="16" t="str">
        <f>VLOOKUP(E648,'[1]BẢNG MÃ'!$A$2:$B$69,2,0)</f>
        <v>TĐ047</v>
      </c>
      <c r="G648" s="20"/>
      <c r="H648" s="19" t="s">
        <v>128</v>
      </c>
      <c r="I648" s="16" t="s">
        <v>1090</v>
      </c>
      <c r="J648" s="16" t="str">
        <f>VLOOKUP(I648,'[1]BẢNG MÃ'!$C$2:$D$69,2,0)</f>
        <v>KP034</v>
      </c>
      <c r="K648" s="16"/>
      <c r="L648" s="16">
        <v>0</v>
      </c>
      <c r="M648" s="16" t="s">
        <v>129</v>
      </c>
      <c r="N648" s="21">
        <f ca="1">VLOOKUP(A648,'[1]Bieu 1a'!$A$8:$AW$855,10,0)</f>
        <v>55</v>
      </c>
      <c r="O648" s="22">
        <f>VLOOKUP(A648,'[1]Bieu 1a'!$A$8:$AW$855,8,0)</f>
        <v>0</v>
      </c>
      <c r="P648" s="22">
        <f>VLOOKUP(A648,'[1]Bieu 1a'!$A$8:$AW$855,9,0)</f>
        <v>26012</v>
      </c>
      <c r="Q648" s="23" t="s">
        <v>50</v>
      </c>
      <c r="R648" s="24" t="str">
        <f>VLOOKUP(A648,'[1]Bieu 1a'!$A$8:$AW$855,23,0)</f>
        <v>8/11/1993</v>
      </c>
      <c r="S648" s="25" t="s">
        <v>3130</v>
      </c>
      <c r="T648" s="26" t="s">
        <v>3131</v>
      </c>
      <c r="U648" s="16"/>
      <c r="V648" s="16" t="str">
        <f>IFERROR(VLOOKUP(A648,'[2]19.6.2026'!$A$9:$L$1111,5,0),"")</f>
        <v/>
      </c>
      <c r="W648" s="16" t="str">
        <f>IFERROR(VLOOKUP(A648,'[2]19.6.2026'!$A$9:$L$1111,6,0),"")</f>
        <v/>
      </c>
      <c r="X648" s="16"/>
      <c r="Y648" s="21" t="str">
        <f>IFERROR(VLOOKUP(A648,'[2]19.6.2026'!$A$9:$L$1111,7,0),"")</f>
        <v/>
      </c>
      <c r="Z648" s="16"/>
      <c r="AA648" s="27" t="str">
        <f>IFERROR(VLOOKUP(A648,'[3]DS UPLOAD 2026 (2)'!$A$2:$P$1111,16,0),"")</f>
        <v/>
      </c>
      <c r="AB648" s="27" t="s">
        <v>3132</v>
      </c>
      <c r="AC648" s="28" t="s">
        <v>133</v>
      </c>
    </row>
    <row r="649" spans="1:29" ht="16.5" customHeight="1" x14ac:dyDescent="0.3">
      <c r="A649" s="17" t="s">
        <v>3133</v>
      </c>
      <c r="B649" s="18" t="s">
        <v>3134</v>
      </c>
      <c r="C649" s="17" t="s">
        <v>3133</v>
      </c>
      <c r="D649" s="19"/>
      <c r="E649" s="19" t="s">
        <v>160</v>
      </c>
      <c r="F649" s="16" t="str">
        <f>VLOOKUP(E649,'[1]BẢNG MÃ'!$A$2:$B$69,2,0)</f>
        <v>TĐ003</v>
      </c>
      <c r="G649" s="20" t="s">
        <v>29</v>
      </c>
      <c r="H649" s="20" t="s">
        <v>29</v>
      </c>
      <c r="I649" s="16" t="s">
        <v>3135</v>
      </c>
      <c r="J649" s="16" t="str">
        <f>VLOOKUP(I649,'[1]BẢNG MÃ'!$C$2:$D$69,2,0)</f>
        <v>KP035</v>
      </c>
      <c r="K649" s="16" t="s">
        <v>31</v>
      </c>
      <c r="L649" s="16" t="s">
        <v>148</v>
      </c>
      <c r="M649" s="16" t="s">
        <v>33</v>
      </c>
      <c r="N649" s="21">
        <f ca="1">VLOOKUP(A649,'[1]Bieu 1a'!$A$8:$AW$855,10,0)</f>
        <v>57</v>
      </c>
      <c r="O649" s="22">
        <f>VLOOKUP(A649,'[1]Bieu 1a'!$A$8:$AW$855,8,0)</f>
        <v>25121</v>
      </c>
      <c r="P649" s="22">
        <f>VLOOKUP(A649,'[1]Bieu 1a'!$A$8:$AW$855,9,0)</f>
        <v>0</v>
      </c>
      <c r="Q649" s="23" t="s">
        <v>50</v>
      </c>
      <c r="R649" s="24" t="str">
        <f>VLOOKUP(A649,'[1]Bieu 1a'!$A$8:$AW$855,23,0)</f>
        <v>1/7/1992</v>
      </c>
      <c r="S649" s="25" t="s">
        <v>3136</v>
      </c>
      <c r="T649" s="26" t="s">
        <v>3137</v>
      </c>
      <c r="U649" s="16"/>
      <c r="V649" s="16" t="str">
        <f>IFERROR(VLOOKUP(A649,'[2]19.6.2026'!$A$9:$L$1111,5,0),"")</f>
        <v>000072/LS-CCHN</v>
      </c>
      <c r="W649" s="16" t="str">
        <f>IFERROR(VLOOKUP(A649,'[2]19.6.2026'!$A$9:$L$1111,6,0),"")</f>
        <v>11/01/2023</v>
      </c>
      <c r="X649" s="16"/>
      <c r="Y649" s="21" t="str">
        <f>IFERROR(VLOOKUP(A649,'[2]19.6.2026'!$A$9:$L$1111,7,0),"")</f>
        <v>Bác sĩ chuyên khoa Giải phẫu bệnh</v>
      </c>
      <c r="Z649" s="16"/>
      <c r="AA649" s="27" t="str">
        <f>IFERROR(VLOOKUP(A649,'[3]DS UPLOAD 2026 (2)'!$A$2:$P$1111,16,0),"")</f>
        <v/>
      </c>
      <c r="AB649" s="27" t="s">
        <v>3138</v>
      </c>
      <c r="AC649" s="28"/>
    </row>
    <row r="650" spans="1:29" ht="16.5" customHeight="1" x14ac:dyDescent="0.3">
      <c r="A650" s="17" t="s">
        <v>3139</v>
      </c>
      <c r="B650" s="29" t="s">
        <v>3140</v>
      </c>
      <c r="C650" s="17" t="s">
        <v>3139</v>
      </c>
      <c r="D650" s="19" t="s">
        <v>38</v>
      </c>
      <c r="E650" s="19" t="s">
        <v>160</v>
      </c>
      <c r="F650" s="16" t="str">
        <f>VLOOKUP(E650,'[1]BẢNG MÃ'!$A$2:$B$69,2,0)</f>
        <v>TĐ003</v>
      </c>
      <c r="G650" s="20" t="s">
        <v>161</v>
      </c>
      <c r="H650" s="20" t="s">
        <v>161</v>
      </c>
      <c r="I650" s="16" t="s">
        <v>3135</v>
      </c>
      <c r="J650" s="16" t="str">
        <f>VLOOKUP(I650,'[1]BẢNG MÃ'!$C$2:$D$69,2,0)</f>
        <v>KP035</v>
      </c>
      <c r="K650" s="16" t="s">
        <v>31</v>
      </c>
      <c r="L650" s="16" t="s">
        <v>154</v>
      </c>
      <c r="M650" s="16" t="s">
        <v>33</v>
      </c>
      <c r="N650" s="21">
        <f ca="1">VLOOKUP(A650,'[1]Bieu 1a'!$A$8:$AW$855,10,0)</f>
        <v>40</v>
      </c>
      <c r="O650" s="22">
        <f>VLOOKUP(A650,'[1]Bieu 1a'!$A$8:$AW$855,8,0)</f>
        <v>0</v>
      </c>
      <c r="P650" s="22" t="str">
        <f>VLOOKUP(A650,'[1]Bieu 1a'!$A$8:$AW$855,9,0)</f>
        <v>08/02/1986</v>
      </c>
      <c r="Q650" s="23" t="s">
        <v>34</v>
      </c>
      <c r="R650" s="24" t="str">
        <f>VLOOKUP(A650,'[1]Bieu 1a'!$A$8:$AW$855,23,0)</f>
        <v>05/6/2013</v>
      </c>
      <c r="S650" s="25" t="s">
        <v>3141</v>
      </c>
      <c r="T650" s="26" t="s">
        <v>3142</v>
      </c>
      <c r="U650" s="16"/>
      <c r="V650" s="16" t="str">
        <f>IFERROR(VLOOKUP(A650,'[2]19.6.2026'!$A$9:$L$1111,5,0),"")</f>
        <v>003390/LS-CCHN</v>
      </c>
      <c r="W650" s="16" t="str">
        <f>IFERROR(VLOOKUP(A650,'[2]19.6.2026'!$A$9:$L$1111,6,0),"")</f>
        <v>21/11/2018</v>
      </c>
      <c r="X650" s="16"/>
      <c r="Y650" s="21" t="str">
        <f>IFERROR(VLOOKUP(A650,'[2]19.6.2026'!$A$9:$L$1111,7,0),"")</f>
        <v>Chuyên khoa xét nghiệm; chuyên khoa Giải phẫu bệnh</v>
      </c>
      <c r="Z650" s="16"/>
      <c r="AA650" s="27" t="str">
        <f>IFERROR(VLOOKUP(A650,'[3]DS UPLOAD 2026 (2)'!$A$2:$P$1111,16,0),"")</f>
        <v/>
      </c>
      <c r="AB650" s="27" t="s">
        <v>3143</v>
      </c>
      <c r="AC650" s="28" t="s">
        <v>3144</v>
      </c>
    </row>
    <row r="651" spans="1:29" ht="16.5" customHeight="1" x14ac:dyDescent="0.3">
      <c r="A651" s="17" t="s">
        <v>3145</v>
      </c>
      <c r="B651" s="18" t="s">
        <v>3146</v>
      </c>
      <c r="C651" s="17" t="s">
        <v>3145</v>
      </c>
      <c r="D651" s="19" t="s">
        <v>38</v>
      </c>
      <c r="E651" s="30" t="s">
        <v>41</v>
      </c>
      <c r="F651" s="16" t="str">
        <f>VLOOKUP(E651,'[1]BẢNG MÃ'!$A$2:$B$69,2,0)</f>
        <v>TĐ011</v>
      </c>
      <c r="G651" s="31" t="s">
        <v>42</v>
      </c>
      <c r="H651" s="31" t="s">
        <v>42</v>
      </c>
      <c r="I651" s="16" t="s">
        <v>3135</v>
      </c>
      <c r="J651" s="16" t="str">
        <f>VLOOKUP(I651,'[1]BẢNG MÃ'!$C$2:$D$69,2,0)</f>
        <v>KP035</v>
      </c>
      <c r="K651" s="16" t="s">
        <v>31</v>
      </c>
      <c r="L651" s="16" t="s">
        <v>201</v>
      </c>
      <c r="M651" s="16" t="s">
        <v>33</v>
      </c>
      <c r="N651" s="21">
        <f ca="1">VLOOKUP(A651,'[1]Bieu 1a'!$A$8:$AW$855,10,0)</f>
        <v>44</v>
      </c>
      <c r="O651" s="22">
        <f>VLOOKUP(A651,'[1]Bieu 1a'!$A$8:$AW$855,8,0)</f>
        <v>0</v>
      </c>
      <c r="P651" s="22">
        <f>VLOOKUP(A651,'[1]Bieu 1a'!$A$8:$AW$855,9,0)</f>
        <v>29955</v>
      </c>
      <c r="Q651" s="23" t="s">
        <v>34</v>
      </c>
      <c r="R651" s="24" t="str">
        <f>VLOOKUP(A651,'[1]Bieu 1a'!$A$8:$AW$855,23,0)</f>
        <v>17/11/2003</v>
      </c>
      <c r="S651" s="25" t="s">
        <v>3147</v>
      </c>
      <c r="T651" s="26" t="s">
        <v>3148</v>
      </c>
      <c r="U651" s="22"/>
      <c r="V651" s="16" t="str">
        <f>IFERROR(VLOOKUP(A651,'[2]19.6.2026'!$A$9:$L$1111,5,0),"")</f>
        <v>001094/LS-CCHN</v>
      </c>
      <c r="W651" s="16" t="str">
        <f>IFERROR(VLOOKUP(A651,'[2]19.6.2026'!$A$9:$L$1111,6,0),"")</f>
        <v>11/12/2022</v>
      </c>
      <c r="X651" s="16"/>
      <c r="Y651" s="21" t="str">
        <f>IFERROR(VLOOKUP(A651,'[2]19.6.2026'!$A$9:$L$1111,7,0),"")</f>
        <v>Thực hiện phạm vi hoạt động chuyên môn theo quy định tại Thông tư số 26/2015/TTLT-BYT-BNV ngày 07/10/2015 quy định mã số, tiêu chuẩn chức danh nghề nghiệp điều dưỡng, hộ sinh, kỹ thuật y</v>
      </c>
      <c r="Z651" s="16"/>
      <c r="AA651" s="27" t="str">
        <f>IFERROR(VLOOKUP(A651,'[3]DS UPLOAD 2026 (2)'!$A$2:$P$1111,16,0),"")</f>
        <v/>
      </c>
      <c r="AB651" s="27" t="s">
        <v>3149</v>
      </c>
      <c r="AC651" s="28"/>
    </row>
    <row r="652" spans="1:29" ht="16.5" customHeight="1" x14ac:dyDescent="0.3">
      <c r="A652" s="17" t="s">
        <v>3150</v>
      </c>
      <c r="B652" s="18" t="s">
        <v>3151</v>
      </c>
      <c r="C652" s="17" t="s">
        <v>3150</v>
      </c>
      <c r="D652" s="19" t="s">
        <v>38</v>
      </c>
      <c r="E652" s="19" t="s">
        <v>61</v>
      </c>
      <c r="F652" s="16" t="str">
        <f>VLOOKUP(E652,'[1]BẢNG MÃ'!$A$2:$B$69,2,0)</f>
        <v>TĐ012</v>
      </c>
      <c r="G652" s="20" t="s">
        <v>62</v>
      </c>
      <c r="H652" s="20" t="s">
        <v>62</v>
      </c>
      <c r="I652" s="16" t="s">
        <v>3135</v>
      </c>
      <c r="J652" s="16" t="str">
        <f>VLOOKUP(I652,'[1]BẢNG MÃ'!$C$2:$D$69,2,0)</f>
        <v>KP035</v>
      </c>
      <c r="K652" s="16" t="s">
        <v>43</v>
      </c>
      <c r="L652" s="16">
        <v>0</v>
      </c>
      <c r="M652" s="16" t="s">
        <v>33</v>
      </c>
      <c r="N652" s="21">
        <f ca="1">VLOOKUP(A652,'[1]Bieu 1a'!$A$8:$AW$855,10,0)</f>
        <v>47</v>
      </c>
      <c r="O652" s="22">
        <f>VLOOKUP(A652,'[1]Bieu 1a'!$A$8:$AW$855,8,0)</f>
        <v>0</v>
      </c>
      <c r="P652" s="22">
        <f>VLOOKUP(A652,'[1]Bieu 1a'!$A$8:$AW$855,9,0)</f>
        <v>28899</v>
      </c>
      <c r="Q652" s="23" t="s">
        <v>50</v>
      </c>
      <c r="R652" s="24" t="str">
        <f>VLOOKUP(A652,'[1]Bieu 1a'!$A$8:$AW$855,23,0)</f>
        <v>16/2/2005</v>
      </c>
      <c r="S652" s="25" t="s">
        <v>3152</v>
      </c>
      <c r="T652" s="26" t="s">
        <v>3153</v>
      </c>
      <c r="U652" s="16"/>
      <c r="V652" s="16" t="str">
        <f>IFERROR(VLOOKUP(A652,'[2]19.6.2026'!$A$9:$L$1111,5,0),"")</f>
        <v>000808/LS-CCHN</v>
      </c>
      <c r="W652" s="16" t="str">
        <f>IFERROR(VLOOKUP(A652,'[2]19.6.2026'!$A$9:$L$1111,6,0),"")</f>
        <v>11/12/2022</v>
      </c>
      <c r="X652" s="16"/>
      <c r="Y652" s="21" t="str">
        <f>IFERROR(VLOOKUP(A652,'[2]19.6.2026'!$A$9:$L$1111,7,0),"")</f>
        <v>Thực hiện phạm vi hoạt động chuyên môn theo quy định tại Thông tư số 26/2015/TTLT-BYT-BNV ngày 07/10/2015 quy định mã số, tiêu chuẩn chức danh nghề nghiệp điều dưỡng, hộ sinh, kỹ thuật y</v>
      </c>
      <c r="Z652" s="16"/>
      <c r="AA652" s="27" t="str">
        <f>IFERROR(VLOOKUP(A652,'[3]DS UPLOAD 2026 (2)'!$A$2:$P$1111,16,0),"")</f>
        <v/>
      </c>
      <c r="AB652" s="27" t="s">
        <v>3154</v>
      </c>
      <c r="AC652" s="28"/>
    </row>
    <row r="653" spans="1:29" ht="16.5" customHeight="1" x14ac:dyDescent="0.3">
      <c r="A653" s="17" t="s">
        <v>3155</v>
      </c>
      <c r="B653" s="38" t="s">
        <v>3156</v>
      </c>
      <c r="C653" s="17" t="s">
        <v>3155</v>
      </c>
      <c r="D653" s="19"/>
      <c r="E653" s="19" t="s">
        <v>61</v>
      </c>
      <c r="F653" s="16" t="str">
        <f>VLOOKUP(E653,'[1]BẢNG MÃ'!$A$2:$B$69,2,0)</f>
        <v>TĐ012</v>
      </c>
      <c r="G653" s="20" t="s">
        <v>62</v>
      </c>
      <c r="H653" s="20" t="s">
        <v>62</v>
      </c>
      <c r="I653" s="16" t="s">
        <v>3135</v>
      </c>
      <c r="J653" s="16" t="str">
        <f>VLOOKUP(I653,'[1]BẢNG MÃ'!$C$2:$D$69,2,0)</f>
        <v>KP035</v>
      </c>
      <c r="K653" s="16" t="s">
        <v>43</v>
      </c>
      <c r="L653" s="16">
        <v>0</v>
      </c>
      <c r="M653" s="16" t="s">
        <v>33</v>
      </c>
      <c r="N653" s="21">
        <f ca="1">VLOOKUP(A653,'[1]Bieu 1a'!$A$8:$AW$855,10,0)</f>
        <v>40</v>
      </c>
      <c r="O653" s="22" t="str">
        <f>VLOOKUP(A653,'[1]Bieu 1a'!$A$8:$AW$855,8,0)</f>
        <v>19/11/1985</v>
      </c>
      <c r="P653" s="22">
        <f>VLOOKUP(A653,'[1]Bieu 1a'!$A$8:$AW$855,9,0)</f>
        <v>0</v>
      </c>
      <c r="Q653" s="23" t="s">
        <v>50</v>
      </c>
      <c r="R653" s="24" t="str">
        <f>VLOOKUP(A653,'[1]Bieu 1a'!$A$8:$AW$855,23,0)</f>
        <v>05/6/2013</v>
      </c>
      <c r="S653" s="25" t="s">
        <v>3157</v>
      </c>
      <c r="T653" s="26" t="s">
        <v>3158</v>
      </c>
      <c r="U653" s="16"/>
      <c r="V653" s="16" t="str">
        <f>IFERROR(VLOOKUP(A653,'[2]19.6.2026'!$A$9:$L$1111,5,0),"")</f>
        <v>002934/LS-CCHN</v>
      </c>
      <c r="W653" s="16" t="str">
        <f>IFERROR(VLOOKUP(A653,'[2]19.6.2026'!$A$9:$L$1111,6,0),"")</f>
        <v>11/12/2022</v>
      </c>
      <c r="X653" s="16"/>
      <c r="Y653" s="21" t="str">
        <f>IFERROR(VLOOKUP(A653,'[2]19.6.2026'!$A$9:$L$1111,7,0),"")</f>
        <v>Thực hiện phạm vi hoạt động chuyên môn theo quy định tại Thông tư số 26/2015/TTLT-BYT-BNV ngày 07/10/2015 quy định mã số, tiêu chuẩn chức danh nghề nghiệp điều dưỡng, hộ sinh, kỹ thuật y</v>
      </c>
      <c r="Z653" s="16"/>
      <c r="AA653" s="27" t="str">
        <f>IFERROR(VLOOKUP(A653,'[3]DS UPLOAD 2026 (2)'!$A$2:$P$1111,16,0),"")</f>
        <v/>
      </c>
      <c r="AB653" s="27" t="s">
        <v>3159</v>
      </c>
      <c r="AC653" s="28" t="s">
        <v>1045</v>
      </c>
    </row>
    <row r="654" spans="1:29" ht="16.5" customHeight="1" x14ac:dyDescent="0.3">
      <c r="A654" s="17" t="s">
        <v>3160</v>
      </c>
      <c r="B654" s="29" t="s">
        <v>3161</v>
      </c>
      <c r="C654" s="17" t="s">
        <v>3160</v>
      </c>
      <c r="D654" s="19" t="s">
        <v>38</v>
      </c>
      <c r="E654" s="19" t="s">
        <v>61</v>
      </c>
      <c r="F654" s="16" t="str">
        <f>VLOOKUP(E654,'[1]BẢNG MÃ'!$A$2:$B$69,2,0)</f>
        <v>TĐ012</v>
      </c>
      <c r="G654" s="20" t="s">
        <v>62</v>
      </c>
      <c r="H654" s="20" t="s">
        <v>62</v>
      </c>
      <c r="I654" s="16" t="s">
        <v>3135</v>
      </c>
      <c r="J654" s="16" t="str">
        <f>VLOOKUP(I654,'[1]BẢNG MÃ'!$C$2:$D$69,2,0)</f>
        <v>KP035</v>
      </c>
      <c r="K654" s="16" t="s">
        <v>43</v>
      </c>
      <c r="L654" s="16">
        <v>0</v>
      </c>
      <c r="M654" s="16" t="s">
        <v>33</v>
      </c>
      <c r="N654" s="21">
        <f ca="1">VLOOKUP(A654,'[1]Bieu 1a'!$A$8:$AW$855,10,0)</f>
        <v>49</v>
      </c>
      <c r="O654" s="22">
        <f>VLOOKUP(A654,'[1]Bieu 1a'!$A$8:$AW$855,8,0)</f>
        <v>0</v>
      </c>
      <c r="P654" s="22">
        <f>VLOOKUP(A654,'[1]Bieu 1a'!$A$8:$AW$855,9,0)</f>
        <v>28226</v>
      </c>
      <c r="Q654" s="23" t="s">
        <v>34</v>
      </c>
      <c r="R654" s="24" t="str">
        <f>VLOOKUP(A654,'[1]Bieu 1a'!$A$8:$AW$855,23,0)</f>
        <v>1/1/2003</v>
      </c>
      <c r="S654" s="25" t="s">
        <v>3162</v>
      </c>
      <c r="T654" s="26" t="s">
        <v>3163</v>
      </c>
      <c r="U654" s="16"/>
      <c r="V654" s="16" t="str">
        <f>IFERROR(VLOOKUP(A654,'[2]19.6.2026'!$A$9:$L$1111,5,0),"")</f>
        <v>001043/LS-CCHN</v>
      </c>
      <c r="W654" s="16" t="str">
        <f>IFERROR(VLOOKUP(A654,'[2]19.6.2026'!$A$9:$L$1111,6,0),"")</f>
        <v>11/12/2022</v>
      </c>
      <c r="X654" s="16"/>
      <c r="Y654" s="21" t="str">
        <f>IFERROR(VLOOKUP(A654,'[2]19.6.2026'!$A$9:$L$1111,7,0),"")</f>
        <v>Thực hiện phạm vi hoạt động chuyên môn theo quy định tại Thông tư số 26/2015/TTLT-BYT-BNV ngày 07/10/2015 quy định mã số, tiêu chuẩn chức danh nghề nghiệp điều dưỡng, hộ sinh, kỹ thuật y</v>
      </c>
      <c r="Z654" s="16"/>
      <c r="AA654" s="27" t="str">
        <f>IFERROR(VLOOKUP(A654,'[3]DS UPLOAD 2026 (2)'!$A$2:$P$1111,16,0),"")</f>
        <v/>
      </c>
      <c r="AB654" s="27" t="s">
        <v>3164</v>
      </c>
      <c r="AC654" s="54"/>
    </row>
    <row r="655" spans="1:29" ht="16.5" customHeight="1" x14ac:dyDescent="0.3">
      <c r="A655" s="17" t="s">
        <v>3165</v>
      </c>
      <c r="B655" s="18" t="s">
        <v>3166</v>
      </c>
      <c r="C655" s="17" t="s">
        <v>3165</v>
      </c>
      <c r="D655" s="19"/>
      <c r="E655" s="30" t="s">
        <v>2337</v>
      </c>
      <c r="F655" s="16" t="str">
        <f>VLOOKUP(E655,'[1]BẢNG MÃ'!$A$2:$B$69,2,0)</f>
        <v>TĐ014</v>
      </c>
      <c r="G655" s="31" t="s">
        <v>2338</v>
      </c>
      <c r="H655" s="31" t="s">
        <v>2338</v>
      </c>
      <c r="I655" s="16" t="s">
        <v>3135</v>
      </c>
      <c r="J655" s="16" t="str">
        <f>VLOOKUP(I655,'[1]BẢNG MÃ'!$C$2:$D$69,2,0)</f>
        <v>KP035</v>
      </c>
      <c r="K655" s="16" t="s">
        <v>43</v>
      </c>
      <c r="L655" s="16">
        <v>0</v>
      </c>
      <c r="M655" s="16" t="s">
        <v>33</v>
      </c>
      <c r="N655" s="21">
        <f ca="1">VLOOKUP(A655,'[1]Bieu 1a'!$A$8:$AW$855,10,0)</f>
        <v>40</v>
      </c>
      <c r="O655" s="22">
        <f>VLOOKUP(A655,'[1]Bieu 1a'!$A$8:$AW$855,8,0)</f>
        <v>31486</v>
      </c>
      <c r="P655" s="22">
        <f>VLOOKUP(A655,'[1]Bieu 1a'!$A$8:$AW$855,9,0)</f>
        <v>0</v>
      </c>
      <c r="Q655" s="23">
        <v>0</v>
      </c>
      <c r="R655" s="24" t="str">
        <f>VLOOKUP(A655,'[1]Bieu 1a'!$A$8:$AW$855,23,0)</f>
        <v>1/12/2008</v>
      </c>
      <c r="S655" s="25" t="s">
        <v>3167</v>
      </c>
      <c r="T655" s="26" t="s">
        <v>3168</v>
      </c>
      <c r="U655" s="16"/>
      <c r="V655" s="16" t="str">
        <f>IFERROR(VLOOKUP(A655,'[2]19.6.2026'!$A$9:$L$1111,5,0),"")</f>
        <v>001099/LS-CCHN</v>
      </c>
      <c r="W655" s="16" t="str">
        <f>IFERROR(VLOOKUP(A655,'[2]19.6.2026'!$A$9:$L$1111,6,0),"")</f>
        <v>11/12/2022</v>
      </c>
      <c r="X655" s="16"/>
      <c r="Y655" s="21" t="str">
        <f>IFERROR(VLOOKUP(A655,'[2]19.6.2026'!$A$9:$L$1111,7,0),"")</f>
        <v>Chuyên khoa xét nghiệm</v>
      </c>
      <c r="Z655" s="16"/>
      <c r="AA655" s="27" t="str">
        <f>IFERROR(VLOOKUP(A655,'[3]DS UPLOAD 2026 (2)'!$A$2:$P$1111,16,0),"")</f>
        <v/>
      </c>
      <c r="AB655" s="27">
        <v>396906811</v>
      </c>
      <c r="AC655" s="28"/>
    </row>
    <row r="656" spans="1:29" ht="16.5" customHeight="1" x14ac:dyDescent="0.3">
      <c r="A656" s="17" t="s">
        <v>3169</v>
      </c>
      <c r="B656" s="18" t="s">
        <v>3170</v>
      </c>
      <c r="C656" s="17" t="s">
        <v>3169</v>
      </c>
      <c r="D656" s="19" t="s">
        <v>38</v>
      </c>
      <c r="E656" s="19" t="s">
        <v>142</v>
      </c>
      <c r="F656" s="16" t="str">
        <f>VLOOKUP(E656,'[1]BẢNG MÃ'!$A$2:$B$69,2,0)</f>
        <v>TĐ047</v>
      </c>
      <c r="G656" s="20"/>
      <c r="H656" s="19" t="s">
        <v>142</v>
      </c>
      <c r="I656" s="16" t="s">
        <v>3135</v>
      </c>
      <c r="J656" s="16" t="str">
        <f>VLOOKUP(I656,'[1]BẢNG MÃ'!$C$2:$D$69,2,0)</f>
        <v>KP035</v>
      </c>
      <c r="K656" s="16"/>
      <c r="L656" s="16">
        <v>0</v>
      </c>
      <c r="M656" s="16" t="s">
        <v>129</v>
      </c>
      <c r="N656" s="21">
        <f ca="1">VLOOKUP(A656,'[1]Bieu 1a'!$A$8:$AW$855,10,0)</f>
        <v>49</v>
      </c>
      <c r="O656" s="22">
        <f>VLOOKUP(A656,'[1]Bieu 1a'!$A$8:$AW$855,8,0)</f>
        <v>0</v>
      </c>
      <c r="P656" s="22">
        <f>VLOOKUP(A656,'[1]Bieu 1a'!$A$8:$AW$855,9,0)</f>
        <v>27956</v>
      </c>
      <c r="Q656" s="23" t="s">
        <v>44</v>
      </c>
      <c r="R656" s="24" t="str">
        <f>VLOOKUP(A656,'[1]Bieu 1a'!$A$8:$AW$855,23,0)</f>
        <v>5/3/2012</v>
      </c>
      <c r="S656" s="25" t="s">
        <v>3171</v>
      </c>
      <c r="T656" s="26" t="s">
        <v>3172</v>
      </c>
      <c r="U656" s="16"/>
      <c r="V656" s="16" t="str">
        <f>IFERROR(VLOOKUP(A656,'[2]19.6.2026'!$A$9:$L$1111,5,0),"")</f>
        <v/>
      </c>
      <c r="W656" s="16" t="str">
        <f>IFERROR(VLOOKUP(A656,'[2]19.6.2026'!$A$9:$L$1111,6,0),"")</f>
        <v/>
      </c>
      <c r="X656" s="16"/>
      <c r="Y656" s="21" t="str">
        <f>IFERROR(VLOOKUP(A656,'[2]19.6.2026'!$A$9:$L$1111,7,0),"")</f>
        <v/>
      </c>
      <c r="Z656" s="16"/>
      <c r="AA656" s="27" t="str">
        <f>IFERROR(VLOOKUP(A656,'[3]DS UPLOAD 2026 (2)'!$A$2:$P$1111,16,0),"")</f>
        <v/>
      </c>
      <c r="AB656" s="27" t="s">
        <v>3173</v>
      </c>
      <c r="AC656" s="28" t="s">
        <v>133</v>
      </c>
    </row>
    <row r="657" spans="1:29" ht="16.5" customHeight="1" x14ac:dyDescent="0.3">
      <c r="A657" s="17" t="s">
        <v>3174</v>
      </c>
      <c r="B657" s="18" t="s">
        <v>3175</v>
      </c>
      <c r="C657" s="17" t="s">
        <v>3174</v>
      </c>
      <c r="D657" s="19" t="s">
        <v>38</v>
      </c>
      <c r="E657" s="19" t="s">
        <v>2736</v>
      </c>
      <c r="F657" s="16" t="str">
        <f>VLOOKUP(E657,'[1]BẢNG MÃ'!$A$2:$B$69,2,0)</f>
        <v>TĐ009</v>
      </c>
      <c r="G657" s="20" t="s">
        <v>2737</v>
      </c>
      <c r="H657" s="20" t="s">
        <v>2737</v>
      </c>
      <c r="I657" s="16" t="s">
        <v>2776</v>
      </c>
      <c r="J657" s="16" t="str">
        <f>VLOOKUP(I657,'[1]BẢNG MÃ'!$C$2:$D$69,2,0)</f>
        <v>KP036</v>
      </c>
      <c r="K657" s="16" t="s">
        <v>43</v>
      </c>
      <c r="L657" s="16">
        <v>0</v>
      </c>
      <c r="M657" s="16" t="s">
        <v>33</v>
      </c>
      <c r="N657" s="21">
        <f ca="1">VLOOKUP(A657,'[1]Bieu 1a'!$A$8:$AW$855,10,0)</f>
        <v>42</v>
      </c>
      <c r="O657" s="22">
        <f>VLOOKUP(A657,'[1]Bieu 1a'!$A$8:$AW$855,8,0)</f>
        <v>0</v>
      </c>
      <c r="P657" s="22">
        <f>VLOOKUP(A657,'[1]Bieu 1a'!$A$8:$AW$855,9,0)</f>
        <v>30854</v>
      </c>
      <c r="Q657" s="23" t="s">
        <v>50</v>
      </c>
      <c r="R657" s="24" t="str">
        <f>VLOOKUP(A657,'[1]Bieu 1a'!$A$8:$AW$855,23,0)</f>
        <v>15/1/2010</v>
      </c>
      <c r="S657" s="25" t="s">
        <v>3176</v>
      </c>
      <c r="T657" s="26" t="s">
        <v>3177</v>
      </c>
      <c r="U657" s="16"/>
      <c r="V657" s="16" t="str">
        <f>IFERROR(VLOOKUP(A657,'[2]19.6.2026'!$A$9:$L$1111,5,0),"")</f>
        <v/>
      </c>
      <c r="W657" s="16" t="str">
        <f>IFERROR(VLOOKUP(A657,'[2]19.6.2026'!$A$9:$L$1111,6,0),"")</f>
        <v/>
      </c>
      <c r="X657" s="16"/>
      <c r="Y657" s="21" t="str">
        <f>IFERROR(VLOOKUP(A657,'[2]19.6.2026'!$A$9:$L$1111,7,0),"")</f>
        <v/>
      </c>
      <c r="Z657" s="16"/>
      <c r="AA657" s="27" t="str">
        <f>IFERROR(VLOOKUP(A657,'[3]DS UPLOAD 2026 (2)'!$A$2:$P$1111,16,0),"")</f>
        <v/>
      </c>
      <c r="AB657" s="27">
        <v>916331189</v>
      </c>
      <c r="AC657" s="36"/>
    </row>
    <row r="658" spans="1:29" ht="16.5" customHeight="1" x14ac:dyDescent="0.3">
      <c r="A658" s="17" t="s">
        <v>3178</v>
      </c>
      <c r="B658" s="18" t="s">
        <v>3179</v>
      </c>
      <c r="C658" s="17" t="s">
        <v>3178</v>
      </c>
      <c r="D658" s="19" t="s">
        <v>38</v>
      </c>
      <c r="E658" s="30" t="s">
        <v>41</v>
      </c>
      <c r="F658" s="16" t="str">
        <f>VLOOKUP(E658,'[1]BẢNG MÃ'!$A$2:$B$69,2,0)</f>
        <v>TĐ011</v>
      </c>
      <c r="G658" s="31" t="s">
        <v>42</v>
      </c>
      <c r="H658" s="31" t="s">
        <v>42</v>
      </c>
      <c r="I658" s="16" t="s">
        <v>2776</v>
      </c>
      <c r="J658" s="16" t="str">
        <f>VLOOKUP(I658,'[1]BẢNG MÃ'!$C$2:$D$69,2,0)</f>
        <v>KP036</v>
      </c>
      <c r="K658" s="16" t="s">
        <v>43</v>
      </c>
      <c r="L658" s="16" t="s">
        <v>1053</v>
      </c>
      <c r="M658" s="16" t="s">
        <v>33</v>
      </c>
      <c r="N658" s="21">
        <f ca="1">VLOOKUP(A658,'[1]Bieu 1a'!$A$8:$AW$855,10,0)</f>
        <v>41</v>
      </c>
      <c r="O658" s="22">
        <f>VLOOKUP(A658,'[1]Bieu 1a'!$A$8:$AW$855,8,0)</f>
        <v>0</v>
      </c>
      <c r="P658" s="22">
        <f>VLOOKUP(A658,'[1]Bieu 1a'!$A$8:$AW$855,9,0)</f>
        <v>31124</v>
      </c>
      <c r="Q658" s="23" t="s">
        <v>50</v>
      </c>
      <c r="R658" s="24" t="str">
        <f>VLOOKUP(A658,'[1]Bieu 1a'!$A$8:$AW$855,23,0)</f>
        <v>01/12/2008</v>
      </c>
      <c r="S658" s="25" t="s">
        <v>3180</v>
      </c>
      <c r="T658" s="26" t="s">
        <v>3181</v>
      </c>
      <c r="U658" s="16"/>
      <c r="V658" s="16" t="str">
        <f>IFERROR(VLOOKUP(A658,'[2]19.6.2026'!$A$9:$L$1111,5,0),"")</f>
        <v>000934/LS-CCHN</v>
      </c>
      <c r="W658" s="16" t="str">
        <f>IFERROR(VLOOKUP(A658,'[2]19.6.2026'!$A$9:$L$1111,6,0),"")</f>
        <v>11/12/2022</v>
      </c>
      <c r="X658" s="16"/>
      <c r="Y658" s="21" t="str">
        <f>IFERROR(VLOOKUP(A658,'[2]19.6.2026'!$A$9:$L$1111,7,0),"")</f>
        <v>Thực hiện phạm vi hoạt động chuyên môn theo quy định tại Thông tư số 26/2015/TTLT-BYT-BNV ngày 07/10/2015 quy định mã số, tiêu chuẩn chức danh nghề nghiệp điều dưỡng, hộ sinh, kỹ thuật y</v>
      </c>
      <c r="Z658" s="16"/>
      <c r="AA658" s="27" t="str">
        <f>IFERROR(VLOOKUP(A658,'[3]DS UPLOAD 2026 (2)'!$A$2:$P$1111,16,0),"")</f>
        <v/>
      </c>
      <c r="AB658" s="27">
        <v>948313838</v>
      </c>
      <c r="AC658" s="28"/>
    </row>
    <row r="659" spans="1:29" ht="16.5" customHeight="1" x14ac:dyDescent="0.3">
      <c r="A659" s="17" t="s">
        <v>3182</v>
      </c>
      <c r="B659" s="40" t="s">
        <v>3183</v>
      </c>
      <c r="C659" s="17" t="s">
        <v>3182</v>
      </c>
      <c r="D659" s="19"/>
      <c r="E659" s="19" t="s">
        <v>61</v>
      </c>
      <c r="F659" s="16" t="str">
        <f>VLOOKUP(E659,'[1]BẢNG MÃ'!$A$2:$B$69,2,0)</f>
        <v>TĐ012</v>
      </c>
      <c r="G659" s="20"/>
      <c r="H659" s="20" t="s">
        <v>62</v>
      </c>
      <c r="I659" s="16" t="s">
        <v>2776</v>
      </c>
      <c r="J659" s="16" t="str">
        <f>VLOOKUP(I659,'[1]BẢNG MÃ'!$C$2:$D$69,2,0)</f>
        <v>KP036</v>
      </c>
      <c r="K659" s="16"/>
      <c r="L659" s="16"/>
      <c r="M659" s="23" t="s">
        <v>33</v>
      </c>
      <c r="N659" s="21">
        <f ca="1">VLOOKUP(A659,'[1]Bieu 1a'!$A$8:$AW$855,10,0)</f>
        <v>32</v>
      </c>
      <c r="O659" s="22" t="str">
        <f>VLOOKUP(A659,'[1]Bieu 1a'!$A$8:$AW$855,8,0)</f>
        <v>08/6/1994</v>
      </c>
      <c r="P659" s="22">
        <f>VLOOKUP(A659,'[1]Bieu 1a'!$A$8:$AW$855,9,0)</f>
        <v>0</v>
      </c>
      <c r="Q659" s="23" t="s">
        <v>44</v>
      </c>
      <c r="R659" s="24" t="str">
        <f>VLOOKUP(A659,'[1]Bieu 1a'!$A$8:$AW$855,23,0)</f>
        <v xml:space="preserve"> 29/8/2016</v>
      </c>
      <c r="S659" s="25" t="s">
        <v>3184</v>
      </c>
      <c r="T659" s="26" t="s">
        <v>3185</v>
      </c>
      <c r="U659" s="16"/>
      <c r="V659" s="16" t="str">
        <f>IFERROR(VLOOKUP(A659,'[2]19.6.2026'!$A$9:$L$1111,5,0),"")</f>
        <v>003396/LS-CCHN</v>
      </c>
      <c r="W659" s="16" t="str">
        <f>IFERROR(VLOOKUP(A659,'[2]19.6.2026'!$A$9:$L$1111,6,0),"")</f>
        <v>21/11/2018</v>
      </c>
      <c r="X659" s="16"/>
      <c r="Y659" s="21" t="str">
        <f>IFERROR(VLOOKUP(A659,'[2]19.6.2026'!$A$9:$L$1111,7,0),"")</f>
        <v>Thực hiện phạm vi hoạt động chuyên môn theo quy định tại Thông tư số 26/2015/TTLT-BYT-BNV ngày 07/10/2015 quy định mã số, tiêu chuẩn chức danh nghề nghiệp điều dưỡng, hộ sinh, kỹ thuật y</v>
      </c>
      <c r="Z659" s="16"/>
      <c r="AA659" s="27" t="str">
        <f>IFERROR(VLOOKUP(A659,'[3]DS UPLOAD 2026 (2)'!$A$2:$P$1111,16,0),"")</f>
        <v/>
      </c>
      <c r="AB659" s="27" t="s">
        <v>3186</v>
      </c>
      <c r="AC659" s="29" t="s">
        <v>239</v>
      </c>
    </row>
    <row r="660" spans="1:29" ht="16.5" customHeight="1" x14ac:dyDescent="0.3">
      <c r="A660" s="17" t="s">
        <v>3187</v>
      </c>
      <c r="B660" s="29" t="s">
        <v>3188</v>
      </c>
      <c r="C660" s="17" t="s">
        <v>3187</v>
      </c>
      <c r="D660" s="19"/>
      <c r="E660" s="19" t="s">
        <v>61</v>
      </c>
      <c r="F660" s="16" t="str">
        <f>VLOOKUP(E660,'[1]BẢNG MÃ'!$A$2:$B$69,2,0)</f>
        <v>TĐ012</v>
      </c>
      <c r="G660" s="20" t="s">
        <v>62</v>
      </c>
      <c r="H660" s="20" t="s">
        <v>62</v>
      </c>
      <c r="I660" s="16" t="s">
        <v>2776</v>
      </c>
      <c r="J660" s="16" t="str">
        <f>VLOOKUP(I660,'[1]BẢNG MÃ'!$C$2:$D$69,2,0)</f>
        <v>KP036</v>
      </c>
      <c r="K660" s="16" t="s">
        <v>43</v>
      </c>
      <c r="L660" s="16">
        <v>0</v>
      </c>
      <c r="M660" s="16" t="s">
        <v>33</v>
      </c>
      <c r="N660" s="21">
        <f ca="1">VLOOKUP(A660,'[1]Bieu 1a'!$A$8:$AW$855,10,0)</f>
        <v>43</v>
      </c>
      <c r="O660" s="22">
        <f>VLOOKUP(A660,'[1]Bieu 1a'!$A$8:$AW$855,8,0)</f>
        <v>30440</v>
      </c>
      <c r="P660" s="22">
        <f>VLOOKUP(A660,'[1]Bieu 1a'!$A$8:$AW$855,9,0)</f>
        <v>0</v>
      </c>
      <c r="Q660" s="23" t="s">
        <v>44</v>
      </c>
      <c r="R660" s="24" t="str">
        <f>VLOOKUP(A660,'[1]Bieu 1a'!$A$8:$AW$855,23,0)</f>
        <v>01/12/2008</v>
      </c>
      <c r="S660" s="25" t="s">
        <v>3189</v>
      </c>
      <c r="T660" s="26" t="s">
        <v>3190</v>
      </c>
      <c r="U660" s="16"/>
      <c r="V660" s="16" t="str">
        <f>IFERROR(VLOOKUP(A660,'[2]19.6.2026'!$A$9:$L$1111,5,0),"")</f>
        <v>000382/LS-CCHN</v>
      </c>
      <c r="W660" s="16" t="str">
        <f>IFERROR(VLOOKUP(A660,'[2]19.6.2026'!$A$9:$L$1111,6,0),"")</f>
        <v>06/01/2016</v>
      </c>
      <c r="X660" s="16"/>
      <c r="Y660" s="21" t="str">
        <f>IFERROR(VLOOKUP(A660,'[2]19.6.2026'!$A$9:$L$1111,7,0),"")</f>
        <v>Thực hiện phạm vi hoạt động chuyên môn theo quy định tại Thông tư số 26/2015/TTLT-BYT-BNV ngày 07/10/2015 quy định mã số, tiêu chuẩn chức danh nghề nghiệp điều dưỡng, hộ sinh, kỹ thuật y</v>
      </c>
      <c r="Z660" s="16"/>
      <c r="AA660" s="27" t="str">
        <f>IFERROR(VLOOKUP(A660,'[3]DS UPLOAD 2026 (2)'!$A$2:$P$1111,16,0),"")</f>
        <v/>
      </c>
      <c r="AB660" s="27">
        <v>914289818</v>
      </c>
      <c r="AC660" s="29"/>
    </row>
    <row r="661" spans="1:29" ht="16.5" customHeight="1" x14ac:dyDescent="0.3">
      <c r="A661" s="17" t="s">
        <v>3191</v>
      </c>
      <c r="B661" s="18" t="s">
        <v>3192</v>
      </c>
      <c r="C661" s="17" t="s">
        <v>3191</v>
      </c>
      <c r="D661" s="19" t="s">
        <v>38</v>
      </c>
      <c r="E661" s="19" t="s">
        <v>61</v>
      </c>
      <c r="F661" s="16" t="str">
        <f>VLOOKUP(E661,'[1]BẢNG MÃ'!$A$2:$B$69,2,0)</f>
        <v>TĐ012</v>
      </c>
      <c r="G661" s="20" t="s">
        <v>62</v>
      </c>
      <c r="H661" s="20" t="s">
        <v>62</v>
      </c>
      <c r="I661" s="16" t="s">
        <v>2776</v>
      </c>
      <c r="J661" s="16" t="str">
        <f>VLOOKUP(I661,'[1]BẢNG MÃ'!$C$2:$D$69,2,0)</f>
        <v>KP036</v>
      </c>
      <c r="K661" s="16" t="s">
        <v>43</v>
      </c>
      <c r="L661" s="16">
        <v>0</v>
      </c>
      <c r="M661" s="16" t="s">
        <v>33</v>
      </c>
      <c r="N661" s="21">
        <f ca="1">VLOOKUP(A661,'[1]Bieu 1a'!$A$8:$AW$855,10,0)</f>
        <v>52</v>
      </c>
      <c r="O661" s="22">
        <f>VLOOKUP(A661,'[1]Bieu 1a'!$A$8:$AW$855,8,0)</f>
        <v>0</v>
      </c>
      <c r="P661" s="22">
        <f>VLOOKUP(A661,'[1]Bieu 1a'!$A$8:$AW$855,9,0)</f>
        <v>27125</v>
      </c>
      <c r="Q661" s="23" t="s">
        <v>50</v>
      </c>
      <c r="R661" s="24" t="str">
        <f>VLOOKUP(A661,'[1]Bieu 1a'!$A$8:$AW$855,23,0)</f>
        <v>17/2/2003</v>
      </c>
      <c r="S661" s="25" t="s">
        <v>3193</v>
      </c>
      <c r="T661" s="26" t="s">
        <v>3194</v>
      </c>
      <c r="U661" s="52"/>
      <c r="V661" s="16" t="str">
        <f>IFERROR(VLOOKUP(A661,'[2]19.6.2026'!$A$9:$L$1111,5,0),"")</f>
        <v>001101/LS-CCHN</v>
      </c>
      <c r="W661" s="16" t="str">
        <f>IFERROR(VLOOKUP(A661,'[2]19.6.2026'!$A$9:$L$1111,6,0),"")</f>
        <v/>
      </c>
      <c r="X661" s="16"/>
      <c r="Y661" s="21" t="str">
        <f>IFERROR(VLOOKUP(A661,'[2]19.6.2026'!$A$9:$L$1111,7,0),"")</f>
        <v>Theo quy định tại Quyết định số 41/2005/QĐ-BNV ngày 22/4/2005 của Bộ trưởng Bộ Nội vụ về việc ban hành tiêu chuẩn nghiệp vụ các ngạch viên chức y tế điều dưỡng</v>
      </c>
      <c r="Z661" s="16"/>
      <c r="AA661" s="27" t="str">
        <f>IFERROR(VLOOKUP(A661,'[3]DS UPLOAD 2026 (2)'!$A$2:$P$1111,16,0),"")</f>
        <v/>
      </c>
      <c r="AB661" s="27" t="s">
        <v>3195</v>
      </c>
      <c r="AC661" s="28"/>
    </row>
    <row r="662" spans="1:29" ht="16.5" customHeight="1" x14ac:dyDescent="0.3">
      <c r="A662" s="17" t="s">
        <v>3196</v>
      </c>
      <c r="B662" s="18" t="s">
        <v>3197</v>
      </c>
      <c r="C662" s="17" t="s">
        <v>3196</v>
      </c>
      <c r="D662" s="19" t="s">
        <v>38</v>
      </c>
      <c r="E662" s="19" t="s">
        <v>61</v>
      </c>
      <c r="F662" s="16" t="str">
        <f>VLOOKUP(E662,'[1]BẢNG MÃ'!$A$2:$B$69,2,0)</f>
        <v>TĐ012</v>
      </c>
      <c r="G662" s="20" t="s">
        <v>62</v>
      </c>
      <c r="H662" s="20" t="s">
        <v>3198</v>
      </c>
      <c r="I662" s="16" t="s">
        <v>2776</v>
      </c>
      <c r="J662" s="16" t="str">
        <f>VLOOKUP(I662,'[1]BẢNG MÃ'!$C$2:$D$69,2,0)</f>
        <v>KP036</v>
      </c>
      <c r="K662" s="16" t="s">
        <v>43</v>
      </c>
      <c r="L662" s="16">
        <v>0</v>
      </c>
      <c r="M662" s="16" t="s">
        <v>33</v>
      </c>
      <c r="N662" s="21">
        <f ca="1">VLOOKUP(A662,'[1]Bieu 1a'!$A$8:$AW$855,10,0)</f>
        <v>37</v>
      </c>
      <c r="O662" s="22">
        <f>VLOOKUP(A662,'[1]Bieu 1a'!$A$8:$AW$855,8,0)</f>
        <v>0</v>
      </c>
      <c r="P662" s="22">
        <f>VLOOKUP(A662,'[1]Bieu 1a'!$A$8:$AW$855,9,0)</f>
        <v>32383</v>
      </c>
      <c r="Q662" s="23" t="s">
        <v>34</v>
      </c>
      <c r="R662" s="24" t="str">
        <f>VLOOKUP(A662,'[1]Bieu 1a'!$A$8:$AW$855,23,0)</f>
        <v>15/1/2010</v>
      </c>
      <c r="S662" s="25" t="s">
        <v>3199</v>
      </c>
      <c r="T662" s="26" t="s">
        <v>3200</v>
      </c>
      <c r="U662" s="16"/>
      <c r="V662" s="16" t="str">
        <f>IFERROR(VLOOKUP(A662,'[2]19.6.2026'!$A$9:$L$1111,5,0),"")</f>
        <v>001102/LS-CCHN</v>
      </c>
      <c r="W662" s="16" t="str">
        <f>IFERROR(VLOOKUP(A662,'[2]19.6.2026'!$A$9:$L$1111,6,0),"")</f>
        <v>24/06/2013</v>
      </c>
      <c r="X662" s="16"/>
      <c r="Y662" s="21" t="str">
        <f>IFERROR(VLOOKUP(A662,'[2]19.6.2026'!$A$9:$L$1111,7,0),"")</f>
        <v>Theo quy định tại Quyết định số 41/2005/QĐ-BNV ngày 22/4/2005 của Bộ trưởng Bộ Nội vụ về việc ban hành tiêu chuẩn nghiệp vụ các ngạch viên chức y tế điều dưỡng</v>
      </c>
      <c r="Z662" s="16"/>
      <c r="AA662" s="27" t="str">
        <f>IFERROR(VLOOKUP(A662,'[3]DS UPLOAD 2026 (2)'!$A$2:$P$1111,16,0),"")</f>
        <v/>
      </c>
      <c r="AB662" s="27" t="s">
        <v>3201</v>
      </c>
      <c r="AC662" s="28"/>
    </row>
    <row r="663" spans="1:29" ht="16.5" customHeight="1" x14ac:dyDescent="0.3">
      <c r="A663" s="17" t="s">
        <v>3202</v>
      </c>
      <c r="B663" s="18" t="s">
        <v>3203</v>
      </c>
      <c r="C663" s="17" t="s">
        <v>3202</v>
      </c>
      <c r="D663" s="19" t="s">
        <v>38</v>
      </c>
      <c r="E663" s="19" t="s">
        <v>3204</v>
      </c>
      <c r="F663" s="16" t="str">
        <f>VLOOKUP(E663,'[1]BẢNG MÃ'!$A$2:$B$69,2,0)</f>
        <v>TĐ029</v>
      </c>
      <c r="G663" s="20"/>
      <c r="H663" s="20" t="s">
        <v>3205</v>
      </c>
      <c r="I663" s="16" t="s">
        <v>2776</v>
      </c>
      <c r="J663" s="16" t="str">
        <f>VLOOKUP(I663,'[1]BẢNG MÃ'!$C$2:$D$69,2,0)</f>
        <v>KP036</v>
      </c>
      <c r="K663" s="16"/>
      <c r="L663" s="16"/>
      <c r="M663" s="16" t="s">
        <v>33</v>
      </c>
      <c r="N663" s="21">
        <f ca="1">VLOOKUP(A663,'[1]Bieu 1a'!$A$8:$AW$855,10,0)</f>
        <v>29</v>
      </c>
      <c r="O663" s="22">
        <f>VLOOKUP(A663,'[1]Bieu 1a'!$A$8:$AW$855,8,0)</f>
        <v>0</v>
      </c>
      <c r="P663" s="22" t="str">
        <f>VLOOKUP(A663,'[1]Bieu 1a'!$A$8:$AW$855,9,0)</f>
        <v>12/02/1997</v>
      </c>
      <c r="Q663" s="23" t="s">
        <v>44</v>
      </c>
      <c r="R663" s="24">
        <f>VLOOKUP(A663,'[1]Bieu 1a'!$A$8:$AW$855,23,0)</f>
        <v>44623</v>
      </c>
      <c r="S663" s="25" t="s">
        <v>3206</v>
      </c>
      <c r="T663" s="26" t="s">
        <v>3207</v>
      </c>
      <c r="U663" s="16"/>
      <c r="V663" s="16" t="str">
        <f>IFERROR(VLOOKUP(A663,'[2]19.6.2026'!$A$9:$L$1111,5,0),"")</f>
        <v/>
      </c>
      <c r="W663" s="16" t="str">
        <f>IFERROR(VLOOKUP(A663,'[2]19.6.2026'!$A$9:$L$1111,6,0),"")</f>
        <v/>
      </c>
      <c r="X663" s="16"/>
      <c r="Y663" s="21" t="str">
        <f>IFERROR(VLOOKUP(A663,'[2]19.6.2026'!$A$9:$L$1111,7,0),"")</f>
        <v/>
      </c>
      <c r="Z663" s="16"/>
      <c r="AA663" s="27" t="str">
        <f>IFERROR(VLOOKUP(A663,'[3]DS UPLOAD 2026 (2)'!$A$2:$P$1111,16,0),"")</f>
        <v/>
      </c>
      <c r="AB663" s="27"/>
      <c r="AC663" s="29" t="s">
        <v>3208</v>
      </c>
    </row>
    <row r="664" spans="1:29" ht="16.5" customHeight="1" x14ac:dyDescent="0.3">
      <c r="A664" s="56" t="s">
        <v>3209</v>
      </c>
      <c r="B664" s="135" t="s">
        <v>3210</v>
      </c>
      <c r="C664" s="23" t="s">
        <v>3209</v>
      </c>
      <c r="D664" s="23" t="s">
        <v>38</v>
      </c>
      <c r="E664" s="136" t="s">
        <v>3211</v>
      </c>
      <c r="F664" s="27" t="str">
        <f>VLOOKUP(E664,'[1]BẢNG MÃ'!$A$2:$B$69,2,0)</f>
        <v>TĐ036</v>
      </c>
      <c r="G664" s="48"/>
      <c r="H664" s="16" t="s">
        <v>3212</v>
      </c>
      <c r="I664" s="136" t="s">
        <v>2776</v>
      </c>
      <c r="J664" s="27" t="str">
        <f>VLOOKUP(I664,'[1]BẢNG MÃ'!$C$2:$D$69,2,0)</f>
        <v>KP036</v>
      </c>
      <c r="K664" s="23"/>
      <c r="L664" s="23"/>
      <c r="M664" s="16" t="s">
        <v>33</v>
      </c>
      <c r="N664" s="21">
        <f ca="1">VLOOKUP(A664,'[1]Bieu 1a'!$A$8:$AW$855,10,0)</f>
        <v>24</v>
      </c>
      <c r="O664" s="22">
        <f>VLOOKUP(A664,'[1]Bieu 1a'!$A$8:$AW$855,8,0)</f>
        <v>0</v>
      </c>
      <c r="P664" s="22" t="str">
        <f>VLOOKUP(A664,'[1]Bieu 1a'!$A$8:$AW$855,9,0)</f>
        <v>22/9/2001</v>
      </c>
      <c r="Q664" s="23" t="s">
        <v>34</v>
      </c>
      <c r="R664" s="24">
        <f>VLOOKUP(A664,'[1]Bieu 1a'!$A$8:$AW$855,23,0)</f>
        <v>45810</v>
      </c>
      <c r="S664" s="25" t="s">
        <v>3213</v>
      </c>
      <c r="T664" s="26" t="s">
        <v>3214</v>
      </c>
      <c r="U664" s="23"/>
      <c r="V664" s="16" t="str">
        <f>IFERROR(VLOOKUP(A664,'[2]19.6.2026'!$A$9:$L$1111,5,0),"")</f>
        <v/>
      </c>
      <c r="W664" s="16" t="str">
        <f>IFERROR(VLOOKUP(A664,'[2]19.6.2026'!$A$9:$L$1111,6,0),"")</f>
        <v/>
      </c>
      <c r="X664" s="23"/>
      <c r="Y664" s="21" t="str">
        <f>IFERROR(VLOOKUP(A664,'[2]19.6.2026'!$A$9:$L$1111,7,0),"")</f>
        <v/>
      </c>
      <c r="Z664" s="16"/>
      <c r="AA664" s="27" t="str">
        <f>IFERROR(VLOOKUP(A664,'[3]DS UPLOAD 2026 (2)'!$A$2:$P$1111,16,0),"")</f>
        <v/>
      </c>
      <c r="AB664" s="137" t="s">
        <v>3215</v>
      </c>
      <c r="AC664" s="29" t="s">
        <v>1488</v>
      </c>
    </row>
    <row r="665" spans="1:29" ht="16.5" customHeight="1" x14ac:dyDescent="0.3">
      <c r="A665" s="17" t="s">
        <v>3216</v>
      </c>
      <c r="B665" s="18" t="s">
        <v>3217</v>
      </c>
      <c r="C665" s="17" t="s">
        <v>3216</v>
      </c>
      <c r="D665" s="19" t="s">
        <v>38</v>
      </c>
      <c r="E665" s="19" t="s">
        <v>128</v>
      </c>
      <c r="F665" s="16" t="str">
        <f>VLOOKUP(E665,'[1]BẢNG MÃ'!$A$2:$B$69,2,0)</f>
        <v>TĐ047</v>
      </c>
      <c r="G665" s="20"/>
      <c r="H665" s="19" t="s">
        <v>128</v>
      </c>
      <c r="I665" s="16" t="s">
        <v>2776</v>
      </c>
      <c r="J665" s="16" t="str">
        <f>VLOOKUP(I665,'[1]BẢNG MÃ'!$C$2:$D$69,2,0)</f>
        <v>KP036</v>
      </c>
      <c r="K665" s="16"/>
      <c r="L665" s="16">
        <v>0</v>
      </c>
      <c r="M665" s="16" t="s">
        <v>129</v>
      </c>
      <c r="N665" s="21">
        <f ca="1">VLOOKUP(A665,'[1]Bieu 1a'!$A$8:$AW$855,10,0)</f>
        <v>52</v>
      </c>
      <c r="O665" s="22">
        <f>VLOOKUP(A665,'[1]Bieu 1a'!$A$8:$AW$855,8,0)</f>
        <v>0</v>
      </c>
      <c r="P665" s="22">
        <f>VLOOKUP(A665,'[1]Bieu 1a'!$A$8:$AW$855,9,0)</f>
        <v>27091</v>
      </c>
      <c r="Q665" s="23" t="s">
        <v>50</v>
      </c>
      <c r="R665" s="24" t="str">
        <f>VLOOKUP(A665,'[1]Bieu 1a'!$A$8:$AW$855,23,0)</f>
        <v>1/2/2005</v>
      </c>
      <c r="S665" s="25" t="s">
        <v>3218</v>
      </c>
      <c r="T665" s="26" t="s">
        <v>3219</v>
      </c>
      <c r="U665" s="16"/>
      <c r="V665" s="16" t="str">
        <f>IFERROR(VLOOKUP(A665,'[2]19.6.2026'!$A$9:$L$1111,5,0),"")</f>
        <v/>
      </c>
      <c r="W665" s="16" t="str">
        <f>IFERROR(VLOOKUP(A665,'[2]19.6.2026'!$A$9:$L$1111,6,0),"")</f>
        <v/>
      </c>
      <c r="X665" s="16"/>
      <c r="Y665" s="21" t="str">
        <f>IFERROR(VLOOKUP(A665,'[2]19.6.2026'!$A$9:$L$1111,7,0),"")</f>
        <v/>
      </c>
      <c r="Z665" s="16"/>
      <c r="AA665" s="27" t="str">
        <f>IFERROR(VLOOKUP(A665,'[3]DS UPLOAD 2026 (2)'!$A$2:$P$1111,16,0),"")</f>
        <v/>
      </c>
      <c r="AB665" s="27" t="s">
        <v>3220</v>
      </c>
      <c r="AC665" s="28" t="s">
        <v>133</v>
      </c>
    </row>
    <row r="666" spans="1:29" ht="16.5" customHeight="1" x14ac:dyDescent="0.3">
      <c r="A666" s="17" t="s">
        <v>3221</v>
      </c>
      <c r="B666" s="18" t="s">
        <v>3222</v>
      </c>
      <c r="C666" s="17" t="s">
        <v>3221</v>
      </c>
      <c r="D666" s="19" t="s">
        <v>38</v>
      </c>
      <c r="E666" s="19" t="s">
        <v>128</v>
      </c>
      <c r="F666" s="16" t="str">
        <f>VLOOKUP(E666,'[1]BẢNG MÃ'!$A$2:$B$69,2,0)</f>
        <v>TĐ047</v>
      </c>
      <c r="G666" s="20"/>
      <c r="H666" s="19" t="s">
        <v>128</v>
      </c>
      <c r="I666" s="16" t="s">
        <v>1231</v>
      </c>
      <c r="J666" s="16" t="str">
        <f>VLOOKUP(I666,'[1]BẢNG MÃ'!$C$2:$D$69,2,0)</f>
        <v>KP023</v>
      </c>
      <c r="K666" s="16"/>
      <c r="L666" s="16">
        <v>0</v>
      </c>
      <c r="M666" s="16" t="s">
        <v>129</v>
      </c>
      <c r="N666" s="21">
        <f ca="1">VLOOKUP(A666,'[1]Bieu 1a'!$A$8:$AW$855,10,0)</f>
        <v>53</v>
      </c>
      <c r="O666" s="22">
        <f>VLOOKUP(A666,'[1]Bieu 1a'!$A$8:$AW$855,8,0)</f>
        <v>0</v>
      </c>
      <c r="P666" s="22">
        <f>VLOOKUP(A666,'[1]Bieu 1a'!$A$8:$AW$855,9,0)</f>
        <v>26536</v>
      </c>
      <c r="Q666" s="23" t="s">
        <v>50</v>
      </c>
      <c r="R666" s="24" t="str">
        <f>VLOOKUP(A666,'[1]Bieu 1a'!$A$8:$AW$855,23,0)</f>
        <v>10/5/1999</v>
      </c>
      <c r="S666" s="25" t="s">
        <v>3223</v>
      </c>
      <c r="T666" s="26" t="s">
        <v>3224</v>
      </c>
      <c r="U666" s="16"/>
      <c r="V666" s="16" t="str">
        <f>IFERROR(VLOOKUP(A666,'[2]19.6.2026'!$A$9:$L$1111,5,0),"")</f>
        <v/>
      </c>
      <c r="W666" s="16" t="str">
        <f>IFERROR(VLOOKUP(A666,'[2]19.6.2026'!$A$9:$L$1111,6,0),"")</f>
        <v/>
      </c>
      <c r="X666" s="16"/>
      <c r="Y666" s="21" t="str">
        <f>IFERROR(VLOOKUP(A666,'[2]19.6.2026'!$A$9:$L$1111,7,0),"")</f>
        <v/>
      </c>
      <c r="Z666" s="16"/>
      <c r="AA666" s="27" t="str">
        <f>IFERROR(VLOOKUP(A666,'[3]DS UPLOAD 2026 (2)'!$A$2:$P$1111,16,0),"")</f>
        <v/>
      </c>
      <c r="AB666" s="27" t="s">
        <v>3225</v>
      </c>
      <c r="AC666" s="28" t="s">
        <v>133</v>
      </c>
    </row>
    <row r="667" spans="1:29" ht="16.5" customHeight="1" x14ac:dyDescent="0.3">
      <c r="A667" s="17" t="s">
        <v>3226</v>
      </c>
      <c r="B667" s="119" t="s">
        <v>3227</v>
      </c>
      <c r="C667" s="17" t="s">
        <v>3226</v>
      </c>
      <c r="D667" s="19" t="s">
        <v>38</v>
      </c>
      <c r="E667" s="19" t="s">
        <v>142</v>
      </c>
      <c r="F667" s="16" t="str">
        <f>VLOOKUP(E667,'[1]BẢNG MÃ'!$A$2:$B$69,2,0)</f>
        <v>TĐ047</v>
      </c>
      <c r="G667" s="20"/>
      <c r="H667" s="19" t="s">
        <v>142</v>
      </c>
      <c r="I667" s="16" t="s">
        <v>2776</v>
      </c>
      <c r="J667" s="16" t="str">
        <f>VLOOKUP(I667,'[1]BẢNG MÃ'!$C$2:$D$69,2,0)</f>
        <v>KP036</v>
      </c>
      <c r="K667" s="37"/>
      <c r="L667" s="16"/>
      <c r="M667" s="16" t="s">
        <v>136</v>
      </c>
      <c r="N667" s="21">
        <f ca="1">VLOOKUP(A667,'[1]Bieu 1a'!$A$8:$AW$855,10,0)</f>
        <v>39</v>
      </c>
      <c r="O667" s="22">
        <f>VLOOKUP(A667,'[1]Bieu 1a'!$A$8:$AW$855,8,0)</f>
        <v>0</v>
      </c>
      <c r="P667" s="22" t="str">
        <f>VLOOKUP(A667,'[1]Bieu 1a'!$A$8:$AW$855,9,0)</f>
        <v>01/12/1986</v>
      </c>
      <c r="Q667" s="23" t="s">
        <v>50</v>
      </c>
      <c r="R667" s="24" t="str">
        <f>VLOOKUP(A667,'[1]Bieu 1a'!$A$8:$AW$855,23,0)</f>
        <v>01/11/2018</v>
      </c>
      <c r="S667" s="25" t="s">
        <v>3228</v>
      </c>
      <c r="T667" s="26" t="s">
        <v>3229</v>
      </c>
      <c r="U667" s="16"/>
      <c r="V667" s="16" t="str">
        <f>IFERROR(VLOOKUP(A667,'[2]19.6.2026'!$A$9:$L$1111,5,0),"")</f>
        <v/>
      </c>
      <c r="W667" s="16" t="str">
        <f>IFERROR(VLOOKUP(A667,'[2]19.6.2026'!$A$9:$L$1111,6,0),"")</f>
        <v/>
      </c>
      <c r="X667" s="16"/>
      <c r="Y667" s="21" t="str">
        <f>IFERROR(VLOOKUP(A667,'[2]19.6.2026'!$A$9:$L$1111,7,0),"")</f>
        <v/>
      </c>
      <c r="Z667" s="16"/>
      <c r="AA667" s="27" t="str">
        <f>IFERROR(VLOOKUP(A667,'[3]DS UPLOAD 2026 (2)'!$A$2:$P$1111,16,0),"")</f>
        <v/>
      </c>
      <c r="AB667" s="27" t="s">
        <v>3230</v>
      </c>
      <c r="AC667" s="28" t="s">
        <v>1404</v>
      </c>
    </row>
    <row r="668" spans="1:29" ht="16.5" customHeight="1" x14ac:dyDescent="0.3">
      <c r="A668" s="17" t="s">
        <v>3231</v>
      </c>
      <c r="B668" s="18" t="s">
        <v>2279</v>
      </c>
      <c r="C668" s="17" t="s">
        <v>3231</v>
      </c>
      <c r="D668" s="19" t="s">
        <v>38</v>
      </c>
      <c r="E668" s="19" t="s">
        <v>3232</v>
      </c>
      <c r="F668" s="16" t="str">
        <f>VLOOKUP(E668,'[1]BẢNG MÃ'!$A$2:$B$69,2,0)</f>
        <v>TĐ048</v>
      </c>
      <c r="G668" s="20"/>
      <c r="H668" s="20" t="s">
        <v>3232</v>
      </c>
      <c r="I668" s="16" t="s">
        <v>2776</v>
      </c>
      <c r="J668" s="16" t="str">
        <f>VLOOKUP(I668,'[1]BẢNG MÃ'!$C$2:$D$69,2,0)</f>
        <v>KP036</v>
      </c>
      <c r="K668" s="16"/>
      <c r="L668" s="16"/>
      <c r="M668" s="16" t="s">
        <v>136</v>
      </c>
      <c r="N668" s="21">
        <f ca="1">VLOOKUP(A668,'[1]Bieu 1a'!$A$8:$AW$855,10,0)</f>
        <v>48</v>
      </c>
      <c r="O668" s="22">
        <f>VLOOKUP(A668,'[1]Bieu 1a'!$A$8:$AW$855,8,0)</f>
        <v>0</v>
      </c>
      <c r="P668" s="22" t="str">
        <f>VLOOKUP(A668,'[1]Bieu 1a'!$A$8:$AW$855,9,0)</f>
        <v>07/11/1977</v>
      </c>
      <c r="Q668" s="23" t="s">
        <v>34</v>
      </c>
      <c r="R668" s="24" t="str">
        <f>VLOOKUP(A668,'[1]Bieu 1a'!$A$8:$AW$855,23,0)</f>
        <v xml:space="preserve"> 02/8/2021</v>
      </c>
      <c r="S668" s="25" t="s">
        <v>3233</v>
      </c>
      <c r="T668" s="26" t="s">
        <v>3234</v>
      </c>
      <c r="U668" s="16"/>
      <c r="V668" s="16" t="str">
        <f>IFERROR(VLOOKUP(A668,'[2]19.6.2026'!$A$9:$L$1111,5,0),"")</f>
        <v/>
      </c>
      <c r="W668" s="16" t="str">
        <f>IFERROR(VLOOKUP(A668,'[2]19.6.2026'!$A$9:$L$1111,6,0),"")</f>
        <v/>
      </c>
      <c r="X668" s="16"/>
      <c r="Y668" s="21" t="str">
        <f>IFERROR(VLOOKUP(A668,'[2]19.6.2026'!$A$9:$L$1111,7,0),"")</f>
        <v/>
      </c>
      <c r="Z668" s="16"/>
      <c r="AA668" s="27" t="str">
        <f>IFERROR(VLOOKUP(A668,'[3]DS UPLOAD 2026 (2)'!$A$2:$P$1111,16,0),"")</f>
        <v/>
      </c>
      <c r="AB668" s="16"/>
      <c r="AC668" s="29" t="s">
        <v>3235</v>
      </c>
    </row>
    <row r="669" spans="1:29" ht="16.5" customHeight="1" x14ac:dyDescent="0.3">
      <c r="A669" s="17" t="s">
        <v>3236</v>
      </c>
      <c r="B669" s="18" t="s">
        <v>3237</v>
      </c>
      <c r="C669" s="17" t="s">
        <v>3236</v>
      </c>
      <c r="D669" s="19"/>
      <c r="E669" s="19" t="s">
        <v>3232</v>
      </c>
      <c r="F669" s="16" t="str">
        <f>VLOOKUP(E669,'[1]BẢNG MÃ'!$A$2:$B$69,2,0)</f>
        <v>TĐ048</v>
      </c>
      <c r="G669" s="20"/>
      <c r="H669" s="19" t="s">
        <v>3232</v>
      </c>
      <c r="I669" s="16" t="s">
        <v>2776</v>
      </c>
      <c r="J669" s="16" t="str">
        <f>VLOOKUP(I669,'[1]BẢNG MÃ'!$C$2:$D$69,2,0)</f>
        <v>KP036</v>
      </c>
      <c r="K669" s="16"/>
      <c r="L669" s="16">
        <v>0</v>
      </c>
      <c r="M669" s="16" t="s">
        <v>129</v>
      </c>
      <c r="N669" s="21">
        <f ca="1">VLOOKUP(A669,'[1]Bieu 1a'!$A$8:$AW$855,10,0)</f>
        <v>48</v>
      </c>
      <c r="O669" s="22">
        <f>VLOOKUP(A669,'[1]Bieu 1a'!$A$8:$AW$855,8,0)</f>
        <v>28347</v>
      </c>
      <c r="P669" s="22">
        <f>VLOOKUP(A669,'[1]Bieu 1a'!$A$8:$AW$855,9,0)</f>
        <v>0</v>
      </c>
      <c r="Q669" s="23" t="s">
        <v>44</v>
      </c>
      <c r="R669" s="24" t="str">
        <f>VLOOKUP(A669,'[1]Bieu 1a'!$A$8:$AW$855,23,0)</f>
        <v>1/4/2010</v>
      </c>
      <c r="S669" s="25" t="s">
        <v>3238</v>
      </c>
      <c r="T669" s="26" t="s">
        <v>3239</v>
      </c>
      <c r="U669" s="16"/>
      <c r="V669" s="16" t="str">
        <f>IFERROR(VLOOKUP(A669,'[2]19.6.2026'!$A$9:$L$1111,5,0),"")</f>
        <v/>
      </c>
      <c r="W669" s="16" t="str">
        <f>IFERROR(VLOOKUP(A669,'[2]19.6.2026'!$A$9:$L$1111,6,0),"")</f>
        <v/>
      </c>
      <c r="X669" s="16"/>
      <c r="Y669" s="21" t="str">
        <f>IFERROR(VLOOKUP(A669,'[2]19.6.2026'!$A$9:$L$1111,7,0),"")</f>
        <v/>
      </c>
      <c r="Z669" s="16"/>
      <c r="AA669" s="27" t="str">
        <f>IFERROR(VLOOKUP(A669,'[3]DS UPLOAD 2026 (2)'!$A$2:$P$1111,16,0),"")</f>
        <v/>
      </c>
      <c r="AB669" s="27">
        <v>977255531</v>
      </c>
      <c r="AC669" s="28" t="s">
        <v>133</v>
      </c>
    </row>
    <row r="670" spans="1:29" ht="16.5" customHeight="1" x14ac:dyDescent="0.3">
      <c r="A670" s="17" t="s">
        <v>3240</v>
      </c>
      <c r="B670" s="18" t="s">
        <v>3241</v>
      </c>
      <c r="C670" s="17" t="s">
        <v>3240</v>
      </c>
      <c r="D670" s="19"/>
      <c r="E670" s="19" t="s">
        <v>3232</v>
      </c>
      <c r="F670" s="16" t="str">
        <f>VLOOKUP(E670,'[1]BẢNG MÃ'!$A$2:$B$69,2,0)</f>
        <v>TĐ048</v>
      </c>
      <c r="G670" s="20"/>
      <c r="H670" s="19" t="s">
        <v>3232</v>
      </c>
      <c r="I670" s="16" t="s">
        <v>2776</v>
      </c>
      <c r="J670" s="16" t="str">
        <f>VLOOKUP(I670,'[1]BẢNG MÃ'!$C$2:$D$69,2,0)</f>
        <v>KP036</v>
      </c>
      <c r="K670" s="16"/>
      <c r="L670" s="16">
        <v>0</v>
      </c>
      <c r="M670" s="16" t="s">
        <v>129</v>
      </c>
      <c r="N670" s="21">
        <f ca="1">VLOOKUP(A670,'[1]Bieu 1a'!$A$8:$AW$855,10,0)</f>
        <v>51</v>
      </c>
      <c r="O670" s="22">
        <f>VLOOKUP(A670,'[1]Bieu 1a'!$A$8:$AW$855,8,0)</f>
        <v>27303</v>
      </c>
      <c r="P670" s="22">
        <f>VLOOKUP(A670,'[1]Bieu 1a'!$A$8:$AW$855,9,0)</f>
        <v>0</v>
      </c>
      <c r="Q670" s="23" t="s">
        <v>44</v>
      </c>
      <c r="R670" s="24" t="str">
        <f>VLOOKUP(A670,'[1]Bieu 1a'!$A$8:$AW$855,23,0)</f>
        <v>1/4/2010</v>
      </c>
      <c r="S670" s="25" t="s">
        <v>3242</v>
      </c>
      <c r="T670" s="26" t="s">
        <v>3243</v>
      </c>
      <c r="U670" s="16"/>
      <c r="V670" s="16" t="str">
        <f>IFERROR(VLOOKUP(A670,'[2]19.6.2026'!$A$9:$L$1111,5,0),"")</f>
        <v/>
      </c>
      <c r="W670" s="16" t="str">
        <f>IFERROR(VLOOKUP(A670,'[2]19.6.2026'!$A$9:$L$1111,6,0),"")</f>
        <v/>
      </c>
      <c r="X670" s="16"/>
      <c r="Y670" s="21" t="str">
        <f>IFERROR(VLOOKUP(A670,'[2]19.6.2026'!$A$9:$L$1111,7,0),"")</f>
        <v/>
      </c>
      <c r="Z670" s="16"/>
      <c r="AA670" s="27" t="str">
        <f>IFERROR(VLOOKUP(A670,'[3]DS UPLOAD 2026 (2)'!$A$2:$P$1111,16,0),"")</f>
        <v/>
      </c>
      <c r="AB670" s="27" t="s">
        <v>3244</v>
      </c>
      <c r="AC670" s="28" t="s">
        <v>133</v>
      </c>
    </row>
    <row r="671" spans="1:29" ht="16.5" customHeight="1" x14ac:dyDescent="0.3">
      <c r="A671" s="17" t="s">
        <v>3245</v>
      </c>
      <c r="B671" s="29" t="s">
        <v>3246</v>
      </c>
      <c r="C671" s="17" t="s">
        <v>3245</v>
      </c>
      <c r="D671" s="19"/>
      <c r="E671" s="19" t="s">
        <v>3232</v>
      </c>
      <c r="F671" s="16" t="str">
        <f>VLOOKUP(E671,'[1]BẢNG MÃ'!$A$2:$B$69,2,0)</f>
        <v>TĐ048</v>
      </c>
      <c r="G671" s="20"/>
      <c r="H671" s="19" t="s">
        <v>3232</v>
      </c>
      <c r="I671" s="16" t="s">
        <v>2776</v>
      </c>
      <c r="J671" s="16" t="str">
        <f>VLOOKUP(I671,'[1]BẢNG MÃ'!$C$2:$D$69,2,0)</f>
        <v>KP036</v>
      </c>
      <c r="K671" s="16"/>
      <c r="L671" s="16"/>
      <c r="M671" s="16" t="s">
        <v>136</v>
      </c>
      <c r="N671" s="21">
        <f ca="1">VLOOKUP(A671,'[1]Bieu 1a'!$A$8:$AW$855,10,0)</f>
        <v>34</v>
      </c>
      <c r="O671" s="22" t="str">
        <f>VLOOKUP(A671,'[1]Bieu 1a'!$A$8:$AW$855,8,0)</f>
        <v>13/8/1991</v>
      </c>
      <c r="P671" s="22">
        <f>VLOOKUP(A671,'[1]Bieu 1a'!$A$8:$AW$855,9,0)</f>
        <v>0</v>
      </c>
      <c r="Q671" s="23" t="s">
        <v>50</v>
      </c>
      <c r="R671" s="24" t="str">
        <f>VLOOKUP(A671,'[1]Bieu 1a'!$A$8:$AW$855,23,0)</f>
        <v>01/04/2017</v>
      </c>
      <c r="S671" s="25" t="s">
        <v>3247</v>
      </c>
      <c r="T671" s="26" t="s">
        <v>3248</v>
      </c>
      <c r="U671" s="16"/>
      <c r="V671" s="16" t="str">
        <f>IFERROR(VLOOKUP(A671,'[2]19.6.2026'!$A$9:$L$1111,5,0),"")</f>
        <v/>
      </c>
      <c r="W671" s="16" t="str">
        <f>IFERROR(VLOOKUP(A671,'[2]19.6.2026'!$A$9:$L$1111,6,0),"")</f>
        <v/>
      </c>
      <c r="X671" s="16"/>
      <c r="Y671" s="21" t="str">
        <f>IFERROR(VLOOKUP(A671,'[2]19.6.2026'!$A$9:$L$1111,7,0),"")</f>
        <v/>
      </c>
      <c r="Z671" s="16"/>
      <c r="AA671" s="27" t="str">
        <f>IFERROR(VLOOKUP(A671,'[3]DS UPLOAD 2026 (2)'!$A$2:$P$1111,16,0),"")</f>
        <v/>
      </c>
      <c r="AB671" s="27" t="s">
        <v>3249</v>
      </c>
      <c r="AC671" s="28"/>
    </row>
    <row r="672" spans="1:29" ht="16.5" customHeight="1" x14ac:dyDescent="0.3">
      <c r="A672" s="43" t="s">
        <v>3250</v>
      </c>
      <c r="B672" s="28" t="s">
        <v>3251</v>
      </c>
      <c r="C672" s="45" t="s">
        <v>3250</v>
      </c>
      <c r="D672" s="23" t="s">
        <v>38</v>
      </c>
      <c r="E672" s="23" t="s">
        <v>3232</v>
      </c>
      <c r="F672" s="16" t="str">
        <f>VLOOKUP(E672,'[1]BẢNG MÃ'!$A$2:$B$69,2,0)</f>
        <v>TĐ048</v>
      </c>
      <c r="G672" s="23"/>
      <c r="H672" s="23" t="s">
        <v>3232</v>
      </c>
      <c r="I672" s="19" t="s">
        <v>2776</v>
      </c>
      <c r="J672" s="16" t="str">
        <f>VLOOKUP(I672,'[1]BẢNG MÃ'!$C$2:$D$69,2,0)</f>
        <v>KP036</v>
      </c>
      <c r="K672" s="23"/>
      <c r="L672" s="23"/>
      <c r="M672" s="16" t="s">
        <v>136</v>
      </c>
      <c r="N672" s="21">
        <f ca="1">VLOOKUP(A672,'[1]Bieu 1a'!$A$8:$AW$855,10,0)</f>
        <v>37</v>
      </c>
      <c r="O672" s="22">
        <f>VLOOKUP(A672,'[1]Bieu 1a'!$A$8:$AW$855,8,0)</f>
        <v>0</v>
      </c>
      <c r="P672" s="22" t="str">
        <f>VLOOKUP(A672,'[1]Bieu 1a'!$A$8:$AW$855,9,0)</f>
        <v>19/12/1988</v>
      </c>
      <c r="Q672" s="23" t="s">
        <v>50</v>
      </c>
      <c r="R672" s="24">
        <f>VLOOKUP(A672,'[1]Bieu 1a'!$A$8:$AW$855,23,0)</f>
        <v>45293</v>
      </c>
      <c r="S672" s="25" t="s">
        <v>3252</v>
      </c>
      <c r="T672" s="26" t="s">
        <v>3253</v>
      </c>
      <c r="U672" s="23"/>
      <c r="V672" s="16" t="str">
        <f>IFERROR(VLOOKUP(A672,'[2]19.6.2026'!$A$9:$L$1111,5,0),"")</f>
        <v/>
      </c>
      <c r="W672" s="16" t="str">
        <f>IFERROR(VLOOKUP(A672,'[2]19.6.2026'!$A$9:$L$1111,6,0),"")</f>
        <v/>
      </c>
      <c r="X672" s="16"/>
      <c r="Y672" s="21" t="str">
        <f>IFERROR(VLOOKUP(A672,'[2]19.6.2026'!$A$9:$L$1111,7,0),"")</f>
        <v/>
      </c>
      <c r="Z672" s="16"/>
      <c r="AA672" s="27" t="str">
        <f>IFERROR(VLOOKUP(A672,'[3]DS UPLOAD 2026 (2)'!$A$2:$P$1111,16,0),"")</f>
        <v/>
      </c>
      <c r="AB672" s="44" t="s">
        <v>3254</v>
      </c>
      <c r="AC672" s="51" t="s">
        <v>3255</v>
      </c>
    </row>
    <row r="673" spans="1:29" ht="16.5" customHeight="1" x14ac:dyDescent="0.3">
      <c r="A673" s="87" t="s">
        <v>3256</v>
      </c>
      <c r="B673" s="88" t="s">
        <v>3257</v>
      </c>
      <c r="C673" s="89" t="s">
        <v>3256</v>
      </c>
      <c r="D673" s="30" t="s">
        <v>38</v>
      </c>
      <c r="E673" s="89" t="s">
        <v>3232</v>
      </c>
      <c r="F673" s="16" t="str">
        <f>VLOOKUP(E673,'[1]BẢNG MÃ'!$A$2:$B$69,2,0)</f>
        <v>TĐ048</v>
      </c>
      <c r="G673" s="90"/>
      <c r="H673" s="90" t="s">
        <v>3232</v>
      </c>
      <c r="I673" s="68" t="s">
        <v>2776</v>
      </c>
      <c r="J673" s="16" t="str">
        <f>VLOOKUP(I673,'[1]BẢNG MÃ'!$C$2:$D$69,2,0)</f>
        <v>KP036</v>
      </c>
      <c r="K673" s="23"/>
      <c r="L673" s="23"/>
      <c r="M673" s="16" t="s">
        <v>136</v>
      </c>
      <c r="N673" s="21">
        <f ca="1">VLOOKUP(A673,'[1]Bieu 1a'!$A$8:$AW$855,10,0)</f>
        <v>40</v>
      </c>
      <c r="O673" s="22">
        <f>VLOOKUP(A673,'[1]Bieu 1a'!$A$8:$AW$855,8,0)</f>
        <v>0</v>
      </c>
      <c r="P673" s="22" t="str">
        <f>VLOOKUP(A673,'[1]Bieu 1a'!$A$8:$AW$855,9,0)</f>
        <v>06/10/1985</v>
      </c>
      <c r="Q673" s="23" t="s">
        <v>50</v>
      </c>
      <c r="R673" s="24">
        <f>VLOOKUP(A673,'[1]Bieu 1a'!$A$8:$AW$855,23,0)</f>
        <v>45664</v>
      </c>
      <c r="S673" s="25" t="s">
        <v>3258</v>
      </c>
      <c r="T673" s="26" t="s">
        <v>3259</v>
      </c>
      <c r="U673" s="23"/>
      <c r="V673" s="16" t="str">
        <f>IFERROR(VLOOKUP(A673,'[2]19.6.2026'!$A$9:$L$1111,5,0),"")</f>
        <v/>
      </c>
      <c r="W673" s="16" t="str">
        <f>IFERROR(VLOOKUP(A673,'[2]19.6.2026'!$A$9:$L$1111,6,0),"")</f>
        <v/>
      </c>
      <c r="X673" s="19"/>
      <c r="Y673" s="21" t="str">
        <f>IFERROR(VLOOKUP(A673,'[2]19.6.2026'!$A$9:$L$1111,7,0),"")</f>
        <v/>
      </c>
      <c r="Z673" s="16"/>
      <c r="AA673" s="27" t="str">
        <f>IFERROR(VLOOKUP(A673,'[3]DS UPLOAD 2026 (2)'!$A$2:$P$1111,16,0),"")</f>
        <v/>
      </c>
      <c r="AB673" s="30">
        <v>346742915</v>
      </c>
      <c r="AC673" s="91" t="s">
        <v>1308</v>
      </c>
    </row>
    <row r="674" spans="1:29" ht="16.5" customHeight="1" x14ac:dyDescent="0.3">
      <c r="A674" s="82" t="s">
        <v>3260</v>
      </c>
      <c r="B674" s="28" t="s">
        <v>3261</v>
      </c>
      <c r="C674" s="83" t="s">
        <v>3260</v>
      </c>
      <c r="D674" s="23" t="s">
        <v>38</v>
      </c>
      <c r="E674" s="23" t="s">
        <v>128</v>
      </c>
      <c r="F674" s="27" t="str">
        <f>VLOOKUP(E674,'[1]BẢNG MÃ'!$A$2:$B$69,2,0)</f>
        <v>TĐ047</v>
      </c>
      <c r="G674" s="48"/>
      <c r="H674" s="48" t="s">
        <v>3232</v>
      </c>
      <c r="I674" s="23" t="s">
        <v>2776</v>
      </c>
      <c r="J674" s="27" t="str">
        <f>VLOOKUP(I674,'[1]BẢNG MÃ'!$C$2:$D$69,2,0)</f>
        <v>KP036</v>
      </c>
      <c r="K674" s="23"/>
      <c r="L674" s="23"/>
      <c r="M674" s="27" t="s">
        <v>136</v>
      </c>
      <c r="N674" s="21">
        <f ca="1">VLOOKUP(A674,'[1]Bieu 1a'!$A$8:$AW$855,10,0)</f>
        <v>35</v>
      </c>
      <c r="O674" s="22">
        <f>VLOOKUP(A674,'[1]Bieu 1a'!$A$8:$AW$855,8,0)</f>
        <v>0</v>
      </c>
      <c r="P674" s="22" t="str">
        <f>VLOOKUP(A674,'[1]Bieu 1a'!$A$8:$AW$855,9,0)</f>
        <v>27/10/1990</v>
      </c>
      <c r="Q674" s="23" t="s">
        <v>44</v>
      </c>
      <c r="R674" s="24">
        <f>VLOOKUP(A674,'[1]Bieu 1a'!$A$8:$AW$855,23,0)</f>
        <v>45748</v>
      </c>
      <c r="S674" s="25" t="s">
        <v>3262</v>
      </c>
      <c r="T674" s="26" t="s">
        <v>3263</v>
      </c>
      <c r="U674" s="23"/>
      <c r="V674" s="16" t="str">
        <f>IFERROR(VLOOKUP(A674,'[2]19.6.2026'!$A$9:$L$1111,5,0),"")</f>
        <v/>
      </c>
      <c r="W674" s="16" t="str">
        <f>IFERROR(VLOOKUP(A674,'[2]19.6.2026'!$A$9:$L$1111,6,0),"")</f>
        <v/>
      </c>
      <c r="X674" s="23"/>
      <c r="Y674" s="21" t="str">
        <f>IFERROR(VLOOKUP(A674,'[2]19.6.2026'!$A$9:$L$1111,7,0),"")</f>
        <v/>
      </c>
      <c r="Z674" s="16"/>
      <c r="AA674" s="27" t="str">
        <f>IFERROR(VLOOKUP(A674,'[3]DS UPLOAD 2026 (2)'!$A$2:$P$1111,16,0),"")</f>
        <v/>
      </c>
      <c r="AB674" s="23">
        <v>977306985</v>
      </c>
      <c r="AC674" s="51" t="s">
        <v>1188</v>
      </c>
    </row>
    <row r="675" spans="1:29" ht="16.5" customHeight="1" x14ac:dyDescent="0.3">
      <c r="A675" s="17" t="s">
        <v>3264</v>
      </c>
      <c r="B675" s="40" t="s">
        <v>3265</v>
      </c>
      <c r="C675" s="17" t="s">
        <v>3264</v>
      </c>
      <c r="D675" s="19"/>
      <c r="E675" s="19" t="s">
        <v>3266</v>
      </c>
      <c r="F675" s="16" t="str">
        <f>VLOOKUP(E675,'[1]BẢNG MÃ'!$A$2:$B$69,2,0)</f>
        <v>TĐ051</v>
      </c>
      <c r="G675" s="20"/>
      <c r="H675" s="16" t="s">
        <v>3267</v>
      </c>
      <c r="I675" s="16" t="s">
        <v>2776</v>
      </c>
      <c r="J675" s="16" t="str">
        <f>VLOOKUP(I675,'[1]BẢNG MÃ'!$C$2:$D$69,2,0)</f>
        <v>KP036</v>
      </c>
      <c r="K675" s="16"/>
      <c r="L675" s="16"/>
      <c r="M675" s="16" t="s">
        <v>136</v>
      </c>
      <c r="N675" s="21">
        <f ca="1">VLOOKUP(A675,'[1]Bieu 1a'!$A$8:$AW$855,10,0)</f>
        <v>32</v>
      </c>
      <c r="O675" s="22" t="str">
        <f>VLOOKUP(A675,'[1]Bieu 1a'!$A$8:$AW$855,8,0)</f>
        <v>21/10/1993</v>
      </c>
      <c r="P675" s="22">
        <f>VLOOKUP(A675,'[1]Bieu 1a'!$A$8:$AW$855,9,0)</f>
        <v>0</v>
      </c>
      <c r="Q675" s="23" t="s">
        <v>34</v>
      </c>
      <c r="R675" s="24" t="str">
        <f>VLOOKUP(A675,'[1]Bieu 1a'!$A$8:$AW$855,23,0)</f>
        <v>15/8/2019</v>
      </c>
      <c r="S675" s="25" t="s">
        <v>3268</v>
      </c>
      <c r="T675" s="26" t="s">
        <v>3269</v>
      </c>
      <c r="U675" s="16"/>
      <c r="V675" s="16" t="str">
        <f>IFERROR(VLOOKUP(A675,'[2]19.6.2026'!$A$9:$L$1111,5,0),"")</f>
        <v>004336/LS-CCHN</v>
      </c>
      <c r="W675" s="16" t="str">
        <f>IFERROR(VLOOKUP(A675,'[2]19.6.2026'!$A$9:$L$1111,6,0),"")</f>
        <v>17/8/2021</v>
      </c>
      <c r="X675" s="16"/>
      <c r="Y675" s="21" t="str">
        <f>IFERROR(VLOOKUP(A675,'[2]19.6.2026'!$A$9:$L$1111,7,0),"")</f>
        <v>Phát hiện và xử trí các bệnh thông thường; xử trí ban đầu một số trường hợp cấp cứu tại cộng đồng</v>
      </c>
      <c r="Z675" s="16"/>
      <c r="AA675" s="27" t="str">
        <f>IFERROR(VLOOKUP(A675,'[3]DS UPLOAD 2026 (2)'!$A$2:$P$1111,16,0),"")</f>
        <v/>
      </c>
      <c r="AB675" s="41" t="s">
        <v>3270</v>
      </c>
      <c r="AC675" s="127" t="s">
        <v>3271</v>
      </c>
    </row>
    <row r="676" spans="1:29" ht="16.5" customHeight="1" x14ac:dyDescent="0.3">
      <c r="A676" s="17" t="s">
        <v>3272</v>
      </c>
      <c r="B676" s="18" t="s">
        <v>1122</v>
      </c>
      <c r="C676" s="17" t="s">
        <v>3272</v>
      </c>
      <c r="D676" s="19" t="s">
        <v>38</v>
      </c>
      <c r="E676" s="16" t="s">
        <v>3273</v>
      </c>
      <c r="F676" s="16" t="e">
        <f>VLOOKUP(E676,'[1]BẢNG MÃ'!$A$2:$B$69,2,0)</f>
        <v>#N/A</v>
      </c>
      <c r="G676" s="20" t="s">
        <v>3274</v>
      </c>
      <c r="H676" s="20" t="s">
        <v>3274</v>
      </c>
      <c r="I676" s="16" t="s">
        <v>2776</v>
      </c>
      <c r="J676" s="16" t="str">
        <f>VLOOKUP(I676,'[1]BẢNG MÃ'!$C$2:$D$69,2,0)</f>
        <v>KP036</v>
      </c>
      <c r="K676" s="16" t="s">
        <v>31</v>
      </c>
      <c r="L676" s="16" t="s">
        <v>148</v>
      </c>
      <c r="M676" s="16" t="s">
        <v>33</v>
      </c>
      <c r="N676" s="21">
        <f ca="1">VLOOKUP(A676,'[1]Bieu 1a'!$A$8:$AW$855,10,0)</f>
        <v>45</v>
      </c>
      <c r="O676" s="22">
        <f>VLOOKUP(A676,'[1]Bieu 1a'!$A$8:$AW$855,8,0)</f>
        <v>0</v>
      </c>
      <c r="P676" s="22">
        <f>VLOOKUP(A676,'[1]Bieu 1a'!$A$8:$AW$855,9,0)</f>
        <v>29647</v>
      </c>
      <c r="Q676" s="23" t="s">
        <v>34</v>
      </c>
      <c r="R676" s="24" t="str">
        <f>VLOOKUP(A676,'[1]Bieu 1a'!$A$8:$AW$855,23,0)</f>
        <v>16/2/2005</v>
      </c>
      <c r="S676" s="25" t="s">
        <v>3275</v>
      </c>
      <c r="T676" s="26" t="s">
        <v>3276</v>
      </c>
      <c r="U676" s="16"/>
      <c r="V676" s="16" t="str">
        <f>IFERROR(VLOOKUP(A676,'[2]19.6.2026'!$A$9:$L$1111,5,0),"")</f>
        <v>000802/LS-CCHN</v>
      </c>
      <c r="W676" s="16" t="str">
        <f>IFERROR(VLOOKUP(A676,'[2]19.6.2026'!$A$9:$L$1111,6,0),"")</f>
        <v>24/06/2013</v>
      </c>
      <c r="X676" s="16"/>
      <c r="Y676" s="21" t="str">
        <f>IFERROR(VLOOKUP(A676,'[2]19.6.2026'!$A$9:$L$1111,7,0),"")</f>
        <v>Theo quy định tại Quyết định số 41/2005/QĐ-BNV ngày 22/4/2005 của Bộ trưởng Bộ Nội vụ về việc ban hành tiêu chuẩn nghiệp vụ các ngạch viên chức y tế điều dưỡng</v>
      </c>
      <c r="Z676" s="16"/>
      <c r="AA676" s="27" t="str">
        <f>IFERROR(VLOOKUP(A676,'[3]DS UPLOAD 2026 (2)'!$A$2:$P$1111,16,0),"")</f>
        <v/>
      </c>
      <c r="AB676" s="27">
        <v>949275558</v>
      </c>
      <c r="AC676" s="51"/>
    </row>
    <row r="677" spans="1:29" ht="16.5" customHeight="1" x14ac:dyDescent="0.3">
      <c r="A677" s="17" t="s">
        <v>3277</v>
      </c>
      <c r="B677" s="120" t="s">
        <v>3278</v>
      </c>
      <c r="C677" s="17" t="s">
        <v>3277</v>
      </c>
      <c r="D677" s="19" t="s">
        <v>38</v>
      </c>
      <c r="E677" s="16" t="s">
        <v>3273</v>
      </c>
      <c r="F677" s="16" t="e">
        <f>VLOOKUP(E677,'[1]BẢNG MÃ'!$A$2:$B$69,2,0)</f>
        <v>#N/A</v>
      </c>
      <c r="G677" s="20" t="s">
        <v>42</v>
      </c>
      <c r="H677" s="20" t="s">
        <v>42</v>
      </c>
      <c r="I677" s="16" t="s">
        <v>2776</v>
      </c>
      <c r="J677" s="16" t="str">
        <f>VLOOKUP(I677,'[1]BẢNG MÃ'!$C$2:$D$69,2,0)</f>
        <v>KP036</v>
      </c>
      <c r="K677" s="16" t="s">
        <v>31</v>
      </c>
      <c r="L677" s="16" t="s">
        <v>154</v>
      </c>
      <c r="M677" s="16" t="s">
        <v>33</v>
      </c>
      <c r="N677" s="21">
        <f ca="1">VLOOKUP(A677,'[1]Bieu 1a'!$A$8:$AW$855,10,0)</f>
        <v>50</v>
      </c>
      <c r="O677" s="22">
        <f>VLOOKUP(A677,'[1]Bieu 1a'!$A$8:$AW$855,8,0)</f>
        <v>0</v>
      </c>
      <c r="P677" s="22">
        <f>VLOOKUP(A677,'[1]Bieu 1a'!$A$8:$AW$855,9,0)</f>
        <v>27765</v>
      </c>
      <c r="Q677" s="23" t="s">
        <v>44</v>
      </c>
      <c r="R677" s="24" t="str">
        <f>VLOOKUP(A677,'[1]Bieu 1a'!$A$8:$AW$855,23,0)</f>
        <v>16/2/2005</v>
      </c>
      <c r="S677" s="25" t="s">
        <v>3279</v>
      </c>
      <c r="T677" s="26" t="s">
        <v>3280</v>
      </c>
      <c r="U677" s="16"/>
      <c r="V677" s="16" t="str">
        <f>IFERROR(VLOOKUP(A677,'[2]19.6.2026'!$A$9:$L$1111,5,0),"")</f>
        <v>001041/LS-CCHN</v>
      </c>
      <c r="W677" s="16" t="str">
        <f>IFERROR(VLOOKUP(A677,'[2]19.6.2026'!$A$9:$L$1111,6,0),"")</f>
        <v>24/06/2013</v>
      </c>
      <c r="X677" s="16"/>
      <c r="Y677" s="21" t="str">
        <f>IFERROR(VLOOKUP(A677,'[2]19.6.2026'!$A$9:$L$1111,7,0),"")</f>
        <v>Theo quy định tại Quyết định số 41/2005/QĐ-BNV ngày 22/4/2005 của Bộ trưởng Bộ Nội vụ về việc ban hành tiêu chuẩn nghiệp vụ các ngạch viên chức y tế điều dưỡng</v>
      </c>
      <c r="Z677" s="16"/>
      <c r="AA677" s="27" t="str">
        <f>IFERROR(VLOOKUP(A677,'[3]DS UPLOAD 2026 (2)'!$A$2:$P$1111,16,0),"")</f>
        <v/>
      </c>
      <c r="AB677" s="27">
        <v>915674818</v>
      </c>
      <c r="AC677" s="114"/>
    </row>
    <row r="678" spans="1:29" ht="18.75" customHeight="1" x14ac:dyDescent="0.3">
      <c r="A678" s="92" t="s">
        <v>3281</v>
      </c>
      <c r="B678" s="93" t="s">
        <v>3282</v>
      </c>
      <c r="C678" s="94" t="s">
        <v>3281</v>
      </c>
      <c r="D678" s="95" t="s">
        <v>38</v>
      </c>
      <c r="E678" s="138" t="s">
        <v>41</v>
      </c>
      <c r="F678" s="16" t="str">
        <f>VLOOKUP(E678,'[1]BẢNG MÃ'!$A$2:$B$69,2,0)</f>
        <v>TĐ011</v>
      </c>
      <c r="G678" s="130" t="s">
        <v>42</v>
      </c>
      <c r="H678" s="20" t="s">
        <v>42</v>
      </c>
      <c r="I678" s="97" t="s">
        <v>3283</v>
      </c>
      <c r="J678" s="16" t="str">
        <f>VLOOKUP(I678,'[1]BẢNG MÃ'!$C$2:$D$69,2,0)</f>
        <v>KP037</v>
      </c>
      <c r="K678" s="16" t="s">
        <v>43</v>
      </c>
      <c r="L678" s="97"/>
      <c r="M678" s="97" t="s">
        <v>33</v>
      </c>
      <c r="N678" s="21">
        <f ca="1">VLOOKUP(A678,'[1]Bieu 1a'!$A$8:$AW$855,10,0)</f>
        <v>28</v>
      </c>
      <c r="O678" s="22">
        <f>VLOOKUP(A678,'[1]Bieu 1a'!$A$8:$AW$855,8,0)</f>
        <v>0</v>
      </c>
      <c r="P678" s="22" t="str">
        <f>VLOOKUP(A678,'[1]Bieu 1a'!$A$8:$AW$855,9,0)</f>
        <v>25/08/1997</v>
      </c>
      <c r="Q678" s="23" t="s">
        <v>44</v>
      </c>
      <c r="R678" s="24" t="str">
        <f>VLOOKUP(A678,'[1]Bieu 1a'!$A$8:$AW$855,23,0)</f>
        <v>17/4/2019</v>
      </c>
      <c r="S678" s="25" t="s">
        <v>3284</v>
      </c>
      <c r="T678" s="26" t="s">
        <v>3285</v>
      </c>
      <c r="U678" s="97"/>
      <c r="V678" s="16" t="str">
        <f>IFERROR(VLOOKUP(A678,'[2]19.6.2026'!$A$9:$L$1111,5,0),"")</f>
        <v>003730/LS-CCHN</v>
      </c>
      <c r="W678" s="16">
        <f>IFERROR(VLOOKUP(A678,'[2]19.6.2026'!$A$9:$L$1111,6,0),"")</f>
        <v>43973</v>
      </c>
      <c r="X678" s="97"/>
      <c r="Y678" s="21" t="str">
        <f>IFERROR(VLOOKUP(A678,'[2]19.6.2026'!$A$9:$L$1111,7,0),"")</f>
        <v>Thực hiện phạm vi hoạt động chuyên môn theo quy định tại Thông tư số 26/2015/TTLT-BYT-BNV ngày 07/10/2015 quy định mã số, tiêu chuẩn chức danh nghề nghiệp điều dưỡng, hộ sinh, kỹ thuật y</v>
      </c>
      <c r="Z678" s="16"/>
      <c r="AA678" s="27" t="str">
        <f>IFERROR(VLOOKUP(A678,'[3]DS UPLOAD 2026 (2)'!$A$2:$P$1111,16,0),"")</f>
        <v/>
      </c>
      <c r="AB678" s="97">
        <v>356797430</v>
      </c>
      <c r="AC678" s="93" t="s">
        <v>3286</v>
      </c>
    </row>
    <row r="679" spans="1:29" ht="16.5" customHeight="1" x14ac:dyDescent="0.3">
      <c r="A679" s="17" t="s">
        <v>3287</v>
      </c>
      <c r="B679" s="18" t="s">
        <v>3288</v>
      </c>
      <c r="C679" s="17" t="s">
        <v>3287</v>
      </c>
      <c r="D679" s="19" t="s">
        <v>38</v>
      </c>
      <c r="E679" s="19" t="s">
        <v>41</v>
      </c>
      <c r="F679" s="16" t="str">
        <f>VLOOKUP(E679,'[1]BẢNG MÃ'!$A$2:$B$69,2,0)</f>
        <v>TĐ011</v>
      </c>
      <c r="G679" s="20" t="s">
        <v>62</v>
      </c>
      <c r="H679" s="20" t="s">
        <v>62</v>
      </c>
      <c r="I679" s="16" t="s">
        <v>3283</v>
      </c>
      <c r="J679" s="16" t="str">
        <f>VLOOKUP(I679,'[1]BẢNG MÃ'!$C$2:$D$69,2,0)</f>
        <v>KP037</v>
      </c>
      <c r="K679" s="16" t="s">
        <v>43</v>
      </c>
      <c r="L679" s="16">
        <v>0</v>
      </c>
      <c r="M679" s="16" t="s">
        <v>33</v>
      </c>
      <c r="N679" s="21">
        <f ca="1">VLOOKUP(A679,'[1]Bieu 1a'!$A$8:$AW$855,10,0)</f>
        <v>33</v>
      </c>
      <c r="O679" s="22">
        <f>VLOOKUP(A679,'[1]Bieu 1a'!$A$8:$AW$855,8,0)</f>
        <v>0</v>
      </c>
      <c r="P679" s="22">
        <f>VLOOKUP(A679,'[1]Bieu 1a'!$A$8:$AW$855,9,0)</f>
        <v>34122</v>
      </c>
      <c r="Q679" s="23" t="s">
        <v>44</v>
      </c>
      <c r="R679" s="24" t="str">
        <f>VLOOKUP(A679,'[1]Bieu 1a'!$A$8:$AW$855,23,0)</f>
        <v>01/2/2017</v>
      </c>
      <c r="S679" s="25" t="s">
        <v>3289</v>
      </c>
      <c r="T679" s="26" t="s">
        <v>3290</v>
      </c>
      <c r="U679" s="22"/>
      <c r="V679" s="16" t="str">
        <f>IFERROR(VLOOKUP(A679,'[2]19.6.2026'!$A$9:$L$1111,5,0),"")</f>
        <v>003237/LS-CCHN</v>
      </c>
      <c r="W679" s="16" t="str">
        <f>IFERROR(VLOOKUP(A679,'[2]19.6.2026'!$A$9:$L$1111,6,0),"")</f>
        <v>09/05/2018</v>
      </c>
      <c r="X679" s="16"/>
      <c r="Y679" s="21" t="str">
        <f>IFERROR(VLOOKUP(A679,'[2]19.6.2026'!$A$9:$L$1111,7,0),"")</f>
        <v>Thực hiện phạm vi hoạt động chuyên môn theo quy định tại Thông tư số 26/2015/TTLT-BYT-BNV ngày 07/10/2015 quy định mã số, tiêu chuẩn chức danh nghề nghiệp điều dưỡng, hộ sinh, kỹ thuật y</v>
      </c>
      <c r="Z679" s="16"/>
      <c r="AA679" s="27" t="str">
        <f>IFERROR(VLOOKUP(A679,'[3]DS UPLOAD 2026 (2)'!$A$2:$P$1111,16,0),"")</f>
        <v/>
      </c>
      <c r="AB679" s="27"/>
      <c r="AC679" s="28" t="s">
        <v>3291</v>
      </c>
    </row>
    <row r="680" spans="1:29" ht="16.5" customHeight="1" x14ac:dyDescent="0.3">
      <c r="A680" s="17" t="s">
        <v>3292</v>
      </c>
      <c r="B680" s="18" t="s">
        <v>3293</v>
      </c>
      <c r="C680" s="17" t="s">
        <v>3292</v>
      </c>
      <c r="D680" s="19" t="s">
        <v>38</v>
      </c>
      <c r="E680" s="19" t="s">
        <v>142</v>
      </c>
      <c r="F680" s="16" t="str">
        <f>VLOOKUP(E680,'[1]BẢNG MÃ'!$A$2:$B$69,2,0)</f>
        <v>TĐ047</v>
      </c>
      <c r="G680" s="20"/>
      <c r="H680" s="19" t="s">
        <v>142</v>
      </c>
      <c r="I680" s="16" t="s">
        <v>3283</v>
      </c>
      <c r="J680" s="16" t="str">
        <f>VLOOKUP(I680,'[1]BẢNG MÃ'!$C$2:$D$69,2,0)</f>
        <v>KP037</v>
      </c>
      <c r="K680" s="16"/>
      <c r="L680" s="16"/>
      <c r="M680" s="16" t="s">
        <v>136</v>
      </c>
      <c r="N680" s="21">
        <f ca="1">VLOOKUP(A680,'[1]Bieu 1a'!$A$8:$AW$855,10,0)</f>
        <v>39</v>
      </c>
      <c r="O680" s="22">
        <f>VLOOKUP(A680,'[1]Bieu 1a'!$A$8:$AW$855,8,0)</f>
        <v>0</v>
      </c>
      <c r="P680" s="22" t="str">
        <f>VLOOKUP(A680,'[1]Bieu 1a'!$A$8:$AW$855,9,0)</f>
        <v>29/09/1986</v>
      </c>
      <c r="Q680" s="23" t="s">
        <v>50</v>
      </c>
      <c r="R680" s="24">
        <f>VLOOKUP(A680,'[1]Bieu 1a'!$A$8:$AW$855,23,0)</f>
        <v>44410</v>
      </c>
      <c r="S680" s="25" t="s">
        <v>3294</v>
      </c>
      <c r="T680" s="26" t="s">
        <v>3295</v>
      </c>
      <c r="U680" s="16"/>
      <c r="V680" s="16" t="str">
        <f>IFERROR(VLOOKUP(A680,'[2]19.6.2026'!$A$9:$L$1111,5,0),"")</f>
        <v/>
      </c>
      <c r="W680" s="16" t="str">
        <f>IFERROR(VLOOKUP(A680,'[2]19.6.2026'!$A$9:$L$1111,6,0),"")</f>
        <v/>
      </c>
      <c r="X680" s="16"/>
      <c r="Y680" s="21" t="str">
        <f>IFERROR(VLOOKUP(A680,'[2]19.6.2026'!$A$9:$L$1111,7,0),"")</f>
        <v/>
      </c>
      <c r="Z680" s="16"/>
      <c r="AA680" s="27" t="str">
        <f>IFERROR(VLOOKUP(A680,'[3]DS UPLOAD 2026 (2)'!$A$2:$P$1111,16,0),"")</f>
        <v/>
      </c>
      <c r="AB680" s="16">
        <v>979250866</v>
      </c>
      <c r="AC680" s="29" t="s">
        <v>3235</v>
      </c>
    </row>
    <row r="681" spans="1:29" ht="16.5" customHeight="1" x14ac:dyDescent="0.3">
      <c r="A681" s="17" t="s">
        <v>3296</v>
      </c>
      <c r="B681" s="18" t="s">
        <v>3297</v>
      </c>
      <c r="C681" s="17" t="s">
        <v>3296</v>
      </c>
      <c r="D681" s="19" t="s">
        <v>38</v>
      </c>
      <c r="E681" s="19" t="s">
        <v>128</v>
      </c>
      <c r="F681" s="16" t="str">
        <f>VLOOKUP(E681,'[1]BẢNG MÃ'!$A$2:$B$69,2,0)</f>
        <v>TĐ047</v>
      </c>
      <c r="G681" s="60"/>
      <c r="H681" s="19" t="s">
        <v>3232</v>
      </c>
      <c r="I681" s="16" t="s">
        <v>2510</v>
      </c>
      <c r="J681" s="16" t="str">
        <f>VLOOKUP(I681,'[1]BẢNG MÃ'!$C$2:$D$69,2,0)</f>
        <v>KP025</v>
      </c>
      <c r="K681" s="16"/>
      <c r="L681" s="16"/>
      <c r="M681" s="16" t="s">
        <v>136</v>
      </c>
      <c r="N681" s="21">
        <f ca="1">VLOOKUP(A681,'[1]Bieu 1a'!$A$8:$AW$855,10,0)</f>
        <v>48</v>
      </c>
      <c r="O681" s="22">
        <f>VLOOKUP(A681,'[1]Bieu 1a'!$A$8:$AW$855,8,0)</f>
        <v>0</v>
      </c>
      <c r="P681" s="22">
        <f>VLOOKUP(A681,'[1]Bieu 1a'!$A$8:$AW$855,9,0)</f>
        <v>28508</v>
      </c>
      <c r="Q681" s="23" t="s">
        <v>50</v>
      </c>
      <c r="R681" s="24">
        <f>VLOOKUP(A681,'[1]Bieu 1a'!$A$8:$AW$855,23,0)</f>
        <v>45112</v>
      </c>
      <c r="S681" s="25" t="s">
        <v>3298</v>
      </c>
      <c r="T681" s="26" t="s">
        <v>3299</v>
      </c>
      <c r="U681" s="16"/>
      <c r="V681" s="16" t="str">
        <f>IFERROR(VLOOKUP(A681,'[2]19.6.2026'!$A$9:$L$1111,5,0),"")</f>
        <v/>
      </c>
      <c r="W681" s="16" t="str">
        <f>IFERROR(VLOOKUP(A681,'[2]19.6.2026'!$A$9:$L$1111,6,0),"")</f>
        <v/>
      </c>
      <c r="X681" s="16"/>
      <c r="Y681" s="21" t="str">
        <f>IFERROR(VLOOKUP(A681,'[2]19.6.2026'!$A$9:$L$1111,7,0),"")</f>
        <v/>
      </c>
      <c r="Z681" s="16"/>
      <c r="AA681" s="27" t="str">
        <f>IFERROR(VLOOKUP(A681,'[3]DS UPLOAD 2026 (2)'!$A$2:$P$1111,16,0),"")</f>
        <v/>
      </c>
      <c r="AB681" s="27"/>
      <c r="AC681" s="28" t="s">
        <v>3300</v>
      </c>
    </row>
    <row r="682" spans="1:29" ht="16.5" customHeight="1" x14ac:dyDescent="0.3">
      <c r="A682" s="17" t="s">
        <v>3301</v>
      </c>
      <c r="B682" s="18" t="s">
        <v>3302</v>
      </c>
      <c r="C682" s="17" t="s">
        <v>3301</v>
      </c>
      <c r="D682" s="19" t="s">
        <v>38</v>
      </c>
      <c r="E682" s="19" t="s">
        <v>3303</v>
      </c>
      <c r="F682" s="16" t="e">
        <f>VLOOKUP(E682,'[1]BẢNG MÃ'!$A$2:$B$69,2,0)</f>
        <v>#N/A</v>
      </c>
      <c r="G682" s="20" t="s">
        <v>42</v>
      </c>
      <c r="H682" s="20" t="s">
        <v>42</v>
      </c>
      <c r="I682" s="16" t="s">
        <v>3283</v>
      </c>
      <c r="J682" s="16" t="str">
        <f>VLOOKUP(I682,'[1]BẢNG MÃ'!$C$2:$D$69,2,0)</f>
        <v>KP037</v>
      </c>
      <c r="K682" s="16" t="s">
        <v>31</v>
      </c>
      <c r="L682" s="16" t="s">
        <v>3304</v>
      </c>
      <c r="M682" s="16" t="s">
        <v>33</v>
      </c>
      <c r="N682" s="21">
        <f ca="1">VLOOKUP(A682,'[1]Bieu 1a'!$A$8:$AW$855,10,0)</f>
        <v>39</v>
      </c>
      <c r="O682" s="22">
        <f>VLOOKUP(A682,'[1]Bieu 1a'!$A$8:$AW$855,8,0)</f>
        <v>0</v>
      </c>
      <c r="P682" s="22">
        <f>VLOOKUP(A682,'[1]Bieu 1a'!$A$8:$AW$855,9,0)</f>
        <v>31959</v>
      </c>
      <c r="Q682" s="23" t="s">
        <v>34</v>
      </c>
      <c r="R682" s="24" t="str">
        <f>VLOOKUP(A682,'[1]Bieu 1a'!$A$8:$AW$855,23,0)</f>
        <v>15/1/2010</v>
      </c>
      <c r="S682" s="25" t="s">
        <v>3305</v>
      </c>
      <c r="T682" s="26" t="s">
        <v>3306</v>
      </c>
      <c r="U682" s="16"/>
      <c r="V682" s="16" t="str">
        <f>IFERROR(VLOOKUP(A682,'[2]19.6.2026'!$A$9:$L$1111,5,0),"")</f>
        <v>000806/LS-CCHN</v>
      </c>
      <c r="W682" s="16" t="str">
        <f>IFERROR(VLOOKUP(A682,'[2]19.6.2026'!$A$9:$L$1111,6,0),"")</f>
        <v>11/12/2022</v>
      </c>
      <c r="X682" s="16"/>
      <c r="Y682" s="21" t="str">
        <f>IFERROR(VLOOKUP(A682,'[2]19.6.2026'!$A$9:$L$1111,7,0),"")</f>
        <v>Thực hiện phạm vi hoạt động chuyên môn theo quy định tại Thông tư số 26/2015/TTLT-BYT-BNV ngày 07/10/2015 quy định mã số, tiêu chuẩn chức danh nghề nghiệp điều dưỡng, hộ sinh, kỹ thuật y</v>
      </c>
      <c r="Z682" s="16"/>
      <c r="AA682" s="27" t="str">
        <f>IFERROR(VLOOKUP(A682,'[3]DS UPLOAD 2026 (2)'!$A$2:$P$1111,16,0),"")</f>
        <v/>
      </c>
      <c r="AB682" s="27">
        <v>943098229</v>
      </c>
      <c r="AC682" s="28"/>
    </row>
    <row r="683" spans="1:29" ht="16.5" customHeight="1" x14ac:dyDescent="0.3">
      <c r="A683" s="17" t="s">
        <v>3307</v>
      </c>
      <c r="B683" s="18" t="s">
        <v>3308</v>
      </c>
      <c r="C683" s="17" t="s">
        <v>3307</v>
      </c>
      <c r="D683" s="19" t="s">
        <v>38</v>
      </c>
      <c r="E683" s="16" t="s">
        <v>3273</v>
      </c>
      <c r="F683" s="16" t="e">
        <f>VLOOKUP(E683,'[1]BẢNG MÃ'!$A$2:$B$69,2,0)</f>
        <v>#N/A</v>
      </c>
      <c r="G683" s="31" t="s">
        <v>42</v>
      </c>
      <c r="H683" s="31" t="s">
        <v>42</v>
      </c>
      <c r="I683" s="16" t="s">
        <v>3283</v>
      </c>
      <c r="J683" s="16" t="str">
        <f>VLOOKUP(I683,'[1]BẢNG MÃ'!$C$2:$D$69,2,0)</f>
        <v>KP037</v>
      </c>
      <c r="K683" s="16" t="s">
        <v>31</v>
      </c>
      <c r="L683" s="16" t="s">
        <v>3309</v>
      </c>
      <c r="M683" s="16" t="s">
        <v>33</v>
      </c>
      <c r="N683" s="21">
        <f ca="1">VLOOKUP(A683,'[1]Bieu 1a'!$A$8:$AW$855,10,0)</f>
        <v>51</v>
      </c>
      <c r="O683" s="22">
        <f>VLOOKUP(A683,'[1]Bieu 1a'!$A$8:$AW$855,8,0)</f>
        <v>0</v>
      </c>
      <c r="P683" s="22">
        <f>VLOOKUP(A683,'[1]Bieu 1a'!$A$8:$AW$855,9,0)</f>
        <v>27373</v>
      </c>
      <c r="Q683" s="23" t="s">
        <v>34</v>
      </c>
      <c r="R683" s="24" t="str">
        <f>VLOOKUP(A683,'[1]Bieu 1a'!$A$8:$AW$855,23,0)</f>
        <v>19/4/1997</v>
      </c>
      <c r="S683" s="25" t="s">
        <v>3310</v>
      </c>
      <c r="T683" s="26" t="s">
        <v>3311</v>
      </c>
      <c r="U683" s="16"/>
      <c r="V683" s="16" t="str">
        <f>IFERROR(VLOOKUP(A683,'[2]19.6.2026'!$A$9:$L$1111,5,0),"")</f>
        <v>000930/LS-CCHN</v>
      </c>
      <c r="W683" s="16" t="str">
        <f>IFERROR(VLOOKUP(A683,'[2]19.6.2026'!$A$9:$L$1111,6,0),"")</f>
        <v>11/01/2023</v>
      </c>
      <c r="X683" s="16"/>
      <c r="Y683" s="21" t="str">
        <f>IFERROR(VLOOKUP(A683,'[2]19.6.2026'!$A$9:$L$1111,7,0),"")</f>
        <v>Thực hiện phạm vi hoạt động chuyên môn theo Thông tư số 26/2015/TTLT-BYT-BNV ngày 07/10/2015 quy định  mã số, tiêu chuẩn chức danh nghề nghiệp, điều dưỡng, hộ sinh, kỹ thuật y</v>
      </c>
      <c r="Z683" s="16"/>
      <c r="AA683" s="27" t="str">
        <f>IFERROR(VLOOKUP(A683,'[3]DS UPLOAD 2026 (2)'!$A$2:$P$1111,16,0),"")</f>
        <v/>
      </c>
      <c r="AB683" s="27" t="s">
        <v>3312</v>
      </c>
      <c r="AC683" s="28"/>
    </row>
    <row r="684" spans="1:29" ht="16.5" customHeight="1" x14ac:dyDescent="0.3">
      <c r="A684" s="17" t="s">
        <v>3313</v>
      </c>
      <c r="B684" s="18" t="s">
        <v>3314</v>
      </c>
      <c r="C684" s="17" t="s">
        <v>3313</v>
      </c>
      <c r="D684" s="19" t="s">
        <v>38</v>
      </c>
      <c r="E684" s="19" t="s">
        <v>2678</v>
      </c>
      <c r="F684" s="16" t="str">
        <f>VLOOKUP(E684,'[1]BẢNG MÃ'!$A$2:$B$69,2,0)</f>
        <v>TĐ007</v>
      </c>
      <c r="G684" s="20" t="s">
        <v>2679</v>
      </c>
      <c r="H684" s="20" t="s">
        <v>2679</v>
      </c>
      <c r="I684" s="16" t="s">
        <v>3315</v>
      </c>
      <c r="J684" s="16" t="str">
        <f>VLOOKUP(I684,'[1]BẢNG MÃ'!$C$2:$D$69,2,0)</f>
        <v>KP038</v>
      </c>
      <c r="K684" s="16" t="s">
        <v>43</v>
      </c>
      <c r="L684" s="16">
        <v>0</v>
      </c>
      <c r="M684" s="16" t="s">
        <v>33</v>
      </c>
      <c r="N684" s="21">
        <f ca="1">VLOOKUP(A684,'[1]Bieu 1a'!$A$8:$AW$855,10,0)</f>
        <v>43</v>
      </c>
      <c r="O684" s="22">
        <f>VLOOKUP(A684,'[1]Bieu 1a'!$A$8:$AW$855,8,0)</f>
        <v>0</v>
      </c>
      <c r="P684" s="22">
        <f>VLOOKUP(A684,'[1]Bieu 1a'!$A$8:$AW$855,9,0)</f>
        <v>30322</v>
      </c>
      <c r="Q684" s="23" t="s">
        <v>44</v>
      </c>
      <c r="R684" s="24" t="str">
        <f>VLOOKUP(A684,'[1]Bieu 1a'!$A$8:$AW$855,23,0)</f>
        <v>12/1/2008</v>
      </c>
      <c r="S684" s="25" t="s">
        <v>3316</v>
      </c>
      <c r="T684" s="26" t="s">
        <v>3317</v>
      </c>
      <c r="U684" s="16"/>
      <c r="V684" s="16" t="str">
        <f>IFERROR(VLOOKUP(A684,'[2]19.6.2026'!$A$9:$L$1111,5,0),"")</f>
        <v/>
      </c>
      <c r="W684" s="16" t="str">
        <f>IFERROR(VLOOKUP(A684,'[2]19.6.2026'!$A$9:$L$1111,6,0),"")</f>
        <v/>
      </c>
      <c r="X684" s="16"/>
      <c r="Y684" s="21" t="str">
        <f>IFERROR(VLOOKUP(A684,'[2]19.6.2026'!$A$9:$L$1111,7,0),"")</f>
        <v/>
      </c>
      <c r="Z684" s="16"/>
      <c r="AA684" s="27" t="str">
        <f>IFERROR(VLOOKUP(A684,'[3]DS UPLOAD 2026 (2)'!$A$2:$P$1111,16,0),"")</f>
        <v/>
      </c>
      <c r="AB684" s="27" t="s">
        <v>3318</v>
      </c>
      <c r="AC684" s="28"/>
    </row>
    <row r="685" spans="1:29" ht="16.5" customHeight="1" x14ac:dyDescent="0.3">
      <c r="A685" s="17" t="s">
        <v>3319</v>
      </c>
      <c r="B685" s="18" t="s">
        <v>3320</v>
      </c>
      <c r="C685" s="17" t="s">
        <v>3319</v>
      </c>
      <c r="D685" s="19" t="s">
        <v>38</v>
      </c>
      <c r="E685" s="30" t="s">
        <v>2693</v>
      </c>
      <c r="F685" s="16" t="str">
        <f>VLOOKUP(E685,'[1]BẢNG MÃ'!$A$2:$B$69,2,0)</f>
        <v>TĐ008</v>
      </c>
      <c r="G685" s="117" t="s">
        <v>2679</v>
      </c>
      <c r="H685" s="117" t="s">
        <v>2679</v>
      </c>
      <c r="I685" s="16" t="s">
        <v>3315</v>
      </c>
      <c r="J685" s="16" t="str">
        <f>VLOOKUP(I685,'[1]BẢNG MÃ'!$C$2:$D$69,2,0)</f>
        <v>KP038</v>
      </c>
      <c r="K685" s="16" t="s">
        <v>43</v>
      </c>
      <c r="L685" s="16">
        <v>0</v>
      </c>
      <c r="M685" s="16" t="s">
        <v>33</v>
      </c>
      <c r="N685" s="21">
        <f ca="1">VLOOKUP(A685,'[1]Bieu 1a'!$A$8:$AW$855,10,0)</f>
        <v>38</v>
      </c>
      <c r="O685" s="22">
        <f>VLOOKUP(A685,'[1]Bieu 1a'!$A$8:$AW$855,8,0)</f>
        <v>0</v>
      </c>
      <c r="P685" s="22">
        <f>VLOOKUP(A685,'[1]Bieu 1a'!$A$8:$AW$855,9,0)</f>
        <v>32011</v>
      </c>
      <c r="Q685" s="23" t="s">
        <v>44</v>
      </c>
      <c r="R685" s="24" t="str">
        <f>VLOOKUP(A685,'[1]Bieu 1a'!$A$8:$AW$855,23,0)</f>
        <v>1/5/2008</v>
      </c>
      <c r="S685" s="25" t="s">
        <v>3321</v>
      </c>
      <c r="T685" s="26" t="s">
        <v>3322</v>
      </c>
      <c r="U685" s="16"/>
      <c r="V685" s="16" t="str">
        <f>IFERROR(VLOOKUP(A685,'[2]19.6.2026'!$A$9:$L$1111,5,0),"")</f>
        <v/>
      </c>
      <c r="W685" s="16" t="str">
        <f>IFERROR(VLOOKUP(A685,'[2]19.6.2026'!$A$9:$L$1111,6,0),"")</f>
        <v/>
      </c>
      <c r="X685" s="16"/>
      <c r="Y685" s="21" t="str">
        <f>IFERROR(VLOOKUP(A685,'[2]19.6.2026'!$A$9:$L$1111,7,0),"")</f>
        <v/>
      </c>
      <c r="Z685" s="16"/>
      <c r="AA685" s="27" t="str">
        <f>IFERROR(VLOOKUP(A685,'[3]DS UPLOAD 2026 (2)'!$A$2:$P$1111,16,0),"")</f>
        <v/>
      </c>
      <c r="AB685" s="27" t="s">
        <v>3323</v>
      </c>
      <c r="AC685" s="28"/>
    </row>
    <row r="686" spans="1:29" ht="16.5" customHeight="1" x14ac:dyDescent="0.3">
      <c r="A686" s="17" t="s">
        <v>3324</v>
      </c>
      <c r="B686" s="18" t="s">
        <v>3325</v>
      </c>
      <c r="C686" s="17" t="s">
        <v>3324</v>
      </c>
      <c r="D686" s="19" t="s">
        <v>38</v>
      </c>
      <c r="E686" s="19" t="s">
        <v>2693</v>
      </c>
      <c r="F686" s="16" t="str">
        <f>VLOOKUP(E686,'[1]BẢNG MÃ'!$A$2:$B$69,2,0)</f>
        <v>TĐ008</v>
      </c>
      <c r="G686" s="20" t="s">
        <v>2679</v>
      </c>
      <c r="H686" s="20" t="s">
        <v>2679</v>
      </c>
      <c r="I686" s="16" t="s">
        <v>3315</v>
      </c>
      <c r="J686" s="16" t="str">
        <f>VLOOKUP(I686,'[1]BẢNG MÃ'!$C$2:$D$69,2,0)</f>
        <v>KP038</v>
      </c>
      <c r="K686" s="16" t="s">
        <v>31</v>
      </c>
      <c r="L686" s="16" t="s">
        <v>3326</v>
      </c>
      <c r="M686" s="16" t="s">
        <v>33</v>
      </c>
      <c r="N686" s="21">
        <f ca="1">VLOOKUP(A686,'[1]Bieu 1a'!$A$8:$AW$855,10,0)</f>
        <v>42</v>
      </c>
      <c r="O686" s="22">
        <f>VLOOKUP(A686,'[1]Bieu 1a'!$A$8:$AW$855,8,0)</f>
        <v>0</v>
      </c>
      <c r="P686" s="22">
        <f>VLOOKUP(A686,'[1]Bieu 1a'!$A$8:$AW$855,9,0)</f>
        <v>30632</v>
      </c>
      <c r="Q686" s="23" t="s">
        <v>50</v>
      </c>
      <c r="R686" s="24" t="str">
        <f>VLOOKUP(A686,'[1]Bieu 1a'!$A$8:$AW$855,23,0)</f>
        <v>16/2/2005</v>
      </c>
      <c r="S686" s="25" t="s">
        <v>3327</v>
      </c>
      <c r="T686" s="26" t="s">
        <v>3328</v>
      </c>
      <c r="U686" s="16"/>
      <c r="V686" s="16" t="str">
        <f>IFERROR(VLOOKUP(A686,'[2]19.6.2026'!$A$9:$L$1111,5,0),"")</f>
        <v/>
      </c>
      <c r="W686" s="16" t="str">
        <f>IFERROR(VLOOKUP(A686,'[2]19.6.2026'!$A$9:$L$1111,6,0),"")</f>
        <v/>
      </c>
      <c r="X686" s="16"/>
      <c r="Y686" s="21" t="str">
        <f>IFERROR(VLOOKUP(A686,'[2]19.6.2026'!$A$9:$L$1111,7,0),"")</f>
        <v/>
      </c>
      <c r="Z686" s="16"/>
      <c r="AA686" s="27" t="str">
        <f>IFERROR(VLOOKUP(A686,'[3]DS UPLOAD 2026 (2)'!$A$2:$P$1111,16,0),"")</f>
        <v/>
      </c>
      <c r="AB686" s="27">
        <v>982202585</v>
      </c>
      <c r="AC686" s="28"/>
    </row>
    <row r="687" spans="1:29" ht="16.5" customHeight="1" x14ac:dyDescent="0.3">
      <c r="A687" s="17" t="s">
        <v>3329</v>
      </c>
      <c r="B687" s="18" t="s">
        <v>3330</v>
      </c>
      <c r="C687" s="17" t="s">
        <v>3329</v>
      </c>
      <c r="D687" s="19" t="s">
        <v>38</v>
      </c>
      <c r="E687" s="124" t="s">
        <v>2736</v>
      </c>
      <c r="F687" s="16" t="str">
        <f>VLOOKUP(E687,'[1]BẢNG MÃ'!$A$2:$B$69,2,0)</f>
        <v>TĐ009</v>
      </c>
      <c r="G687" s="20" t="s">
        <v>2737</v>
      </c>
      <c r="H687" s="20" t="s">
        <v>2737</v>
      </c>
      <c r="I687" s="16" t="s">
        <v>3315</v>
      </c>
      <c r="J687" s="16" t="str">
        <f>VLOOKUP(I687,'[1]BẢNG MÃ'!$C$2:$D$69,2,0)</f>
        <v>KP038</v>
      </c>
      <c r="K687" s="16" t="s">
        <v>43</v>
      </c>
      <c r="L687" s="16">
        <v>0</v>
      </c>
      <c r="M687" s="16" t="s">
        <v>33</v>
      </c>
      <c r="N687" s="21">
        <f ca="1">VLOOKUP(A687,'[1]Bieu 1a'!$A$8:$AW$855,10,0)</f>
        <v>37</v>
      </c>
      <c r="O687" s="22">
        <f>VLOOKUP(A687,'[1]Bieu 1a'!$A$8:$AW$855,8,0)</f>
        <v>0</v>
      </c>
      <c r="P687" s="22">
        <f>VLOOKUP(A687,'[1]Bieu 1a'!$A$8:$AW$855,9,0)</f>
        <v>32685</v>
      </c>
      <c r="Q687" s="23" t="s">
        <v>44</v>
      </c>
      <c r="R687" s="24" t="str">
        <f>VLOOKUP(A687,'[1]Bieu 1a'!$A$8:$AW$855,23,0)</f>
        <v>1/12/2010</v>
      </c>
      <c r="S687" s="25" t="s">
        <v>3331</v>
      </c>
      <c r="T687" s="26" t="s">
        <v>3332</v>
      </c>
      <c r="U687" s="16"/>
      <c r="V687" s="16" t="str">
        <f>IFERROR(VLOOKUP(A687,'[2]19.6.2026'!$A$9:$L$1111,5,0),"")</f>
        <v/>
      </c>
      <c r="W687" s="16" t="str">
        <f>IFERROR(VLOOKUP(A687,'[2]19.6.2026'!$A$9:$L$1111,6,0),"")</f>
        <v/>
      </c>
      <c r="X687" s="16"/>
      <c r="Y687" s="21" t="str">
        <f>IFERROR(VLOOKUP(A687,'[2]19.6.2026'!$A$9:$L$1111,7,0),"")</f>
        <v/>
      </c>
      <c r="Z687" s="16"/>
      <c r="AA687" s="27" t="str">
        <f>IFERROR(VLOOKUP(A687,'[3]DS UPLOAD 2026 (2)'!$A$2:$P$1111,16,0),"")</f>
        <v/>
      </c>
      <c r="AB687" s="27" t="s">
        <v>3333</v>
      </c>
      <c r="AC687" s="28"/>
    </row>
    <row r="688" spans="1:29" ht="20.25" customHeight="1" x14ac:dyDescent="0.3">
      <c r="A688" s="17" t="s">
        <v>3334</v>
      </c>
      <c r="B688" s="18" t="s">
        <v>3335</v>
      </c>
      <c r="C688" s="17" t="s">
        <v>3334</v>
      </c>
      <c r="D688" s="19" t="s">
        <v>38</v>
      </c>
      <c r="E688" s="124" t="s">
        <v>2736</v>
      </c>
      <c r="F688" s="16" t="str">
        <f>VLOOKUP(E688,'[1]BẢNG MÃ'!$A$2:$B$69,2,0)</f>
        <v>TĐ009</v>
      </c>
      <c r="G688" s="20" t="s">
        <v>2737</v>
      </c>
      <c r="H688" s="20" t="s">
        <v>2737</v>
      </c>
      <c r="I688" s="16" t="s">
        <v>3315</v>
      </c>
      <c r="J688" s="16" t="str">
        <f>VLOOKUP(I688,'[1]BẢNG MÃ'!$C$2:$D$69,2,0)</f>
        <v>KP038</v>
      </c>
      <c r="K688" s="16" t="s">
        <v>43</v>
      </c>
      <c r="L688" s="16">
        <v>0</v>
      </c>
      <c r="M688" s="16" t="s">
        <v>33</v>
      </c>
      <c r="N688" s="21">
        <f ca="1">VLOOKUP(A688,'[1]Bieu 1a'!$A$8:$AW$855,10,0)</f>
        <v>37</v>
      </c>
      <c r="O688" s="22">
        <f>VLOOKUP(A688,'[1]Bieu 1a'!$A$8:$AW$855,8,0)</f>
        <v>0</v>
      </c>
      <c r="P688" s="22">
        <f>VLOOKUP(A688,'[1]Bieu 1a'!$A$8:$AW$855,9,0)</f>
        <v>32421</v>
      </c>
      <c r="Q688" s="23" t="s">
        <v>34</v>
      </c>
      <c r="R688" s="24" t="str">
        <f>VLOOKUP(A688,'[1]Bieu 1a'!$A$8:$AW$855,23,0)</f>
        <v>01/11/2014</v>
      </c>
      <c r="S688" s="25" t="s">
        <v>3336</v>
      </c>
      <c r="T688" s="26" t="s">
        <v>3337</v>
      </c>
      <c r="U688" s="16"/>
      <c r="V688" s="16" t="str">
        <f>IFERROR(VLOOKUP(A688,'[2]19.6.2026'!$A$9:$L$1111,5,0),"")</f>
        <v/>
      </c>
      <c r="W688" s="16" t="str">
        <f>IFERROR(VLOOKUP(A688,'[2]19.6.2026'!$A$9:$L$1111,6,0),"")</f>
        <v/>
      </c>
      <c r="X688" s="16"/>
      <c r="Y688" s="21" t="str">
        <f>IFERROR(VLOOKUP(A688,'[2]19.6.2026'!$A$9:$L$1111,7,0),"")</f>
        <v/>
      </c>
      <c r="Z688" s="16"/>
      <c r="AA688" s="27" t="str">
        <f>IFERROR(VLOOKUP(A688,'[3]DS UPLOAD 2026 (2)'!$A$2:$P$1111,16,0),"")</f>
        <v/>
      </c>
      <c r="AB688" s="27" t="s">
        <v>3338</v>
      </c>
      <c r="AC688" s="28"/>
    </row>
    <row r="689" spans="1:29" ht="16.5" customHeight="1" x14ac:dyDescent="0.3">
      <c r="A689" s="17" t="s">
        <v>3339</v>
      </c>
      <c r="B689" s="18" t="s">
        <v>1787</v>
      </c>
      <c r="C689" s="17" t="s">
        <v>3339</v>
      </c>
      <c r="D689" s="19" t="s">
        <v>38</v>
      </c>
      <c r="E689" s="19" t="s">
        <v>2736</v>
      </c>
      <c r="F689" s="16" t="str">
        <f>VLOOKUP(E689,'[1]BẢNG MÃ'!$A$2:$B$69,2,0)</f>
        <v>TĐ009</v>
      </c>
      <c r="G689" s="20"/>
      <c r="H689" s="20" t="s">
        <v>2737</v>
      </c>
      <c r="I689" s="16" t="s">
        <v>3315</v>
      </c>
      <c r="J689" s="16" t="str">
        <f>VLOOKUP(I689,'[1]BẢNG MÃ'!$C$2:$D$69,2,0)</f>
        <v>KP038</v>
      </c>
      <c r="K689" s="16"/>
      <c r="L689" s="16"/>
      <c r="M689" s="16" t="s">
        <v>33</v>
      </c>
      <c r="N689" s="21">
        <f ca="1">VLOOKUP(A689,'[1]Bieu 1a'!$A$8:$AW$855,10,0)</f>
        <v>42</v>
      </c>
      <c r="O689" s="22">
        <f>VLOOKUP(A689,'[1]Bieu 1a'!$A$8:$AW$855,8,0)</f>
        <v>0</v>
      </c>
      <c r="P689" s="22">
        <f>VLOOKUP(A689,'[1]Bieu 1a'!$A$8:$AW$855,9,0)</f>
        <v>30553</v>
      </c>
      <c r="Q689" s="23" t="s">
        <v>34</v>
      </c>
      <c r="R689" s="24" t="str">
        <f>VLOOKUP(A689,'[1]Bieu 1a'!$A$8:$AW$855,23,0)</f>
        <v>1/3/2005</v>
      </c>
      <c r="S689" s="25" t="s">
        <v>3340</v>
      </c>
      <c r="T689" s="26" t="s">
        <v>3341</v>
      </c>
      <c r="U689" s="16"/>
      <c r="V689" s="16" t="str">
        <f>IFERROR(VLOOKUP(A689,'[2]19.6.2026'!$A$9:$L$1111,5,0),"")</f>
        <v/>
      </c>
      <c r="W689" s="16" t="str">
        <f>IFERROR(VLOOKUP(A689,'[2]19.6.2026'!$A$9:$L$1111,6,0),"")</f>
        <v/>
      </c>
      <c r="X689" s="16"/>
      <c r="Y689" s="21" t="str">
        <f>IFERROR(VLOOKUP(A689,'[2]19.6.2026'!$A$9:$L$1111,7,0),"")</f>
        <v/>
      </c>
      <c r="Z689" s="16"/>
      <c r="AA689" s="27" t="str">
        <f>IFERROR(VLOOKUP(A689,'[3]DS UPLOAD 2026 (2)'!$A$2:$P$1111,16,0),"")</f>
        <v/>
      </c>
      <c r="AB689" s="27" t="s">
        <v>3342</v>
      </c>
      <c r="AC689" s="29" t="s">
        <v>3343</v>
      </c>
    </row>
    <row r="690" spans="1:29" ht="16.5" customHeight="1" x14ac:dyDescent="0.3">
      <c r="A690" s="17" t="s">
        <v>3344</v>
      </c>
      <c r="B690" s="18" t="s">
        <v>3345</v>
      </c>
      <c r="C690" s="17" t="s">
        <v>3344</v>
      </c>
      <c r="D690" s="19" t="s">
        <v>38</v>
      </c>
      <c r="E690" s="19" t="s">
        <v>2736</v>
      </c>
      <c r="F690" s="16" t="str">
        <f>VLOOKUP(E690,'[1]BẢNG MÃ'!$A$2:$B$69,2,0)</f>
        <v>TĐ009</v>
      </c>
      <c r="G690" s="20" t="s">
        <v>2737</v>
      </c>
      <c r="H690" s="20" t="s">
        <v>2737</v>
      </c>
      <c r="I690" s="16" t="s">
        <v>3315</v>
      </c>
      <c r="J690" s="16" t="str">
        <f>VLOOKUP(I690,'[1]BẢNG MÃ'!$C$2:$D$69,2,0)</f>
        <v>KP038</v>
      </c>
      <c r="K690" s="16" t="s">
        <v>43</v>
      </c>
      <c r="L690" s="16">
        <v>0</v>
      </c>
      <c r="M690" s="16" t="s">
        <v>33</v>
      </c>
      <c r="N690" s="21">
        <f ca="1">VLOOKUP(A690,'[1]Bieu 1a'!$A$8:$AW$855,10,0)</f>
        <v>38</v>
      </c>
      <c r="O690" s="22">
        <f>VLOOKUP(A690,'[1]Bieu 1a'!$A$8:$AW$855,8,0)</f>
        <v>0</v>
      </c>
      <c r="P690" s="22">
        <f>VLOOKUP(A690,'[1]Bieu 1a'!$A$8:$AW$855,9,0)</f>
        <v>32197</v>
      </c>
      <c r="Q690" s="23" t="s">
        <v>50</v>
      </c>
      <c r="R690" s="24" t="str">
        <f>VLOOKUP(A690,'[1]Bieu 1a'!$A$8:$AW$855,23,0)</f>
        <v>10/6/2013</v>
      </c>
      <c r="S690" s="25" t="s">
        <v>3346</v>
      </c>
      <c r="T690" s="26" t="s">
        <v>3347</v>
      </c>
      <c r="U690" s="16"/>
      <c r="V690" s="16" t="str">
        <f>IFERROR(VLOOKUP(A690,'[2]19.6.2026'!$A$9:$L$1111,5,0),"")</f>
        <v/>
      </c>
      <c r="W690" s="16" t="str">
        <f>IFERROR(VLOOKUP(A690,'[2]19.6.2026'!$A$9:$L$1111,6,0),"")</f>
        <v/>
      </c>
      <c r="X690" s="16"/>
      <c r="Y690" s="21" t="str">
        <f>IFERROR(VLOOKUP(A690,'[2]19.6.2026'!$A$9:$L$1111,7,0),"")</f>
        <v/>
      </c>
      <c r="Z690" s="16"/>
      <c r="AA690" s="27" t="str">
        <f>IFERROR(VLOOKUP(A690,'[3]DS UPLOAD 2026 (2)'!$A$2:$P$1111,16,0),"")</f>
        <v/>
      </c>
      <c r="AB690" s="27" t="s">
        <v>3348</v>
      </c>
      <c r="AC690" s="28"/>
    </row>
    <row r="691" spans="1:29" ht="16.5" customHeight="1" x14ac:dyDescent="0.3">
      <c r="A691" s="17" t="s">
        <v>3349</v>
      </c>
      <c r="B691" s="18" t="s">
        <v>3350</v>
      </c>
      <c r="C691" s="17" t="s">
        <v>3349</v>
      </c>
      <c r="D691" s="19" t="s">
        <v>38</v>
      </c>
      <c r="E691" s="19" t="s">
        <v>2736</v>
      </c>
      <c r="F691" s="16" t="str">
        <f>VLOOKUP(E691,'[1]BẢNG MÃ'!$A$2:$B$69,2,0)</f>
        <v>TĐ009</v>
      </c>
      <c r="G691" s="20" t="s">
        <v>2737</v>
      </c>
      <c r="H691" s="20" t="s">
        <v>2737</v>
      </c>
      <c r="I691" s="16" t="s">
        <v>3315</v>
      </c>
      <c r="J691" s="16" t="str">
        <f>VLOOKUP(I691,'[1]BẢNG MÃ'!$C$2:$D$69,2,0)</f>
        <v>KP038</v>
      </c>
      <c r="K691" s="16" t="s">
        <v>43</v>
      </c>
      <c r="L691" s="16">
        <v>0</v>
      </c>
      <c r="M691" s="16" t="s">
        <v>33</v>
      </c>
      <c r="N691" s="21">
        <f ca="1">VLOOKUP(A691,'[1]Bieu 1a'!$A$8:$AW$855,10,0)</f>
        <v>39</v>
      </c>
      <c r="O691" s="22">
        <f>VLOOKUP(A691,'[1]Bieu 1a'!$A$8:$AW$855,8,0)</f>
        <v>0</v>
      </c>
      <c r="P691" s="22">
        <f>VLOOKUP(A691,'[1]Bieu 1a'!$A$8:$AW$855,9,0)</f>
        <v>31669</v>
      </c>
      <c r="Q691" s="23" t="s">
        <v>44</v>
      </c>
      <c r="R691" s="24" t="str">
        <f>VLOOKUP(A691,'[1]Bieu 1a'!$A$8:$AW$855,23,0)</f>
        <v>1/12/2010</v>
      </c>
      <c r="S691" s="25" t="s">
        <v>3351</v>
      </c>
      <c r="T691" s="26" t="s">
        <v>3352</v>
      </c>
      <c r="U691" s="16"/>
      <c r="V691" s="16" t="str">
        <f>IFERROR(VLOOKUP(A691,'[2]19.6.2026'!$A$9:$L$1111,5,0),"")</f>
        <v/>
      </c>
      <c r="W691" s="16" t="str">
        <f>IFERROR(VLOOKUP(A691,'[2]19.6.2026'!$A$9:$L$1111,6,0),"")</f>
        <v/>
      </c>
      <c r="X691" s="16"/>
      <c r="Y691" s="21" t="str">
        <f>IFERROR(VLOOKUP(A691,'[2]19.6.2026'!$A$9:$L$1111,7,0),"")</f>
        <v/>
      </c>
      <c r="Z691" s="16"/>
      <c r="AA691" s="27" t="str">
        <f>IFERROR(VLOOKUP(A691,'[3]DS UPLOAD 2026 (2)'!$A$2:$P$1111,16,0),"")</f>
        <v/>
      </c>
      <c r="AB691" s="27" t="s">
        <v>3353</v>
      </c>
      <c r="AC691" s="28"/>
    </row>
    <row r="692" spans="1:29" ht="16.5" customHeight="1" x14ac:dyDescent="0.3">
      <c r="A692" s="17" t="s">
        <v>3354</v>
      </c>
      <c r="B692" s="18" t="s">
        <v>3355</v>
      </c>
      <c r="C692" s="17" t="s">
        <v>3354</v>
      </c>
      <c r="D692" s="19"/>
      <c r="E692" s="30" t="s">
        <v>3204</v>
      </c>
      <c r="F692" s="16" t="str">
        <f>VLOOKUP(E692,'[1]BẢNG MÃ'!$A$2:$B$69,2,0)</f>
        <v>TĐ029</v>
      </c>
      <c r="G692" s="105" t="s">
        <v>3205</v>
      </c>
      <c r="H692" s="105" t="s">
        <v>3205</v>
      </c>
      <c r="I692" s="16" t="s">
        <v>3315</v>
      </c>
      <c r="J692" s="16" t="str">
        <f>VLOOKUP(I692,'[1]BẢNG MÃ'!$C$2:$D$69,2,0)</f>
        <v>KP038</v>
      </c>
      <c r="K692" s="16" t="s">
        <v>31</v>
      </c>
      <c r="L692" s="16" t="s">
        <v>3309</v>
      </c>
      <c r="M692" s="16" t="s">
        <v>33</v>
      </c>
      <c r="N692" s="21">
        <f ca="1">VLOOKUP(A692,'[1]Bieu 1a'!$A$8:$AW$855,10,0)</f>
        <v>43</v>
      </c>
      <c r="O692" s="22">
        <f>VLOOKUP(A692,'[1]Bieu 1a'!$A$8:$AW$855,8,0)</f>
        <v>30505</v>
      </c>
      <c r="P692" s="22">
        <f>VLOOKUP(A692,'[1]Bieu 1a'!$A$8:$AW$855,9,0)</f>
        <v>0</v>
      </c>
      <c r="Q692" s="23" t="s">
        <v>34</v>
      </c>
      <c r="R692" s="24" t="str">
        <f>VLOOKUP(A692,'[1]Bieu 1a'!$A$8:$AW$855,23,0)</f>
        <v>10/6/2013</v>
      </c>
      <c r="S692" s="25" t="s">
        <v>3356</v>
      </c>
      <c r="T692" s="26" t="s">
        <v>3357</v>
      </c>
      <c r="U692" s="16"/>
      <c r="V692" s="16" t="str">
        <f>IFERROR(VLOOKUP(A692,'[2]19.6.2026'!$A$9:$L$1111,5,0),"")</f>
        <v/>
      </c>
      <c r="W692" s="16" t="str">
        <f>IFERROR(VLOOKUP(A692,'[2]19.6.2026'!$A$9:$L$1111,6,0),"")</f>
        <v/>
      </c>
      <c r="X692" s="16"/>
      <c r="Y692" s="21" t="str">
        <f>IFERROR(VLOOKUP(A692,'[2]19.6.2026'!$A$9:$L$1111,7,0),"")</f>
        <v/>
      </c>
      <c r="Z692" s="16"/>
      <c r="AA692" s="27" t="str">
        <f>IFERROR(VLOOKUP(A692,'[3]DS UPLOAD 2026 (2)'!$A$2:$P$1111,16,0),"")</f>
        <v/>
      </c>
      <c r="AB692" s="27" t="s">
        <v>3358</v>
      </c>
      <c r="AC692" s="28"/>
    </row>
    <row r="693" spans="1:29" ht="16.5" customHeight="1" x14ac:dyDescent="0.3">
      <c r="A693" s="17" t="s">
        <v>3359</v>
      </c>
      <c r="B693" s="18" t="s">
        <v>3360</v>
      </c>
      <c r="C693" s="17" t="s">
        <v>3359</v>
      </c>
      <c r="D693" s="19"/>
      <c r="E693" s="30" t="s">
        <v>3204</v>
      </c>
      <c r="F693" s="16" t="str">
        <f>VLOOKUP(E693,'[1]BẢNG MÃ'!$A$2:$B$69,2,0)</f>
        <v>TĐ029</v>
      </c>
      <c r="G693" s="105" t="s">
        <v>3361</v>
      </c>
      <c r="H693" s="105" t="s">
        <v>3361</v>
      </c>
      <c r="I693" s="16" t="s">
        <v>3315</v>
      </c>
      <c r="J693" s="16" t="str">
        <f>VLOOKUP(I693,'[1]BẢNG MÃ'!$C$2:$D$69,2,0)</f>
        <v>KP038</v>
      </c>
      <c r="K693" s="16" t="s">
        <v>43</v>
      </c>
      <c r="L693" s="16">
        <v>0</v>
      </c>
      <c r="M693" s="16" t="s">
        <v>33</v>
      </c>
      <c r="N693" s="21">
        <f ca="1">VLOOKUP(A693,'[1]Bieu 1a'!$A$8:$AW$855,10,0)</f>
        <v>57</v>
      </c>
      <c r="O693" s="22">
        <f>VLOOKUP(A693,'[1]Bieu 1a'!$A$8:$AW$855,8,0)</f>
        <v>25162</v>
      </c>
      <c r="P693" s="22">
        <f>VLOOKUP(A693,'[1]Bieu 1a'!$A$8:$AW$855,9,0)</f>
        <v>0</v>
      </c>
      <c r="Q693" s="23" t="s">
        <v>50</v>
      </c>
      <c r="R693" s="24" t="str">
        <f>VLOOKUP(A693,'[1]Bieu 1a'!$A$8:$AW$855,23,0)</f>
        <v>6/6/1989</v>
      </c>
      <c r="S693" s="25" t="s">
        <v>3362</v>
      </c>
      <c r="T693" s="26" t="s">
        <v>3363</v>
      </c>
      <c r="U693" s="16"/>
      <c r="V693" s="16" t="str">
        <f>IFERROR(VLOOKUP(A693,'[2]19.6.2026'!$A$9:$L$1111,5,0),"")</f>
        <v/>
      </c>
      <c r="W693" s="16" t="str">
        <f>IFERROR(VLOOKUP(A693,'[2]19.6.2026'!$A$9:$L$1111,6,0),"")</f>
        <v/>
      </c>
      <c r="X693" s="16"/>
      <c r="Y693" s="21" t="str">
        <f>IFERROR(VLOOKUP(A693,'[2]19.6.2026'!$A$9:$L$1111,7,0),"")</f>
        <v/>
      </c>
      <c r="Z693" s="16"/>
      <c r="AA693" s="27" t="str">
        <f>IFERROR(VLOOKUP(A693,'[3]DS UPLOAD 2026 (2)'!$A$2:$P$1111,16,0),"")</f>
        <v/>
      </c>
      <c r="AB693" s="27" t="s">
        <v>3364</v>
      </c>
      <c r="AC693" s="29"/>
    </row>
    <row r="694" spans="1:29" ht="16.5" customHeight="1" x14ac:dyDescent="0.3">
      <c r="A694" s="17" t="s">
        <v>3365</v>
      </c>
      <c r="B694" s="18" t="s">
        <v>3366</v>
      </c>
      <c r="C694" s="17" t="s">
        <v>3365</v>
      </c>
      <c r="D694" s="19"/>
      <c r="E694" s="19" t="s">
        <v>3204</v>
      </c>
      <c r="F694" s="16" t="str">
        <f>VLOOKUP(E694,'[1]BẢNG MÃ'!$A$2:$B$69,2,0)</f>
        <v>TĐ029</v>
      </c>
      <c r="G694" s="20"/>
      <c r="H694" s="20" t="s">
        <v>3205</v>
      </c>
      <c r="I694" s="16" t="s">
        <v>3315</v>
      </c>
      <c r="J694" s="16" t="str">
        <f>VLOOKUP(I694,'[1]BẢNG MÃ'!$C$2:$D$69,2,0)</f>
        <v>KP038</v>
      </c>
      <c r="K694" s="16"/>
      <c r="L694" s="16"/>
      <c r="M694" s="23" t="s">
        <v>33</v>
      </c>
      <c r="N694" s="21">
        <f ca="1">VLOOKUP(A694,'[1]Bieu 1a'!$A$8:$AW$855,10,0)</f>
        <v>39</v>
      </c>
      <c r="O694" s="22">
        <f>VLOOKUP(A694,'[1]Bieu 1a'!$A$8:$AW$855,8,0)</f>
        <v>31845</v>
      </c>
      <c r="P694" s="22">
        <f>VLOOKUP(A694,'[1]Bieu 1a'!$A$8:$AW$855,9,0)</f>
        <v>0</v>
      </c>
      <c r="Q694" s="23" t="s">
        <v>50</v>
      </c>
      <c r="R694" s="24" t="str">
        <f>VLOOKUP(A694,'[1]Bieu 1a'!$A$8:$AW$855,23,0)</f>
        <v xml:space="preserve"> 02/10/2017</v>
      </c>
      <c r="S694" s="25" t="s">
        <v>3367</v>
      </c>
      <c r="T694" s="26" t="s">
        <v>3368</v>
      </c>
      <c r="U694" s="16"/>
      <c r="V694" s="16" t="str">
        <f>IFERROR(VLOOKUP(A694,'[2]19.6.2026'!$A$9:$L$1111,5,0),"")</f>
        <v/>
      </c>
      <c r="W694" s="16" t="str">
        <f>IFERROR(VLOOKUP(A694,'[2]19.6.2026'!$A$9:$L$1111,6,0),"")</f>
        <v/>
      </c>
      <c r="X694" s="16"/>
      <c r="Y694" s="21" t="str">
        <f>IFERROR(VLOOKUP(A694,'[2]19.6.2026'!$A$9:$L$1111,7,0),"")</f>
        <v/>
      </c>
      <c r="Z694" s="16"/>
      <c r="AA694" s="27" t="str">
        <f>IFERROR(VLOOKUP(A694,'[3]DS UPLOAD 2026 (2)'!$A$2:$P$1111,16,0),"")</f>
        <v/>
      </c>
      <c r="AB694" s="27">
        <v>983647097</v>
      </c>
      <c r="AC694" s="29" t="s">
        <v>681</v>
      </c>
    </row>
    <row r="695" spans="1:29" ht="16.5" customHeight="1" x14ac:dyDescent="0.3">
      <c r="A695" s="17" t="s">
        <v>3369</v>
      </c>
      <c r="B695" s="18" t="s">
        <v>3370</v>
      </c>
      <c r="C695" s="17" t="s">
        <v>3369</v>
      </c>
      <c r="D695" s="19"/>
      <c r="E695" s="19" t="s">
        <v>3204</v>
      </c>
      <c r="F695" s="16" t="str">
        <f>VLOOKUP(E695,'[1]BẢNG MÃ'!$A$2:$B$69,2,0)</f>
        <v>TĐ029</v>
      </c>
      <c r="G695" s="20"/>
      <c r="H695" s="20" t="s">
        <v>3205</v>
      </c>
      <c r="I695" s="16" t="s">
        <v>3315</v>
      </c>
      <c r="J695" s="16" t="str">
        <f>VLOOKUP(I695,'[1]BẢNG MÃ'!$C$2:$D$69,2,0)</f>
        <v>KP038</v>
      </c>
      <c r="K695" s="16"/>
      <c r="L695" s="16"/>
      <c r="M695" s="16" t="s">
        <v>33</v>
      </c>
      <c r="N695" s="21">
        <f ca="1">VLOOKUP(A695,'[1]Bieu 1a'!$A$8:$AW$855,10,0)</f>
        <v>42</v>
      </c>
      <c r="O695" s="22" t="str">
        <f>VLOOKUP(A695,'[1]Bieu 1a'!$A$8:$AW$855,8,0)</f>
        <v>06/9/1983</v>
      </c>
      <c r="P695" s="22">
        <f>VLOOKUP(A695,'[1]Bieu 1a'!$A$8:$AW$855,9,0)</f>
        <v>0</v>
      </c>
      <c r="Q695" s="23" t="s">
        <v>44</v>
      </c>
      <c r="R695" s="24">
        <f>VLOOKUP(A695,'[1]Bieu 1a'!$A$8:$AW$855,23,0)</f>
        <v>44718</v>
      </c>
      <c r="S695" s="25" t="s">
        <v>3371</v>
      </c>
      <c r="T695" s="26" t="s">
        <v>3372</v>
      </c>
      <c r="U695" s="16"/>
      <c r="V695" s="16" t="str">
        <f>IFERROR(VLOOKUP(A695,'[2]19.6.2026'!$A$9:$L$1111,5,0),"")</f>
        <v/>
      </c>
      <c r="W695" s="16" t="str">
        <f>IFERROR(VLOOKUP(A695,'[2]19.6.2026'!$A$9:$L$1111,6,0),"")</f>
        <v/>
      </c>
      <c r="X695" s="16"/>
      <c r="Y695" s="21" t="str">
        <f>IFERROR(VLOOKUP(A695,'[2]19.6.2026'!$A$9:$L$1111,7,0),"")</f>
        <v/>
      </c>
      <c r="Z695" s="16"/>
      <c r="AA695" s="27" t="str">
        <f>IFERROR(VLOOKUP(A695,'[3]DS UPLOAD 2026 (2)'!$A$2:$P$1111,16,0),"")</f>
        <v/>
      </c>
      <c r="AB695" s="44" t="s">
        <v>3373</v>
      </c>
      <c r="AC695" s="29" t="s">
        <v>3374</v>
      </c>
    </row>
    <row r="696" spans="1:29" ht="16.5" customHeight="1" x14ac:dyDescent="0.3">
      <c r="A696" s="17" t="s">
        <v>3375</v>
      </c>
      <c r="B696" s="59" t="s">
        <v>3376</v>
      </c>
      <c r="C696" s="17" t="s">
        <v>3375</v>
      </c>
      <c r="D696" s="19" t="s">
        <v>38</v>
      </c>
      <c r="E696" s="39" t="s">
        <v>3211</v>
      </c>
      <c r="F696" s="16" t="str">
        <f>VLOOKUP(E696,'[1]BẢNG MÃ'!$A$2:$B$69,2,0)</f>
        <v>TĐ036</v>
      </c>
      <c r="G696" s="16"/>
      <c r="H696" s="16" t="s">
        <v>3212</v>
      </c>
      <c r="I696" s="16" t="s">
        <v>3315</v>
      </c>
      <c r="J696" s="16" t="str">
        <f>VLOOKUP(I696,'[1]BẢNG MÃ'!$C$2:$D$69,2,0)</f>
        <v>KP038</v>
      </c>
      <c r="K696" s="16"/>
      <c r="L696" s="16"/>
      <c r="M696" s="23" t="s">
        <v>33</v>
      </c>
      <c r="N696" s="21">
        <f ca="1">VLOOKUP(A696,'[1]Bieu 1a'!$A$8:$AW$855,10,0)</f>
        <v>31</v>
      </c>
      <c r="O696" s="22">
        <f>VLOOKUP(A696,'[1]Bieu 1a'!$A$8:$AW$855,8,0)</f>
        <v>0</v>
      </c>
      <c r="P696" s="22" t="str">
        <f>VLOOKUP(A696,'[1]Bieu 1a'!$A$8:$AW$855,9,0)</f>
        <v>30/10/1994</v>
      </c>
      <c r="Q696" s="23" t="s">
        <v>50</v>
      </c>
      <c r="R696" s="24" t="str">
        <f>VLOOKUP(A696,'[1]Bieu 1a'!$A$8:$AW$855,23,0)</f>
        <v xml:space="preserve"> 02/10/2017</v>
      </c>
      <c r="S696" s="25" t="s">
        <v>3377</v>
      </c>
      <c r="T696" s="26" t="s">
        <v>3378</v>
      </c>
      <c r="U696" s="16"/>
      <c r="V696" s="16" t="str">
        <f>IFERROR(VLOOKUP(A696,'[2]19.6.2026'!$A$9:$L$1111,5,0),"")</f>
        <v/>
      </c>
      <c r="W696" s="16" t="str">
        <f>IFERROR(VLOOKUP(A696,'[2]19.6.2026'!$A$9:$L$1111,6,0),"")</f>
        <v/>
      </c>
      <c r="X696" s="16"/>
      <c r="Y696" s="21" t="str">
        <f>IFERROR(VLOOKUP(A696,'[2]19.6.2026'!$A$9:$L$1111,7,0),"")</f>
        <v/>
      </c>
      <c r="Z696" s="16"/>
      <c r="AA696" s="27" t="str">
        <f>IFERROR(VLOOKUP(A696,'[3]DS UPLOAD 2026 (2)'!$A$2:$P$1111,16,0),"")</f>
        <v/>
      </c>
      <c r="AB696" s="27" t="s">
        <v>3379</v>
      </c>
      <c r="AC696" s="29" t="s">
        <v>681</v>
      </c>
    </row>
    <row r="697" spans="1:29" ht="16.5" customHeight="1" x14ac:dyDescent="0.3">
      <c r="A697" s="17" t="s">
        <v>3380</v>
      </c>
      <c r="B697" s="18" t="s">
        <v>3381</v>
      </c>
      <c r="C697" s="17" t="s">
        <v>3380</v>
      </c>
      <c r="D697" s="19"/>
      <c r="E697" s="19" t="s">
        <v>3382</v>
      </c>
      <c r="F697" s="16" t="str">
        <f>VLOOKUP(E697,'[1]BẢNG MÃ'!$A$2:$B$69,2,0)</f>
        <v>TĐ040</v>
      </c>
      <c r="G697" s="20" t="s">
        <v>3383</v>
      </c>
      <c r="H697" s="20" t="s">
        <v>3383</v>
      </c>
      <c r="I697" s="16" t="s">
        <v>3315</v>
      </c>
      <c r="J697" s="16" t="str">
        <f>VLOOKUP(I697,'[1]BẢNG MÃ'!$C$2:$D$69,2,0)</f>
        <v>KP038</v>
      </c>
      <c r="K697" s="16" t="s">
        <v>43</v>
      </c>
      <c r="L697" s="16">
        <v>0</v>
      </c>
      <c r="M697" s="16" t="s">
        <v>33</v>
      </c>
      <c r="N697" s="21">
        <f ca="1">VLOOKUP(A697,'[1]Bieu 1a'!$A$8:$AW$855,10,0)</f>
        <v>56</v>
      </c>
      <c r="O697" s="22">
        <f>VLOOKUP(A697,'[1]Bieu 1a'!$A$8:$AW$855,8,0)</f>
        <v>25676</v>
      </c>
      <c r="P697" s="22">
        <f>VLOOKUP(A697,'[1]Bieu 1a'!$A$8:$AW$855,9,0)</f>
        <v>0</v>
      </c>
      <c r="Q697" s="23" t="s">
        <v>44</v>
      </c>
      <c r="R697" s="24" t="str">
        <f>VLOOKUP(A697,'[1]Bieu 1a'!$A$8:$AW$855,23,0)</f>
        <v>12/4/1995</v>
      </c>
      <c r="S697" s="25" t="s">
        <v>3384</v>
      </c>
      <c r="T697" s="26" t="s">
        <v>3385</v>
      </c>
      <c r="U697" s="16"/>
      <c r="V697" s="16" t="str">
        <f>IFERROR(VLOOKUP(A697,'[2]19.6.2026'!$A$9:$L$1111,5,0),"")</f>
        <v/>
      </c>
      <c r="W697" s="16" t="str">
        <f>IFERROR(VLOOKUP(A697,'[2]19.6.2026'!$A$9:$L$1111,6,0),"")</f>
        <v/>
      </c>
      <c r="X697" s="16"/>
      <c r="Y697" s="21" t="str">
        <f>IFERROR(VLOOKUP(A697,'[2]19.6.2026'!$A$9:$L$1111,7,0),"")</f>
        <v/>
      </c>
      <c r="Z697" s="16"/>
      <c r="AA697" s="27" t="str">
        <f>IFERROR(VLOOKUP(A697,'[3]DS UPLOAD 2026 (2)'!$A$2:$P$1111,16,0),"")</f>
        <v/>
      </c>
      <c r="AB697" s="27" t="s">
        <v>3386</v>
      </c>
      <c r="AC697" s="28"/>
    </row>
    <row r="698" spans="1:29" ht="16.5" customHeight="1" x14ac:dyDescent="0.3">
      <c r="A698" s="17" t="s">
        <v>3387</v>
      </c>
      <c r="B698" s="18" t="s">
        <v>3388</v>
      </c>
      <c r="C698" s="17" t="s">
        <v>3387</v>
      </c>
      <c r="D698" s="19"/>
      <c r="E698" s="19" t="s">
        <v>3389</v>
      </c>
      <c r="F698" s="16" t="str">
        <f>VLOOKUP(E698,'[1]BẢNG MÃ'!$A$2:$B$69,2,0)</f>
        <v>TĐ041</v>
      </c>
      <c r="G698" s="20" t="s">
        <v>3383</v>
      </c>
      <c r="H698" s="20" t="s">
        <v>3383</v>
      </c>
      <c r="I698" s="16" t="s">
        <v>3315</v>
      </c>
      <c r="J698" s="16" t="str">
        <f>VLOOKUP(I698,'[1]BẢNG MÃ'!$C$2:$D$69,2,0)</f>
        <v>KP038</v>
      </c>
      <c r="K698" s="16" t="s">
        <v>43</v>
      </c>
      <c r="L698" s="16">
        <v>0</v>
      </c>
      <c r="M698" s="16" t="s">
        <v>33</v>
      </c>
      <c r="N698" s="21">
        <f ca="1">VLOOKUP(A698,'[1]Bieu 1a'!$A$8:$AW$855,10,0)</f>
        <v>36</v>
      </c>
      <c r="O698" s="22">
        <f>VLOOKUP(A698,'[1]Bieu 1a'!$A$8:$AW$855,8,0)</f>
        <v>33004</v>
      </c>
      <c r="P698" s="22">
        <f>VLOOKUP(A698,'[1]Bieu 1a'!$A$8:$AW$855,9,0)</f>
        <v>0</v>
      </c>
      <c r="Q698" s="23" t="s">
        <v>50</v>
      </c>
      <c r="R698" s="24" t="str">
        <f>VLOOKUP(A698,'[1]Bieu 1a'!$A$8:$AW$855,23,0)</f>
        <v>10/6/2013</v>
      </c>
      <c r="S698" s="25" t="s">
        <v>3390</v>
      </c>
      <c r="T698" s="26" t="s">
        <v>3391</v>
      </c>
      <c r="U698" s="16"/>
      <c r="V698" s="16" t="str">
        <f>IFERROR(VLOOKUP(A698,'[2]19.6.2026'!$A$9:$L$1111,5,0),"")</f>
        <v/>
      </c>
      <c r="W698" s="16" t="str">
        <f>IFERROR(VLOOKUP(A698,'[2]19.6.2026'!$A$9:$L$1111,6,0),"")</f>
        <v/>
      </c>
      <c r="X698" s="16"/>
      <c r="Y698" s="21" t="str">
        <f>IFERROR(VLOOKUP(A698,'[2]19.6.2026'!$A$9:$L$1111,7,0),"")</f>
        <v/>
      </c>
      <c r="Z698" s="16"/>
      <c r="AA698" s="27" t="str">
        <f>IFERROR(VLOOKUP(A698,'[3]DS UPLOAD 2026 (2)'!$A$2:$P$1111,16,0),"")</f>
        <v/>
      </c>
      <c r="AB698" s="58" t="s">
        <v>3392</v>
      </c>
      <c r="AC698" s="28"/>
    </row>
    <row r="699" spans="1:29" ht="16.5" customHeight="1" x14ac:dyDescent="0.3">
      <c r="A699" s="17" t="s">
        <v>3393</v>
      </c>
      <c r="B699" s="29" t="s">
        <v>3394</v>
      </c>
      <c r="C699" s="17" t="s">
        <v>3393</v>
      </c>
      <c r="D699" s="19"/>
      <c r="E699" s="19" t="s">
        <v>3395</v>
      </c>
      <c r="F699" s="16" t="str">
        <f>VLOOKUP(E699,'[1]BẢNG MÃ'!$A$2:$B$69,2,0)</f>
        <v>TĐ046</v>
      </c>
      <c r="G699" s="20"/>
      <c r="H699" s="19" t="s">
        <v>3395</v>
      </c>
      <c r="I699" s="16" t="s">
        <v>3315</v>
      </c>
      <c r="J699" s="16" t="str">
        <f>VLOOKUP(I699,'[1]BẢNG MÃ'!$C$2:$D$69,2,0)</f>
        <v>KP038</v>
      </c>
      <c r="K699" s="16"/>
      <c r="L699" s="16">
        <v>0</v>
      </c>
      <c r="M699" s="16" t="s">
        <v>129</v>
      </c>
      <c r="N699" s="21">
        <f ca="1">VLOOKUP(A699,'[1]Bieu 1a'!$A$8:$AW$855,10,0)</f>
        <v>37</v>
      </c>
      <c r="O699" s="22">
        <f>VLOOKUP(A699,'[1]Bieu 1a'!$A$8:$AW$855,8,0)</f>
        <v>32455</v>
      </c>
      <c r="P699" s="22">
        <f>VLOOKUP(A699,'[1]Bieu 1a'!$A$8:$AW$855,9,0)</f>
        <v>0</v>
      </c>
      <c r="Q699" s="23" t="s">
        <v>34</v>
      </c>
      <c r="R699" s="24" t="str">
        <f>VLOOKUP(A699,'[1]Bieu 1a'!$A$8:$AW$855,23,0)</f>
        <v>1/12/2008</v>
      </c>
      <c r="S699" s="25" t="s">
        <v>3396</v>
      </c>
      <c r="T699" s="26" t="s">
        <v>3397</v>
      </c>
      <c r="U699" s="16"/>
      <c r="V699" s="16" t="str">
        <f>IFERROR(VLOOKUP(A699,'[2]19.6.2026'!$A$9:$L$1111,5,0),"")</f>
        <v/>
      </c>
      <c r="W699" s="16" t="str">
        <f>IFERROR(VLOOKUP(A699,'[2]19.6.2026'!$A$9:$L$1111,6,0),"")</f>
        <v/>
      </c>
      <c r="X699" s="16"/>
      <c r="Y699" s="21" t="str">
        <f>IFERROR(VLOOKUP(A699,'[2]19.6.2026'!$A$9:$L$1111,7,0),"")</f>
        <v/>
      </c>
      <c r="Z699" s="16"/>
      <c r="AA699" s="27" t="str">
        <f>IFERROR(VLOOKUP(A699,'[3]DS UPLOAD 2026 (2)'!$A$2:$P$1111,16,0),"")</f>
        <v/>
      </c>
      <c r="AB699" s="27">
        <v>988181078</v>
      </c>
      <c r="AC699" s="28" t="s">
        <v>133</v>
      </c>
    </row>
    <row r="700" spans="1:29" ht="16.5" customHeight="1" x14ac:dyDescent="0.3">
      <c r="A700" s="17" t="s">
        <v>3398</v>
      </c>
      <c r="B700" s="18" t="s">
        <v>3399</v>
      </c>
      <c r="C700" s="17" t="s">
        <v>3398</v>
      </c>
      <c r="D700" s="19"/>
      <c r="E700" s="19" t="s">
        <v>3395</v>
      </c>
      <c r="F700" s="16" t="str">
        <f>VLOOKUP(E700,'[1]BẢNG MÃ'!$A$2:$B$69,2,0)</f>
        <v>TĐ046</v>
      </c>
      <c r="G700" s="20"/>
      <c r="H700" s="19" t="s">
        <v>3395</v>
      </c>
      <c r="I700" s="16" t="s">
        <v>3315</v>
      </c>
      <c r="J700" s="16" t="str">
        <f>VLOOKUP(I700,'[1]BẢNG MÃ'!$C$2:$D$69,2,0)</f>
        <v>KP038</v>
      </c>
      <c r="K700" s="16"/>
      <c r="L700" s="16">
        <v>0</v>
      </c>
      <c r="M700" s="16" t="s">
        <v>129</v>
      </c>
      <c r="N700" s="21">
        <f ca="1">VLOOKUP(A700,'[1]Bieu 1a'!$A$8:$AW$855,10,0)</f>
        <v>53</v>
      </c>
      <c r="O700" s="22">
        <f>VLOOKUP(A700,'[1]Bieu 1a'!$A$8:$AW$855,8,0)</f>
        <v>26740</v>
      </c>
      <c r="P700" s="22">
        <f>VLOOKUP(A700,'[1]Bieu 1a'!$A$8:$AW$855,9,0)</f>
        <v>0</v>
      </c>
      <c r="Q700" s="23" t="s">
        <v>34</v>
      </c>
      <c r="R700" s="24" t="str">
        <f>VLOOKUP(A700,'[1]Bieu 1a'!$A$8:$AW$855,23,0)</f>
        <v>17/2/2003</v>
      </c>
      <c r="S700" s="25" t="s">
        <v>3400</v>
      </c>
      <c r="T700" s="26" t="s">
        <v>3401</v>
      </c>
      <c r="U700" s="16"/>
      <c r="V700" s="16" t="str">
        <f>IFERROR(VLOOKUP(A700,'[2]19.6.2026'!$A$9:$L$1111,5,0),"")</f>
        <v/>
      </c>
      <c r="W700" s="16" t="str">
        <f>IFERROR(VLOOKUP(A700,'[2]19.6.2026'!$A$9:$L$1111,6,0),"")</f>
        <v/>
      </c>
      <c r="X700" s="16"/>
      <c r="Y700" s="21" t="str">
        <f>IFERROR(VLOOKUP(A700,'[2]19.6.2026'!$A$9:$L$1111,7,0),"")</f>
        <v/>
      </c>
      <c r="Z700" s="16"/>
      <c r="AA700" s="27" t="str">
        <f>IFERROR(VLOOKUP(A700,'[3]DS UPLOAD 2026 (2)'!$A$2:$P$1111,16,0),"")</f>
        <v/>
      </c>
      <c r="AB700" s="27" t="s">
        <v>3402</v>
      </c>
      <c r="AC700" s="28" t="s">
        <v>133</v>
      </c>
    </row>
    <row r="701" spans="1:29" ht="16.5" customHeight="1" x14ac:dyDescent="0.3">
      <c r="A701" s="17" t="s">
        <v>3403</v>
      </c>
      <c r="B701" s="38" t="s">
        <v>3404</v>
      </c>
      <c r="C701" s="17" t="s">
        <v>3403</v>
      </c>
      <c r="D701" s="53"/>
      <c r="E701" s="19" t="s">
        <v>3405</v>
      </c>
      <c r="F701" s="16" t="e">
        <f>VLOOKUP(E701,'[1]BẢNG MÃ'!$A$2:$B$69,2,0)</f>
        <v>#N/A</v>
      </c>
      <c r="G701" s="20"/>
      <c r="H701" s="20" t="s">
        <v>3205</v>
      </c>
      <c r="I701" s="16" t="s">
        <v>3315</v>
      </c>
      <c r="J701" s="16" t="str">
        <f>VLOOKUP(I701,'[1]BẢNG MÃ'!$C$2:$D$69,2,0)</f>
        <v>KP038</v>
      </c>
      <c r="K701" s="16"/>
      <c r="L701" s="16"/>
      <c r="M701" s="16" t="s">
        <v>33</v>
      </c>
      <c r="N701" s="21">
        <f ca="1">VLOOKUP(A701,'[1]Bieu 1a'!$A$8:$AW$855,10,0)</f>
        <v>46</v>
      </c>
      <c r="O701" s="22">
        <f>VLOOKUP(A701,'[1]Bieu 1a'!$A$8:$AW$855,8,0)</f>
        <v>29396</v>
      </c>
      <c r="P701" s="22">
        <f>VLOOKUP(A701,'[1]Bieu 1a'!$A$8:$AW$855,9,0)</f>
        <v>0</v>
      </c>
      <c r="Q701" s="23" t="s">
        <v>34</v>
      </c>
      <c r="R701" s="24" t="str">
        <f>VLOOKUP(A701,'[1]Bieu 1a'!$A$8:$AW$855,23,0)</f>
        <v>01/4/2020</v>
      </c>
      <c r="S701" s="25" t="s">
        <v>3406</v>
      </c>
      <c r="T701" s="26" t="s">
        <v>3407</v>
      </c>
      <c r="U701" s="16"/>
      <c r="V701" s="16" t="str">
        <f>IFERROR(VLOOKUP(A701,'[2]19.6.2026'!$A$9:$L$1111,5,0),"")</f>
        <v/>
      </c>
      <c r="W701" s="16" t="str">
        <f>IFERROR(VLOOKUP(A701,'[2]19.6.2026'!$A$9:$L$1111,6,0),"")</f>
        <v/>
      </c>
      <c r="X701" s="16"/>
      <c r="Y701" s="21" t="str">
        <f>IFERROR(VLOOKUP(A701,'[2]19.6.2026'!$A$9:$L$1111,7,0),"")</f>
        <v/>
      </c>
      <c r="Z701" s="16"/>
      <c r="AA701" s="27" t="str">
        <f>IFERROR(VLOOKUP(A701,'[3]DS UPLOAD 2026 (2)'!$A$2:$P$1111,16,0),"")</f>
        <v/>
      </c>
      <c r="AB701" s="108">
        <v>355893333</v>
      </c>
      <c r="AC701" s="29" t="s">
        <v>3408</v>
      </c>
    </row>
    <row r="702" spans="1:29" ht="16.5" customHeight="1" x14ac:dyDescent="0.3">
      <c r="A702" s="17" t="s">
        <v>3409</v>
      </c>
      <c r="B702" s="38" t="s">
        <v>3410</v>
      </c>
      <c r="C702" s="17" t="s">
        <v>3409</v>
      </c>
      <c r="D702" s="19"/>
      <c r="E702" s="16" t="s">
        <v>160</v>
      </c>
      <c r="F702" s="16" t="str">
        <f>VLOOKUP(E702,'[1]BẢNG MÃ'!$A$2:$B$69,2,0)</f>
        <v>TĐ003</v>
      </c>
      <c r="G702" s="20" t="s">
        <v>29</v>
      </c>
      <c r="H702" s="20" t="s">
        <v>29</v>
      </c>
      <c r="I702" s="16" t="s">
        <v>3411</v>
      </c>
      <c r="J702" s="16" t="str">
        <f>VLOOKUP(I702,'[1]BẢNG MÃ'!$C$2:$D$69,2,0)</f>
        <v>KP039</v>
      </c>
      <c r="K702" s="16" t="s">
        <v>31</v>
      </c>
      <c r="L702" s="16" t="s">
        <v>3309</v>
      </c>
      <c r="M702" s="16" t="s">
        <v>33</v>
      </c>
      <c r="N702" s="21">
        <f ca="1">VLOOKUP(A702,'[1]Bieu 1a'!$A$8:$AW$855,10,0)</f>
        <v>54</v>
      </c>
      <c r="O702" s="22" t="str">
        <f>VLOOKUP(A702,'[1]Bieu 1a'!$A$8:$AW$855,8,0)</f>
        <v>19/8/1971</v>
      </c>
      <c r="P702" s="22">
        <f>VLOOKUP(A702,'[1]Bieu 1a'!$A$8:$AW$855,9,0)</f>
        <v>0</v>
      </c>
      <c r="Q702" s="23" t="s">
        <v>34</v>
      </c>
      <c r="R702" s="24" t="str">
        <f>VLOOKUP(A702,'[1]Bieu 1a'!$A$8:$AW$855,23,0)</f>
        <v>25/4/1997</v>
      </c>
      <c r="S702" s="25" t="s">
        <v>3412</v>
      </c>
      <c r="T702" s="26" t="s">
        <v>3413</v>
      </c>
      <c r="U702" s="16"/>
      <c r="V702" s="16" t="str">
        <f>IFERROR(VLOOKUP(A702,'[2]19.6.2026'!$A$9:$L$1111,5,0),"")</f>
        <v>001242/LS-CCHN</v>
      </c>
      <c r="W702" s="16" t="str">
        <f>IFERROR(VLOOKUP(A702,'[2]19.6.2026'!$A$9:$L$1111,6,0),"")</f>
        <v>19/07/2013</v>
      </c>
      <c r="X702" s="16"/>
      <c r="Y702" s="21" t="str">
        <f>IFERROR(VLOOKUP(A702,'[2]19.6.2026'!$A$9:$L$1111,7,0),"")</f>
        <v>Khám bệnh chữa bệnh chuyên khoa Mắt</v>
      </c>
      <c r="Z702" s="16"/>
      <c r="AA702" s="27" t="str">
        <f>IFERROR(VLOOKUP(A702,'[3]DS UPLOAD 2026 (2)'!$A$2:$P$1111,16,0),"")</f>
        <v/>
      </c>
      <c r="AB702" s="50" t="s">
        <v>3414</v>
      </c>
      <c r="AC702" s="28" t="s">
        <v>1045</v>
      </c>
    </row>
    <row r="703" spans="1:29" ht="16.5" customHeight="1" x14ac:dyDescent="0.3">
      <c r="A703" s="17" t="s">
        <v>3415</v>
      </c>
      <c r="B703" s="18" t="s">
        <v>3416</v>
      </c>
      <c r="C703" s="17" t="s">
        <v>3415</v>
      </c>
      <c r="D703" s="19"/>
      <c r="E703" s="19" t="s">
        <v>3417</v>
      </c>
      <c r="F703" s="16" t="str">
        <f>VLOOKUP(E703,'[1]BẢNG MÃ'!$A$2:$B$69,2,0)</f>
        <v>TĐ028</v>
      </c>
      <c r="G703" s="20" t="s">
        <v>3418</v>
      </c>
      <c r="H703" s="20" t="s">
        <v>3418</v>
      </c>
      <c r="I703" s="16" t="s">
        <v>3411</v>
      </c>
      <c r="J703" s="16" t="str">
        <f>VLOOKUP(I703,'[1]BẢNG MÃ'!$C$2:$D$69,2,0)</f>
        <v>KP039</v>
      </c>
      <c r="K703" s="16" t="s">
        <v>43</v>
      </c>
      <c r="L703" s="16">
        <v>0</v>
      </c>
      <c r="M703" s="16" t="s">
        <v>33</v>
      </c>
      <c r="N703" s="21">
        <f ca="1">VLOOKUP(A703,'[1]Bieu 1a'!$A$8:$AW$855,10,0)</f>
        <v>52</v>
      </c>
      <c r="O703" s="22">
        <f>VLOOKUP(A703,'[1]Bieu 1a'!$A$8:$AW$855,8,0)</f>
        <v>27080</v>
      </c>
      <c r="P703" s="22">
        <f>VLOOKUP(A703,'[1]Bieu 1a'!$A$8:$AW$855,9,0)</f>
        <v>0</v>
      </c>
      <c r="Q703" s="23" t="s">
        <v>50</v>
      </c>
      <c r="R703" s="24" t="str">
        <f>VLOOKUP(A703,'[1]Bieu 1a'!$A$8:$AW$855,23,0)</f>
        <v>3/2/1993</v>
      </c>
      <c r="S703" s="25" t="s">
        <v>3419</v>
      </c>
      <c r="T703" s="26" t="s">
        <v>1023</v>
      </c>
      <c r="U703" s="16"/>
      <c r="V703" s="16" t="str">
        <f>IFERROR(VLOOKUP(A703,'[2]19.6.2026'!$A$9:$L$1111,5,0),"")</f>
        <v/>
      </c>
      <c r="W703" s="16" t="str">
        <f>IFERROR(VLOOKUP(A703,'[2]19.6.2026'!$A$9:$L$1111,6,0),"")</f>
        <v/>
      </c>
      <c r="X703" s="16"/>
      <c r="Y703" s="21" t="str">
        <f>IFERROR(VLOOKUP(A703,'[2]19.6.2026'!$A$9:$L$1111,7,0),"")</f>
        <v/>
      </c>
      <c r="Z703" s="16"/>
      <c r="AA703" s="27" t="str">
        <f>IFERROR(VLOOKUP(A703,'[3]DS UPLOAD 2026 (2)'!$A$2:$P$1111,16,0),"")</f>
        <v/>
      </c>
      <c r="AB703" s="50" t="s">
        <v>3420</v>
      </c>
      <c r="AC703" s="28"/>
    </row>
    <row r="704" spans="1:29" ht="16.5" customHeight="1" x14ac:dyDescent="0.3">
      <c r="A704" s="17" t="s">
        <v>3421</v>
      </c>
      <c r="B704" s="18" t="s">
        <v>3422</v>
      </c>
      <c r="C704" s="17" t="s">
        <v>3421</v>
      </c>
      <c r="D704" s="19"/>
      <c r="E704" s="30" t="s">
        <v>3423</v>
      </c>
      <c r="F704" s="16" t="str">
        <f>VLOOKUP(E704,'[1]BẢNG MÃ'!$A$2:$B$69,2,0)</f>
        <v>TĐ031</v>
      </c>
      <c r="G704" s="105" t="s">
        <v>3424</v>
      </c>
      <c r="H704" s="105" t="s">
        <v>3425</v>
      </c>
      <c r="I704" s="16" t="s">
        <v>3411</v>
      </c>
      <c r="J704" s="16" t="str">
        <f>VLOOKUP(I704,'[1]BẢNG MÃ'!$C$2:$D$69,2,0)</f>
        <v>KP039</v>
      </c>
      <c r="K704" s="16" t="s">
        <v>43</v>
      </c>
      <c r="L704" s="16">
        <v>0</v>
      </c>
      <c r="M704" s="16" t="s">
        <v>33</v>
      </c>
      <c r="N704" s="21">
        <f ca="1">VLOOKUP(A704,'[1]Bieu 1a'!$A$8:$AW$855,10,0)</f>
        <v>36</v>
      </c>
      <c r="O704" s="22">
        <f>VLOOKUP(A704,'[1]Bieu 1a'!$A$8:$AW$855,8,0)</f>
        <v>32840</v>
      </c>
      <c r="P704" s="22">
        <f>VLOOKUP(A704,'[1]Bieu 1a'!$A$8:$AW$855,9,0)</f>
        <v>0</v>
      </c>
      <c r="Q704" s="23" t="s">
        <v>50</v>
      </c>
      <c r="R704" s="24" t="str">
        <f>VLOOKUP(A704,'[1]Bieu 1a'!$A$8:$AW$855,23,0)</f>
        <v>01/11/2014</v>
      </c>
      <c r="S704" s="25" t="s">
        <v>3426</v>
      </c>
      <c r="T704" s="26" t="s">
        <v>552</v>
      </c>
      <c r="U704" s="16"/>
      <c r="V704" s="16" t="str">
        <f>IFERROR(VLOOKUP(A704,'[2]19.6.2026'!$A$9:$L$1111,5,0),"")</f>
        <v/>
      </c>
      <c r="W704" s="16" t="str">
        <f>IFERROR(VLOOKUP(A704,'[2]19.6.2026'!$A$9:$L$1111,6,0),"")</f>
        <v/>
      </c>
      <c r="X704" s="16"/>
      <c r="Y704" s="21" t="str">
        <f>IFERROR(VLOOKUP(A704,'[2]19.6.2026'!$A$9:$L$1111,7,0),"")</f>
        <v/>
      </c>
      <c r="Z704" s="16"/>
      <c r="AA704" s="27" t="str">
        <f>IFERROR(VLOOKUP(A704,'[3]DS UPLOAD 2026 (2)'!$A$2:$P$1111,16,0),"")</f>
        <v/>
      </c>
      <c r="AB704" s="50" t="s">
        <v>3427</v>
      </c>
      <c r="AC704" s="28"/>
    </row>
    <row r="705" spans="1:29" ht="16.5" customHeight="1" x14ac:dyDescent="0.3">
      <c r="A705" s="17" t="s">
        <v>3428</v>
      </c>
      <c r="B705" s="40" t="s">
        <v>3429</v>
      </c>
      <c r="C705" s="17" t="s">
        <v>3428</v>
      </c>
      <c r="D705" s="19" t="s">
        <v>38</v>
      </c>
      <c r="E705" s="30" t="s">
        <v>3430</v>
      </c>
      <c r="F705" s="16" t="e">
        <f>VLOOKUP(E705,'[1]BẢNG MÃ'!$A$2:$B$69,2,0)</f>
        <v>#N/A</v>
      </c>
      <c r="G705" s="139" t="s">
        <v>3424</v>
      </c>
      <c r="H705" s="105" t="s">
        <v>3425</v>
      </c>
      <c r="I705" s="16" t="s">
        <v>3411</v>
      </c>
      <c r="J705" s="16" t="str">
        <f>VLOOKUP(I705,'[1]BẢNG MÃ'!$C$2:$D$69,2,0)</f>
        <v>KP039</v>
      </c>
      <c r="K705" s="16" t="s">
        <v>31</v>
      </c>
      <c r="L705" s="16" t="s">
        <v>3326</v>
      </c>
      <c r="M705" s="16" t="s">
        <v>33</v>
      </c>
      <c r="N705" s="21">
        <f ca="1">VLOOKUP(A705,'[1]Bieu 1a'!$A$8:$AW$855,10,0)</f>
        <v>34</v>
      </c>
      <c r="O705" s="22">
        <f>VLOOKUP(A705,'[1]Bieu 1a'!$A$8:$AW$855,8,0)</f>
        <v>0</v>
      </c>
      <c r="P705" s="22" t="str">
        <f>VLOOKUP(A705,'[1]Bieu 1a'!$A$8:$AW$855,9,0)</f>
        <v>11/4/1992</v>
      </c>
      <c r="Q705" s="23" t="s">
        <v>44</v>
      </c>
      <c r="R705" s="24" t="str">
        <f>VLOOKUP(A705,'[1]Bieu 1a'!$A$8:$AW$855,23,0)</f>
        <v>10/1/2016</v>
      </c>
      <c r="S705" s="25" t="s">
        <v>3431</v>
      </c>
      <c r="T705" s="26" t="s">
        <v>984</v>
      </c>
      <c r="U705" s="16"/>
      <c r="V705" s="16" t="str">
        <f>IFERROR(VLOOKUP(A705,'[2]19.6.2026'!$A$9:$L$1111,5,0),"")</f>
        <v/>
      </c>
      <c r="W705" s="16" t="str">
        <f>IFERROR(VLOOKUP(A705,'[2]19.6.2026'!$A$9:$L$1111,6,0),"")</f>
        <v/>
      </c>
      <c r="X705" s="16"/>
      <c r="Y705" s="21" t="str">
        <f>IFERROR(VLOOKUP(A705,'[2]19.6.2026'!$A$9:$L$1111,7,0),"")</f>
        <v/>
      </c>
      <c r="Z705" s="16"/>
      <c r="AA705" s="27" t="str">
        <f>IFERROR(VLOOKUP(A705,'[3]DS UPLOAD 2026 (2)'!$A$2:$P$1111,16,0),"")</f>
        <v/>
      </c>
      <c r="AB705" s="50" t="s">
        <v>3432</v>
      </c>
      <c r="AC705" s="28"/>
    </row>
    <row r="706" spans="1:29" ht="16.5" customHeight="1" x14ac:dyDescent="0.3">
      <c r="A706" s="17" t="s">
        <v>3433</v>
      </c>
      <c r="B706" s="38" t="s">
        <v>2879</v>
      </c>
      <c r="C706" s="17" t="s">
        <v>3433</v>
      </c>
      <c r="D706" s="19" t="s">
        <v>38</v>
      </c>
      <c r="E706" s="19" t="s">
        <v>3434</v>
      </c>
      <c r="F706" s="16" t="str">
        <f>VLOOKUP(E706,'[1]BẢNG MÃ'!$A$2:$B$69,2,0)</f>
        <v>TĐ033</v>
      </c>
      <c r="G706" s="20" t="s">
        <v>3424</v>
      </c>
      <c r="H706" s="20" t="s">
        <v>3435</v>
      </c>
      <c r="I706" s="16" t="s">
        <v>3411</v>
      </c>
      <c r="J706" s="16" t="str">
        <f>VLOOKUP(I706,'[1]BẢNG MÃ'!$C$2:$D$69,2,0)</f>
        <v>KP039</v>
      </c>
      <c r="K706" s="16" t="s">
        <v>43</v>
      </c>
      <c r="L706" s="16">
        <v>0</v>
      </c>
      <c r="M706" s="16" t="s">
        <v>33</v>
      </c>
      <c r="N706" s="21">
        <f ca="1">VLOOKUP(A706,'[1]Bieu 1a'!$A$8:$AW$855,10,0)</f>
        <v>41</v>
      </c>
      <c r="O706" s="22">
        <f>VLOOKUP(A706,'[1]Bieu 1a'!$A$8:$AW$855,8,0)</f>
        <v>0</v>
      </c>
      <c r="P706" s="22">
        <f>VLOOKUP(A706,'[1]Bieu 1a'!$A$8:$AW$855,9,0)</f>
        <v>31025</v>
      </c>
      <c r="Q706" s="23" t="s">
        <v>50</v>
      </c>
      <c r="R706" s="24" t="str">
        <f>VLOOKUP(A706,'[1]Bieu 1a'!$A$8:$AW$855,23,0)</f>
        <v>01/11/2019</v>
      </c>
      <c r="S706" s="25" t="s">
        <v>3436</v>
      </c>
      <c r="T706" s="26">
        <v>0</v>
      </c>
      <c r="U706" s="16"/>
      <c r="V706" s="16" t="str">
        <f>IFERROR(VLOOKUP(A706,'[2]19.6.2026'!$A$9:$L$1111,5,0),"")</f>
        <v/>
      </c>
      <c r="W706" s="16" t="str">
        <f>IFERROR(VLOOKUP(A706,'[2]19.6.2026'!$A$9:$L$1111,6,0),"")</f>
        <v/>
      </c>
      <c r="X706" s="16"/>
      <c r="Y706" s="21" t="str">
        <f>IFERROR(VLOOKUP(A706,'[2]19.6.2026'!$A$9:$L$1111,7,0),"")</f>
        <v/>
      </c>
      <c r="Z706" s="16"/>
      <c r="AA706" s="27" t="str">
        <f>IFERROR(VLOOKUP(A706,'[3]DS UPLOAD 2026 (2)'!$A$2:$P$1111,16,0),"")</f>
        <v/>
      </c>
      <c r="AB706" s="27">
        <v>395996289</v>
      </c>
      <c r="AC706" s="51" t="s">
        <v>3437</v>
      </c>
    </row>
    <row r="707" spans="1:29" ht="16.5" customHeight="1" x14ac:dyDescent="0.3">
      <c r="A707" s="17" t="s">
        <v>3438</v>
      </c>
      <c r="B707" s="38" t="s">
        <v>3439</v>
      </c>
      <c r="C707" s="17" t="s">
        <v>3438</v>
      </c>
      <c r="D707" s="19" t="s">
        <v>38</v>
      </c>
      <c r="E707" s="19" t="s">
        <v>3440</v>
      </c>
      <c r="F707" s="16" t="str">
        <f>VLOOKUP(E707,'[1]BẢNG MÃ'!$A$2:$B$69,2,0)</f>
        <v>TĐ034</v>
      </c>
      <c r="G707" s="20"/>
      <c r="H707" s="20" t="s">
        <v>3425</v>
      </c>
      <c r="I707" s="16" t="s">
        <v>3411</v>
      </c>
      <c r="J707" s="16" t="str">
        <f>VLOOKUP(I707,'[1]BẢNG MÃ'!$C$2:$D$69,2,0)</f>
        <v>KP039</v>
      </c>
      <c r="K707" s="16"/>
      <c r="L707" s="16"/>
      <c r="M707" s="16" t="s">
        <v>33</v>
      </c>
      <c r="N707" s="21">
        <f ca="1">VLOOKUP(A707,'[1]Bieu 1a'!$A$8:$AW$855,10,0)</f>
        <v>31</v>
      </c>
      <c r="O707" s="22">
        <f>VLOOKUP(A707,'[1]Bieu 1a'!$A$8:$AW$855,8,0)</f>
        <v>0</v>
      </c>
      <c r="P707" s="22">
        <f>VLOOKUP(A707,'[1]Bieu 1a'!$A$8:$AW$855,9,0)</f>
        <v>34714</v>
      </c>
      <c r="Q707" s="23" t="s">
        <v>50</v>
      </c>
      <c r="R707" s="24" t="str">
        <f>VLOOKUP(A707,'[1]Bieu 1a'!$A$8:$AW$855,23,0)</f>
        <v>04/3/2021</v>
      </c>
      <c r="S707" s="25" t="s">
        <v>3441</v>
      </c>
      <c r="T707" s="26" t="s">
        <v>1023</v>
      </c>
      <c r="U707" s="16"/>
      <c r="V707" s="16" t="str">
        <f>IFERROR(VLOOKUP(A707,'[2]19.6.2026'!$A$9:$L$1111,5,0),"")</f>
        <v/>
      </c>
      <c r="W707" s="16" t="str">
        <f>IFERROR(VLOOKUP(A707,'[2]19.6.2026'!$A$9:$L$1111,6,0),"")</f>
        <v/>
      </c>
      <c r="X707" s="16"/>
      <c r="Y707" s="21" t="str">
        <f>IFERROR(VLOOKUP(A707,'[2]19.6.2026'!$A$9:$L$1111,7,0),"")</f>
        <v/>
      </c>
      <c r="Z707" s="16"/>
      <c r="AA707" s="27" t="str">
        <f>IFERROR(VLOOKUP(A707,'[3]DS UPLOAD 2026 (2)'!$A$2:$P$1111,16,0),"")</f>
        <v/>
      </c>
      <c r="AB707" s="27">
        <v>979530589</v>
      </c>
      <c r="AC707" s="29" t="s">
        <v>3442</v>
      </c>
    </row>
    <row r="708" spans="1:29" ht="16.5" customHeight="1" x14ac:dyDescent="0.3">
      <c r="A708" s="17" t="s">
        <v>3443</v>
      </c>
      <c r="B708" s="40" t="s">
        <v>3444</v>
      </c>
      <c r="C708" s="17" t="s">
        <v>3443</v>
      </c>
      <c r="D708" s="19" t="s">
        <v>38</v>
      </c>
      <c r="E708" s="19" t="s">
        <v>3445</v>
      </c>
      <c r="F708" s="16" t="e">
        <f>VLOOKUP(E708,'[1]BẢNG MÃ'!$A$2:$B$69,2,0)</f>
        <v>#N/A</v>
      </c>
      <c r="G708" s="20"/>
      <c r="H708" s="20" t="s">
        <v>3435</v>
      </c>
      <c r="I708" s="16" t="s">
        <v>3411</v>
      </c>
      <c r="J708" s="16" t="str">
        <f>VLOOKUP(I708,'[1]BẢNG MÃ'!$C$2:$D$69,2,0)</f>
        <v>KP039</v>
      </c>
      <c r="K708" s="16"/>
      <c r="L708" s="16"/>
      <c r="M708" s="23" t="s">
        <v>33</v>
      </c>
      <c r="N708" s="21">
        <f ca="1">VLOOKUP(A708,'[1]Bieu 1a'!$A$8:$AW$855,10,0)</f>
        <v>33</v>
      </c>
      <c r="O708" s="22">
        <f>VLOOKUP(A708,'[1]Bieu 1a'!$A$8:$AW$855,8,0)</f>
        <v>0</v>
      </c>
      <c r="P708" s="22">
        <f>VLOOKUP(A708,'[1]Bieu 1a'!$A$8:$AW$855,9,0)</f>
        <v>33947</v>
      </c>
      <c r="Q708" s="23" t="s">
        <v>50</v>
      </c>
      <c r="R708" s="24" t="str">
        <f>VLOOKUP(A708,'[1]Bieu 1a'!$A$8:$AW$855,23,0)</f>
        <v>22/5/2017</v>
      </c>
      <c r="S708" s="25" t="s">
        <v>3446</v>
      </c>
      <c r="T708" s="26" t="s">
        <v>1023</v>
      </c>
      <c r="U708" s="16"/>
      <c r="V708" s="16" t="str">
        <f>IFERROR(VLOOKUP(A708,'[2]19.6.2026'!$A$9:$L$1111,5,0),"")</f>
        <v/>
      </c>
      <c r="W708" s="16" t="str">
        <f>IFERROR(VLOOKUP(A708,'[2]19.6.2026'!$A$9:$L$1111,6,0),"")</f>
        <v/>
      </c>
      <c r="X708" s="16"/>
      <c r="Y708" s="21" t="str">
        <f>IFERROR(VLOOKUP(A708,'[2]19.6.2026'!$A$9:$L$1111,7,0),"")</f>
        <v/>
      </c>
      <c r="Z708" s="16"/>
      <c r="AA708" s="27" t="str">
        <f>IFERROR(VLOOKUP(A708,'[3]DS UPLOAD 2026 (2)'!$A$2:$P$1111,16,0),"")</f>
        <v/>
      </c>
      <c r="AB708" s="27">
        <v>975025192</v>
      </c>
      <c r="AC708" s="29" t="s">
        <v>3447</v>
      </c>
    </row>
    <row r="709" spans="1:29" ht="16.5" customHeight="1" x14ac:dyDescent="0.3">
      <c r="A709" s="29" t="s">
        <v>3448</v>
      </c>
      <c r="B709" s="38" t="s">
        <v>3449</v>
      </c>
      <c r="C709" s="29" t="s">
        <v>3448</v>
      </c>
      <c r="D709" s="19" t="s">
        <v>38</v>
      </c>
      <c r="E709" s="19" t="s">
        <v>3450</v>
      </c>
      <c r="F709" s="16" t="e">
        <f>VLOOKUP(E709,'[1]BẢNG MÃ'!$A$2:$B$69,2,0)</f>
        <v>#N/A</v>
      </c>
      <c r="G709" s="20"/>
      <c r="H709" s="20" t="s">
        <v>3425</v>
      </c>
      <c r="I709" s="16" t="s">
        <v>3411</v>
      </c>
      <c r="J709" s="16" t="str">
        <f>VLOOKUP(I709,'[1]BẢNG MÃ'!$C$2:$D$69,2,0)</f>
        <v>KP039</v>
      </c>
      <c r="K709" s="16"/>
      <c r="L709" s="16"/>
      <c r="M709" s="16" t="s">
        <v>33</v>
      </c>
      <c r="N709" s="21">
        <f ca="1">VLOOKUP(A709,'[1]Bieu 1a'!$A$8:$AW$855,10,0)</f>
        <v>30</v>
      </c>
      <c r="O709" s="22">
        <f>VLOOKUP(A709,'[1]Bieu 1a'!$A$8:$AW$855,8,0)</f>
        <v>0</v>
      </c>
      <c r="P709" s="22">
        <f>VLOOKUP(A709,'[1]Bieu 1a'!$A$8:$AW$855,9,0)</f>
        <v>35245</v>
      </c>
      <c r="Q709" s="23" t="s">
        <v>34</v>
      </c>
      <c r="R709" s="24" t="str">
        <f>VLOOKUP(A709,'[1]Bieu 1a'!$A$8:$AW$855,23,0)</f>
        <v>18/12/2019</v>
      </c>
      <c r="S709" s="25" t="s">
        <v>3451</v>
      </c>
      <c r="T709" s="26" t="s">
        <v>935</v>
      </c>
      <c r="U709" s="16"/>
      <c r="V709" s="16" t="str">
        <f>IFERROR(VLOOKUP(A709,'[2]19.6.2026'!$A$9:$L$1111,5,0),"")</f>
        <v/>
      </c>
      <c r="W709" s="16" t="str">
        <f>IFERROR(VLOOKUP(A709,'[2]19.6.2026'!$A$9:$L$1111,6,0),"")</f>
        <v/>
      </c>
      <c r="X709" s="16"/>
      <c r="Y709" s="21" t="str">
        <f>IFERROR(VLOOKUP(A709,'[2]19.6.2026'!$A$9:$L$1111,7,0),"")</f>
        <v/>
      </c>
      <c r="Z709" s="16"/>
      <c r="AA709" s="27" t="str">
        <f>IFERROR(VLOOKUP(A709,'[3]DS UPLOAD 2026 (2)'!$A$2:$P$1111,16,0),"")</f>
        <v/>
      </c>
      <c r="AB709" s="58" t="s">
        <v>3452</v>
      </c>
      <c r="AC709" s="29" t="s">
        <v>3453</v>
      </c>
    </row>
    <row r="710" spans="1:29" ht="16.5" customHeight="1" x14ac:dyDescent="0.3">
      <c r="A710" s="17" t="s">
        <v>3454</v>
      </c>
      <c r="B710" s="18" t="s">
        <v>3455</v>
      </c>
      <c r="C710" s="17" t="s">
        <v>3454</v>
      </c>
      <c r="D710" s="19" t="s">
        <v>38</v>
      </c>
      <c r="E710" s="30" t="s">
        <v>41</v>
      </c>
      <c r="F710" s="16" t="str">
        <f>VLOOKUP(E710,'[1]BẢNG MÃ'!$A$2:$B$69,2,0)</f>
        <v>TĐ011</v>
      </c>
      <c r="G710" s="31" t="s">
        <v>42</v>
      </c>
      <c r="H710" s="31" t="s">
        <v>42</v>
      </c>
      <c r="I710" s="16" t="s">
        <v>3456</v>
      </c>
      <c r="J710" s="16" t="str">
        <f>VLOOKUP(I710,'[1]BẢNG MÃ'!$C$2:$D$69,2,0)</f>
        <v>KP040</v>
      </c>
      <c r="K710" s="16" t="s">
        <v>31</v>
      </c>
      <c r="L710" s="16" t="s">
        <v>3309</v>
      </c>
      <c r="M710" s="16" t="s">
        <v>33</v>
      </c>
      <c r="N710" s="21">
        <f ca="1">VLOOKUP(A710,'[1]Bieu 1a'!$A$8:$AW$855,10,0)</f>
        <v>43</v>
      </c>
      <c r="O710" s="22">
        <f>VLOOKUP(A710,'[1]Bieu 1a'!$A$8:$AW$855,8,0)</f>
        <v>0</v>
      </c>
      <c r="P710" s="22">
        <f>VLOOKUP(A710,'[1]Bieu 1a'!$A$8:$AW$855,9,0)</f>
        <v>30391</v>
      </c>
      <c r="Q710" s="23" t="s">
        <v>50</v>
      </c>
      <c r="R710" s="24" t="str">
        <f>VLOOKUP(A710,'[1]Bieu 1a'!$A$8:$AW$855,23,0)</f>
        <v>7/11/2006</v>
      </c>
      <c r="S710" s="25" t="s">
        <v>3457</v>
      </c>
      <c r="T710" s="26" t="s">
        <v>3458</v>
      </c>
      <c r="U710" s="16"/>
      <c r="V710" s="16" t="str">
        <f>IFERROR(VLOOKUP(A710,'[2]19.6.2026'!$A$9:$L$1111,5,0),"")</f>
        <v>000774/LS-CCHN</v>
      </c>
      <c r="W710" s="16" t="str">
        <f>IFERROR(VLOOKUP(A710,'[2]19.6.2026'!$A$9:$L$1111,6,0),"")</f>
        <v>11/12/2022</v>
      </c>
      <c r="X710" s="16"/>
      <c r="Y710" s="21" t="str">
        <f>IFERROR(VLOOKUP(A710,'[2]19.6.2026'!$A$9:$L$1111,7,0),"")</f>
        <v>Thực hiện phạm vi hoạt động chuyên môn theo quy định tại Thông tư số 26/2015/TTLT-BYT-BNV ngày 07/10/2015 quy định mã số, tiêu chuẩn chức danh nghề nghiệp điều dưỡng, hộ sinh, kỹ thuật y</v>
      </c>
      <c r="Z710" s="16"/>
      <c r="AA710" s="27" t="str">
        <f>IFERROR(VLOOKUP(A710,'[3]DS UPLOAD 2026 (2)'!$A$2:$P$1111,16,0),"")</f>
        <v/>
      </c>
      <c r="AB710" s="27">
        <v>984274318</v>
      </c>
      <c r="AC710" s="28"/>
    </row>
    <row r="711" spans="1:29" ht="24" customHeight="1" x14ac:dyDescent="0.3">
      <c r="A711" s="17" t="s">
        <v>3459</v>
      </c>
      <c r="B711" s="18" t="s">
        <v>3460</v>
      </c>
      <c r="C711" s="17" t="s">
        <v>3459</v>
      </c>
      <c r="D711" s="19"/>
      <c r="E711" s="19" t="s">
        <v>41</v>
      </c>
      <c r="F711" s="16" t="str">
        <f>VLOOKUP(E711,'[1]BẢNG MÃ'!$A$2:$B$69,2,0)</f>
        <v>TĐ011</v>
      </c>
      <c r="G711" s="20" t="s">
        <v>42</v>
      </c>
      <c r="H711" s="20" t="s">
        <v>42</v>
      </c>
      <c r="I711" s="16" t="s">
        <v>3456</v>
      </c>
      <c r="J711" s="16" t="str">
        <f>VLOOKUP(I711,'[1]BẢNG MÃ'!$C$2:$D$69,2,0)</f>
        <v>KP040</v>
      </c>
      <c r="K711" s="16" t="s">
        <v>31</v>
      </c>
      <c r="L711" s="16" t="s">
        <v>3326</v>
      </c>
      <c r="M711" s="16" t="s">
        <v>33</v>
      </c>
      <c r="N711" s="21">
        <f ca="1">VLOOKUP(A711,'[1]Bieu 1a'!$A$8:$AW$855,10,0)</f>
        <v>54</v>
      </c>
      <c r="O711" s="22">
        <f>VLOOKUP(A711,'[1]Bieu 1a'!$A$8:$AW$855,8,0)</f>
        <v>26197</v>
      </c>
      <c r="P711" s="22">
        <f>VLOOKUP(A711,'[1]Bieu 1a'!$A$8:$AW$855,9,0)</f>
        <v>0</v>
      </c>
      <c r="Q711" s="23" t="s">
        <v>34</v>
      </c>
      <c r="R711" s="24" t="str">
        <f>VLOOKUP(A711,'[1]Bieu 1a'!$A$8:$AW$855,23,0)</f>
        <v>10/1/1996</v>
      </c>
      <c r="S711" s="25" t="s">
        <v>3461</v>
      </c>
      <c r="T711" s="26" t="s">
        <v>3462</v>
      </c>
      <c r="U711" s="16"/>
      <c r="V711" s="16" t="str">
        <f>IFERROR(VLOOKUP(A711,'[2]19.6.2026'!$A$9:$L$1111,5,0),"")</f>
        <v>001104/LS-CCHN</v>
      </c>
      <c r="W711" s="16" t="str">
        <f>IFERROR(VLOOKUP(A711,'[2]19.6.2026'!$A$9:$L$1111,6,0),"")</f>
        <v>24/06/2013</v>
      </c>
      <c r="X711" s="16"/>
      <c r="Y711" s="21" t="str">
        <f>IFERROR(VLOOKUP(A711,'[2]19.6.2026'!$A$9:$L$1111,7,0),"")</f>
        <v>Theo quy định tại Quyết định số 41/2005/QĐ-BNV ngày 22/4/2005 của Bộ trưởng Bộ Nội vụ về việc ban hành tiêu chuẩn nghiệp vụ các ngạch viên chức y tế điều dưỡng</v>
      </c>
      <c r="Z711" s="16"/>
      <c r="AA711" s="27" t="str">
        <f>IFERROR(VLOOKUP(A711,'[3]DS UPLOAD 2026 (2)'!$A$2:$P$1111,16,0),"")</f>
        <v/>
      </c>
      <c r="AB711" s="27" t="s">
        <v>3463</v>
      </c>
      <c r="AC711" s="51"/>
    </row>
    <row r="712" spans="1:29" ht="16.5" customHeight="1" x14ac:dyDescent="0.3">
      <c r="A712" s="17" t="s">
        <v>3464</v>
      </c>
      <c r="B712" s="120" t="s">
        <v>3465</v>
      </c>
      <c r="C712" s="17" t="s">
        <v>3464</v>
      </c>
      <c r="D712" s="16"/>
      <c r="E712" s="19" t="s">
        <v>3466</v>
      </c>
      <c r="F712" s="16" t="str">
        <f>VLOOKUP(E712,'[1]BẢNG MÃ'!$A$2:$B$69,2,0)</f>
        <v>TĐ022</v>
      </c>
      <c r="G712" s="20"/>
      <c r="H712" s="20" t="s">
        <v>3467</v>
      </c>
      <c r="I712" s="16" t="s">
        <v>3456</v>
      </c>
      <c r="J712" s="16" t="str">
        <f>VLOOKUP(I712,'[1]BẢNG MÃ'!$C$2:$D$69,2,0)</f>
        <v>KP040</v>
      </c>
      <c r="K712" s="16"/>
      <c r="L712" s="16"/>
      <c r="M712" s="16" t="s">
        <v>33</v>
      </c>
      <c r="N712" s="21">
        <f ca="1">VLOOKUP(A712,'[1]Bieu 1a'!$A$8:$AW$855,10,0)</f>
        <v>46</v>
      </c>
      <c r="O712" s="22">
        <f>VLOOKUP(A712,'[1]Bieu 1a'!$A$8:$AW$855,8,0)</f>
        <v>29110</v>
      </c>
      <c r="P712" s="22">
        <f>VLOOKUP(A712,'[1]Bieu 1a'!$A$8:$AW$855,9,0)</f>
        <v>0</v>
      </c>
      <c r="Q712" s="23" t="s">
        <v>34</v>
      </c>
      <c r="R712" s="24" t="str">
        <f>VLOOKUP(A712,'[1]Bieu 1a'!$A$8:$AW$855,23,0)</f>
        <v>5/1/2015</v>
      </c>
      <c r="S712" s="25" t="s">
        <v>3468</v>
      </c>
      <c r="T712" s="26">
        <v>0</v>
      </c>
      <c r="U712" s="16"/>
      <c r="V712" s="16" t="str">
        <f>IFERROR(VLOOKUP(A712,'[2]19.6.2026'!$A$9:$L$1111,5,0),"")</f>
        <v/>
      </c>
      <c r="W712" s="16" t="str">
        <f>IFERROR(VLOOKUP(A712,'[2]19.6.2026'!$A$9:$L$1111,6,0),"")</f>
        <v/>
      </c>
      <c r="X712" s="16"/>
      <c r="Y712" s="21" t="str">
        <f>IFERROR(VLOOKUP(A712,'[2]19.6.2026'!$A$9:$L$1111,7,0),"")</f>
        <v/>
      </c>
      <c r="Z712" s="16"/>
      <c r="AA712" s="27" t="str">
        <f>IFERROR(VLOOKUP(A712,'[3]DS UPLOAD 2026 (2)'!$A$2:$P$1111,16,0),"")</f>
        <v/>
      </c>
      <c r="AB712" s="16" t="s">
        <v>3469</v>
      </c>
      <c r="AC712" s="29" t="s">
        <v>1658</v>
      </c>
    </row>
    <row r="713" spans="1:29" ht="16.5" customHeight="1" x14ac:dyDescent="0.3">
      <c r="A713" s="17" t="s">
        <v>3470</v>
      </c>
      <c r="B713" s="29" t="s">
        <v>3471</v>
      </c>
      <c r="C713" s="17" t="s">
        <v>3470</v>
      </c>
      <c r="D713" s="19" t="s">
        <v>38</v>
      </c>
      <c r="E713" s="19" t="s">
        <v>3466</v>
      </c>
      <c r="F713" s="16" t="str">
        <f>VLOOKUP(E713,'[1]BẢNG MÃ'!$A$2:$B$69,2,0)</f>
        <v>TĐ022</v>
      </c>
      <c r="G713" s="20"/>
      <c r="H713" s="20" t="s">
        <v>3467</v>
      </c>
      <c r="I713" s="16" t="s">
        <v>3456</v>
      </c>
      <c r="J713" s="16" t="str">
        <f>VLOOKUP(I713,'[1]BẢNG MÃ'!$C$2:$D$69,2,0)</f>
        <v>KP040</v>
      </c>
      <c r="K713" s="16"/>
      <c r="L713" s="16"/>
      <c r="M713" s="16" t="s">
        <v>33</v>
      </c>
      <c r="N713" s="21">
        <f ca="1">VLOOKUP(A713,'[1]Bieu 1a'!$A$8:$AW$855,10,0)</f>
        <v>37</v>
      </c>
      <c r="O713" s="22">
        <f>VLOOKUP(A713,'[1]Bieu 1a'!$A$8:$AW$855,8,0)</f>
        <v>0</v>
      </c>
      <c r="P713" s="22">
        <f>VLOOKUP(A713,'[1]Bieu 1a'!$A$8:$AW$855,9,0)</f>
        <v>32482</v>
      </c>
      <c r="Q713" s="23" t="s">
        <v>50</v>
      </c>
      <c r="R713" s="24" t="str">
        <f>VLOOKUP(A713,'[1]Bieu 1a'!$A$8:$AW$855,23,0)</f>
        <v>1/2/2013</v>
      </c>
      <c r="S713" s="25" t="s">
        <v>3472</v>
      </c>
      <c r="T713" s="26" t="s">
        <v>3473</v>
      </c>
      <c r="U713" s="16"/>
      <c r="V713" s="16" t="str">
        <f>IFERROR(VLOOKUP(A713,'[2]19.6.2026'!$A$9:$L$1111,5,0),"")</f>
        <v/>
      </c>
      <c r="W713" s="16" t="str">
        <f>IFERROR(VLOOKUP(A713,'[2]19.6.2026'!$A$9:$L$1111,6,0),"")</f>
        <v/>
      </c>
      <c r="X713" s="16"/>
      <c r="Y713" s="21" t="str">
        <f>IFERROR(VLOOKUP(A713,'[2]19.6.2026'!$A$9:$L$1111,7,0),"")</f>
        <v/>
      </c>
      <c r="Z713" s="16"/>
      <c r="AA713" s="27" t="str">
        <f>IFERROR(VLOOKUP(A713,'[3]DS UPLOAD 2026 (2)'!$A$2:$P$1111,16,0),"")</f>
        <v/>
      </c>
      <c r="AB713" s="27" t="s">
        <v>3474</v>
      </c>
      <c r="AC713" s="29" t="s">
        <v>3343</v>
      </c>
    </row>
    <row r="714" spans="1:29" ht="16.5" customHeight="1" x14ac:dyDescent="0.3">
      <c r="A714" s="17" t="s">
        <v>3475</v>
      </c>
      <c r="B714" s="29" t="s">
        <v>3476</v>
      </c>
      <c r="C714" s="17" t="s">
        <v>3475</v>
      </c>
      <c r="D714" s="19"/>
      <c r="E714" s="19" t="s">
        <v>3204</v>
      </c>
      <c r="F714" s="16" t="str">
        <f>VLOOKUP(E714,'[1]BẢNG MÃ'!$A$2:$B$69,2,0)</f>
        <v>TĐ029</v>
      </c>
      <c r="G714" s="20" t="s">
        <v>3205</v>
      </c>
      <c r="H714" s="20" t="s">
        <v>3205</v>
      </c>
      <c r="I714" s="16" t="s">
        <v>3456</v>
      </c>
      <c r="J714" s="16" t="str">
        <f>VLOOKUP(I714,'[1]BẢNG MÃ'!$C$2:$D$69,2,0)</f>
        <v>KP040</v>
      </c>
      <c r="K714" s="16" t="s">
        <v>43</v>
      </c>
      <c r="L714" s="16">
        <v>0</v>
      </c>
      <c r="M714" s="16" t="s">
        <v>33</v>
      </c>
      <c r="N714" s="21">
        <f ca="1">VLOOKUP(A714,'[1]Bieu 1a'!$A$8:$AW$855,10,0)</f>
        <v>47</v>
      </c>
      <c r="O714" s="22">
        <f>VLOOKUP(A714,'[1]Bieu 1a'!$A$8:$AW$855,8,0)</f>
        <v>28735</v>
      </c>
      <c r="P714" s="22">
        <f>VLOOKUP(A714,'[1]Bieu 1a'!$A$8:$AW$855,9,0)</f>
        <v>0</v>
      </c>
      <c r="Q714" s="23" t="s">
        <v>50</v>
      </c>
      <c r="R714" s="24" t="str">
        <f>VLOOKUP(A714,'[1]Bieu 1a'!$A$8:$AW$855,23,0)</f>
        <v>1/12/2008</v>
      </c>
      <c r="S714" s="25" t="s">
        <v>3477</v>
      </c>
      <c r="T714" s="26">
        <v>0</v>
      </c>
      <c r="U714" s="16"/>
      <c r="V714" s="16" t="str">
        <f>IFERROR(VLOOKUP(A714,'[2]19.6.2026'!$A$9:$L$1111,5,0),"")</f>
        <v/>
      </c>
      <c r="W714" s="16" t="str">
        <f>IFERROR(VLOOKUP(A714,'[2]19.6.2026'!$A$9:$L$1111,6,0),"")</f>
        <v/>
      </c>
      <c r="X714" s="16"/>
      <c r="Y714" s="21" t="str">
        <f>IFERROR(VLOOKUP(A714,'[2]19.6.2026'!$A$9:$L$1111,7,0),"")</f>
        <v/>
      </c>
      <c r="Z714" s="16"/>
      <c r="AA714" s="27" t="str">
        <f>IFERROR(VLOOKUP(A714,'[3]DS UPLOAD 2026 (2)'!$A$2:$P$1111,16,0),"")</f>
        <v/>
      </c>
      <c r="AB714" s="27">
        <v>982143202</v>
      </c>
      <c r="AC714" s="28"/>
    </row>
    <row r="715" spans="1:29" ht="20.25" customHeight="1" x14ac:dyDescent="0.3">
      <c r="A715" s="17" t="s">
        <v>3478</v>
      </c>
      <c r="B715" s="18" t="s">
        <v>3479</v>
      </c>
      <c r="C715" s="17" t="s">
        <v>3478</v>
      </c>
      <c r="D715" s="19" t="s">
        <v>38</v>
      </c>
      <c r="E715" s="19" t="s">
        <v>3480</v>
      </c>
      <c r="F715" s="16" t="e">
        <f>VLOOKUP(E715,'[1]BẢNG MÃ'!$A$2:$B$69,2,0)</f>
        <v>#N/A</v>
      </c>
      <c r="G715" s="20" t="s">
        <v>3424</v>
      </c>
      <c r="H715" s="20" t="s">
        <v>3481</v>
      </c>
      <c r="I715" s="16" t="s">
        <v>3456</v>
      </c>
      <c r="J715" s="16" t="str">
        <f>VLOOKUP(I715,'[1]BẢNG MÃ'!$C$2:$D$69,2,0)</f>
        <v>KP040</v>
      </c>
      <c r="K715" s="16" t="s">
        <v>31</v>
      </c>
      <c r="L715" s="16" t="s">
        <v>3326</v>
      </c>
      <c r="M715" s="16" t="s">
        <v>33</v>
      </c>
      <c r="N715" s="21">
        <f ca="1">VLOOKUP(A715,'[1]Bieu 1a'!$A$8:$AW$855,10,0)</f>
        <v>37</v>
      </c>
      <c r="O715" s="22">
        <f>VLOOKUP(A715,'[1]Bieu 1a'!$A$8:$AW$855,8,0)</f>
        <v>0</v>
      </c>
      <c r="P715" s="22">
        <f>VLOOKUP(A715,'[1]Bieu 1a'!$A$8:$AW$855,9,0)</f>
        <v>32433</v>
      </c>
      <c r="Q715" s="23" t="s">
        <v>283</v>
      </c>
      <c r="R715" s="24" t="str">
        <f>VLOOKUP(A715,'[1]Bieu 1a'!$A$8:$AW$855,23,0)</f>
        <v>10/6/2013</v>
      </c>
      <c r="S715" s="25" t="s">
        <v>3482</v>
      </c>
      <c r="T715" s="26">
        <v>0</v>
      </c>
      <c r="U715" s="16"/>
      <c r="V715" s="16" t="str">
        <f>IFERROR(VLOOKUP(A715,'[2]19.6.2026'!$A$9:$L$1111,5,0),"")</f>
        <v/>
      </c>
      <c r="W715" s="16" t="str">
        <f>IFERROR(VLOOKUP(A715,'[2]19.6.2026'!$A$9:$L$1111,6,0),"")</f>
        <v/>
      </c>
      <c r="X715" s="16"/>
      <c r="Y715" s="21" t="str">
        <f>IFERROR(VLOOKUP(A715,'[2]19.6.2026'!$A$9:$L$1111,7,0),"")</f>
        <v/>
      </c>
      <c r="Z715" s="16"/>
      <c r="AA715" s="27" t="str">
        <f>IFERROR(VLOOKUP(A715,'[3]DS UPLOAD 2026 (2)'!$A$2:$P$1111,16,0),"")</f>
        <v/>
      </c>
      <c r="AB715" s="27">
        <v>917238286</v>
      </c>
      <c r="AC715" s="28"/>
    </row>
    <row r="716" spans="1:29" ht="18.75" customHeight="1" x14ac:dyDescent="0.3">
      <c r="A716" s="17" t="s">
        <v>3483</v>
      </c>
      <c r="B716" s="29" t="s">
        <v>3484</v>
      </c>
      <c r="C716" s="17" t="s">
        <v>3483</v>
      </c>
      <c r="D716" s="19" t="s">
        <v>38</v>
      </c>
      <c r="E716" s="16" t="s">
        <v>3485</v>
      </c>
      <c r="F716" s="16" t="str">
        <f>VLOOKUP(E716,'[1]BẢNG MÃ'!$A$2:$B$69,2,0)</f>
        <v>TĐ035</v>
      </c>
      <c r="G716" s="20" t="s">
        <v>3424</v>
      </c>
      <c r="H716" s="20" t="s">
        <v>3481</v>
      </c>
      <c r="I716" s="16" t="s">
        <v>3456</v>
      </c>
      <c r="J716" s="16" t="str">
        <f>VLOOKUP(I716,'[1]BẢNG MÃ'!$C$2:$D$69,2,0)</f>
        <v>KP040</v>
      </c>
      <c r="K716" s="16" t="s">
        <v>43</v>
      </c>
      <c r="L716" s="16">
        <v>0</v>
      </c>
      <c r="M716" s="16" t="s">
        <v>33</v>
      </c>
      <c r="N716" s="21">
        <f ca="1">VLOOKUP(A716,'[1]Bieu 1a'!$A$8:$AW$855,10,0)</f>
        <v>30</v>
      </c>
      <c r="O716" s="22">
        <f>VLOOKUP(A716,'[1]Bieu 1a'!$A$8:$AW$855,8,0)</f>
        <v>0</v>
      </c>
      <c r="P716" s="22">
        <f>VLOOKUP(A716,'[1]Bieu 1a'!$A$8:$AW$855,9,0)</f>
        <v>35045</v>
      </c>
      <c r="Q716" s="23" t="s">
        <v>34</v>
      </c>
      <c r="R716" s="24" t="str">
        <f>VLOOKUP(A716,'[1]Bieu 1a'!$A$8:$AW$855,23,0)</f>
        <v>11/12/2018</v>
      </c>
      <c r="S716" s="25" t="s">
        <v>3486</v>
      </c>
      <c r="T716" s="26">
        <v>0</v>
      </c>
      <c r="U716" s="16"/>
      <c r="V716" s="16" t="str">
        <f>IFERROR(VLOOKUP(A716,'[2]19.6.2026'!$A$9:$L$1111,5,0),"")</f>
        <v/>
      </c>
      <c r="W716" s="16" t="str">
        <f>IFERROR(VLOOKUP(A716,'[2]19.6.2026'!$A$9:$L$1111,6,0),"")</f>
        <v/>
      </c>
      <c r="X716" s="16"/>
      <c r="Y716" s="21" t="str">
        <f>IFERROR(VLOOKUP(A716,'[2]19.6.2026'!$A$9:$L$1111,7,0),"")</f>
        <v/>
      </c>
      <c r="Z716" s="16"/>
      <c r="AA716" s="27" t="str">
        <f>IFERROR(VLOOKUP(A716,'[3]DS UPLOAD 2026 (2)'!$A$2:$P$1111,16,0),"")</f>
        <v/>
      </c>
      <c r="AB716" s="27">
        <v>815678891</v>
      </c>
      <c r="AC716" s="28" t="s">
        <v>3487</v>
      </c>
    </row>
    <row r="717" spans="1:29" ht="18.75" customHeight="1" x14ac:dyDescent="0.3">
      <c r="A717" s="17" t="s">
        <v>3488</v>
      </c>
      <c r="B717" s="120" t="s">
        <v>3489</v>
      </c>
      <c r="C717" s="17" t="s">
        <v>3488</v>
      </c>
      <c r="D717" s="19" t="s">
        <v>38</v>
      </c>
      <c r="E717" s="16" t="s">
        <v>3485</v>
      </c>
      <c r="F717" s="16" t="str">
        <f>VLOOKUP(E717,'[1]BẢNG MÃ'!$A$2:$B$69,2,0)</f>
        <v>TĐ035</v>
      </c>
      <c r="G717" s="20" t="s">
        <v>3424</v>
      </c>
      <c r="H717" s="20" t="s">
        <v>3481</v>
      </c>
      <c r="I717" s="16" t="s">
        <v>3456</v>
      </c>
      <c r="J717" s="16" t="str">
        <f>VLOOKUP(I717,'[1]BẢNG MÃ'!$C$2:$D$69,2,0)</f>
        <v>KP040</v>
      </c>
      <c r="K717" s="16" t="s">
        <v>43</v>
      </c>
      <c r="L717" s="16">
        <v>0</v>
      </c>
      <c r="M717" s="16" t="s">
        <v>33</v>
      </c>
      <c r="N717" s="21">
        <f ca="1">VLOOKUP(A717,'[1]Bieu 1a'!$A$8:$AW$855,10,0)</f>
        <v>45</v>
      </c>
      <c r="O717" s="22">
        <f>VLOOKUP(A717,'[1]Bieu 1a'!$A$8:$AW$855,8,0)</f>
        <v>0</v>
      </c>
      <c r="P717" s="22">
        <f>VLOOKUP(A717,'[1]Bieu 1a'!$A$8:$AW$855,9,0)</f>
        <v>29614</v>
      </c>
      <c r="Q717" s="23" t="s">
        <v>34</v>
      </c>
      <c r="R717" s="24" t="str">
        <f>VLOOKUP(A717,'[1]Bieu 1a'!$A$8:$AW$855,23,0)</f>
        <v>15/4/2008</v>
      </c>
      <c r="S717" s="25" t="s">
        <v>3490</v>
      </c>
      <c r="T717" s="26" t="s">
        <v>3491</v>
      </c>
      <c r="U717" s="16"/>
      <c r="V717" s="16" t="str">
        <f>IFERROR(VLOOKUP(A717,'[2]19.6.2026'!$A$9:$L$1111,5,0),"")</f>
        <v/>
      </c>
      <c r="W717" s="16" t="str">
        <f>IFERROR(VLOOKUP(A717,'[2]19.6.2026'!$A$9:$L$1111,6,0),"")</f>
        <v/>
      </c>
      <c r="X717" s="16"/>
      <c r="Y717" s="21" t="str">
        <f>IFERROR(VLOOKUP(A717,'[2]19.6.2026'!$A$9:$L$1111,7,0),"")</f>
        <v/>
      </c>
      <c r="Z717" s="16"/>
      <c r="AA717" s="27" t="str">
        <f>IFERROR(VLOOKUP(A717,'[3]DS UPLOAD 2026 (2)'!$A$2:$P$1111,16,0),"")</f>
        <v/>
      </c>
      <c r="AB717" s="27" t="s">
        <v>3492</v>
      </c>
      <c r="AC717" s="54"/>
    </row>
    <row r="718" spans="1:29" ht="18.75" customHeight="1" x14ac:dyDescent="0.3">
      <c r="A718" s="17" t="s">
        <v>3493</v>
      </c>
      <c r="B718" s="18" t="s">
        <v>2350</v>
      </c>
      <c r="C718" s="17" t="s">
        <v>3493</v>
      </c>
      <c r="D718" s="19" t="s">
        <v>38</v>
      </c>
      <c r="E718" s="19" t="s">
        <v>3494</v>
      </c>
      <c r="F718" s="16" t="str">
        <f>VLOOKUP(E718,'[1]BẢNG MÃ'!$A$2:$B$69,2,0)</f>
        <v>TĐ042</v>
      </c>
      <c r="G718" s="20" t="s">
        <v>3495</v>
      </c>
      <c r="H718" s="20" t="s">
        <v>3495</v>
      </c>
      <c r="I718" s="16" t="s">
        <v>3456</v>
      </c>
      <c r="J718" s="16" t="str">
        <f>VLOOKUP(I718,'[1]BẢNG MÃ'!$C$2:$D$69,2,0)</f>
        <v>KP040</v>
      </c>
      <c r="K718" s="16" t="s">
        <v>43</v>
      </c>
      <c r="L718" s="16">
        <v>0</v>
      </c>
      <c r="M718" s="16" t="s">
        <v>33</v>
      </c>
      <c r="N718" s="21">
        <f ca="1">VLOOKUP(A718,'[1]Bieu 1a'!$A$8:$AW$855,10,0)</f>
        <v>53</v>
      </c>
      <c r="O718" s="22">
        <f>VLOOKUP(A718,'[1]Bieu 1a'!$A$8:$AW$855,8,0)</f>
        <v>0</v>
      </c>
      <c r="P718" s="22">
        <f>VLOOKUP(A718,'[1]Bieu 1a'!$A$8:$AW$855,9,0)</f>
        <v>26566</v>
      </c>
      <c r="Q718" s="23" t="s">
        <v>34</v>
      </c>
      <c r="R718" s="24" t="str">
        <f>VLOOKUP(A718,'[1]Bieu 1a'!$A$8:$AW$855,23,0)</f>
        <v>10/6/2013</v>
      </c>
      <c r="S718" s="25" t="s">
        <v>3496</v>
      </c>
      <c r="T718" s="26" t="s">
        <v>3497</v>
      </c>
      <c r="U718" s="16"/>
      <c r="V718" s="16" t="str">
        <f>IFERROR(VLOOKUP(A718,'[2]19.6.2026'!$A$9:$L$1111,5,0),"")</f>
        <v/>
      </c>
      <c r="W718" s="16" t="str">
        <f>IFERROR(VLOOKUP(A718,'[2]19.6.2026'!$A$9:$L$1111,6,0),"")</f>
        <v/>
      </c>
      <c r="X718" s="16"/>
      <c r="Y718" s="21" t="str">
        <f>IFERROR(VLOOKUP(A718,'[2]19.6.2026'!$A$9:$L$1111,7,0),"")</f>
        <v/>
      </c>
      <c r="Z718" s="16"/>
      <c r="AA718" s="27" t="str">
        <f>IFERROR(VLOOKUP(A718,'[3]DS UPLOAD 2026 (2)'!$A$2:$P$1111,16,0),"")</f>
        <v/>
      </c>
      <c r="AB718" s="27" t="s">
        <v>3498</v>
      </c>
      <c r="AC718" s="28"/>
    </row>
    <row r="719" spans="1:29" ht="18.75" customHeight="1" x14ac:dyDescent="0.3">
      <c r="A719" s="17" t="s">
        <v>3499</v>
      </c>
      <c r="B719" s="18" t="s">
        <v>3500</v>
      </c>
      <c r="C719" s="17" t="s">
        <v>3499</v>
      </c>
      <c r="D719" s="19"/>
      <c r="E719" s="19" t="s">
        <v>3501</v>
      </c>
      <c r="F719" s="16" t="str">
        <f>VLOOKUP(E719,'[1]BẢNG MÃ'!$A$2:$B$69,2,0)</f>
        <v>TĐ043</v>
      </c>
      <c r="G719" s="20" t="s">
        <v>3502</v>
      </c>
      <c r="H719" s="20" t="s">
        <v>3503</v>
      </c>
      <c r="I719" s="16" t="s">
        <v>3456</v>
      </c>
      <c r="J719" s="16" t="str">
        <f>VLOOKUP(I719,'[1]BẢNG MÃ'!$C$2:$D$69,2,0)</f>
        <v>KP040</v>
      </c>
      <c r="K719" s="16" t="s">
        <v>3504</v>
      </c>
      <c r="L719" s="16">
        <v>0</v>
      </c>
      <c r="M719" s="16" t="s">
        <v>33</v>
      </c>
      <c r="N719" s="21">
        <f ca="1">VLOOKUP(A719,'[1]Bieu 1a'!$A$8:$AW$855,10,0)</f>
        <v>61</v>
      </c>
      <c r="O719" s="22">
        <f>VLOOKUP(A719,'[1]Bieu 1a'!$A$8:$AW$855,8,0)</f>
        <v>23847</v>
      </c>
      <c r="P719" s="22">
        <f>VLOOKUP(A719,'[1]Bieu 1a'!$A$8:$AW$855,9,0)</f>
        <v>0</v>
      </c>
      <c r="Q719" s="23" t="s">
        <v>50</v>
      </c>
      <c r="R719" s="24" t="str">
        <f>VLOOKUP(A719,'[1]Bieu 1a'!$A$8:$AW$855,23,0)</f>
        <v>1/7/1985</v>
      </c>
      <c r="S719" s="25" t="s">
        <v>3505</v>
      </c>
      <c r="T719" s="26" t="s">
        <v>3506</v>
      </c>
      <c r="U719" s="16"/>
      <c r="V719" s="16" t="str">
        <f>IFERROR(VLOOKUP(A719,'[2]19.6.2026'!$A$9:$L$1111,5,0),"")</f>
        <v/>
      </c>
      <c r="W719" s="16" t="str">
        <f>IFERROR(VLOOKUP(A719,'[2]19.6.2026'!$A$9:$L$1111,6,0),"")</f>
        <v/>
      </c>
      <c r="X719" s="16"/>
      <c r="Y719" s="21" t="str">
        <f>IFERROR(VLOOKUP(A719,'[2]19.6.2026'!$A$9:$L$1111,7,0),"")</f>
        <v/>
      </c>
      <c r="Z719" s="16"/>
      <c r="AA719" s="27" t="str">
        <f>IFERROR(VLOOKUP(A719,'[3]DS UPLOAD 2026 (2)'!$A$2:$P$1111,16,0),"")</f>
        <v/>
      </c>
      <c r="AB719" s="27" t="s">
        <v>3507</v>
      </c>
      <c r="AC719" s="28"/>
    </row>
    <row r="720" spans="1:29" ht="18.75" customHeight="1" x14ac:dyDescent="0.3">
      <c r="A720" s="17" t="s">
        <v>3508</v>
      </c>
      <c r="B720" s="18" t="s">
        <v>3509</v>
      </c>
      <c r="C720" s="17" t="s">
        <v>3508</v>
      </c>
      <c r="D720" s="19"/>
      <c r="E720" s="19" t="s">
        <v>3501</v>
      </c>
      <c r="F720" s="16" t="str">
        <f>VLOOKUP(E720,'[1]BẢNG MÃ'!$A$2:$B$69,2,0)</f>
        <v>TĐ043</v>
      </c>
      <c r="G720" s="20"/>
      <c r="H720" s="20" t="s">
        <v>3503</v>
      </c>
      <c r="I720" s="16" t="s">
        <v>3456</v>
      </c>
      <c r="J720" s="16" t="str">
        <f>VLOOKUP(I720,'[1]BẢNG MÃ'!$C$2:$D$69,2,0)</f>
        <v>KP040</v>
      </c>
      <c r="K720" s="16"/>
      <c r="L720" s="16">
        <v>0</v>
      </c>
      <c r="M720" s="16" t="s">
        <v>129</v>
      </c>
      <c r="N720" s="21">
        <f ca="1">VLOOKUP(A720,'[1]Bieu 1a'!$A$8:$AW$855,10,0)</f>
        <v>39</v>
      </c>
      <c r="O720" s="22">
        <f>VLOOKUP(A720,'[1]Bieu 1a'!$A$8:$AW$855,8,0)</f>
        <v>31871</v>
      </c>
      <c r="P720" s="22">
        <f>VLOOKUP(A720,'[1]Bieu 1a'!$A$8:$AW$855,9,0)</f>
        <v>0</v>
      </c>
      <c r="Q720" s="23" t="s">
        <v>50</v>
      </c>
      <c r="R720" s="24" t="str">
        <f>VLOOKUP(A720,'[1]Bieu 1a'!$A$8:$AW$855,23,0)</f>
        <v>5/5/2009</v>
      </c>
      <c r="S720" s="25" t="s">
        <v>3510</v>
      </c>
      <c r="T720" s="26">
        <v>0</v>
      </c>
      <c r="U720" s="16"/>
      <c r="V720" s="16" t="str">
        <f>IFERROR(VLOOKUP(A720,'[2]19.6.2026'!$A$9:$L$1111,5,0),"")</f>
        <v/>
      </c>
      <c r="W720" s="16" t="str">
        <f>IFERROR(VLOOKUP(A720,'[2]19.6.2026'!$A$9:$L$1111,6,0),"")</f>
        <v/>
      </c>
      <c r="X720" s="16"/>
      <c r="Y720" s="21" t="str">
        <f>IFERROR(VLOOKUP(A720,'[2]19.6.2026'!$A$9:$L$1111,7,0),"")</f>
        <v/>
      </c>
      <c r="Z720" s="16"/>
      <c r="AA720" s="27" t="str">
        <f>IFERROR(VLOOKUP(A720,'[3]DS UPLOAD 2026 (2)'!$A$2:$P$1111,16,0),"")</f>
        <v/>
      </c>
      <c r="AB720" s="27" t="s">
        <v>3511</v>
      </c>
      <c r="AC720" s="28" t="s">
        <v>133</v>
      </c>
    </row>
    <row r="721" spans="1:29" ht="18.75" customHeight="1" x14ac:dyDescent="0.3">
      <c r="A721" s="17" t="s">
        <v>3512</v>
      </c>
      <c r="B721" s="18" t="s">
        <v>3513</v>
      </c>
      <c r="C721" s="17" t="s">
        <v>3512</v>
      </c>
      <c r="D721" s="19"/>
      <c r="E721" s="19" t="s">
        <v>3501</v>
      </c>
      <c r="F721" s="16" t="str">
        <f>VLOOKUP(E721,'[1]BẢNG MÃ'!$A$2:$B$69,2,0)</f>
        <v>TĐ043</v>
      </c>
      <c r="G721" s="20"/>
      <c r="H721" s="20" t="s">
        <v>3503</v>
      </c>
      <c r="I721" s="16" t="s">
        <v>3456</v>
      </c>
      <c r="J721" s="16" t="str">
        <f>VLOOKUP(I721,'[1]BẢNG MÃ'!$C$2:$D$69,2,0)</f>
        <v>KP040</v>
      </c>
      <c r="K721" s="16"/>
      <c r="L721" s="16">
        <v>0</v>
      </c>
      <c r="M721" s="16" t="s">
        <v>129</v>
      </c>
      <c r="N721" s="21">
        <f ca="1">VLOOKUP(A721,'[1]Bieu 1a'!$A$8:$AW$855,10,0)</f>
        <v>38</v>
      </c>
      <c r="O721" s="22">
        <f>VLOOKUP(A721,'[1]Bieu 1a'!$A$8:$AW$855,8,0)</f>
        <v>32070</v>
      </c>
      <c r="P721" s="22">
        <f>VLOOKUP(A721,'[1]Bieu 1a'!$A$8:$AW$855,9,0)</f>
        <v>0</v>
      </c>
      <c r="Q721" s="23" t="s">
        <v>50</v>
      </c>
      <c r="R721" s="24" t="str">
        <f>VLOOKUP(A721,'[1]Bieu 1a'!$A$8:$AW$855,23,0)</f>
        <v>07/11/2013</v>
      </c>
      <c r="S721" s="25" t="s">
        <v>3514</v>
      </c>
      <c r="T721" s="26" t="s">
        <v>3515</v>
      </c>
      <c r="U721" s="16"/>
      <c r="V721" s="16" t="str">
        <f>IFERROR(VLOOKUP(A721,'[2]19.6.2026'!$A$9:$L$1111,5,0),"")</f>
        <v/>
      </c>
      <c r="W721" s="16" t="str">
        <f>IFERROR(VLOOKUP(A721,'[2]19.6.2026'!$A$9:$L$1111,6,0),"")</f>
        <v/>
      </c>
      <c r="X721" s="16"/>
      <c r="Y721" s="21" t="str">
        <f>IFERROR(VLOOKUP(A721,'[2]19.6.2026'!$A$9:$L$1111,7,0),"")</f>
        <v/>
      </c>
      <c r="Z721" s="16"/>
      <c r="AA721" s="27" t="str">
        <f>IFERROR(VLOOKUP(A721,'[3]DS UPLOAD 2026 (2)'!$A$2:$P$1111,16,0),"")</f>
        <v/>
      </c>
      <c r="AB721" s="27">
        <v>984398669</v>
      </c>
      <c r="AC721" s="28" t="s">
        <v>133</v>
      </c>
    </row>
    <row r="722" spans="1:29" ht="18.75" customHeight="1" x14ac:dyDescent="0.3">
      <c r="A722" s="17" t="s">
        <v>3516</v>
      </c>
      <c r="B722" s="29" t="s">
        <v>3517</v>
      </c>
      <c r="C722" s="17" t="s">
        <v>3516</v>
      </c>
      <c r="D722" s="19"/>
      <c r="E722" s="19" t="s">
        <v>3501</v>
      </c>
      <c r="F722" s="16" t="str">
        <f>VLOOKUP(E722,'[1]BẢNG MÃ'!$A$2:$B$69,2,0)</f>
        <v>TĐ043</v>
      </c>
      <c r="G722" s="20"/>
      <c r="H722" s="20" t="s">
        <v>3503</v>
      </c>
      <c r="I722" s="16" t="s">
        <v>3456</v>
      </c>
      <c r="J722" s="16" t="str">
        <f>VLOOKUP(I722,'[1]BẢNG MÃ'!$C$2:$D$69,2,0)</f>
        <v>KP040</v>
      </c>
      <c r="K722" s="16"/>
      <c r="L722" s="16">
        <v>0</v>
      </c>
      <c r="M722" s="16" t="s">
        <v>129</v>
      </c>
      <c r="N722" s="21">
        <f ca="1">VLOOKUP(A722,'[1]Bieu 1a'!$A$8:$AW$855,10,0)</f>
        <v>36</v>
      </c>
      <c r="O722" s="22" t="str">
        <f>VLOOKUP(A722,'[1]Bieu 1a'!$A$8:$AW$855,8,0)</f>
        <v>14/02/1990</v>
      </c>
      <c r="P722" s="22">
        <f>VLOOKUP(A722,'[1]Bieu 1a'!$A$8:$AW$855,9,0)</f>
        <v>0</v>
      </c>
      <c r="Q722" s="23" t="s">
        <v>50</v>
      </c>
      <c r="R722" s="24" t="str">
        <f>VLOOKUP(A722,'[1]Bieu 1a'!$A$8:$AW$855,23,0)</f>
        <v>03/01/2017</v>
      </c>
      <c r="S722" s="25" t="s">
        <v>3518</v>
      </c>
      <c r="T722" s="26">
        <v>0</v>
      </c>
      <c r="U722" s="16"/>
      <c r="V722" s="16" t="str">
        <f>IFERROR(VLOOKUP(A722,'[2]19.6.2026'!$A$9:$L$1111,5,0),"")</f>
        <v/>
      </c>
      <c r="W722" s="16" t="str">
        <f>IFERROR(VLOOKUP(A722,'[2]19.6.2026'!$A$9:$L$1111,6,0),"")</f>
        <v/>
      </c>
      <c r="X722" s="16"/>
      <c r="Y722" s="21" t="str">
        <f>IFERROR(VLOOKUP(A722,'[2]19.6.2026'!$A$9:$L$1111,7,0),"")</f>
        <v/>
      </c>
      <c r="Z722" s="16"/>
      <c r="AA722" s="27" t="str">
        <f>IFERROR(VLOOKUP(A722,'[3]DS UPLOAD 2026 (2)'!$A$2:$P$1111,16,0),"")</f>
        <v/>
      </c>
      <c r="AB722" s="27" t="s">
        <v>3519</v>
      </c>
      <c r="AC722" s="28" t="s">
        <v>133</v>
      </c>
    </row>
    <row r="723" spans="1:29" ht="18.75" customHeight="1" x14ac:dyDescent="0.3">
      <c r="A723" s="17" t="s">
        <v>3520</v>
      </c>
      <c r="B723" s="18" t="s">
        <v>3521</v>
      </c>
      <c r="C723" s="17" t="s">
        <v>3520</v>
      </c>
      <c r="D723" s="19"/>
      <c r="E723" s="19" t="s">
        <v>3501</v>
      </c>
      <c r="F723" s="16" t="str">
        <f>VLOOKUP(E723,'[1]BẢNG MÃ'!$A$2:$B$69,2,0)</f>
        <v>TĐ043</v>
      </c>
      <c r="G723" s="20"/>
      <c r="H723" s="20" t="s">
        <v>3503</v>
      </c>
      <c r="I723" s="16" t="s">
        <v>3456</v>
      </c>
      <c r="J723" s="16" t="str">
        <f>VLOOKUP(I723,'[1]BẢNG MÃ'!$C$2:$D$69,2,0)</f>
        <v>KP040</v>
      </c>
      <c r="K723" s="16"/>
      <c r="L723" s="16">
        <v>0</v>
      </c>
      <c r="M723" s="16" t="s">
        <v>129</v>
      </c>
      <c r="N723" s="21">
        <f ca="1">VLOOKUP(A723,'[1]Bieu 1a'!$A$8:$AW$855,10,0)</f>
        <v>49</v>
      </c>
      <c r="O723" s="22">
        <f>VLOOKUP(A723,'[1]Bieu 1a'!$A$8:$AW$855,8,0)</f>
        <v>28025</v>
      </c>
      <c r="P723" s="22">
        <f>VLOOKUP(A723,'[1]Bieu 1a'!$A$8:$AW$855,9,0)</f>
        <v>0</v>
      </c>
      <c r="Q723" s="23" t="s">
        <v>50</v>
      </c>
      <c r="R723" s="24" t="str">
        <f>VLOOKUP(A723,'[1]Bieu 1a'!$A$8:$AW$855,23,0)</f>
        <v>3/6/2008</v>
      </c>
      <c r="S723" s="25" t="s">
        <v>3522</v>
      </c>
      <c r="T723" s="26" t="s">
        <v>3523</v>
      </c>
      <c r="U723" s="16"/>
      <c r="V723" s="16" t="str">
        <f>IFERROR(VLOOKUP(A723,'[2]19.6.2026'!$A$9:$L$1111,5,0),"")</f>
        <v/>
      </c>
      <c r="W723" s="16" t="str">
        <f>IFERROR(VLOOKUP(A723,'[2]19.6.2026'!$A$9:$L$1111,6,0),"")</f>
        <v/>
      </c>
      <c r="X723" s="16"/>
      <c r="Y723" s="21" t="str">
        <f>IFERROR(VLOOKUP(A723,'[2]19.6.2026'!$A$9:$L$1111,7,0),"")</f>
        <v/>
      </c>
      <c r="Z723" s="16"/>
      <c r="AA723" s="27" t="str">
        <f>IFERROR(VLOOKUP(A723,'[3]DS UPLOAD 2026 (2)'!$A$2:$P$1111,16,0),"")</f>
        <v/>
      </c>
      <c r="AB723" s="27" t="s">
        <v>3524</v>
      </c>
      <c r="AC723" s="28" t="s">
        <v>133</v>
      </c>
    </row>
    <row r="724" spans="1:29" ht="18.75" customHeight="1" x14ac:dyDescent="0.3">
      <c r="A724" s="17" t="s">
        <v>3525</v>
      </c>
      <c r="B724" s="18" t="s">
        <v>3526</v>
      </c>
      <c r="C724" s="17" t="s">
        <v>3525</v>
      </c>
      <c r="D724" s="19"/>
      <c r="E724" s="19" t="s">
        <v>3501</v>
      </c>
      <c r="F724" s="16" t="str">
        <f>VLOOKUP(E724,'[1]BẢNG MÃ'!$A$2:$B$69,2,0)</f>
        <v>TĐ043</v>
      </c>
      <c r="G724" s="20"/>
      <c r="H724" s="20" t="s">
        <v>3503</v>
      </c>
      <c r="I724" s="16" t="s">
        <v>3456</v>
      </c>
      <c r="J724" s="16" t="str">
        <f>VLOOKUP(I724,'[1]BẢNG MÃ'!$C$2:$D$69,2,0)</f>
        <v>KP040</v>
      </c>
      <c r="K724" s="16"/>
      <c r="L724" s="16">
        <v>0</v>
      </c>
      <c r="M724" s="16" t="s">
        <v>129</v>
      </c>
      <c r="N724" s="21">
        <f ca="1">VLOOKUP(A724,'[1]Bieu 1a'!$A$8:$AW$855,10,0)</f>
        <v>47</v>
      </c>
      <c r="O724" s="22">
        <f>VLOOKUP(A724,'[1]Bieu 1a'!$A$8:$AW$855,8,0)</f>
        <v>28875</v>
      </c>
      <c r="P724" s="22">
        <f>VLOOKUP(A724,'[1]Bieu 1a'!$A$8:$AW$855,9,0)</f>
        <v>0</v>
      </c>
      <c r="Q724" s="23" t="s">
        <v>50</v>
      </c>
      <c r="R724" s="24" t="str">
        <f>VLOOKUP(A724,'[1]Bieu 1a'!$A$8:$AW$855,23,0)</f>
        <v>1/12/2008</v>
      </c>
      <c r="S724" s="25" t="s">
        <v>3527</v>
      </c>
      <c r="T724" s="26" t="s">
        <v>3528</v>
      </c>
      <c r="U724" s="16"/>
      <c r="V724" s="16" t="str">
        <f>IFERROR(VLOOKUP(A724,'[2]19.6.2026'!$A$9:$L$1111,5,0),"")</f>
        <v/>
      </c>
      <c r="W724" s="16" t="str">
        <f>IFERROR(VLOOKUP(A724,'[2]19.6.2026'!$A$9:$L$1111,6,0),"")</f>
        <v/>
      </c>
      <c r="X724" s="16"/>
      <c r="Y724" s="21" t="str">
        <f>IFERROR(VLOOKUP(A724,'[2]19.6.2026'!$A$9:$L$1111,7,0),"")</f>
        <v/>
      </c>
      <c r="Z724" s="16"/>
      <c r="AA724" s="27" t="str">
        <f>IFERROR(VLOOKUP(A724,'[3]DS UPLOAD 2026 (2)'!$A$2:$P$1111,16,0),"")</f>
        <v/>
      </c>
      <c r="AB724" s="27" t="s">
        <v>3529</v>
      </c>
      <c r="AC724" s="28" t="s">
        <v>133</v>
      </c>
    </row>
    <row r="725" spans="1:29" ht="18.75" customHeight="1" x14ac:dyDescent="0.3">
      <c r="A725" s="17" t="s">
        <v>3530</v>
      </c>
      <c r="B725" s="18" t="s">
        <v>3531</v>
      </c>
      <c r="C725" s="17" t="s">
        <v>3530</v>
      </c>
      <c r="D725" s="19"/>
      <c r="E725" s="19" t="s">
        <v>3501</v>
      </c>
      <c r="F725" s="16" t="str">
        <f>VLOOKUP(E725,'[1]BẢNG MÃ'!$A$2:$B$69,2,0)</f>
        <v>TĐ043</v>
      </c>
      <c r="G725" s="20"/>
      <c r="H725" s="20" t="s">
        <v>3503</v>
      </c>
      <c r="I725" s="16" t="s">
        <v>3456</v>
      </c>
      <c r="J725" s="16" t="str">
        <f>VLOOKUP(I725,'[1]BẢNG MÃ'!$C$2:$D$69,2,0)</f>
        <v>KP040</v>
      </c>
      <c r="K725" s="16"/>
      <c r="L725" s="16">
        <v>0</v>
      </c>
      <c r="M725" s="16" t="s">
        <v>129</v>
      </c>
      <c r="N725" s="21">
        <f ca="1">VLOOKUP(A725,'[1]Bieu 1a'!$A$8:$AW$855,10,0)</f>
        <v>52</v>
      </c>
      <c r="O725" s="22">
        <f>VLOOKUP(A725,'[1]Bieu 1a'!$A$8:$AW$855,8,0)</f>
        <v>26882</v>
      </c>
      <c r="P725" s="22">
        <f>VLOOKUP(A725,'[1]Bieu 1a'!$A$8:$AW$855,9,0)</f>
        <v>0</v>
      </c>
      <c r="Q725" s="23" t="s">
        <v>34</v>
      </c>
      <c r="R725" s="24" t="str">
        <f>VLOOKUP(A725,'[1]Bieu 1a'!$A$8:$AW$855,23,0)</f>
        <v>15/4/2005</v>
      </c>
      <c r="S725" s="25" t="s">
        <v>3532</v>
      </c>
      <c r="T725" s="26">
        <v>0</v>
      </c>
      <c r="U725" s="16"/>
      <c r="V725" s="16" t="str">
        <f>IFERROR(VLOOKUP(A725,'[2]19.6.2026'!$A$9:$L$1111,5,0),"")</f>
        <v/>
      </c>
      <c r="W725" s="16" t="str">
        <f>IFERROR(VLOOKUP(A725,'[2]19.6.2026'!$A$9:$L$1111,6,0),"")</f>
        <v/>
      </c>
      <c r="X725" s="16"/>
      <c r="Y725" s="21" t="str">
        <f>IFERROR(VLOOKUP(A725,'[2]19.6.2026'!$A$9:$L$1111,7,0),"")</f>
        <v/>
      </c>
      <c r="Z725" s="16"/>
      <c r="AA725" s="27" t="str">
        <f>IFERROR(VLOOKUP(A725,'[3]DS UPLOAD 2026 (2)'!$A$2:$P$1111,16,0),"")</f>
        <v/>
      </c>
      <c r="AB725" s="27" t="s">
        <v>3533</v>
      </c>
      <c r="AC725" s="28" t="s">
        <v>133</v>
      </c>
    </row>
    <row r="726" spans="1:29" ht="18.75" customHeight="1" x14ac:dyDescent="0.3">
      <c r="A726" s="17" t="s">
        <v>3534</v>
      </c>
      <c r="B726" s="29" t="s">
        <v>3535</v>
      </c>
      <c r="C726" s="17" t="s">
        <v>3534</v>
      </c>
      <c r="D726" s="53"/>
      <c r="E726" s="19" t="s">
        <v>3501</v>
      </c>
      <c r="F726" s="16" t="str">
        <f>VLOOKUP(E726,'[1]BẢNG MÃ'!$A$2:$B$69,2,0)</f>
        <v>TĐ043</v>
      </c>
      <c r="G726" s="20"/>
      <c r="H726" s="20" t="s">
        <v>3503</v>
      </c>
      <c r="I726" s="16" t="s">
        <v>3456</v>
      </c>
      <c r="J726" s="16" t="str">
        <f>VLOOKUP(I726,'[1]BẢNG MÃ'!$C$2:$D$69,2,0)</f>
        <v>KP040</v>
      </c>
      <c r="K726" s="16"/>
      <c r="L726" s="16"/>
      <c r="M726" s="16" t="s">
        <v>136</v>
      </c>
      <c r="N726" s="21">
        <f ca="1">VLOOKUP(A726,'[1]Bieu 1a'!$A$8:$AW$855,10,0)</f>
        <v>51</v>
      </c>
      <c r="O726" s="22">
        <f>VLOOKUP(A726,'[1]Bieu 1a'!$A$8:$AW$855,8,0)</f>
        <v>27472</v>
      </c>
      <c r="P726" s="22">
        <f>VLOOKUP(A726,'[1]Bieu 1a'!$A$8:$AW$855,9,0)</f>
        <v>0</v>
      </c>
      <c r="Q726" s="23" t="s">
        <v>50</v>
      </c>
      <c r="R726" s="24" t="str">
        <f>VLOOKUP(A726,'[1]Bieu 1a'!$A$8:$AW$855,23,0)</f>
        <v>03/8/2020</v>
      </c>
      <c r="S726" s="25" t="s">
        <v>3536</v>
      </c>
      <c r="T726" s="26">
        <v>0</v>
      </c>
      <c r="U726" s="16"/>
      <c r="V726" s="16" t="str">
        <f>IFERROR(VLOOKUP(A726,'[2]19.6.2026'!$A$9:$L$1111,5,0),"")</f>
        <v/>
      </c>
      <c r="W726" s="16" t="str">
        <f>IFERROR(VLOOKUP(A726,'[2]19.6.2026'!$A$9:$L$1111,6,0),"")</f>
        <v/>
      </c>
      <c r="X726" s="16"/>
      <c r="Y726" s="21" t="str">
        <f>IFERROR(VLOOKUP(A726,'[2]19.6.2026'!$A$9:$L$1111,7,0),"")</f>
        <v/>
      </c>
      <c r="Z726" s="16"/>
      <c r="AA726" s="27" t="str">
        <f>IFERROR(VLOOKUP(A726,'[3]DS UPLOAD 2026 (2)'!$A$2:$P$1111,16,0),"")</f>
        <v/>
      </c>
      <c r="AB726" s="27">
        <v>823039969</v>
      </c>
      <c r="AC726" s="29" t="s">
        <v>3537</v>
      </c>
    </row>
    <row r="727" spans="1:29" ht="18.75" customHeight="1" x14ac:dyDescent="0.3">
      <c r="A727" s="17" t="s">
        <v>3538</v>
      </c>
      <c r="B727" s="38" t="s">
        <v>3539</v>
      </c>
      <c r="C727" s="17" t="s">
        <v>3538</v>
      </c>
      <c r="D727" s="19"/>
      <c r="E727" s="19" t="s">
        <v>3501</v>
      </c>
      <c r="F727" s="16" t="str">
        <f>VLOOKUP(E727,'[1]BẢNG MÃ'!$A$2:$B$69,2,0)</f>
        <v>TĐ043</v>
      </c>
      <c r="G727" s="20"/>
      <c r="H727" s="20" t="s">
        <v>3503</v>
      </c>
      <c r="I727" s="16" t="s">
        <v>3456</v>
      </c>
      <c r="J727" s="16" t="str">
        <f>VLOOKUP(I727,'[1]BẢNG MÃ'!$C$2:$D$69,2,0)</f>
        <v>KP040</v>
      </c>
      <c r="K727" s="16"/>
      <c r="L727" s="16"/>
      <c r="M727" s="16" t="s">
        <v>136</v>
      </c>
      <c r="N727" s="21">
        <f ca="1">VLOOKUP(A727,'[1]Bieu 1a'!$A$8:$AW$855,10,0)</f>
        <v>65</v>
      </c>
      <c r="O727" s="22">
        <f>VLOOKUP(A727,'[1]Bieu 1a'!$A$8:$AW$855,8,0)</f>
        <v>22390</v>
      </c>
      <c r="P727" s="22">
        <f>VLOOKUP(A727,'[1]Bieu 1a'!$A$8:$AW$855,9,0)</f>
        <v>0</v>
      </c>
      <c r="Q727" s="23" t="s">
        <v>34</v>
      </c>
      <c r="R727" s="24" t="str">
        <f>VLOOKUP(A727,'[1]Bieu 1a'!$A$8:$AW$855,23,0)</f>
        <v>01/3/2021</v>
      </c>
      <c r="S727" s="25" t="s">
        <v>3540</v>
      </c>
      <c r="T727" s="26" t="s">
        <v>3541</v>
      </c>
      <c r="U727" s="16"/>
      <c r="V727" s="16" t="str">
        <f>IFERROR(VLOOKUP(A727,'[2]19.6.2026'!$A$9:$L$1111,5,0),"")</f>
        <v/>
      </c>
      <c r="W727" s="16" t="str">
        <f>IFERROR(VLOOKUP(A727,'[2]19.6.2026'!$A$9:$L$1111,6,0),"")</f>
        <v/>
      </c>
      <c r="X727" s="16"/>
      <c r="Y727" s="21" t="str">
        <f>IFERROR(VLOOKUP(A727,'[2]19.6.2026'!$A$9:$L$1111,7,0),"")</f>
        <v/>
      </c>
      <c r="Z727" s="16"/>
      <c r="AA727" s="27" t="str">
        <f>IFERROR(VLOOKUP(A727,'[3]DS UPLOAD 2026 (2)'!$A$2:$P$1111,16,0),"")</f>
        <v/>
      </c>
      <c r="AB727" s="27"/>
      <c r="AC727" s="28" t="s">
        <v>3542</v>
      </c>
    </row>
    <row r="728" spans="1:29" ht="18.75" customHeight="1" x14ac:dyDescent="0.3">
      <c r="A728" s="17" t="s">
        <v>3543</v>
      </c>
      <c r="B728" s="18" t="s">
        <v>3544</v>
      </c>
      <c r="C728" s="17" t="s">
        <v>3543</v>
      </c>
      <c r="D728" s="19"/>
      <c r="E728" s="19" t="s">
        <v>3545</v>
      </c>
      <c r="F728" s="16" t="str">
        <f>VLOOKUP(E728,'[1]BẢNG MÃ'!$A$2:$B$69,2,0)</f>
        <v>TĐ044</v>
      </c>
      <c r="G728" s="20"/>
      <c r="H728" s="19" t="s">
        <v>3546</v>
      </c>
      <c r="I728" s="16" t="s">
        <v>3456</v>
      </c>
      <c r="J728" s="16" t="str">
        <f>VLOOKUP(I728,'[1]BẢNG MÃ'!$C$2:$D$69,2,0)</f>
        <v>KP040</v>
      </c>
      <c r="K728" s="16"/>
      <c r="L728" s="16">
        <v>0</v>
      </c>
      <c r="M728" s="16" t="s">
        <v>129</v>
      </c>
      <c r="N728" s="21">
        <f ca="1">VLOOKUP(A728,'[1]Bieu 1a'!$A$8:$AW$855,10,0)</f>
        <v>60</v>
      </c>
      <c r="O728" s="22">
        <f>VLOOKUP(A728,'[1]Bieu 1a'!$A$8:$AW$855,8,0)</f>
        <v>24187</v>
      </c>
      <c r="P728" s="22">
        <f>VLOOKUP(A728,'[1]Bieu 1a'!$A$8:$AW$855,9,0)</f>
        <v>0</v>
      </c>
      <c r="Q728" s="23" t="s">
        <v>50</v>
      </c>
      <c r="R728" s="24" t="str">
        <f>VLOOKUP(A728,'[1]Bieu 1a'!$A$8:$AW$855,23,0)</f>
        <v>1/11/2003</v>
      </c>
      <c r="S728" s="25" t="s">
        <v>3547</v>
      </c>
      <c r="T728" s="26">
        <v>0</v>
      </c>
      <c r="U728" s="16"/>
      <c r="V728" s="16" t="str">
        <f>IFERROR(VLOOKUP(A728,'[2]19.6.2026'!$A$9:$L$1111,5,0),"")</f>
        <v/>
      </c>
      <c r="W728" s="16" t="str">
        <f>IFERROR(VLOOKUP(A728,'[2]19.6.2026'!$A$9:$L$1111,6,0),"")</f>
        <v/>
      </c>
      <c r="X728" s="16"/>
      <c r="Y728" s="21" t="str">
        <f>IFERROR(VLOOKUP(A728,'[2]19.6.2026'!$A$9:$L$1111,7,0),"")</f>
        <v/>
      </c>
      <c r="Z728" s="16"/>
      <c r="AA728" s="27" t="str">
        <f>IFERROR(VLOOKUP(A728,'[3]DS UPLOAD 2026 (2)'!$A$2:$P$1111,16,0),"")</f>
        <v/>
      </c>
      <c r="AB728" s="27" t="s">
        <v>3548</v>
      </c>
      <c r="AC728" s="28" t="s">
        <v>133</v>
      </c>
    </row>
    <row r="729" spans="1:29" ht="18.75" customHeight="1" x14ac:dyDescent="0.3">
      <c r="A729" s="17" t="s">
        <v>3549</v>
      </c>
      <c r="B729" s="36" t="s">
        <v>3550</v>
      </c>
      <c r="C729" s="17" t="s">
        <v>3549</v>
      </c>
      <c r="D729" s="53"/>
      <c r="E729" s="19" t="s">
        <v>3545</v>
      </c>
      <c r="F729" s="16" t="str">
        <f>VLOOKUP(E729,'[1]BẢNG MÃ'!$A$2:$B$69,2,0)</f>
        <v>TĐ044</v>
      </c>
      <c r="G729" s="20"/>
      <c r="H729" s="19" t="s">
        <v>3546</v>
      </c>
      <c r="I729" s="16" t="s">
        <v>3456</v>
      </c>
      <c r="J729" s="16" t="str">
        <f>VLOOKUP(I729,'[1]BẢNG MÃ'!$C$2:$D$69,2,0)</f>
        <v>KP040</v>
      </c>
      <c r="K729" s="16"/>
      <c r="L729" s="16"/>
      <c r="M729" s="16" t="s">
        <v>136</v>
      </c>
      <c r="N729" s="21">
        <f ca="1">VLOOKUP(A729,'[1]Bieu 1a'!$A$8:$AW$855,10,0)</f>
        <v>30</v>
      </c>
      <c r="O729" s="22" t="str">
        <f>VLOOKUP(A729,'[1]Bieu 1a'!$A$8:$AW$855,8,0)</f>
        <v>21/12/1995</v>
      </c>
      <c r="P729" s="22">
        <f>VLOOKUP(A729,'[1]Bieu 1a'!$A$8:$AW$855,9,0)</f>
        <v>0</v>
      </c>
      <c r="Q729" s="23" t="s">
        <v>34</v>
      </c>
      <c r="R729" s="24" t="str">
        <f>VLOOKUP(A729,'[1]Bieu 1a'!$A$8:$AW$855,23,0)</f>
        <v>02/12/2020</v>
      </c>
      <c r="S729" s="25" t="s">
        <v>3551</v>
      </c>
      <c r="T729" s="26">
        <v>0</v>
      </c>
      <c r="U729" s="16"/>
      <c r="V729" s="16" t="str">
        <f>IFERROR(VLOOKUP(A729,'[2]19.6.2026'!$A$9:$L$1111,5,0),"")</f>
        <v/>
      </c>
      <c r="W729" s="16" t="str">
        <f>IFERROR(VLOOKUP(A729,'[2]19.6.2026'!$A$9:$L$1111,6,0),"")</f>
        <v/>
      </c>
      <c r="X729" s="16"/>
      <c r="Y729" s="21" t="str">
        <f>IFERROR(VLOOKUP(A729,'[2]19.6.2026'!$A$9:$L$1111,7,0),"")</f>
        <v/>
      </c>
      <c r="Z729" s="16"/>
      <c r="AA729" s="27" t="str">
        <f>IFERROR(VLOOKUP(A729,'[3]DS UPLOAD 2026 (2)'!$A$2:$P$1111,16,0),"")</f>
        <v/>
      </c>
      <c r="AB729" s="27" t="s">
        <v>3552</v>
      </c>
      <c r="AC729" s="28" t="s">
        <v>3553</v>
      </c>
    </row>
    <row r="730" spans="1:29" ht="18.75" customHeight="1" x14ac:dyDescent="0.3">
      <c r="A730" s="17" t="s">
        <v>3554</v>
      </c>
      <c r="B730" s="36" t="s">
        <v>3555</v>
      </c>
      <c r="C730" s="17" t="s">
        <v>3554</v>
      </c>
      <c r="D730" s="53"/>
      <c r="E730" s="19" t="s">
        <v>3545</v>
      </c>
      <c r="F730" s="16" t="str">
        <f>VLOOKUP(E730,'[1]BẢNG MÃ'!$A$2:$B$69,2,0)</f>
        <v>TĐ044</v>
      </c>
      <c r="G730" s="20"/>
      <c r="H730" s="19" t="s">
        <v>3546</v>
      </c>
      <c r="I730" s="16" t="s">
        <v>3456</v>
      </c>
      <c r="J730" s="16" t="str">
        <f>VLOOKUP(I730,'[1]BẢNG MÃ'!$C$2:$D$69,2,0)</f>
        <v>KP040</v>
      </c>
      <c r="K730" s="16"/>
      <c r="L730" s="16"/>
      <c r="M730" s="16" t="s">
        <v>136</v>
      </c>
      <c r="N730" s="21">
        <f ca="1">VLOOKUP(A730,'[1]Bieu 1a'!$A$8:$AW$855,10,0)</f>
        <v>52</v>
      </c>
      <c r="O730" s="22" t="str">
        <f>VLOOKUP(A730,'[1]Bieu 1a'!$A$8:$AW$855,8,0)</f>
        <v>09/09/1973</v>
      </c>
      <c r="P730" s="22">
        <f>VLOOKUP(A730,'[1]Bieu 1a'!$A$8:$AW$855,9,0)</f>
        <v>0</v>
      </c>
      <c r="Q730" s="23" t="s">
        <v>50</v>
      </c>
      <c r="R730" s="24" t="str">
        <f>VLOOKUP(A730,'[1]Bieu 1a'!$A$8:$AW$855,23,0)</f>
        <v>02/12/2020</v>
      </c>
      <c r="S730" s="25" t="s">
        <v>3556</v>
      </c>
      <c r="T730" s="26">
        <v>0</v>
      </c>
      <c r="U730" s="16"/>
      <c r="V730" s="16" t="str">
        <f>IFERROR(VLOOKUP(A730,'[2]19.6.2026'!$A$9:$L$1111,5,0),"")</f>
        <v/>
      </c>
      <c r="W730" s="16" t="str">
        <f>IFERROR(VLOOKUP(A730,'[2]19.6.2026'!$A$9:$L$1111,6,0),"")</f>
        <v/>
      </c>
      <c r="X730" s="16"/>
      <c r="Y730" s="21" t="str">
        <f>IFERROR(VLOOKUP(A730,'[2]19.6.2026'!$A$9:$L$1111,7,0),"")</f>
        <v/>
      </c>
      <c r="Z730" s="16"/>
      <c r="AA730" s="27" t="str">
        <f>IFERROR(VLOOKUP(A730,'[3]DS UPLOAD 2026 (2)'!$A$2:$P$1111,16,0),"")</f>
        <v/>
      </c>
      <c r="AB730" s="27" t="s">
        <v>3557</v>
      </c>
      <c r="AC730" s="28" t="s">
        <v>3553</v>
      </c>
    </row>
    <row r="731" spans="1:29" ht="18.75" customHeight="1" x14ac:dyDescent="0.3">
      <c r="A731" s="17" t="s">
        <v>3558</v>
      </c>
      <c r="B731" s="29" t="s">
        <v>3559</v>
      </c>
      <c r="C731" s="17" t="s">
        <v>3558</v>
      </c>
      <c r="D731" s="53"/>
      <c r="E731" s="19" t="s">
        <v>3545</v>
      </c>
      <c r="F731" s="16" t="str">
        <f>VLOOKUP(E731,'[1]BẢNG MÃ'!$A$2:$B$69,2,0)</f>
        <v>TĐ044</v>
      </c>
      <c r="G731" s="20"/>
      <c r="H731" s="19" t="s">
        <v>3546</v>
      </c>
      <c r="I731" s="16" t="s">
        <v>3456</v>
      </c>
      <c r="J731" s="16" t="str">
        <f>VLOOKUP(I731,'[1]BẢNG MÃ'!$C$2:$D$69,2,0)</f>
        <v>KP040</v>
      </c>
      <c r="K731" s="16"/>
      <c r="L731" s="16"/>
      <c r="M731" s="16" t="s">
        <v>136</v>
      </c>
      <c r="N731" s="21">
        <f ca="1">VLOOKUP(A731,'[1]Bieu 1a'!$A$8:$AW$855,10,0)</f>
        <v>59</v>
      </c>
      <c r="O731" s="22" t="str">
        <f>VLOOKUP(A731,'[1]Bieu 1a'!$A$8:$AW$855,8,0)</f>
        <v>20/12/1966</v>
      </c>
      <c r="P731" s="22">
        <f>VLOOKUP(A731,'[1]Bieu 1a'!$A$8:$AW$855,9,0)</f>
        <v>0</v>
      </c>
      <c r="Q731" s="23" t="s">
        <v>34</v>
      </c>
      <c r="R731" s="24" t="str">
        <f>VLOOKUP(A731,'[1]Bieu 1a'!$A$8:$AW$855,23,0)</f>
        <v>02/12/2020</v>
      </c>
      <c r="S731" s="25" t="s">
        <v>3560</v>
      </c>
      <c r="T731" s="26">
        <v>0</v>
      </c>
      <c r="U731" s="16"/>
      <c r="V731" s="16" t="str">
        <f>IFERROR(VLOOKUP(A731,'[2]19.6.2026'!$A$9:$L$1111,5,0),"")</f>
        <v/>
      </c>
      <c r="W731" s="16" t="str">
        <f>IFERROR(VLOOKUP(A731,'[2]19.6.2026'!$A$9:$L$1111,6,0),"")</f>
        <v/>
      </c>
      <c r="X731" s="16"/>
      <c r="Y731" s="21" t="str">
        <f>IFERROR(VLOOKUP(A731,'[2]19.6.2026'!$A$9:$L$1111,7,0),"")</f>
        <v/>
      </c>
      <c r="Z731" s="16"/>
      <c r="AA731" s="27" t="str">
        <f>IFERROR(VLOOKUP(A731,'[3]DS UPLOAD 2026 (2)'!$A$2:$P$1111,16,0),"")</f>
        <v/>
      </c>
      <c r="AB731" s="27" t="s">
        <v>3561</v>
      </c>
      <c r="AC731" s="28" t="s">
        <v>3553</v>
      </c>
    </row>
    <row r="732" spans="1:29" ht="18.75" customHeight="1" x14ac:dyDescent="0.3">
      <c r="A732" s="17" t="s">
        <v>3562</v>
      </c>
      <c r="B732" s="40" t="s">
        <v>3563</v>
      </c>
      <c r="C732" s="17" t="s">
        <v>3562</v>
      </c>
      <c r="D732" s="53"/>
      <c r="E732" s="19" t="s">
        <v>3545</v>
      </c>
      <c r="F732" s="16" t="str">
        <f>VLOOKUP(E732,'[1]BẢNG MÃ'!$A$2:$B$69,2,0)</f>
        <v>TĐ044</v>
      </c>
      <c r="G732" s="20"/>
      <c r="H732" s="19" t="s">
        <v>3546</v>
      </c>
      <c r="I732" s="16" t="s">
        <v>3456</v>
      </c>
      <c r="J732" s="16" t="str">
        <f>VLOOKUP(I732,'[1]BẢNG MÃ'!$C$2:$D$69,2,0)</f>
        <v>KP040</v>
      </c>
      <c r="K732" s="16"/>
      <c r="L732" s="16"/>
      <c r="M732" s="16" t="s">
        <v>136</v>
      </c>
      <c r="N732" s="21">
        <f ca="1">VLOOKUP(A732,'[1]Bieu 1a'!$A$8:$AW$855,10,0)</f>
        <v>37</v>
      </c>
      <c r="O732" s="22" t="str">
        <f>VLOOKUP(A732,'[1]Bieu 1a'!$A$8:$AW$855,8,0)</f>
        <v>07/09/1988</v>
      </c>
      <c r="P732" s="22">
        <f>VLOOKUP(A732,'[1]Bieu 1a'!$A$8:$AW$855,9,0)</f>
        <v>0</v>
      </c>
      <c r="Q732" s="23" t="s">
        <v>50</v>
      </c>
      <c r="R732" s="24" t="str">
        <f>VLOOKUP(A732,'[1]Bieu 1a'!$A$8:$AW$855,23,0)</f>
        <v>02/12/2020</v>
      </c>
      <c r="S732" s="25" t="s">
        <v>3564</v>
      </c>
      <c r="T732" s="26">
        <v>0</v>
      </c>
      <c r="U732" s="16"/>
      <c r="V732" s="16" t="str">
        <f>IFERROR(VLOOKUP(A732,'[2]19.6.2026'!$A$9:$L$1111,5,0),"")</f>
        <v/>
      </c>
      <c r="W732" s="16" t="str">
        <f>IFERROR(VLOOKUP(A732,'[2]19.6.2026'!$A$9:$L$1111,6,0),"")</f>
        <v/>
      </c>
      <c r="X732" s="16"/>
      <c r="Y732" s="21" t="str">
        <f>IFERROR(VLOOKUP(A732,'[2]19.6.2026'!$A$9:$L$1111,7,0),"")</f>
        <v/>
      </c>
      <c r="Z732" s="16"/>
      <c r="AA732" s="27" t="str">
        <f>IFERROR(VLOOKUP(A732,'[3]DS UPLOAD 2026 (2)'!$A$2:$P$1111,16,0),"")</f>
        <v/>
      </c>
      <c r="AB732" s="27">
        <v>972806412</v>
      </c>
      <c r="AC732" s="28" t="s">
        <v>3553</v>
      </c>
    </row>
    <row r="733" spans="1:29" ht="18.75" customHeight="1" x14ac:dyDescent="0.3">
      <c r="A733" s="17" t="s">
        <v>3565</v>
      </c>
      <c r="B733" s="18" t="s">
        <v>3566</v>
      </c>
      <c r="C733" s="17" t="s">
        <v>3565</v>
      </c>
      <c r="D733" s="19"/>
      <c r="E733" s="19" t="s">
        <v>3545</v>
      </c>
      <c r="F733" s="16" t="str">
        <f>VLOOKUP(E733,'[1]BẢNG MÃ'!$A$2:$B$69,2,0)</f>
        <v>TĐ044</v>
      </c>
      <c r="G733" s="20"/>
      <c r="H733" s="19" t="s">
        <v>3546</v>
      </c>
      <c r="I733" s="16" t="s">
        <v>3456</v>
      </c>
      <c r="J733" s="16" t="str">
        <f>VLOOKUP(I733,'[1]BẢNG MÃ'!$C$2:$D$69,2,0)</f>
        <v>KP040</v>
      </c>
      <c r="K733" s="16"/>
      <c r="L733" s="16"/>
      <c r="M733" s="16" t="s">
        <v>136</v>
      </c>
      <c r="N733" s="21">
        <f ca="1">VLOOKUP(A733,'[1]Bieu 1a'!$A$8:$AW$855,10,0)</f>
        <v>38</v>
      </c>
      <c r="O733" s="22">
        <f>VLOOKUP(A733,'[1]Bieu 1a'!$A$8:$AW$855,8,0)</f>
        <v>0</v>
      </c>
      <c r="P733" s="22" t="str">
        <f>VLOOKUP(A733,'[1]Bieu 1a'!$A$8:$AW$855,9,0)</f>
        <v>25/3/1988</v>
      </c>
      <c r="Q733" s="23" t="s">
        <v>34</v>
      </c>
      <c r="R733" s="24" t="str">
        <f>VLOOKUP(A733,'[1]Bieu 1a'!$A$8:$AW$855,23,0)</f>
        <v xml:space="preserve"> 02/8/2021</v>
      </c>
      <c r="S733" s="25" t="s">
        <v>3567</v>
      </c>
      <c r="T733" s="26">
        <v>0</v>
      </c>
      <c r="U733" s="16"/>
      <c r="V733" s="16" t="str">
        <f>IFERROR(VLOOKUP(A733,'[2]19.6.2026'!$A$9:$L$1111,5,0),"")</f>
        <v/>
      </c>
      <c r="W733" s="16" t="str">
        <f>IFERROR(VLOOKUP(A733,'[2]19.6.2026'!$A$9:$L$1111,6,0),"")</f>
        <v/>
      </c>
      <c r="X733" s="16"/>
      <c r="Y733" s="21" t="str">
        <f>IFERROR(VLOOKUP(A733,'[2]19.6.2026'!$A$9:$L$1111,7,0),"")</f>
        <v/>
      </c>
      <c r="Z733" s="16"/>
      <c r="AA733" s="27" t="str">
        <f>IFERROR(VLOOKUP(A733,'[3]DS UPLOAD 2026 (2)'!$A$2:$P$1111,16,0),"")</f>
        <v/>
      </c>
      <c r="AB733" s="16"/>
      <c r="AC733" s="29" t="s">
        <v>3235</v>
      </c>
    </row>
    <row r="734" spans="1:29" ht="18" customHeight="1" x14ac:dyDescent="0.3">
      <c r="A734" s="16" t="s">
        <v>3568</v>
      </c>
      <c r="B734" s="38" t="s">
        <v>3569</v>
      </c>
      <c r="C734" s="16" t="s">
        <v>3568</v>
      </c>
      <c r="D734" s="53"/>
      <c r="E734" s="19" t="s">
        <v>3545</v>
      </c>
      <c r="F734" s="16" t="str">
        <f>VLOOKUP(E734,'[1]BẢNG MÃ'!$A$2:$B$69,2,0)</f>
        <v>TĐ044</v>
      </c>
      <c r="G734" s="20"/>
      <c r="H734" s="19" t="s">
        <v>3546</v>
      </c>
      <c r="I734" s="16" t="s">
        <v>3456</v>
      </c>
      <c r="J734" s="16" t="str">
        <f>VLOOKUP(I734,'[1]BẢNG MÃ'!$C$2:$D$69,2,0)</f>
        <v>KP040</v>
      </c>
      <c r="K734" s="16"/>
      <c r="L734" s="16"/>
      <c r="M734" s="16" t="s">
        <v>136</v>
      </c>
      <c r="N734" s="21">
        <f ca="1">VLOOKUP(A734,'[1]Bieu 1a'!$A$8:$AW$855,10,0)</f>
        <v>46</v>
      </c>
      <c r="O734" s="22" t="str">
        <f>VLOOKUP(A734,'[1]Bieu 1a'!$A$8:$AW$855,8,0)</f>
        <v>12/11/1979</v>
      </c>
      <c r="P734" s="22">
        <f>VLOOKUP(A734,'[1]Bieu 1a'!$A$8:$AW$855,9,0)</f>
        <v>0</v>
      </c>
      <c r="Q734" s="23" t="s">
        <v>50</v>
      </c>
      <c r="R734" s="24" t="str">
        <f>VLOOKUP(A734,'[1]Bieu 1a'!$A$8:$AW$855,23,0)</f>
        <v xml:space="preserve"> 01/11/2021</v>
      </c>
      <c r="S734" s="25" t="s">
        <v>3570</v>
      </c>
      <c r="T734" s="26">
        <v>0</v>
      </c>
      <c r="U734" s="16"/>
      <c r="V734" s="16" t="str">
        <f>IFERROR(VLOOKUP(A734,'[2]19.6.2026'!$A$9:$L$1111,5,0),"")</f>
        <v/>
      </c>
      <c r="W734" s="16" t="str">
        <f>IFERROR(VLOOKUP(A734,'[2]19.6.2026'!$A$9:$L$1111,6,0),"")</f>
        <v/>
      </c>
      <c r="X734" s="16"/>
      <c r="Y734" s="21" t="str">
        <f>IFERROR(VLOOKUP(A734,'[2]19.6.2026'!$A$9:$L$1111,7,0),"")</f>
        <v/>
      </c>
      <c r="Z734" s="16"/>
      <c r="AA734" s="27" t="str">
        <f>IFERROR(VLOOKUP(A734,'[3]DS UPLOAD 2026 (2)'!$A$2:$P$1111,16,0),"")</f>
        <v/>
      </c>
      <c r="AB734" s="58" t="s">
        <v>3571</v>
      </c>
      <c r="AC734" s="28" t="s">
        <v>3572</v>
      </c>
    </row>
    <row r="735" spans="1:29" ht="18" customHeight="1" x14ac:dyDescent="0.35">
      <c r="A735" s="17" t="s">
        <v>3573</v>
      </c>
      <c r="B735" s="18" t="s">
        <v>3574</v>
      </c>
      <c r="C735" s="17" t="s">
        <v>3573</v>
      </c>
      <c r="D735" s="19"/>
      <c r="E735" s="19" t="s">
        <v>3545</v>
      </c>
      <c r="F735" s="16" t="str">
        <f>VLOOKUP(E735,'[1]BẢNG MÃ'!$A$2:$B$69,2,0)</f>
        <v>TĐ044</v>
      </c>
      <c r="G735" s="20"/>
      <c r="H735" s="19" t="s">
        <v>3546</v>
      </c>
      <c r="I735" s="16" t="s">
        <v>3456</v>
      </c>
      <c r="J735" s="16" t="str">
        <f>VLOOKUP(I735,'[1]BẢNG MÃ'!$C$2:$D$69,2,0)</f>
        <v>KP040</v>
      </c>
      <c r="K735" s="16"/>
      <c r="L735" s="16"/>
      <c r="M735" s="16" t="s">
        <v>136</v>
      </c>
      <c r="N735" s="21">
        <f ca="1">VLOOKUP(A735,'[1]Bieu 1a'!$A$8:$AW$855,10,0)</f>
        <v>54</v>
      </c>
      <c r="O735" s="22" t="str">
        <f>VLOOKUP(A735,'[1]Bieu 1a'!$A$8:$AW$855,8,0)</f>
        <v>26/12/1971</v>
      </c>
      <c r="P735" s="22">
        <f>VLOOKUP(A735,'[1]Bieu 1a'!$A$8:$AW$855,9,0)</f>
        <v>0</v>
      </c>
      <c r="Q735" s="23" t="s">
        <v>34</v>
      </c>
      <c r="R735" s="24">
        <f>VLOOKUP(A735,'[1]Bieu 1a'!$A$8:$AW$855,23,0)</f>
        <v>44713</v>
      </c>
      <c r="S735" s="25" t="s">
        <v>3575</v>
      </c>
      <c r="T735" s="26">
        <v>0</v>
      </c>
      <c r="U735" s="16"/>
      <c r="V735" s="16" t="str">
        <f>IFERROR(VLOOKUP(A735,'[2]19.6.2026'!$A$9:$L$1111,5,0),"")</f>
        <v/>
      </c>
      <c r="W735" s="16" t="str">
        <f>IFERROR(VLOOKUP(A735,'[2]19.6.2026'!$A$9:$L$1111,6,0),"")</f>
        <v/>
      </c>
      <c r="X735" s="16"/>
      <c r="Y735" s="21" t="str">
        <f>IFERROR(VLOOKUP(A735,'[2]19.6.2026'!$A$9:$L$1111,7,0),"")</f>
        <v/>
      </c>
      <c r="Z735" s="16"/>
      <c r="AA735" s="27" t="str">
        <f>IFERROR(VLOOKUP(A735,'[3]DS UPLOAD 2026 (2)'!$A$2:$P$1111,16,0),"")</f>
        <v/>
      </c>
      <c r="AB735" s="140" t="s">
        <v>3576</v>
      </c>
      <c r="AC735" s="28" t="s">
        <v>3577</v>
      </c>
    </row>
    <row r="736" spans="1:29" ht="18" customHeight="1" x14ac:dyDescent="0.3">
      <c r="A736" s="43" t="s">
        <v>3578</v>
      </c>
      <c r="B736" s="18" t="s">
        <v>3579</v>
      </c>
      <c r="C736" s="45" t="s">
        <v>3578</v>
      </c>
      <c r="D736" s="19"/>
      <c r="E736" s="19" t="s">
        <v>3545</v>
      </c>
      <c r="F736" s="16" t="str">
        <f>VLOOKUP(E736,'[1]BẢNG MÃ'!$A$2:$B$69,2,0)</f>
        <v>TĐ044</v>
      </c>
      <c r="G736" s="20"/>
      <c r="H736" s="19" t="s">
        <v>3546</v>
      </c>
      <c r="I736" s="16" t="s">
        <v>3456</v>
      </c>
      <c r="J736" s="16" t="str">
        <f>VLOOKUP(I736,'[1]BẢNG MÃ'!$C$2:$D$69,2,0)</f>
        <v>KP040</v>
      </c>
      <c r="K736" s="16"/>
      <c r="L736" s="16"/>
      <c r="M736" s="16" t="s">
        <v>136</v>
      </c>
      <c r="N736" s="21">
        <f ca="1">VLOOKUP(A736,'[1]Bieu 1a'!$A$8:$AW$855,10,0)</f>
        <v>46</v>
      </c>
      <c r="O736" s="22" t="str">
        <f>VLOOKUP(A736,'[1]Bieu 1a'!$A$8:$AW$855,8,0)</f>
        <v>28/6/1980</v>
      </c>
      <c r="P736" s="22">
        <f>VLOOKUP(A736,'[1]Bieu 1a'!$A$8:$AW$855,9,0)</f>
        <v>0</v>
      </c>
      <c r="Q736" s="23" t="s">
        <v>44</v>
      </c>
      <c r="R736" s="24">
        <f>VLOOKUP(A736,'[1]Bieu 1a'!$A$8:$AW$855,23,0)</f>
        <v>44837</v>
      </c>
      <c r="S736" s="25" t="s">
        <v>3580</v>
      </c>
      <c r="T736" s="26">
        <v>0</v>
      </c>
      <c r="U736" s="16"/>
      <c r="V736" s="16" t="str">
        <f>IFERROR(VLOOKUP(A736,'[2]19.6.2026'!$A$9:$L$1111,5,0),"")</f>
        <v/>
      </c>
      <c r="W736" s="16" t="str">
        <f>IFERROR(VLOOKUP(A736,'[2]19.6.2026'!$A$9:$L$1111,6,0),"")</f>
        <v/>
      </c>
      <c r="X736" s="16"/>
      <c r="Y736" s="21" t="str">
        <f>IFERROR(VLOOKUP(A736,'[2]19.6.2026'!$A$9:$L$1111,7,0),"")</f>
        <v/>
      </c>
      <c r="Z736" s="16"/>
      <c r="AA736" s="27" t="str">
        <f>IFERROR(VLOOKUP(A736,'[3]DS UPLOAD 2026 (2)'!$A$2:$P$1111,16,0),"")</f>
        <v/>
      </c>
      <c r="AB736" s="27" t="s">
        <v>3581</v>
      </c>
      <c r="AC736" s="28" t="s">
        <v>280</v>
      </c>
    </row>
    <row r="737" spans="1:29" ht="18" customHeight="1" x14ac:dyDescent="0.3">
      <c r="A737" s="17" t="s">
        <v>3582</v>
      </c>
      <c r="B737" s="18" t="s">
        <v>3583</v>
      </c>
      <c r="C737" s="17" t="s">
        <v>3582</v>
      </c>
      <c r="D737" s="19"/>
      <c r="E737" s="19" t="s">
        <v>3545</v>
      </c>
      <c r="F737" s="16" t="str">
        <f>VLOOKUP(E737,'[1]BẢNG MÃ'!$A$2:$B$69,2,0)</f>
        <v>TĐ044</v>
      </c>
      <c r="G737" s="20"/>
      <c r="H737" s="19" t="s">
        <v>3546</v>
      </c>
      <c r="I737" s="16" t="s">
        <v>3456</v>
      </c>
      <c r="J737" s="16" t="str">
        <f>VLOOKUP(I737,'[1]BẢNG MÃ'!$C$2:$D$69,2,0)</f>
        <v>KP040</v>
      </c>
      <c r="K737" s="16"/>
      <c r="L737" s="16"/>
      <c r="M737" s="16" t="s">
        <v>136</v>
      </c>
      <c r="N737" s="21">
        <f ca="1">VLOOKUP(A737,'[1]Bieu 1a'!$A$8:$AW$855,10,0)</f>
        <v>36</v>
      </c>
      <c r="O737" s="22">
        <f>VLOOKUP(A737,'[1]Bieu 1a'!$A$8:$AW$855,8,0)</f>
        <v>32791</v>
      </c>
      <c r="P737" s="22">
        <f>VLOOKUP(A737,'[1]Bieu 1a'!$A$8:$AW$855,9,0)</f>
        <v>0</v>
      </c>
      <c r="Q737" s="23" t="s">
        <v>44</v>
      </c>
      <c r="R737" s="24" t="str">
        <f>VLOOKUP(A737,'[1]Bieu 1a'!$A$8:$AW$855,23,0)</f>
        <v>03/01/2023</v>
      </c>
      <c r="S737" s="25" t="s">
        <v>3584</v>
      </c>
      <c r="T737" s="26">
        <v>0</v>
      </c>
      <c r="U737" s="16"/>
      <c r="V737" s="16" t="str">
        <f>IFERROR(VLOOKUP(A737,'[2]19.6.2026'!$A$9:$L$1111,5,0),"")</f>
        <v/>
      </c>
      <c r="W737" s="16" t="str">
        <f>IFERROR(VLOOKUP(A737,'[2]19.6.2026'!$A$9:$L$1111,6,0),"")</f>
        <v/>
      </c>
      <c r="X737" s="16"/>
      <c r="Y737" s="21" t="str">
        <f>IFERROR(VLOOKUP(A737,'[2]19.6.2026'!$A$9:$L$1111,7,0),"")</f>
        <v/>
      </c>
      <c r="Z737" s="16"/>
      <c r="AA737" s="27" t="str">
        <f>IFERROR(VLOOKUP(A737,'[3]DS UPLOAD 2026 (2)'!$A$2:$P$1111,16,0),"")</f>
        <v/>
      </c>
      <c r="AB737" s="27"/>
      <c r="AC737" s="28" t="s">
        <v>3585</v>
      </c>
    </row>
    <row r="738" spans="1:29" ht="18" customHeight="1" x14ac:dyDescent="0.3">
      <c r="A738" s="17" t="s">
        <v>3586</v>
      </c>
      <c r="B738" s="18" t="s">
        <v>3587</v>
      </c>
      <c r="C738" s="17" t="s">
        <v>3586</v>
      </c>
      <c r="D738" s="19"/>
      <c r="E738" s="19" t="s">
        <v>3545</v>
      </c>
      <c r="F738" s="16" t="str">
        <f>VLOOKUP(E738,'[1]BẢNG MÃ'!$A$2:$B$69,2,0)</f>
        <v>TĐ044</v>
      </c>
      <c r="G738" s="20"/>
      <c r="H738" s="19" t="s">
        <v>3546</v>
      </c>
      <c r="I738" s="16" t="s">
        <v>3456</v>
      </c>
      <c r="J738" s="16" t="str">
        <f>VLOOKUP(I738,'[1]BẢNG MÃ'!$C$2:$D$69,2,0)</f>
        <v>KP040</v>
      </c>
      <c r="K738" s="16"/>
      <c r="L738" s="16"/>
      <c r="M738" s="16" t="s">
        <v>136</v>
      </c>
      <c r="N738" s="21">
        <f ca="1">VLOOKUP(A738,'[1]Bieu 1a'!$A$8:$AW$855,10,0)</f>
        <v>43</v>
      </c>
      <c r="O738" s="22" t="str">
        <f>VLOOKUP(A738,'[1]Bieu 1a'!$A$8:$AW$855,8,0)</f>
        <v>20/08/1982</v>
      </c>
      <c r="P738" s="22">
        <f>VLOOKUP(A738,'[1]Bieu 1a'!$A$8:$AW$855,9,0)</f>
        <v>0</v>
      </c>
      <c r="Q738" s="23" t="s">
        <v>34</v>
      </c>
      <c r="R738" s="24">
        <f>VLOOKUP(A738,'[1]Bieu 1a'!$A$8:$AW$855,23,0)</f>
        <v>44937</v>
      </c>
      <c r="S738" s="25" t="s">
        <v>3588</v>
      </c>
      <c r="T738" s="26">
        <v>0</v>
      </c>
      <c r="U738" s="16"/>
      <c r="V738" s="16" t="str">
        <f>IFERROR(VLOOKUP(A738,'[2]19.6.2026'!$A$9:$L$1111,5,0),"")</f>
        <v/>
      </c>
      <c r="W738" s="16" t="str">
        <f>IFERROR(VLOOKUP(A738,'[2]19.6.2026'!$A$9:$L$1111,6,0),"")</f>
        <v/>
      </c>
      <c r="X738" s="16"/>
      <c r="Y738" s="21" t="str">
        <f>IFERROR(VLOOKUP(A738,'[2]19.6.2026'!$A$9:$L$1111,7,0),"")</f>
        <v/>
      </c>
      <c r="Z738" s="16"/>
      <c r="AA738" s="27" t="str">
        <f>IFERROR(VLOOKUP(A738,'[3]DS UPLOAD 2026 (2)'!$A$2:$P$1111,16,0),"")</f>
        <v/>
      </c>
      <c r="AB738" s="27"/>
      <c r="AC738" s="28" t="s">
        <v>3589</v>
      </c>
    </row>
    <row r="739" spans="1:29" ht="18" customHeight="1" x14ac:dyDescent="0.3">
      <c r="A739" s="17" t="s">
        <v>3590</v>
      </c>
      <c r="B739" s="18" t="s">
        <v>3591</v>
      </c>
      <c r="C739" s="17" t="s">
        <v>3590</v>
      </c>
      <c r="D739" s="19"/>
      <c r="E739" s="19" t="s">
        <v>3545</v>
      </c>
      <c r="F739" s="16" t="str">
        <f>VLOOKUP(E739,'[1]BẢNG MÃ'!$A$2:$B$69,2,0)</f>
        <v>TĐ044</v>
      </c>
      <c r="G739" s="60"/>
      <c r="H739" s="19" t="s">
        <v>3546</v>
      </c>
      <c r="I739" s="16" t="s">
        <v>3456</v>
      </c>
      <c r="J739" s="16" t="str">
        <f>VLOOKUP(I739,'[1]BẢNG MÃ'!$C$2:$D$69,2,0)</f>
        <v>KP040</v>
      </c>
      <c r="K739" s="16"/>
      <c r="L739" s="16"/>
      <c r="M739" s="16" t="s">
        <v>136</v>
      </c>
      <c r="N739" s="21">
        <f ca="1">VLOOKUP(A739,'[1]Bieu 1a'!$A$8:$AW$855,10,0)</f>
        <v>60</v>
      </c>
      <c r="O739" s="22">
        <f>VLOOKUP(A739,'[1]Bieu 1a'!$A$8:$AW$855,8,0)</f>
        <v>24257</v>
      </c>
      <c r="P739" s="22">
        <f>VLOOKUP(A739,'[1]Bieu 1a'!$A$8:$AW$855,9,0)</f>
        <v>0</v>
      </c>
      <c r="Q739" s="23" t="s">
        <v>50</v>
      </c>
      <c r="R739" s="24">
        <f>VLOOKUP(A739,'[1]Bieu 1a'!$A$8:$AW$855,23,0)</f>
        <v>45100</v>
      </c>
      <c r="S739" s="25" t="s">
        <v>3592</v>
      </c>
      <c r="T739" s="26">
        <v>0</v>
      </c>
      <c r="U739" s="16"/>
      <c r="V739" s="16" t="str">
        <f>IFERROR(VLOOKUP(A739,'[2]19.6.2026'!$A$9:$L$1111,5,0),"")</f>
        <v/>
      </c>
      <c r="W739" s="16" t="str">
        <f>IFERROR(VLOOKUP(A739,'[2]19.6.2026'!$A$9:$L$1111,6,0),"")</f>
        <v/>
      </c>
      <c r="X739" s="16"/>
      <c r="Y739" s="21" t="str">
        <f>IFERROR(VLOOKUP(A739,'[2]19.6.2026'!$A$9:$L$1111,7,0),"")</f>
        <v/>
      </c>
      <c r="Z739" s="16"/>
      <c r="AA739" s="27" t="str">
        <f>IFERROR(VLOOKUP(A739,'[3]DS UPLOAD 2026 (2)'!$A$2:$P$1111,16,0),"")</f>
        <v/>
      </c>
      <c r="AB739" s="27"/>
      <c r="AC739" s="28" t="s">
        <v>3593</v>
      </c>
    </row>
    <row r="740" spans="1:29" ht="18" customHeight="1" x14ac:dyDescent="0.3">
      <c r="A740" s="17" t="s">
        <v>3594</v>
      </c>
      <c r="B740" s="18" t="s">
        <v>3595</v>
      </c>
      <c r="C740" s="17" t="s">
        <v>3594</v>
      </c>
      <c r="D740" s="19"/>
      <c r="E740" s="19" t="s">
        <v>3545</v>
      </c>
      <c r="F740" s="16" t="str">
        <f>VLOOKUP(E740,'[1]BẢNG MÃ'!$A$2:$B$69,2,0)</f>
        <v>TĐ044</v>
      </c>
      <c r="G740" s="60"/>
      <c r="H740" s="19" t="s">
        <v>3546</v>
      </c>
      <c r="I740" s="16" t="s">
        <v>3456</v>
      </c>
      <c r="J740" s="16" t="str">
        <f>VLOOKUP(I740,'[1]BẢNG MÃ'!$C$2:$D$69,2,0)</f>
        <v>KP040</v>
      </c>
      <c r="K740" s="16"/>
      <c r="L740" s="16"/>
      <c r="M740" s="16" t="s">
        <v>136</v>
      </c>
      <c r="N740" s="21">
        <f ca="1">VLOOKUP(A740,'[1]Bieu 1a'!$A$8:$AW$855,10,0)</f>
        <v>45</v>
      </c>
      <c r="O740" s="22">
        <f>VLOOKUP(A740,'[1]Bieu 1a'!$A$8:$AW$855,8,0)</f>
        <v>29677</v>
      </c>
      <c r="P740" s="22">
        <f>VLOOKUP(A740,'[1]Bieu 1a'!$A$8:$AW$855,9,0)</f>
        <v>0</v>
      </c>
      <c r="Q740" s="23" t="s">
        <v>50</v>
      </c>
      <c r="R740" s="24" t="str">
        <f>VLOOKUP(A740,'[1]Bieu 1a'!$A$8:$AW$855,23,0)</f>
        <v>01/8/2023</v>
      </c>
      <c r="S740" s="25" t="s">
        <v>3596</v>
      </c>
      <c r="T740" s="26">
        <v>0</v>
      </c>
      <c r="U740" s="16"/>
      <c r="V740" s="16" t="str">
        <f>IFERROR(VLOOKUP(A740,'[2]19.6.2026'!$A$9:$L$1111,5,0),"")</f>
        <v/>
      </c>
      <c r="W740" s="16" t="str">
        <f>IFERROR(VLOOKUP(A740,'[2]19.6.2026'!$A$9:$L$1111,6,0),"")</f>
        <v/>
      </c>
      <c r="X740" s="16"/>
      <c r="Y740" s="21" t="str">
        <f>IFERROR(VLOOKUP(A740,'[2]19.6.2026'!$A$9:$L$1111,7,0),"")</f>
        <v/>
      </c>
      <c r="Z740" s="16"/>
      <c r="AA740" s="27" t="str">
        <f>IFERROR(VLOOKUP(A740,'[3]DS UPLOAD 2026 (2)'!$A$2:$P$1111,16,0),"")</f>
        <v/>
      </c>
      <c r="AB740" s="27"/>
      <c r="AC740" s="28" t="s">
        <v>3597</v>
      </c>
    </row>
    <row r="741" spans="1:29" ht="18" customHeight="1" x14ac:dyDescent="0.3">
      <c r="A741" s="17" t="s">
        <v>3598</v>
      </c>
      <c r="B741" s="18" t="s">
        <v>3599</v>
      </c>
      <c r="C741" s="17" t="s">
        <v>3598</v>
      </c>
      <c r="D741" s="19"/>
      <c r="E741" s="19" t="s">
        <v>3545</v>
      </c>
      <c r="F741" s="16" t="str">
        <f>VLOOKUP(E741,'[1]BẢNG MÃ'!$A$2:$B$69,2,0)</f>
        <v>TĐ044</v>
      </c>
      <c r="G741" s="60"/>
      <c r="H741" s="19" t="s">
        <v>3546</v>
      </c>
      <c r="I741" s="16" t="s">
        <v>3456</v>
      </c>
      <c r="J741" s="16" t="str">
        <f>VLOOKUP(I741,'[1]BẢNG MÃ'!$C$2:$D$69,2,0)</f>
        <v>KP040</v>
      </c>
      <c r="K741" s="16"/>
      <c r="L741" s="16"/>
      <c r="M741" s="16" t="s">
        <v>136</v>
      </c>
      <c r="N741" s="21">
        <f ca="1">VLOOKUP(A741,'[1]Bieu 1a'!$A$8:$AW$855,10,0)</f>
        <v>40</v>
      </c>
      <c r="O741" s="22">
        <f>VLOOKUP(A741,'[1]Bieu 1a'!$A$8:$AW$855,8,0)</f>
        <v>31520</v>
      </c>
      <c r="P741" s="22">
        <f>VLOOKUP(A741,'[1]Bieu 1a'!$A$8:$AW$855,9,0)</f>
        <v>0</v>
      </c>
      <c r="Q741" s="23" t="s">
        <v>50</v>
      </c>
      <c r="R741" s="24" t="str">
        <f>VLOOKUP(A741,'[1]Bieu 1a'!$A$8:$AW$855,23,0)</f>
        <v>01/8/2023</v>
      </c>
      <c r="S741" s="25" t="s">
        <v>3600</v>
      </c>
      <c r="T741" s="26">
        <v>0</v>
      </c>
      <c r="U741" s="16"/>
      <c r="V741" s="16" t="str">
        <f>IFERROR(VLOOKUP(A741,'[2]19.6.2026'!$A$9:$L$1111,5,0),"")</f>
        <v/>
      </c>
      <c r="W741" s="16" t="str">
        <f>IFERROR(VLOOKUP(A741,'[2]19.6.2026'!$A$9:$L$1111,6,0),"")</f>
        <v/>
      </c>
      <c r="X741" s="16"/>
      <c r="Y741" s="21" t="str">
        <f>IFERROR(VLOOKUP(A741,'[2]19.6.2026'!$A$9:$L$1111,7,0),"")</f>
        <v/>
      </c>
      <c r="Z741" s="16"/>
      <c r="AA741" s="27" t="str">
        <f>IFERROR(VLOOKUP(A741,'[3]DS UPLOAD 2026 (2)'!$A$2:$P$1111,16,0),"")</f>
        <v/>
      </c>
      <c r="AB741" s="27"/>
      <c r="AC741" s="28" t="s">
        <v>3597</v>
      </c>
    </row>
    <row r="742" spans="1:29" ht="18" customHeight="1" x14ac:dyDescent="0.3">
      <c r="A742" s="141" t="s">
        <v>3601</v>
      </c>
      <c r="B742" s="142" t="s">
        <v>3602</v>
      </c>
      <c r="C742" s="142" t="s">
        <v>3601</v>
      </c>
      <c r="D742" s="23"/>
      <c r="E742" s="23" t="s">
        <v>3545</v>
      </c>
      <c r="F742" s="27" t="str">
        <f>VLOOKUP(E742,'[1]BẢNG MÃ'!$A$2:$B$69,2,0)</f>
        <v>TĐ044</v>
      </c>
      <c r="G742" s="48"/>
      <c r="H742" s="19" t="s">
        <v>3546</v>
      </c>
      <c r="I742" s="23" t="s">
        <v>3456</v>
      </c>
      <c r="J742" s="27" t="str">
        <f>VLOOKUP(I742,'[1]BẢNG MÃ'!$C$2:$D$69,2,0)</f>
        <v>KP040</v>
      </c>
      <c r="K742" s="23"/>
      <c r="L742" s="23"/>
      <c r="M742" s="27" t="s">
        <v>136</v>
      </c>
      <c r="N742" s="21">
        <f ca="1">VLOOKUP(A742,'[1]Bieu 1a'!$A$8:$AW$855,10,0)</f>
        <v>56</v>
      </c>
      <c r="O742" s="22" t="str">
        <f>VLOOKUP(A742,'[1]Bieu 1a'!$A$8:$AW$855,8,0)</f>
        <v>18/8/1969</v>
      </c>
      <c r="P742" s="22">
        <f>VLOOKUP(A742,'[1]Bieu 1a'!$A$8:$AW$855,9,0)</f>
        <v>0</v>
      </c>
      <c r="Q742" s="23" t="s">
        <v>50</v>
      </c>
      <c r="R742" s="24">
        <f>VLOOKUP(A742,'[1]Bieu 1a'!$A$8:$AW$855,23,0)</f>
        <v>45748</v>
      </c>
      <c r="S742" s="25" t="s">
        <v>3603</v>
      </c>
      <c r="T742" s="26">
        <v>0</v>
      </c>
      <c r="U742" s="23"/>
      <c r="V742" s="16" t="str">
        <f>IFERROR(VLOOKUP(A742,'[2]19.6.2026'!$A$9:$L$1111,5,0),"")</f>
        <v/>
      </c>
      <c r="W742" s="16" t="str">
        <f>IFERROR(VLOOKUP(A742,'[2]19.6.2026'!$A$9:$L$1111,6,0),"")</f>
        <v/>
      </c>
      <c r="X742" s="23"/>
      <c r="Y742" s="21" t="str">
        <f>IFERROR(VLOOKUP(A742,'[2]19.6.2026'!$A$9:$L$1111,7,0),"")</f>
        <v/>
      </c>
      <c r="Z742" s="16"/>
      <c r="AA742" s="27" t="str">
        <f>IFERROR(VLOOKUP(A742,'[3]DS UPLOAD 2026 (2)'!$A$2:$P$1111,16,0),"")</f>
        <v/>
      </c>
      <c r="AB742" s="23"/>
      <c r="AC742" s="51" t="s">
        <v>1188</v>
      </c>
    </row>
    <row r="743" spans="1:29" ht="18" customHeight="1" x14ac:dyDescent="0.3">
      <c r="A743" s="17" t="s">
        <v>3604</v>
      </c>
      <c r="B743" s="18" t="s">
        <v>3605</v>
      </c>
      <c r="C743" s="17" t="s">
        <v>3604</v>
      </c>
      <c r="D743" s="19"/>
      <c r="E743" s="19" t="s">
        <v>3395</v>
      </c>
      <c r="F743" s="16" t="str">
        <f>VLOOKUP(E743,'[1]BẢNG MÃ'!$A$2:$B$69,2,0)</f>
        <v>TĐ046</v>
      </c>
      <c r="G743" s="20"/>
      <c r="H743" s="19" t="s">
        <v>3395</v>
      </c>
      <c r="I743" s="16" t="s">
        <v>3456</v>
      </c>
      <c r="J743" s="16" t="str">
        <f>VLOOKUP(I743,'[1]BẢNG MÃ'!$C$2:$D$69,2,0)</f>
        <v>KP040</v>
      </c>
      <c r="K743" s="16"/>
      <c r="L743" s="16">
        <v>0</v>
      </c>
      <c r="M743" s="16" t="s">
        <v>129</v>
      </c>
      <c r="N743" s="21">
        <f ca="1">VLOOKUP(A743,'[1]Bieu 1a'!$A$8:$AW$855,10,0)</f>
        <v>45</v>
      </c>
      <c r="O743" s="22">
        <f>VLOOKUP(A743,'[1]Bieu 1a'!$A$8:$AW$855,8,0)</f>
        <v>29731</v>
      </c>
      <c r="P743" s="22">
        <f>VLOOKUP(A743,'[1]Bieu 1a'!$A$8:$AW$855,9,0)</f>
        <v>0</v>
      </c>
      <c r="Q743" s="23" t="s">
        <v>50</v>
      </c>
      <c r="R743" s="24" t="str">
        <f>VLOOKUP(A743,'[1]Bieu 1a'!$A$8:$AW$855,23,0)</f>
        <v>1/8/2004</v>
      </c>
      <c r="S743" s="25" t="s">
        <v>3606</v>
      </c>
      <c r="T743" s="26">
        <v>0</v>
      </c>
      <c r="U743" s="16"/>
      <c r="V743" s="16" t="str">
        <f>IFERROR(VLOOKUP(A743,'[2]19.6.2026'!$A$9:$L$1111,5,0),"")</f>
        <v/>
      </c>
      <c r="W743" s="16" t="str">
        <f>IFERROR(VLOOKUP(A743,'[2]19.6.2026'!$A$9:$L$1111,6,0),"")</f>
        <v/>
      </c>
      <c r="X743" s="16"/>
      <c r="Y743" s="21" t="str">
        <f>IFERROR(VLOOKUP(A743,'[2]19.6.2026'!$A$9:$L$1111,7,0),"")</f>
        <v/>
      </c>
      <c r="Z743" s="16"/>
      <c r="AA743" s="27" t="str">
        <f>IFERROR(VLOOKUP(A743,'[3]DS UPLOAD 2026 (2)'!$A$2:$P$1111,16,0),"")</f>
        <v/>
      </c>
      <c r="AB743" s="27" t="s">
        <v>3607</v>
      </c>
      <c r="AC743" s="28" t="s">
        <v>133</v>
      </c>
    </row>
    <row r="744" spans="1:29" ht="18" customHeight="1" x14ac:dyDescent="0.3">
      <c r="A744" s="17" t="s">
        <v>3608</v>
      </c>
      <c r="B744" s="29" t="s">
        <v>3609</v>
      </c>
      <c r="C744" s="17" t="s">
        <v>3608</v>
      </c>
      <c r="D744" s="19"/>
      <c r="E744" s="19" t="s">
        <v>3395</v>
      </c>
      <c r="F744" s="16" t="str">
        <f>VLOOKUP(E744,'[1]BẢNG MÃ'!$A$2:$B$69,2,0)</f>
        <v>TĐ046</v>
      </c>
      <c r="G744" s="20"/>
      <c r="H744" s="19" t="s">
        <v>3395</v>
      </c>
      <c r="I744" s="16" t="s">
        <v>3456</v>
      </c>
      <c r="J744" s="16" t="str">
        <f>VLOOKUP(I744,'[1]BẢNG MÃ'!$C$2:$D$69,2,0)</f>
        <v>KP040</v>
      </c>
      <c r="K744" s="16"/>
      <c r="L744" s="16">
        <v>0</v>
      </c>
      <c r="M744" s="16" t="s">
        <v>129</v>
      </c>
      <c r="N744" s="21">
        <f ca="1">VLOOKUP(A744,'[1]Bieu 1a'!$A$8:$AW$855,10,0)</f>
        <v>42</v>
      </c>
      <c r="O744" s="22">
        <f>VLOOKUP(A744,'[1]Bieu 1a'!$A$8:$AW$855,8,0)</f>
        <v>30754</v>
      </c>
      <c r="P744" s="22">
        <f>VLOOKUP(A744,'[1]Bieu 1a'!$A$8:$AW$855,9,0)</f>
        <v>0</v>
      </c>
      <c r="Q744" s="23" t="s">
        <v>50</v>
      </c>
      <c r="R744" s="24" t="str">
        <f>VLOOKUP(A744,'[1]Bieu 1a'!$A$8:$AW$855,23,0)</f>
        <v>1/7/2009</v>
      </c>
      <c r="S744" s="25" t="s">
        <v>3610</v>
      </c>
      <c r="T744" s="26">
        <v>0</v>
      </c>
      <c r="U744" s="16"/>
      <c r="V744" s="16" t="str">
        <f>IFERROR(VLOOKUP(A744,'[2]19.6.2026'!$A$9:$L$1111,5,0),"")</f>
        <v/>
      </c>
      <c r="W744" s="16" t="str">
        <f>IFERROR(VLOOKUP(A744,'[2]19.6.2026'!$A$9:$L$1111,6,0),"")</f>
        <v/>
      </c>
      <c r="X744" s="16"/>
      <c r="Y744" s="21" t="str">
        <f>IFERROR(VLOOKUP(A744,'[2]19.6.2026'!$A$9:$L$1111,7,0),"")</f>
        <v/>
      </c>
      <c r="Z744" s="16"/>
      <c r="AA744" s="27" t="str">
        <f>IFERROR(VLOOKUP(A744,'[3]DS UPLOAD 2026 (2)'!$A$2:$P$1111,16,0),"")</f>
        <v/>
      </c>
      <c r="AB744" s="27" t="s">
        <v>3611</v>
      </c>
      <c r="AC744" s="28" t="s">
        <v>133</v>
      </c>
    </row>
    <row r="745" spans="1:29" ht="18" customHeight="1" x14ac:dyDescent="0.3">
      <c r="A745" s="17" t="s">
        <v>3612</v>
      </c>
      <c r="B745" s="120" t="s">
        <v>3613</v>
      </c>
      <c r="C745" s="17" t="s">
        <v>3612</v>
      </c>
      <c r="D745" s="16"/>
      <c r="E745" s="19" t="s">
        <v>3395</v>
      </c>
      <c r="F745" s="16" t="str">
        <f>VLOOKUP(E745,'[1]BẢNG MÃ'!$A$2:$B$69,2,0)</f>
        <v>TĐ046</v>
      </c>
      <c r="G745" s="20"/>
      <c r="H745" s="19" t="s">
        <v>3395</v>
      </c>
      <c r="I745" s="16" t="s">
        <v>3456</v>
      </c>
      <c r="J745" s="16" t="str">
        <f>VLOOKUP(I745,'[1]BẢNG MÃ'!$C$2:$D$69,2,0)</f>
        <v>KP040</v>
      </c>
      <c r="K745" s="16"/>
      <c r="L745" s="16"/>
      <c r="M745" s="16" t="s">
        <v>136</v>
      </c>
      <c r="N745" s="21">
        <f ca="1">VLOOKUP(A745,'[1]Bieu 1a'!$A$8:$AW$855,10,0)</f>
        <v>60</v>
      </c>
      <c r="O745" s="22">
        <f>VLOOKUP(A745,'[1]Bieu 1a'!$A$8:$AW$855,8,0)</f>
        <v>24267</v>
      </c>
      <c r="P745" s="22">
        <f>VLOOKUP(A745,'[1]Bieu 1a'!$A$8:$AW$855,9,0)</f>
        <v>0</v>
      </c>
      <c r="Q745" s="23" t="s">
        <v>34</v>
      </c>
      <c r="R745" s="24" t="str">
        <f>VLOOKUP(A745,'[1]Bieu 1a'!$A$8:$AW$855,23,0)</f>
        <v>1/1/2015</v>
      </c>
      <c r="S745" s="25" t="s">
        <v>3614</v>
      </c>
      <c r="T745" s="26">
        <v>0</v>
      </c>
      <c r="U745" s="16"/>
      <c r="V745" s="16" t="str">
        <f>IFERROR(VLOOKUP(A745,'[2]19.6.2026'!$A$9:$L$1111,5,0),"")</f>
        <v/>
      </c>
      <c r="W745" s="16" t="str">
        <f>IFERROR(VLOOKUP(A745,'[2]19.6.2026'!$A$9:$L$1111,6,0),"")</f>
        <v/>
      </c>
      <c r="X745" s="16"/>
      <c r="Y745" s="21" t="str">
        <f>IFERROR(VLOOKUP(A745,'[2]19.6.2026'!$A$9:$L$1111,7,0),"")</f>
        <v/>
      </c>
      <c r="Z745" s="16"/>
      <c r="AA745" s="27" t="str">
        <f>IFERROR(VLOOKUP(A745,'[3]DS UPLOAD 2026 (2)'!$A$2:$P$1111,16,0),"")</f>
        <v/>
      </c>
      <c r="AB745" s="27">
        <v>915279992</v>
      </c>
      <c r="AC745" s="28"/>
    </row>
    <row r="746" spans="1:29" ht="18.75" customHeight="1" x14ac:dyDescent="0.3">
      <c r="A746" s="17" t="s">
        <v>3615</v>
      </c>
      <c r="B746" s="18" t="s">
        <v>3616</v>
      </c>
      <c r="C746" s="17" t="s">
        <v>3615</v>
      </c>
      <c r="D746" s="19"/>
      <c r="E746" s="19" t="s">
        <v>3232</v>
      </c>
      <c r="F746" s="16" t="str">
        <f>VLOOKUP(E746,'[1]BẢNG MÃ'!$A$2:$B$69,2,0)</f>
        <v>TĐ048</v>
      </c>
      <c r="G746" s="20"/>
      <c r="H746" s="19" t="s">
        <v>3232</v>
      </c>
      <c r="I746" s="16" t="s">
        <v>3456</v>
      </c>
      <c r="J746" s="16" t="str">
        <f>VLOOKUP(I746,'[1]BẢNG MÃ'!$C$2:$D$69,2,0)</f>
        <v>KP040</v>
      </c>
      <c r="K746" s="16"/>
      <c r="L746" s="16">
        <v>0</v>
      </c>
      <c r="M746" s="16" t="s">
        <v>129</v>
      </c>
      <c r="N746" s="21">
        <f ca="1">VLOOKUP(A746,'[1]Bieu 1a'!$A$8:$AW$855,10,0)</f>
        <v>57</v>
      </c>
      <c r="O746" s="22">
        <f>VLOOKUP(A746,'[1]Bieu 1a'!$A$8:$AW$855,8,0)</f>
        <v>25243</v>
      </c>
      <c r="P746" s="22">
        <f>VLOOKUP(A746,'[1]Bieu 1a'!$A$8:$AW$855,9,0)</f>
        <v>0</v>
      </c>
      <c r="Q746" s="23" t="s">
        <v>50</v>
      </c>
      <c r="R746" s="24" t="str">
        <f>VLOOKUP(A746,'[1]Bieu 1a'!$A$8:$AW$855,23,0)</f>
        <v>1/12/2005</v>
      </c>
      <c r="S746" s="25" t="s">
        <v>3617</v>
      </c>
      <c r="T746" s="26">
        <v>0</v>
      </c>
      <c r="U746" s="16"/>
      <c r="V746" s="16" t="str">
        <f>IFERROR(VLOOKUP(A746,'[2]19.6.2026'!$A$9:$L$1111,5,0),"")</f>
        <v/>
      </c>
      <c r="W746" s="16" t="str">
        <f>IFERROR(VLOOKUP(A746,'[2]19.6.2026'!$A$9:$L$1111,6,0),"")</f>
        <v/>
      </c>
      <c r="X746" s="16"/>
      <c r="Y746" s="21" t="str">
        <f>IFERROR(VLOOKUP(A746,'[2]19.6.2026'!$A$9:$L$1111,7,0),"")</f>
        <v/>
      </c>
      <c r="Z746" s="16"/>
      <c r="AA746" s="27" t="str">
        <f>IFERROR(VLOOKUP(A746,'[3]DS UPLOAD 2026 (2)'!$A$2:$P$1111,16,0),"")</f>
        <v/>
      </c>
      <c r="AB746" s="27" t="s">
        <v>3618</v>
      </c>
      <c r="AC746" s="28" t="s">
        <v>133</v>
      </c>
    </row>
    <row r="747" spans="1:29" ht="20.25" customHeight="1" x14ac:dyDescent="0.3">
      <c r="A747" s="17" t="s">
        <v>3619</v>
      </c>
      <c r="B747" s="18" t="s">
        <v>3620</v>
      </c>
      <c r="C747" s="17" t="s">
        <v>3619</v>
      </c>
      <c r="D747" s="19"/>
      <c r="E747" s="19" t="s">
        <v>3232</v>
      </c>
      <c r="F747" s="16" t="str">
        <f>VLOOKUP(E747,'[1]BẢNG MÃ'!$A$2:$B$69,2,0)</f>
        <v>TĐ048</v>
      </c>
      <c r="G747" s="60"/>
      <c r="H747" s="19" t="s">
        <v>3232</v>
      </c>
      <c r="I747" s="16" t="s">
        <v>3456</v>
      </c>
      <c r="J747" s="16" t="str">
        <f>VLOOKUP(I747,'[1]BẢNG MÃ'!$C$2:$D$69,2,0)</f>
        <v>KP040</v>
      </c>
      <c r="K747" s="16"/>
      <c r="L747" s="16"/>
      <c r="M747" s="16" t="s">
        <v>136</v>
      </c>
      <c r="N747" s="21">
        <f ca="1">VLOOKUP(A747,'[1]Bieu 1a'!$A$8:$AW$855,10,0)</f>
        <v>55</v>
      </c>
      <c r="O747" s="22">
        <f>VLOOKUP(A747,'[1]Bieu 1a'!$A$8:$AW$855,8,0)</f>
        <v>25949</v>
      </c>
      <c r="P747" s="22">
        <f>VLOOKUP(A747,'[1]Bieu 1a'!$A$8:$AW$855,9,0)</f>
        <v>0</v>
      </c>
      <c r="Q747" s="23" t="s">
        <v>50</v>
      </c>
      <c r="R747" s="24" t="str">
        <f>VLOOKUP(A747,'[1]Bieu 1a'!$A$8:$AW$855,23,0)</f>
        <v>01/8/2023</v>
      </c>
      <c r="S747" s="25" t="s">
        <v>3621</v>
      </c>
      <c r="T747" s="26">
        <v>0</v>
      </c>
      <c r="U747" s="16"/>
      <c r="V747" s="16" t="str">
        <f>IFERROR(VLOOKUP(A747,'[2]19.6.2026'!$A$9:$L$1111,5,0),"")</f>
        <v/>
      </c>
      <c r="W747" s="16" t="str">
        <f>IFERROR(VLOOKUP(A747,'[2]19.6.2026'!$A$9:$L$1111,6,0),"")</f>
        <v/>
      </c>
      <c r="X747" s="16"/>
      <c r="Y747" s="21" t="str">
        <f>IFERROR(VLOOKUP(A747,'[2]19.6.2026'!$A$9:$L$1111,7,0),"")</f>
        <v/>
      </c>
      <c r="Z747" s="16"/>
      <c r="AA747" s="27" t="str">
        <f>IFERROR(VLOOKUP(A747,'[3]DS UPLOAD 2026 (2)'!$A$2:$P$1111,16,0),"")</f>
        <v/>
      </c>
      <c r="AB747" s="27"/>
      <c r="AC747" s="28" t="s">
        <v>3597</v>
      </c>
    </row>
    <row r="748" spans="1:29" ht="15.75" customHeight="1" x14ac:dyDescent="0.3">
      <c r="A748" s="17" t="s">
        <v>3622</v>
      </c>
      <c r="B748" s="18" t="s">
        <v>3623</v>
      </c>
      <c r="C748" s="17" t="s">
        <v>3622</v>
      </c>
      <c r="D748" s="19" t="s">
        <v>38</v>
      </c>
      <c r="E748" s="19" t="s">
        <v>3624</v>
      </c>
      <c r="F748" s="16" t="str">
        <f>VLOOKUP(E748,'[1]BẢNG MÃ'!$A$2:$B$69,2,0)</f>
        <v>TĐ021</v>
      </c>
      <c r="G748" s="20" t="s">
        <v>3625</v>
      </c>
      <c r="H748" s="20" t="s">
        <v>3626</v>
      </c>
      <c r="I748" s="16" t="s">
        <v>3627</v>
      </c>
      <c r="J748" s="16" t="str">
        <f>VLOOKUP(I748,'[1]BẢNG MÃ'!$C$2:$D$69,2,0)</f>
        <v>KP041</v>
      </c>
      <c r="K748" s="16" t="s">
        <v>43</v>
      </c>
      <c r="L748" s="16">
        <v>0</v>
      </c>
      <c r="M748" s="16" t="s">
        <v>33</v>
      </c>
      <c r="N748" s="21">
        <f ca="1">VLOOKUP(A748,'[1]Bieu 1a'!$A$8:$AW$855,10,0)</f>
        <v>40</v>
      </c>
      <c r="O748" s="22">
        <f>VLOOKUP(A748,'[1]Bieu 1a'!$A$8:$AW$855,8,0)</f>
        <v>0</v>
      </c>
      <c r="P748" s="22">
        <f>VLOOKUP(A748,'[1]Bieu 1a'!$A$8:$AW$855,9,0)</f>
        <v>31541</v>
      </c>
      <c r="Q748" s="23" t="s">
        <v>50</v>
      </c>
      <c r="R748" s="24" t="str">
        <f>VLOOKUP(A748,'[1]Bieu 1a'!$A$8:$AW$855,23,0)</f>
        <v>4/9/2012</v>
      </c>
      <c r="S748" s="25" t="s">
        <v>3628</v>
      </c>
      <c r="T748" s="26" t="s">
        <v>3629</v>
      </c>
      <c r="U748" s="16"/>
      <c r="V748" s="16" t="str">
        <f>IFERROR(VLOOKUP(A748,'[2]19.6.2026'!$A$9:$L$1111,5,0),"")</f>
        <v/>
      </c>
      <c r="W748" s="16" t="str">
        <f>IFERROR(VLOOKUP(A748,'[2]19.6.2026'!$A$9:$L$1111,6,0),"")</f>
        <v/>
      </c>
      <c r="X748" s="16"/>
      <c r="Y748" s="21" t="str">
        <f>IFERROR(VLOOKUP(A748,'[2]19.6.2026'!$A$9:$L$1111,7,0),"")</f>
        <v/>
      </c>
      <c r="Z748" s="16"/>
      <c r="AA748" s="27" t="str">
        <f>IFERROR(VLOOKUP(A748,'[3]DS UPLOAD 2026 (2)'!$A$2:$P$1111,16,0),"")</f>
        <v/>
      </c>
      <c r="AB748" s="27">
        <v>988089506</v>
      </c>
      <c r="AC748" s="28"/>
    </row>
    <row r="749" spans="1:29" ht="15.75" customHeight="1" x14ac:dyDescent="0.3">
      <c r="A749" s="17" t="s">
        <v>3630</v>
      </c>
      <c r="B749" s="18" t="s">
        <v>1908</v>
      </c>
      <c r="C749" s="17" t="s">
        <v>3630</v>
      </c>
      <c r="D749" s="19" t="s">
        <v>38</v>
      </c>
      <c r="E749" s="19" t="s">
        <v>3624</v>
      </c>
      <c r="F749" s="16" t="str">
        <f>VLOOKUP(E749,'[1]BẢNG MÃ'!$A$2:$B$69,2,0)</f>
        <v>TĐ021</v>
      </c>
      <c r="G749" s="20" t="s">
        <v>3625</v>
      </c>
      <c r="H749" s="20" t="s">
        <v>3626</v>
      </c>
      <c r="I749" s="16" t="s">
        <v>3627</v>
      </c>
      <c r="J749" s="16" t="str">
        <f>VLOOKUP(I749,'[1]BẢNG MÃ'!$C$2:$D$69,2,0)</f>
        <v>KP041</v>
      </c>
      <c r="K749" s="16" t="s">
        <v>31</v>
      </c>
      <c r="L749" s="16" t="s">
        <v>3326</v>
      </c>
      <c r="M749" s="16" t="s">
        <v>33</v>
      </c>
      <c r="N749" s="21">
        <f ca="1">VLOOKUP(A749,'[1]Bieu 1a'!$A$8:$AW$855,10,0)</f>
        <v>48</v>
      </c>
      <c r="O749" s="22">
        <f>VLOOKUP(A749,'[1]Bieu 1a'!$A$8:$AW$855,8,0)</f>
        <v>0</v>
      </c>
      <c r="P749" s="22">
        <f>VLOOKUP(A749,'[1]Bieu 1a'!$A$8:$AW$855,9,0)</f>
        <v>28464</v>
      </c>
      <c r="Q749" s="23" t="s">
        <v>44</v>
      </c>
      <c r="R749" s="24" t="str">
        <f>VLOOKUP(A749,'[1]Bieu 1a'!$A$8:$AW$855,23,0)</f>
        <v>1/12/2008</v>
      </c>
      <c r="S749" s="25" t="s">
        <v>3631</v>
      </c>
      <c r="T749" s="26" t="s">
        <v>3632</v>
      </c>
      <c r="U749" s="16"/>
      <c r="V749" s="16" t="str">
        <f>IFERROR(VLOOKUP(A749,'[2]19.6.2026'!$A$9:$L$1111,5,0),"")</f>
        <v/>
      </c>
      <c r="W749" s="16" t="str">
        <f>IFERROR(VLOOKUP(A749,'[2]19.6.2026'!$A$9:$L$1111,6,0),"")</f>
        <v/>
      </c>
      <c r="X749" s="16"/>
      <c r="Y749" s="21" t="str">
        <f>IFERROR(VLOOKUP(A749,'[2]19.6.2026'!$A$9:$L$1111,7,0),"")</f>
        <v/>
      </c>
      <c r="Z749" s="16"/>
      <c r="AA749" s="27" t="str">
        <f>IFERROR(VLOOKUP(A749,'[3]DS UPLOAD 2026 (2)'!$A$2:$P$1111,16,0),"")</f>
        <v/>
      </c>
      <c r="AB749" s="27">
        <v>983111668</v>
      </c>
      <c r="AC749" s="28"/>
    </row>
    <row r="750" spans="1:29" ht="15.75" customHeight="1" x14ac:dyDescent="0.3">
      <c r="A750" s="17" t="s">
        <v>3633</v>
      </c>
      <c r="B750" s="40" t="s">
        <v>3634</v>
      </c>
      <c r="C750" s="17" t="s">
        <v>3633</v>
      </c>
      <c r="D750" s="19" t="s">
        <v>38</v>
      </c>
      <c r="E750" s="16" t="s">
        <v>3624</v>
      </c>
      <c r="F750" s="16" t="str">
        <f>VLOOKUP(E750,'[1]BẢNG MÃ'!$A$2:$B$69,2,0)</f>
        <v>TĐ021</v>
      </c>
      <c r="G750" s="20" t="s">
        <v>3625</v>
      </c>
      <c r="H750" s="20" t="s">
        <v>3626</v>
      </c>
      <c r="I750" s="16" t="s">
        <v>3627</v>
      </c>
      <c r="J750" s="16" t="str">
        <f>VLOOKUP(I750,'[1]BẢNG MÃ'!$C$2:$D$69,2,0)</f>
        <v>KP041</v>
      </c>
      <c r="K750" s="16" t="s">
        <v>43</v>
      </c>
      <c r="L750" s="16">
        <v>0</v>
      </c>
      <c r="M750" s="16" t="s">
        <v>33</v>
      </c>
      <c r="N750" s="21">
        <f ca="1">VLOOKUP(A750,'[1]Bieu 1a'!$A$8:$AW$855,10,0)</f>
        <v>38</v>
      </c>
      <c r="O750" s="22">
        <f>VLOOKUP(A750,'[1]Bieu 1a'!$A$8:$AW$855,8,0)</f>
        <v>0</v>
      </c>
      <c r="P750" s="22">
        <f>VLOOKUP(A750,'[1]Bieu 1a'!$A$8:$AW$855,9,0)</f>
        <v>32094</v>
      </c>
      <c r="Q750" s="23" t="s">
        <v>50</v>
      </c>
      <c r="R750" s="24" t="str">
        <f>VLOOKUP(A750,'[1]Bieu 1a'!$A$8:$AW$855,23,0)</f>
        <v>1/11/2015</v>
      </c>
      <c r="S750" s="25" t="s">
        <v>3635</v>
      </c>
      <c r="T750" s="26" t="s">
        <v>3636</v>
      </c>
      <c r="U750" s="16"/>
      <c r="V750" s="16" t="str">
        <f>IFERROR(VLOOKUP(A750,'[2]19.6.2026'!$A$9:$L$1111,5,0),"")</f>
        <v/>
      </c>
      <c r="W750" s="16" t="str">
        <f>IFERROR(VLOOKUP(A750,'[2]19.6.2026'!$A$9:$L$1111,6,0),"")</f>
        <v/>
      </c>
      <c r="X750" s="16"/>
      <c r="Y750" s="21" t="str">
        <f>IFERROR(VLOOKUP(A750,'[2]19.6.2026'!$A$9:$L$1111,7,0),"")</f>
        <v/>
      </c>
      <c r="Z750" s="16"/>
      <c r="AA750" s="27" t="str">
        <f>IFERROR(VLOOKUP(A750,'[3]DS UPLOAD 2026 (2)'!$A$2:$P$1111,16,0),"")</f>
        <v/>
      </c>
      <c r="AB750" s="27">
        <v>398255844</v>
      </c>
      <c r="AC750" s="28"/>
    </row>
    <row r="751" spans="1:29" ht="15.75" customHeight="1" x14ac:dyDescent="0.3">
      <c r="A751" s="17" t="s">
        <v>3637</v>
      </c>
      <c r="B751" s="18" t="s">
        <v>3638</v>
      </c>
      <c r="C751" s="17" t="s">
        <v>3637</v>
      </c>
      <c r="D751" s="19" t="s">
        <v>38</v>
      </c>
      <c r="E751" s="30" t="s">
        <v>3624</v>
      </c>
      <c r="F751" s="16" t="str">
        <f>VLOOKUP(E751,'[1]BẢNG MÃ'!$A$2:$B$69,2,0)</f>
        <v>TĐ021</v>
      </c>
      <c r="G751" s="20" t="s">
        <v>3625</v>
      </c>
      <c r="H751" s="20" t="s">
        <v>3626</v>
      </c>
      <c r="I751" s="16" t="s">
        <v>3627</v>
      </c>
      <c r="J751" s="16" t="str">
        <f>VLOOKUP(I751,'[1]BẢNG MÃ'!$C$2:$D$69,2,0)</f>
        <v>KP041</v>
      </c>
      <c r="K751" s="16" t="s">
        <v>43</v>
      </c>
      <c r="L751" s="16">
        <v>0</v>
      </c>
      <c r="M751" s="16" t="s">
        <v>33</v>
      </c>
      <c r="N751" s="21">
        <f ca="1">VLOOKUP(A751,'[1]Bieu 1a'!$A$8:$AW$855,10,0)</f>
        <v>46</v>
      </c>
      <c r="O751" s="22">
        <f>VLOOKUP(A751,'[1]Bieu 1a'!$A$8:$AW$855,8,0)</f>
        <v>0</v>
      </c>
      <c r="P751" s="22">
        <f>VLOOKUP(A751,'[1]Bieu 1a'!$A$8:$AW$855,9,0)</f>
        <v>29161</v>
      </c>
      <c r="Q751" s="23" t="s">
        <v>44</v>
      </c>
      <c r="R751" s="24" t="str">
        <f>VLOOKUP(A751,'[1]Bieu 1a'!$A$8:$AW$855,23,0)</f>
        <v>15/1/2010</v>
      </c>
      <c r="S751" s="25" t="s">
        <v>3639</v>
      </c>
      <c r="T751" s="26" t="s">
        <v>3640</v>
      </c>
      <c r="U751" s="16"/>
      <c r="V751" s="16" t="str">
        <f>IFERROR(VLOOKUP(A751,'[2]19.6.2026'!$A$9:$L$1111,5,0),"")</f>
        <v/>
      </c>
      <c r="W751" s="16" t="str">
        <f>IFERROR(VLOOKUP(A751,'[2]19.6.2026'!$A$9:$L$1111,6,0),"")</f>
        <v/>
      </c>
      <c r="X751" s="16"/>
      <c r="Y751" s="21" t="str">
        <f>IFERROR(VLOOKUP(A751,'[2]19.6.2026'!$A$9:$L$1111,7,0),"")</f>
        <v/>
      </c>
      <c r="Z751" s="16"/>
      <c r="AA751" s="27" t="str">
        <f>IFERROR(VLOOKUP(A751,'[3]DS UPLOAD 2026 (2)'!$A$2:$P$1111,16,0),"")</f>
        <v/>
      </c>
      <c r="AB751" s="27">
        <v>358092999</v>
      </c>
      <c r="AC751" s="28"/>
    </row>
    <row r="752" spans="1:29" ht="15.75" customHeight="1" x14ac:dyDescent="0.3">
      <c r="A752" s="17" t="s">
        <v>3641</v>
      </c>
      <c r="B752" s="29" t="s">
        <v>3642</v>
      </c>
      <c r="C752" s="17" t="s">
        <v>3641</v>
      </c>
      <c r="D752" s="19" t="s">
        <v>38</v>
      </c>
      <c r="E752" s="19" t="s">
        <v>3624</v>
      </c>
      <c r="F752" s="16" t="str">
        <f>VLOOKUP(E752,'[1]BẢNG MÃ'!$A$2:$B$69,2,0)</f>
        <v>TĐ021</v>
      </c>
      <c r="G752" s="20" t="s">
        <v>3625</v>
      </c>
      <c r="H752" s="20" t="s">
        <v>3626</v>
      </c>
      <c r="I752" s="16" t="s">
        <v>3627</v>
      </c>
      <c r="J752" s="16" t="str">
        <f>VLOOKUP(I752,'[1]BẢNG MÃ'!$C$2:$D$69,2,0)</f>
        <v>KP041</v>
      </c>
      <c r="K752" s="16" t="s">
        <v>43</v>
      </c>
      <c r="L752" s="16">
        <v>0</v>
      </c>
      <c r="M752" s="16" t="s">
        <v>33</v>
      </c>
      <c r="N752" s="21">
        <f ca="1">VLOOKUP(A752,'[1]Bieu 1a'!$A$8:$AW$855,10,0)</f>
        <v>37</v>
      </c>
      <c r="O752" s="22">
        <f>VLOOKUP(A752,'[1]Bieu 1a'!$A$8:$AW$855,8,0)</f>
        <v>0</v>
      </c>
      <c r="P752" s="22">
        <f>VLOOKUP(A752,'[1]Bieu 1a'!$A$8:$AW$855,9,0)</f>
        <v>32528</v>
      </c>
      <c r="Q752" s="23" t="s">
        <v>34</v>
      </c>
      <c r="R752" s="24" t="str">
        <f>VLOOKUP(A752,'[1]Bieu 1a'!$A$8:$AW$855,23,0)</f>
        <v>01/10/2014</v>
      </c>
      <c r="S752" s="25" t="s">
        <v>3643</v>
      </c>
      <c r="T752" s="26" t="s">
        <v>3644</v>
      </c>
      <c r="U752" s="16"/>
      <c r="V752" s="16" t="str">
        <f>IFERROR(VLOOKUP(A752,'[2]19.6.2026'!$A$9:$L$1111,5,0),"")</f>
        <v/>
      </c>
      <c r="W752" s="16" t="str">
        <f>IFERROR(VLOOKUP(A752,'[2]19.6.2026'!$A$9:$L$1111,6,0),"")</f>
        <v/>
      </c>
      <c r="X752" s="16"/>
      <c r="Y752" s="21" t="str">
        <f>IFERROR(VLOOKUP(A752,'[2]19.6.2026'!$A$9:$L$1111,7,0),"")</f>
        <v/>
      </c>
      <c r="Z752" s="16"/>
      <c r="AA752" s="27" t="str">
        <f>IFERROR(VLOOKUP(A752,'[3]DS UPLOAD 2026 (2)'!$A$2:$P$1111,16,0),"")</f>
        <v/>
      </c>
      <c r="AB752" s="27">
        <v>973650462</v>
      </c>
      <c r="AC752" s="28"/>
    </row>
    <row r="753" spans="1:29" ht="15.75" customHeight="1" x14ac:dyDescent="0.3">
      <c r="A753" s="17" t="s">
        <v>3645</v>
      </c>
      <c r="B753" s="18" t="s">
        <v>3646</v>
      </c>
      <c r="C753" s="17" t="s">
        <v>3645</v>
      </c>
      <c r="D753" s="19" t="s">
        <v>38</v>
      </c>
      <c r="E753" s="19" t="s">
        <v>3624</v>
      </c>
      <c r="F753" s="16" t="str">
        <f>VLOOKUP(E753,'[1]BẢNG MÃ'!$A$2:$B$69,2,0)</f>
        <v>TĐ021</v>
      </c>
      <c r="G753" s="20" t="s">
        <v>3625</v>
      </c>
      <c r="H753" s="20" t="s">
        <v>3626</v>
      </c>
      <c r="I753" s="16" t="s">
        <v>3627</v>
      </c>
      <c r="J753" s="16" t="str">
        <f>VLOOKUP(I753,'[1]BẢNG MÃ'!$C$2:$D$69,2,0)</f>
        <v>KP041</v>
      </c>
      <c r="K753" s="16" t="s">
        <v>43</v>
      </c>
      <c r="L753" s="16">
        <v>0</v>
      </c>
      <c r="M753" s="16" t="s">
        <v>33</v>
      </c>
      <c r="N753" s="21">
        <f ca="1">VLOOKUP(A753,'[1]Bieu 1a'!$A$8:$AW$855,10,0)</f>
        <v>43</v>
      </c>
      <c r="O753" s="22">
        <f>VLOOKUP(A753,'[1]Bieu 1a'!$A$8:$AW$855,8,0)</f>
        <v>0</v>
      </c>
      <c r="P753" s="22">
        <f>VLOOKUP(A753,'[1]Bieu 1a'!$A$8:$AW$855,9,0)</f>
        <v>30251</v>
      </c>
      <c r="Q753" s="23" t="s">
        <v>44</v>
      </c>
      <c r="R753" s="24" t="str">
        <f>VLOOKUP(A753,'[1]Bieu 1a'!$A$8:$AW$855,23,0)</f>
        <v>15/1/2010</v>
      </c>
      <c r="S753" s="25" t="s">
        <v>3647</v>
      </c>
      <c r="T753" s="26" t="s">
        <v>3648</v>
      </c>
      <c r="U753" s="16"/>
      <c r="V753" s="16" t="str">
        <f>IFERROR(VLOOKUP(A753,'[2]19.6.2026'!$A$9:$L$1111,5,0),"")</f>
        <v/>
      </c>
      <c r="W753" s="16" t="str">
        <f>IFERROR(VLOOKUP(A753,'[2]19.6.2026'!$A$9:$L$1111,6,0),"")</f>
        <v/>
      </c>
      <c r="X753" s="16"/>
      <c r="Y753" s="21" t="str">
        <f>IFERROR(VLOOKUP(A753,'[2]19.6.2026'!$A$9:$L$1111,7,0),"")</f>
        <v/>
      </c>
      <c r="Z753" s="16"/>
      <c r="AA753" s="27" t="str">
        <f>IFERROR(VLOOKUP(A753,'[3]DS UPLOAD 2026 (2)'!$A$2:$P$1111,16,0),"")</f>
        <v/>
      </c>
      <c r="AB753" s="27">
        <v>982736828</v>
      </c>
      <c r="AC753" s="28"/>
    </row>
    <row r="754" spans="1:29" ht="15.75" customHeight="1" x14ac:dyDescent="0.3">
      <c r="A754" s="17" t="s">
        <v>3649</v>
      </c>
      <c r="B754" s="38" t="s">
        <v>3650</v>
      </c>
      <c r="C754" s="17" t="s">
        <v>3649</v>
      </c>
      <c r="D754" s="53" t="s">
        <v>38</v>
      </c>
      <c r="E754" s="19" t="s">
        <v>3624</v>
      </c>
      <c r="F754" s="16" t="str">
        <f>VLOOKUP(E754,'[1]BẢNG MÃ'!$A$2:$B$69,2,0)</f>
        <v>TĐ021</v>
      </c>
      <c r="G754" s="20" t="s">
        <v>3625</v>
      </c>
      <c r="H754" s="20" t="s">
        <v>3626</v>
      </c>
      <c r="I754" s="16" t="s">
        <v>3627</v>
      </c>
      <c r="J754" s="16" t="str">
        <f>VLOOKUP(I754,'[1]BẢNG MÃ'!$C$2:$D$69,2,0)</f>
        <v>KP041</v>
      </c>
      <c r="K754" s="16" t="s">
        <v>43</v>
      </c>
      <c r="L754" s="16">
        <v>0</v>
      </c>
      <c r="M754" s="16" t="s">
        <v>33</v>
      </c>
      <c r="N754" s="21">
        <f ca="1">VLOOKUP(A754,'[1]Bieu 1a'!$A$8:$AW$855,10,0)</f>
        <v>37</v>
      </c>
      <c r="O754" s="22">
        <f>VLOOKUP(A754,'[1]Bieu 1a'!$A$8:$AW$855,8,0)</f>
        <v>0</v>
      </c>
      <c r="P754" s="22">
        <f>VLOOKUP(A754,'[1]Bieu 1a'!$A$8:$AW$855,9,0)</f>
        <v>32482</v>
      </c>
      <c r="Q754" s="23" t="s">
        <v>1520</v>
      </c>
      <c r="R754" s="24" t="str">
        <f>VLOOKUP(A754,'[1]Bieu 1a'!$A$8:$AW$855,23,0)</f>
        <v>20/3/2018</v>
      </c>
      <c r="S754" s="25" t="s">
        <v>3651</v>
      </c>
      <c r="T754" s="26" t="s">
        <v>3652</v>
      </c>
      <c r="U754" s="16"/>
      <c r="V754" s="16" t="str">
        <f>IFERROR(VLOOKUP(A754,'[2]19.6.2026'!$A$9:$L$1111,5,0),"")</f>
        <v/>
      </c>
      <c r="W754" s="16" t="str">
        <f>IFERROR(VLOOKUP(A754,'[2]19.6.2026'!$A$9:$L$1111,6,0),"")</f>
        <v/>
      </c>
      <c r="X754" s="16"/>
      <c r="Y754" s="21" t="str">
        <f>IFERROR(VLOOKUP(A754,'[2]19.6.2026'!$A$9:$L$1111,7,0),"")</f>
        <v/>
      </c>
      <c r="Z754" s="16"/>
      <c r="AA754" s="27" t="str">
        <f>IFERROR(VLOOKUP(A754,'[3]DS UPLOAD 2026 (2)'!$A$2:$P$1111,16,0),"")</f>
        <v/>
      </c>
      <c r="AB754" s="39"/>
      <c r="AC754" s="29" t="s">
        <v>960</v>
      </c>
    </row>
    <row r="755" spans="1:29" ht="15.75" customHeight="1" x14ac:dyDescent="0.3">
      <c r="A755" s="17" t="s">
        <v>3653</v>
      </c>
      <c r="B755" s="18" t="s">
        <v>3654</v>
      </c>
      <c r="C755" s="17" t="s">
        <v>3653</v>
      </c>
      <c r="D755" s="19" t="s">
        <v>38</v>
      </c>
      <c r="E755" s="19" t="s">
        <v>3466</v>
      </c>
      <c r="F755" s="16" t="str">
        <f>VLOOKUP(E755,'[1]BẢNG MÃ'!$A$2:$B$69,2,0)</f>
        <v>TĐ022</v>
      </c>
      <c r="G755" s="20"/>
      <c r="H755" s="20" t="s">
        <v>3467</v>
      </c>
      <c r="I755" s="16" t="s">
        <v>3627</v>
      </c>
      <c r="J755" s="16" t="str">
        <f>VLOOKUP(I755,'[1]BẢNG MÃ'!$C$2:$D$69,2,0)</f>
        <v>KP041</v>
      </c>
      <c r="K755" s="16"/>
      <c r="L755" s="16"/>
      <c r="M755" s="16" t="s">
        <v>136</v>
      </c>
      <c r="N755" s="21">
        <f ca="1">VLOOKUP(A755,'[1]Bieu 1a'!$A$8:$AW$855,10,0)</f>
        <v>50</v>
      </c>
      <c r="O755" s="22">
        <f>VLOOKUP(A755,'[1]Bieu 1a'!$A$8:$AW$855,8,0)</f>
        <v>0</v>
      </c>
      <c r="P755" s="22">
        <f>VLOOKUP(A755,'[1]Bieu 1a'!$A$8:$AW$855,9,0)</f>
        <v>27917</v>
      </c>
      <c r="Q755" s="23" t="s">
        <v>50</v>
      </c>
      <c r="R755" s="24" t="str">
        <f>VLOOKUP(A755,'[1]Bieu 1a'!$A$8:$AW$855,23,0)</f>
        <v>1/8/2006</v>
      </c>
      <c r="S755" s="25" t="s">
        <v>3655</v>
      </c>
      <c r="T755" s="26" t="s">
        <v>3656</v>
      </c>
      <c r="U755" s="16"/>
      <c r="V755" s="16" t="str">
        <f>IFERROR(VLOOKUP(A755,'[2]19.6.2026'!$A$9:$L$1111,5,0),"")</f>
        <v/>
      </c>
      <c r="W755" s="16" t="str">
        <f>IFERROR(VLOOKUP(A755,'[2]19.6.2026'!$A$9:$L$1111,6,0),"")</f>
        <v/>
      </c>
      <c r="X755" s="16"/>
      <c r="Y755" s="21" t="str">
        <f>IFERROR(VLOOKUP(A755,'[2]19.6.2026'!$A$9:$L$1111,7,0),"")</f>
        <v/>
      </c>
      <c r="Z755" s="16"/>
      <c r="AA755" s="27" t="str">
        <f>IFERROR(VLOOKUP(A755,'[3]DS UPLOAD 2026 (2)'!$A$2:$P$1111,16,0),"")</f>
        <v/>
      </c>
      <c r="AB755" s="16" t="s">
        <v>3657</v>
      </c>
      <c r="AC755" s="29" t="s">
        <v>133</v>
      </c>
    </row>
    <row r="756" spans="1:29" ht="15.75" customHeight="1" x14ac:dyDescent="0.3">
      <c r="A756" s="17" t="s">
        <v>3658</v>
      </c>
      <c r="B756" s="18" t="s">
        <v>3659</v>
      </c>
      <c r="C756" s="17" t="s">
        <v>3658</v>
      </c>
      <c r="D756" s="19"/>
      <c r="E756" s="19" t="s">
        <v>3624</v>
      </c>
      <c r="F756" s="16" t="str">
        <f>VLOOKUP(E756,'[1]BẢNG MÃ'!$A$2:$B$69,2,0)</f>
        <v>TĐ021</v>
      </c>
      <c r="G756" s="20" t="s">
        <v>3625</v>
      </c>
      <c r="H756" s="20" t="s">
        <v>3626</v>
      </c>
      <c r="I756" s="16" t="s">
        <v>3627</v>
      </c>
      <c r="J756" s="16" t="str">
        <f>VLOOKUP(I756,'[1]BẢNG MÃ'!$C$2:$D$69,2,0)</f>
        <v>KP041</v>
      </c>
      <c r="K756" s="16" t="s">
        <v>43</v>
      </c>
      <c r="L756" s="16">
        <v>0</v>
      </c>
      <c r="M756" s="16" t="s">
        <v>33</v>
      </c>
      <c r="N756" s="21">
        <f ca="1">VLOOKUP(A756,'[1]Bieu 1a'!$A$8:$AW$855,10,0)</f>
        <v>52</v>
      </c>
      <c r="O756" s="22">
        <f>VLOOKUP(A756,'[1]Bieu 1a'!$A$8:$AW$855,8,0)</f>
        <v>26872</v>
      </c>
      <c r="P756" s="22">
        <f>VLOOKUP(A756,'[1]Bieu 1a'!$A$8:$AW$855,9,0)</f>
        <v>0</v>
      </c>
      <c r="Q756" s="23" t="s">
        <v>34</v>
      </c>
      <c r="R756" s="24" t="str">
        <f>VLOOKUP(A756,'[1]Bieu 1a'!$A$8:$AW$855,23,0)</f>
        <v>15/8/2006</v>
      </c>
      <c r="S756" s="25" t="s">
        <v>3660</v>
      </c>
      <c r="T756" s="26" t="s">
        <v>3661</v>
      </c>
      <c r="U756" s="16"/>
      <c r="V756" s="16" t="str">
        <f>IFERROR(VLOOKUP(A756,'[2]19.6.2026'!$A$9:$L$1111,5,0),"")</f>
        <v/>
      </c>
      <c r="W756" s="16" t="str">
        <f>IFERROR(VLOOKUP(A756,'[2]19.6.2026'!$A$9:$L$1111,6,0),"")</f>
        <v/>
      </c>
      <c r="X756" s="16"/>
      <c r="Y756" s="21" t="str">
        <f>IFERROR(VLOOKUP(A756,'[2]19.6.2026'!$A$9:$L$1111,7,0),"")</f>
        <v/>
      </c>
      <c r="Z756" s="16"/>
      <c r="AA756" s="27" t="str">
        <f>IFERROR(VLOOKUP(A756,'[3]DS UPLOAD 2026 (2)'!$A$2:$P$1111,16,0),"")</f>
        <v/>
      </c>
      <c r="AB756" s="16">
        <v>982025882</v>
      </c>
      <c r="AC756" s="29"/>
    </row>
    <row r="757" spans="1:29" ht="15.75" customHeight="1" x14ac:dyDescent="0.3">
      <c r="A757" s="17" t="s">
        <v>3662</v>
      </c>
      <c r="B757" s="18" t="s">
        <v>3663</v>
      </c>
      <c r="C757" s="17" t="s">
        <v>3662</v>
      </c>
      <c r="D757" s="19" t="s">
        <v>38</v>
      </c>
      <c r="E757" s="19" t="s">
        <v>3624</v>
      </c>
      <c r="F757" s="16" t="str">
        <f>VLOOKUP(E757,'[1]BẢNG MÃ'!$A$2:$B$69,2,0)</f>
        <v>TĐ021</v>
      </c>
      <c r="G757" s="20" t="s">
        <v>3625</v>
      </c>
      <c r="H757" s="20" t="s">
        <v>3626</v>
      </c>
      <c r="I757" s="16" t="s">
        <v>3627</v>
      </c>
      <c r="J757" s="16" t="str">
        <f>VLOOKUP(I757,'[1]BẢNG MÃ'!$C$2:$D$69,2,0)</f>
        <v>KP041</v>
      </c>
      <c r="K757" s="16" t="s">
        <v>43</v>
      </c>
      <c r="L757" s="16">
        <v>0</v>
      </c>
      <c r="M757" s="16" t="s">
        <v>33</v>
      </c>
      <c r="N757" s="21">
        <f ca="1">VLOOKUP(A757,'[1]Bieu 1a'!$A$8:$AW$855,10,0)</f>
        <v>49</v>
      </c>
      <c r="O757" s="22">
        <f>VLOOKUP(A757,'[1]Bieu 1a'!$A$8:$AW$855,8,0)</f>
        <v>0</v>
      </c>
      <c r="P757" s="22">
        <f>VLOOKUP(A757,'[1]Bieu 1a'!$A$8:$AW$855,9,0)</f>
        <v>28051</v>
      </c>
      <c r="Q757" s="23" t="s">
        <v>50</v>
      </c>
      <c r="R757" s="24" t="str">
        <f>VLOOKUP(A757,'[1]Bieu 1a'!$A$8:$AW$855,23,0)</f>
        <v>1/6/1999</v>
      </c>
      <c r="S757" s="25" t="s">
        <v>3664</v>
      </c>
      <c r="T757" s="26" t="s">
        <v>3665</v>
      </c>
      <c r="U757" s="16"/>
      <c r="V757" s="16" t="str">
        <f>IFERROR(VLOOKUP(A757,'[2]19.6.2026'!$A$9:$L$1111,5,0),"")</f>
        <v/>
      </c>
      <c r="W757" s="16" t="str">
        <f>IFERROR(VLOOKUP(A757,'[2]19.6.2026'!$A$9:$L$1111,6,0),"")</f>
        <v/>
      </c>
      <c r="X757" s="16"/>
      <c r="Y757" s="21" t="str">
        <f>IFERROR(VLOOKUP(A757,'[2]19.6.2026'!$A$9:$L$1111,7,0),"")</f>
        <v/>
      </c>
      <c r="Z757" s="16"/>
      <c r="AA757" s="27" t="str">
        <f>IFERROR(VLOOKUP(A757,'[3]DS UPLOAD 2026 (2)'!$A$2:$P$1111,16,0),"")</f>
        <v/>
      </c>
      <c r="AB757" s="16">
        <v>973696638</v>
      </c>
      <c r="AC757" s="29"/>
    </row>
    <row r="758" spans="1:29" ht="15.75" customHeight="1" x14ac:dyDescent="0.3">
      <c r="A758" s="17" t="s">
        <v>3666</v>
      </c>
      <c r="B758" s="29" t="s">
        <v>3667</v>
      </c>
      <c r="C758" s="17" t="s">
        <v>3666</v>
      </c>
      <c r="D758" s="19" t="s">
        <v>38</v>
      </c>
      <c r="E758" s="19" t="s">
        <v>3624</v>
      </c>
      <c r="F758" s="16" t="str">
        <f>VLOOKUP(E758,'[1]BẢNG MÃ'!$A$2:$B$69,2,0)</f>
        <v>TĐ021</v>
      </c>
      <c r="G758" s="20" t="s">
        <v>3625</v>
      </c>
      <c r="H758" s="20" t="s">
        <v>3626</v>
      </c>
      <c r="I758" s="16" t="s">
        <v>3627</v>
      </c>
      <c r="J758" s="16" t="str">
        <f>VLOOKUP(I758,'[1]BẢNG MÃ'!$C$2:$D$69,2,0)</f>
        <v>KP041</v>
      </c>
      <c r="K758" s="16" t="s">
        <v>43</v>
      </c>
      <c r="L758" s="16">
        <v>0</v>
      </c>
      <c r="M758" s="16" t="s">
        <v>33</v>
      </c>
      <c r="N758" s="21">
        <f ca="1">VLOOKUP(A758,'[1]Bieu 1a'!$A$8:$AW$855,10,0)</f>
        <v>40</v>
      </c>
      <c r="O758" s="22">
        <f>VLOOKUP(A758,'[1]Bieu 1a'!$A$8:$AW$855,8,0)</f>
        <v>0</v>
      </c>
      <c r="P758" s="22">
        <f>VLOOKUP(A758,'[1]Bieu 1a'!$A$8:$AW$855,9,0)</f>
        <v>31392</v>
      </c>
      <c r="Q758" s="23" t="s">
        <v>50</v>
      </c>
      <c r="R758" s="24" t="str">
        <f>VLOOKUP(A758,'[1]Bieu 1a'!$A$8:$AW$855,23,0)</f>
        <v>1/11/2006</v>
      </c>
      <c r="S758" s="25" t="s">
        <v>3668</v>
      </c>
      <c r="T758" s="26" t="s">
        <v>3669</v>
      </c>
      <c r="U758" s="16"/>
      <c r="V758" s="16" t="str">
        <f>IFERROR(VLOOKUP(A758,'[2]19.6.2026'!$A$9:$L$1111,5,0),"")</f>
        <v/>
      </c>
      <c r="W758" s="16" t="str">
        <f>IFERROR(VLOOKUP(A758,'[2]19.6.2026'!$A$9:$L$1111,6,0),"")</f>
        <v/>
      </c>
      <c r="X758" s="16"/>
      <c r="Y758" s="21" t="str">
        <f>IFERROR(VLOOKUP(A758,'[2]19.6.2026'!$A$9:$L$1111,7,0),"")</f>
        <v/>
      </c>
      <c r="Z758" s="16"/>
      <c r="AA758" s="27" t="str">
        <f>IFERROR(VLOOKUP(A758,'[3]DS UPLOAD 2026 (2)'!$A$2:$P$1111,16,0),"")</f>
        <v/>
      </c>
      <c r="AB758" s="16">
        <v>985725568</v>
      </c>
      <c r="AC758" s="29"/>
    </row>
    <row r="759" spans="1:29" ht="15.75" customHeight="1" x14ac:dyDescent="0.3">
      <c r="A759" s="17" t="s">
        <v>3670</v>
      </c>
      <c r="B759" s="38" t="s">
        <v>3671</v>
      </c>
      <c r="C759" s="17" t="s">
        <v>3670</v>
      </c>
      <c r="D759" s="53"/>
      <c r="E759" s="19" t="s">
        <v>3624</v>
      </c>
      <c r="F759" s="16" t="str">
        <f>VLOOKUP(E759,'[1]BẢNG MÃ'!$A$2:$B$69,2,0)</f>
        <v>TĐ021</v>
      </c>
      <c r="G759" s="20" t="s">
        <v>3625</v>
      </c>
      <c r="H759" s="20" t="s">
        <v>3626</v>
      </c>
      <c r="I759" s="16" t="s">
        <v>3627</v>
      </c>
      <c r="J759" s="16" t="str">
        <f>VLOOKUP(I759,'[1]BẢNG MÃ'!$C$2:$D$69,2,0)</f>
        <v>KP041</v>
      </c>
      <c r="K759" s="16" t="s">
        <v>43</v>
      </c>
      <c r="L759" s="16">
        <v>0</v>
      </c>
      <c r="M759" s="16" t="s">
        <v>33</v>
      </c>
      <c r="N759" s="21">
        <f ca="1">VLOOKUP(A759,'[1]Bieu 1a'!$A$8:$AW$855,10,0)</f>
        <v>34</v>
      </c>
      <c r="O759" s="22">
        <f>VLOOKUP(A759,'[1]Bieu 1a'!$A$8:$AW$855,8,0)</f>
        <v>33503</v>
      </c>
      <c r="P759" s="22">
        <f>VLOOKUP(A759,'[1]Bieu 1a'!$A$8:$AW$855,9,0)</f>
        <v>0</v>
      </c>
      <c r="Q759" s="23" t="s">
        <v>34</v>
      </c>
      <c r="R759" s="24" t="str">
        <f>VLOOKUP(A759,'[1]Bieu 1a'!$A$8:$AW$855,23,0)</f>
        <v>03/2/2017</v>
      </c>
      <c r="S759" s="25" t="s">
        <v>3672</v>
      </c>
      <c r="T759" s="26" t="s">
        <v>3673</v>
      </c>
      <c r="U759" s="16"/>
      <c r="V759" s="16" t="str">
        <f>IFERROR(VLOOKUP(A759,'[2]19.6.2026'!$A$9:$L$1111,5,0),"")</f>
        <v/>
      </c>
      <c r="W759" s="16" t="str">
        <f>IFERROR(VLOOKUP(A759,'[2]19.6.2026'!$A$9:$L$1111,6,0),"")</f>
        <v/>
      </c>
      <c r="X759" s="16"/>
      <c r="Y759" s="21" t="str">
        <f>IFERROR(VLOOKUP(A759,'[2]19.6.2026'!$A$9:$L$1111,7,0),"")</f>
        <v/>
      </c>
      <c r="Z759" s="16"/>
      <c r="AA759" s="27" t="str">
        <f>IFERROR(VLOOKUP(A759,'[3]DS UPLOAD 2026 (2)'!$A$2:$P$1111,16,0),"")</f>
        <v/>
      </c>
      <c r="AB759" s="116" t="s">
        <v>3674</v>
      </c>
      <c r="AC759" s="29" t="s">
        <v>3675</v>
      </c>
    </row>
    <row r="760" spans="1:29" ht="15.75" customHeight="1" x14ac:dyDescent="0.3">
      <c r="A760" s="17" t="s">
        <v>3676</v>
      </c>
      <c r="B760" s="18" t="s">
        <v>3677</v>
      </c>
      <c r="C760" s="17" t="s">
        <v>3676</v>
      </c>
      <c r="D760" s="19" t="s">
        <v>38</v>
      </c>
      <c r="E760" s="19" t="s">
        <v>3624</v>
      </c>
      <c r="F760" s="16" t="str">
        <f>VLOOKUP(E760,'[1]BẢNG MÃ'!$A$2:$B$69,2,0)</f>
        <v>TĐ021</v>
      </c>
      <c r="G760" s="20" t="s">
        <v>3625</v>
      </c>
      <c r="H760" s="20" t="s">
        <v>3626</v>
      </c>
      <c r="I760" s="16" t="s">
        <v>3627</v>
      </c>
      <c r="J760" s="16" t="str">
        <f>VLOOKUP(I760,'[1]BẢNG MÃ'!$C$2:$D$69,2,0)</f>
        <v>KP041</v>
      </c>
      <c r="K760" s="16" t="s">
        <v>43</v>
      </c>
      <c r="L760" s="16">
        <v>0</v>
      </c>
      <c r="M760" s="16" t="s">
        <v>33</v>
      </c>
      <c r="N760" s="21">
        <f ca="1">VLOOKUP(A760,'[1]Bieu 1a'!$A$8:$AW$855,10,0)</f>
        <v>38</v>
      </c>
      <c r="O760" s="22">
        <f>VLOOKUP(A760,'[1]Bieu 1a'!$A$8:$AW$855,8,0)</f>
        <v>0</v>
      </c>
      <c r="P760" s="22">
        <f>VLOOKUP(A760,'[1]Bieu 1a'!$A$8:$AW$855,9,0)</f>
        <v>32025</v>
      </c>
      <c r="Q760" s="23" t="s">
        <v>44</v>
      </c>
      <c r="R760" s="24" t="str">
        <f>VLOOKUP(A760,'[1]Bieu 1a'!$A$8:$AW$855,23,0)</f>
        <v>15/1/2010</v>
      </c>
      <c r="S760" s="25" t="s">
        <v>3678</v>
      </c>
      <c r="T760" s="26" t="s">
        <v>3679</v>
      </c>
      <c r="U760" s="16"/>
      <c r="V760" s="16" t="str">
        <f>IFERROR(VLOOKUP(A760,'[2]19.6.2026'!$A$9:$L$1111,5,0),"")</f>
        <v/>
      </c>
      <c r="W760" s="16" t="str">
        <f>IFERROR(VLOOKUP(A760,'[2]19.6.2026'!$A$9:$L$1111,6,0),"")</f>
        <v/>
      </c>
      <c r="X760" s="16"/>
      <c r="Y760" s="21" t="str">
        <f>IFERROR(VLOOKUP(A760,'[2]19.6.2026'!$A$9:$L$1111,7,0),"")</f>
        <v/>
      </c>
      <c r="Z760" s="16"/>
      <c r="AA760" s="27" t="str">
        <f>IFERROR(VLOOKUP(A760,'[3]DS UPLOAD 2026 (2)'!$A$2:$P$1111,16,0),"")</f>
        <v/>
      </c>
      <c r="AB760" s="27">
        <v>983890593</v>
      </c>
      <c r="AC760" s="28"/>
    </row>
    <row r="761" spans="1:29" ht="18" customHeight="1" x14ac:dyDescent="0.3">
      <c r="A761" s="17" t="s">
        <v>3680</v>
      </c>
      <c r="B761" s="18" t="s">
        <v>3681</v>
      </c>
      <c r="C761" s="17" t="s">
        <v>3680</v>
      </c>
      <c r="D761" s="19" t="s">
        <v>38</v>
      </c>
      <c r="E761" s="19" t="s">
        <v>3624</v>
      </c>
      <c r="F761" s="16" t="str">
        <f>VLOOKUP(E761,'[1]BẢNG MÃ'!$A$2:$B$69,2,0)</f>
        <v>TĐ021</v>
      </c>
      <c r="G761" s="20" t="s">
        <v>3625</v>
      </c>
      <c r="H761" s="20" t="s">
        <v>3626</v>
      </c>
      <c r="I761" s="16" t="s">
        <v>3627</v>
      </c>
      <c r="J761" s="16" t="str">
        <f>VLOOKUP(I761,'[1]BẢNG MÃ'!$C$2:$D$69,2,0)</f>
        <v>KP041</v>
      </c>
      <c r="K761" s="16" t="s">
        <v>43</v>
      </c>
      <c r="L761" s="16">
        <v>0</v>
      </c>
      <c r="M761" s="16" t="s">
        <v>33</v>
      </c>
      <c r="N761" s="21">
        <f ca="1">VLOOKUP(A761,'[1]Bieu 1a'!$A$8:$AW$855,10,0)</f>
        <v>39</v>
      </c>
      <c r="O761" s="22">
        <f>VLOOKUP(A761,'[1]Bieu 1a'!$A$8:$AW$855,8,0)</f>
        <v>0</v>
      </c>
      <c r="P761" s="22">
        <f>VLOOKUP(A761,'[1]Bieu 1a'!$A$8:$AW$855,9,0)</f>
        <v>31797</v>
      </c>
      <c r="Q761" s="23" t="s">
        <v>34</v>
      </c>
      <c r="R761" s="24" t="str">
        <f>VLOOKUP(A761,'[1]Bieu 1a'!$A$8:$AW$855,23,0)</f>
        <v>10/6/2013</v>
      </c>
      <c r="S761" s="25" t="s">
        <v>3682</v>
      </c>
      <c r="T761" s="26" t="s">
        <v>3683</v>
      </c>
      <c r="U761" s="16"/>
      <c r="V761" s="16" t="str">
        <f>IFERROR(VLOOKUP(A761,'[2]19.6.2026'!$A$9:$L$1111,5,0),"")</f>
        <v/>
      </c>
      <c r="W761" s="16" t="str">
        <f>IFERROR(VLOOKUP(A761,'[2]19.6.2026'!$A$9:$L$1111,6,0),"")</f>
        <v/>
      </c>
      <c r="X761" s="16"/>
      <c r="Y761" s="21" t="str">
        <f>IFERROR(VLOOKUP(A761,'[2]19.6.2026'!$A$9:$L$1111,7,0),"")</f>
        <v/>
      </c>
      <c r="Z761" s="16"/>
      <c r="AA761" s="27" t="str">
        <f>IFERROR(VLOOKUP(A761,'[3]DS UPLOAD 2026 (2)'!$A$2:$P$1111,16,0),"")</f>
        <v/>
      </c>
      <c r="AB761" s="27">
        <v>975329495</v>
      </c>
      <c r="AC761" s="28"/>
    </row>
    <row r="762" spans="1:29" ht="15.75" customHeight="1" x14ac:dyDescent="0.3">
      <c r="A762" s="17" t="s">
        <v>3684</v>
      </c>
      <c r="B762" s="18" t="s">
        <v>1140</v>
      </c>
      <c r="C762" s="17" t="s">
        <v>3684</v>
      </c>
      <c r="D762" s="19" t="s">
        <v>38</v>
      </c>
      <c r="E762" s="19" t="s">
        <v>3466</v>
      </c>
      <c r="F762" s="16" t="str">
        <f>VLOOKUP(E762,'[1]BẢNG MÃ'!$A$2:$B$69,2,0)</f>
        <v>TĐ022</v>
      </c>
      <c r="G762" s="20" t="s">
        <v>3685</v>
      </c>
      <c r="H762" s="20" t="s">
        <v>3467</v>
      </c>
      <c r="I762" s="16" t="s">
        <v>3627</v>
      </c>
      <c r="J762" s="16" t="str">
        <f>VLOOKUP(I762,'[1]BẢNG MÃ'!$C$2:$D$69,2,0)</f>
        <v>KP041</v>
      </c>
      <c r="K762" s="16" t="s">
        <v>43</v>
      </c>
      <c r="L762" s="16">
        <v>0</v>
      </c>
      <c r="M762" s="16" t="s">
        <v>33</v>
      </c>
      <c r="N762" s="21">
        <f ca="1">VLOOKUP(A762,'[1]Bieu 1a'!$A$8:$AW$855,10,0)</f>
        <v>51</v>
      </c>
      <c r="O762" s="22">
        <f>VLOOKUP(A762,'[1]Bieu 1a'!$A$8:$AW$855,8,0)</f>
        <v>0</v>
      </c>
      <c r="P762" s="22">
        <f>VLOOKUP(A762,'[1]Bieu 1a'!$A$8:$AW$855,9,0)</f>
        <v>27399</v>
      </c>
      <c r="Q762" s="23" t="s">
        <v>50</v>
      </c>
      <c r="R762" s="24" t="str">
        <f>VLOOKUP(A762,'[1]Bieu 1a'!$A$8:$AW$855,23,0)</f>
        <v>5/7/1996</v>
      </c>
      <c r="S762" s="25" t="s">
        <v>3686</v>
      </c>
      <c r="T762" s="26" t="s">
        <v>3687</v>
      </c>
      <c r="U762" s="16"/>
      <c r="V762" s="16" t="str">
        <f>IFERROR(VLOOKUP(A762,'[2]19.6.2026'!$A$9:$L$1111,5,0),"")</f>
        <v/>
      </c>
      <c r="W762" s="16" t="str">
        <f>IFERROR(VLOOKUP(A762,'[2]19.6.2026'!$A$9:$L$1111,6,0),"")</f>
        <v/>
      </c>
      <c r="X762" s="16"/>
      <c r="Y762" s="21" t="str">
        <f>IFERROR(VLOOKUP(A762,'[2]19.6.2026'!$A$9:$L$1111,7,0),"")</f>
        <v/>
      </c>
      <c r="Z762" s="16"/>
      <c r="AA762" s="27" t="str">
        <f>IFERROR(VLOOKUP(A762,'[3]DS UPLOAD 2026 (2)'!$A$2:$P$1111,16,0),"")</f>
        <v/>
      </c>
      <c r="AB762" s="16">
        <v>989909588</v>
      </c>
      <c r="AC762" s="29"/>
    </row>
    <row r="763" spans="1:29" ht="15.75" customHeight="1" x14ac:dyDescent="0.3">
      <c r="A763" s="17" t="s">
        <v>3688</v>
      </c>
      <c r="B763" s="36" t="s">
        <v>3689</v>
      </c>
      <c r="C763" s="17" t="s">
        <v>3688</v>
      </c>
      <c r="D763" s="19" t="s">
        <v>38</v>
      </c>
      <c r="E763" s="19" t="s">
        <v>3690</v>
      </c>
      <c r="F763" s="16" t="str">
        <f>VLOOKUP(E763,'[1]BẢNG MÃ'!$A$2:$B$69,2,0)</f>
        <v>TĐ024</v>
      </c>
      <c r="G763" s="20" t="s">
        <v>3424</v>
      </c>
      <c r="H763" s="20" t="s">
        <v>3691</v>
      </c>
      <c r="I763" s="16" t="s">
        <v>3627</v>
      </c>
      <c r="J763" s="16" t="str">
        <f>VLOOKUP(I763,'[1]BẢNG MÃ'!$C$2:$D$69,2,0)</f>
        <v>KP041</v>
      </c>
      <c r="K763" s="16" t="s">
        <v>43</v>
      </c>
      <c r="L763" s="16">
        <v>0</v>
      </c>
      <c r="M763" s="16" t="s">
        <v>33</v>
      </c>
      <c r="N763" s="21">
        <f ca="1">VLOOKUP(A763,'[1]Bieu 1a'!$A$8:$AW$855,10,0)</f>
        <v>37</v>
      </c>
      <c r="O763" s="22">
        <f>VLOOKUP(A763,'[1]Bieu 1a'!$A$8:$AW$855,8,0)</f>
        <v>0</v>
      </c>
      <c r="P763" s="22" t="str">
        <f>VLOOKUP(A763,'[1]Bieu 1a'!$A$8:$AW$855,9,0)</f>
        <v>21/6/1989</v>
      </c>
      <c r="Q763" s="23" t="s">
        <v>50</v>
      </c>
      <c r="R763" s="24" t="str">
        <f>VLOOKUP(A763,'[1]Bieu 1a'!$A$8:$AW$855,23,0)</f>
        <v>20/3/2018</v>
      </c>
      <c r="S763" s="25" t="s">
        <v>3692</v>
      </c>
      <c r="T763" s="26" t="s">
        <v>3693</v>
      </c>
      <c r="U763" s="16"/>
      <c r="V763" s="16" t="str">
        <f>IFERROR(VLOOKUP(A763,'[2]19.6.2026'!$A$9:$L$1111,5,0),"")</f>
        <v/>
      </c>
      <c r="W763" s="16" t="str">
        <f>IFERROR(VLOOKUP(A763,'[2]19.6.2026'!$A$9:$L$1111,6,0),"")</f>
        <v/>
      </c>
      <c r="X763" s="16"/>
      <c r="Y763" s="21" t="str">
        <f>IFERROR(VLOOKUP(A763,'[2]19.6.2026'!$A$9:$L$1111,7,0),"")</f>
        <v/>
      </c>
      <c r="Z763" s="16"/>
      <c r="AA763" s="27" t="str">
        <f>IFERROR(VLOOKUP(A763,'[3]DS UPLOAD 2026 (2)'!$A$2:$P$1111,16,0),"")</f>
        <v/>
      </c>
      <c r="AB763" s="27">
        <v>983456362</v>
      </c>
      <c r="AC763" s="28" t="s">
        <v>374</v>
      </c>
    </row>
    <row r="764" spans="1:29" ht="19.5" customHeight="1" x14ac:dyDescent="0.3">
      <c r="A764" s="17" t="s">
        <v>3694</v>
      </c>
      <c r="B764" s="38" t="s">
        <v>3695</v>
      </c>
      <c r="C764" s="17" t="s">
        <v>3694</v>
      </c>
      <c r="D764" s="19" t="s">
        <v>38</v>
      </c>
      <c r="E764" s="19" t="s">
        <v>3690</v>
      </c>
      <c r="F764" s="16" t="str">
        <f>VLOOKUP(E764,'[1]BẢNG MÃ'!$A$2:$B$69,2,0)</f>
        <v>TĐ024</v>
      </c>
      <c r="G764" s="20" t="s">
        <v>3424</v>
      </c>
      <c r="H764" s="20" t="s">
        <v>3691</v>
      </c>
      <c r="I764" s="16" t="s">
        <v>3627</v>
      </c>
      <c r="J764" s="16" t="str">
        <f>VLOOKUP(I764,'[1]BẢNG MÃ'!$C$2:$D$69,2,0)</f>
        <v>KP041</v>
      </c>
      <c r="K764" s="16" t="s">
        <v>43</v>
      </c>
      <c r="L764" s="16">
        <v>0</v>
      </c>
      <c r="M764" s="16" t="s">
        <v>33</v>
      </c>
      <c r="N764" s="21">
        <f ca="1">VLOOKUP(A764,'[1]Bieu 1a'!$A$8:$AW$855,10,0)</f>
        <v>37</v>
      </c>
      <c r="O764" s="22">
        <f>VLOOKUP(A764,'[1]Bieu 1a'!$A$8:$AW$855,8,0)</f>
        <v>0</v>
      </c>
      <c r="P764" s="22" t="str">
        <f>VLOOKUP(A764,'[1]Bieu 1a'!$A$8:$AW$855,9,0)</f>
        <v>07/03/1989</v>
      </c>
      <c r="Q764" s="23" t="s">
        <v>50</v>
      </c>
      <c r="R764" s="24" t="str">
        <f>VLOOKUP(A764,'[1]Bieu 1a'!$A$8:$AW$855,23,0)</f>
        <v>05/04/2019</v>
      </c>
      <c r="S764" s="25" t="s">
        <v>3696</v>
      </c>
      <c r="T764" s="26" t="s">
        <v>3697</v>
      </c>
      <c r="U764" s="16"/>
      <c r="V764" s="16" t="str">
        <f>IFERROR(VLOOKUP(A764,'[2]19.6.2026'!$A$9:$L$1111,5,0),"")</f>
        <v/>
      </c>
      <c r="W764" s="16" t="str">
        <f>IFERROR(VLOOKUP(A764,'[2]19.6.2026'!$A$9:$L$1111,6,0),"")</f>
        <v/>
      </c>
      <c r="X764" s="16"/>
      <c r="Y764" s="21" t="str">
        <f>IFERROR(VLOOKUP(A764,'[2]19.6.2026'!$A$9:$L$1111,7,0),"")</f>
        <v/>
      </c>
      <c r="Z764" s="16"/>
      <c r="AA764" s="27" t="str">
        <f>IFERROR(VLOOKUP(A764,'[3]DS UPLOAD 2026 (2)'!$A$2:$P$1111,16,0),"")</f>
        <v/>
      </c>
      <c r="AB764" s="27">
        <v>946099255</v>
      </c>
      <c r="AC764" s="28" t="s">
        <v>181</v>
      </c>
    </row>
    <row r="765" spans="1:29" ht="15.75" customHeight="1" x14ac:dyDescent="0.3">
      <c r="A765" s="17" t="s">
        <v>3698</v>
      </c>
      <c r="B765" s="120" t="s">
        <v>3699</v>
      </c>
      <c r="C765" s="17" t="s">
        <v>3698</v>
      </c>
      <c r="D765" s="19" t="s">
        <v>38</v>
      </c>
      <c r="E765" s="19" t="s">
        <v>3690</v>
      </c>
      <c r="F765" s="16" t="str">
        <f>VLOOKUP(E765,'[1]BẢNG MÃ'!$A$2:$B$69,2,0)</f>
        <v>TĐ024</v>
      </c>
      <c r="G765" s="20"/>
      <c r="H765" s="20" t="s">
        <v>3691</v>
      </c>
      <c r="I765" s="16" t="s">
        <v>3627</v>
      </c>
      <c r="J765" s="16" t="str">
        <f>VLOOKUP(I765,'[1]BẢNG MÃ'!$C$2:$D$69,2,0)</f>
        <v>KP041</v>
      </c>
      <c r="K765" s="16"/>
      <c r="L765" s="16"/>
      <c r="M765" s="16" t="s">
        <v>33</v>
      </c>
      <c r="N765" s="21">
        <f ca="1">VLOOKUP(A765,'[1]Bieu 1a'!$A$8:$AW$855,10,0)</f>
        <v>33</v>
      </c>
      <c r="O765" s="22">
        <f>VLOOKUP(A765,'[1]Bieu 1a'!$A$8:$AW$855,8,0)</f>
        <v>0</v>
      </c>
      <c r="P765" s="22">
        <f>VLOOKUP(A765,'[1]Bieu 1a'!$A$8:$AW$855,9,0)</f>
        <v>34095</v>
      </c>
      <c r="Q765" s="23" t="s">
        <v>44</v>
      </c>
      <c r="R765" s="24" t="str">
        <f>VLOOKUP(A765,'[1]Bieu 1a'!$A$8:$AW$855,23,0)</f>
        <v xml:space="preserve"> 01/4/2016</v>
      </c>
      <c r="S765" s="25" t="s">
        <v>3700</v>
      </c>
      <c r="T765" s="26" t="s">
        <v>3701</v>
      </c>
      <c r="U765" s="16"/>
      <c r="V765" s="16" t="str">
        <f>IFERROR(VLOOKUP(A765,'[2]19.6.2026'!$A$9:$L$1111,5,0),"")</f>
        <v/>
      </c>
      <c r="W765" s="16" t="str">
        <f>IFERROR(VLOOKUP(A765,'[2]19.6.2026'!$A$9:$L$1111,6,0),"")</f>
        <v/>
      </c>
      <c r="X765" s="16"/>
      <c r="Y765" s="21" t="str">
        <f>IFERROR(VLOOKUP(A765,'[2]19.6.2026'!$A$9:$L$1111,7,0),"")</f>
        <v/>
      </c>
      <c r="Z765" s="16"/>
      <c r="AA765" s="27" t="str">
        <f>IFERROR(VLOOKUP(A765,'[3]DS UPLOAD 2026 (2)'!$A$2:$P$1111,16,0),"")</f>
        <v/>
      </c>
      <c r="AB765" s="27">
        <v>982587199</v>
      </c>
      <c r="AC765" s="29" t="s">
        <v>1658</v>
      </c>
    </row>
    <row r="766" spans="1:29" ht="29.25" customHeight="1" x14ac:dyDescent="0.3">
      <c r="A766" s="17" t="s">
        <v>3702</v>
      </c>
      <c r="B766" s="121" t="s">
        <v>3703</v>
      </c>
      <c r="C766" s="17" t="s">
        <v>3702</v>
      </c>
      <c r="D766" s="19" t="s">
        <v>38</v>
      </c>
      <c r="E766" s="19" t="s">
        <v>3690</v>
      </c>
      <c r="F766" s="16" t="str">
        <f>VLOOKUP(E766,'[1]BẢNG MÃ'!$A$2:$B$69,2,0)</f>
        <v>TĐ024</v>
      </c>
      <c r="G766" s="20"/>
      <c r="H766" s="20" t="s">
        <v>3691</v>
      </c>
      <c r="I766" s="16" t="s">
        <v>3627</v>
      </c>
      <c r="J766" s="16" t="str">
        <f>VLOOKUP(I766,'[1]BẢNG MÃ'!$C$2:$D$69,2,0)</f>
        <v>KP041</v>
      </c>
      <c r="K766" s="37"/>
      <c r="L766" s="16"/>
      <c r="M766" s="16" t="s">
        <v>33</v>
      </c>
      <c r="N766" s="21">
        <f ca="1">VLOOKUP(A766,'[1]Bieu 1a'!$A$8:$AW$855,10,0)</f>
        <v>30</v>
      </c>
      <c r="O766" s="22">
        <f>VLOOKUP(A766,'[1]Bieu 1a'!$A$8:$AW$855,8,0)</f>
        <v>0</v>
      </c>
      <c r="P766" s="22" t="str">
        <f>VLOOKUP(A766,'[1]Bieu 1a'!$A$8:$AW$855,9,0)</f>
        <v>11/05/1996</v>
      </c>
      <c r="Q766" s="23" t="s">
        <v>34</v>
      </c>
      <c r="R766" s="24" t="str">
        <f>VLOOKUP(A766,'[1]Bieu 1a'!$A$8:$AW$855,23,0)</f>
        <v>02/01/2019</v>
      </c>
      <c r="S766" s="25" t="s">
        <v>3704</v>
      </c>
      <c r="T766" s="26" t="s">
        <v>3705</v>
      </c>
      <c r="U766" s="16"/>
      <c r="V766" s="16" t="str">
        <f>IFERROR(VLOOKUP(A766,'[2]19.6.2026'!$A$9:$L$1111,5,0),"")</f>
        <v/>
      </c>
      <c r="W766" s="16" t="str">
        <f>IFERROR(VLOOKUP(A766,'[2]19.6.2026'!$A$9:$L$1111,6,0),"")</f>
        <v/>
      </c>
      <c r="X766" s="16"/>
      <c r="Y766" s="21" t="str">
        <f>IFERROR(VLOOKUP(A766,'[2]19.6.2026'!$A$9:$L$1111,7,0),"")</f>
        <v/>
      </c>
      <c r="Z766" s="16"/>
      <c r="AA766" s="27" t="str">
        <f>IFERROR(VLOOKUP(A766,'[3]DS UPLOAD 2026 (2)'!$A$2:$P$1111,16,0),"")</f>
        <v/>
      </c>
      <c r="AB766" s="27">
        <v>989494115</v>
      </c>
      <c r="AC766" s="29" t="s">
        <v>3706</v>
      </c>
    </row>
    <row r="767" spans="1:29" ht="15.75" customHeight="1" x14ac:dyDescent="0.3">
      <c r="A767" s="17" t="s">
        <v>3707</v>
      </c>
      <c r="B767" s="59" t="s">
        <v>3708</v>
      </c>
      <c r="C767" s="17" t="s">
        <v>3707</v>
      </c>
      <c r="D767" s="19" t="s">
        <v>38</v>
      </c>
      <c r="E767" s="39" t="s">
        <v>3709</v>
      </c>
      <c r="F767" s="16" t="str">
        <f>VLOOKUP(E767,'[1]BẢNG MÃ'!$A$2:$B$69,2,0)</f>
        <v>TĐ025</v>
      </c>
      <c r="G767" s="20" t="s">
        <v>3625</v>
      </c>
      <c r="H767" s="20" t="s">
        <v>3626</v>
      </c>
      <c r="I767" s="16" t="s">
        <v>3627</v>
      </c>
      <c r="J767" s="16" t="str">
        <f>VLOOKUP(I767,'[1]BẢNG MÃ'!$C$2:$D$69,2,0)</f>
        <v>KP041</v>
      </c>
      <c r="K767" s="16" t="s">
        <v>43</v>
      </c>
      <c r="L767" s="16">
        <v>0</v>
      </c>
      <c r="M767" s="16" t="s">
        <v>33</v>
      </c>
      <c r="N767" s="21">
        <f ca="1">VLOOKUP(A767,'[1]Bieu 1a'!$A$8:$AW$855,10,0)</f>
        <v>32</v>
      </c>
      <c r="O767" s="22">
        <f>VLOOKUP(A767,'[1]Bieu 1a'!$A$8:$AW$855,8,0)</f>
        <v>0</v>
      </c>
      <c r="P767" s="22" t="str">
        <f>VLOOKUP(A767,'[1]Bieu 1a'!$A$8:$AW$855,9,0)</f>
        <v>18/12/1993</v>
      </c>
      <c r="Q767" s="23" t="s">
        <v>50</v>
      </c>
      <c r="R767" s="24" t="str">
        <f>VLOOKUP(A767,'[1]Bieu 1a'!$A$8:$AW$855,23,0)</f>
        <v>10/01/2018</v>
      </c>
      <c r="S767" s="25" t="s">
        <v>3710</v>
      </c>
      <c r="T767" s="26" t="s">
        <v>3711</v>
      </c>
      <c r="U767" s="16"/>
      <c r="V767" s="16" t="str">
        <f>IFERROR(VLOOKUP(A767,'[2]19.6.2026'!$A$9:$L$1111,5,0),"")</f>
        <v/>
      </c>
      <c r="W767" s="16" t="str">
        <f>IFERROR(VLOOKUP(A767,'[2]19.6.2026'!$A$9:$L$1111,6,0),"")</f>
        <v/>
      </c>
      <c r="X767" s="16"/>
      <c r="Y767" s="21" t="str">
        <f>IFERROR(VLOOKUP(A767,'[2]19.6.2026'!$A$9:$L$1111,7,0),"")</f>
        <v/>
      </c>
      <c r="Z767" s="16"/>
      <c r="AA767" s="27" t="str">
        <f>IFERROR(VLOOKUP(A767,'[3]DS UPLOAD 2026 (2)'!$A$2:$P$1111,16,0),"")</f>
        <v/>
      </c>
      <c r="AB767" s="27" t="s">
        <v>3712</v>
      </c>
      <c r="AC767" s="28" t="s">
        <v>3713</v>
      </c>
    </row>
    <row r="768" spans="1:29" ht="15.75" customHeight="1" x14ac:dyDescent="0.3">
      <c r="A768" s="17" t="s">
        <v>3714</v>
      </c>
      <c r="B768" s="18" t="s">
        <v>3715</v>
      </c>
      <c r="C768" s="17" t="s">
        <v>3714</v>
      </c>
      <c r="D768" s="19" t="s">
        <v>38</v>
      </c>
      <c r="E768" s="19" t="s">
        <v>3716</v>
      </c>
      <c r="F768" s="16" t="e">
        <f>VLOOKUP(E768,'[1]BẢNG MÃ'!$A$2:$B$69,2,0)</f>
        <v>#N/A</v>
      </c>
      <c r="G768" s="20" t="s">
        <v>3625</v>
      </c>
      <c r="H768" s="20" t="s">
        <v>3626</v>
      </c>
      <c r="I768" s="16" t="s">
        <v>3627</v>
      </c>
      <c r="J768" s="16" t="str">
        <f>VLOOKUP(I768,'[1]BẢNG MÃ'!$C$2:$D$69,2,0)</f>
        <v>KP041</v>
      </c>
      <c r="K768" s="16" t="s">
        <v>31</v>
      </c>
      <c r="L768" s="16" t="s">
        <v>3309</v>
      </c>
      <c r="M768" s="16" t="s">
        <v>33</v>
      </c>
      <c r="N768" s="21">
        <f ca="1">VLOOKUP(A768,'[1]Bieu 1a'!$A$8:$AW$855,10,0)</f>
        <v>47</v>
      </c>
      <c r="O768" s="22">
        <f>VLOOKUP(A768,'[1]Bieu 1a'!$A$8:$AW$855,8,0)</f>
        <v>0</v>
      </c>
      <c r="P768" s="22">
        <f>VLOOKUP(A768,'[1]Bieu 1a'!$A$8:$AW$855,9,0)</f>
        <v>28956</v>
      </c>
      <c r="Q768" s="23" t="s">
        <v>50</v>
      </c>
      <c r="R768" s="24" t="str">
        <f>VLOOKUP(A768,'[1]Bieu 1a'!$A$8:$AW$855,23,0)</f>
        <v>15/6/2005</v>
      </c>
      <c r="S768" s="25" t="s">
        <v>3717</v>
      </c>
      <c r="T768" s="26" t="s">
        <v>3718</v>
      </c>
      <c r="U768" s="16"/>
      <c r="V768" s="16" t="str">
        <f>IFERROR(VLOOKUP(A768,'[2]19.6.2026'!$A$9:$L$1111,5,0),"")</f>
        <v/>
      </c>
      <c r="W768" s="16" t="str">
        <f>IFERROR(VLOOKUP(A768,'[2]19.6.2026'!$A$9:$L$1111,6,0),"")</f>
        <v/>
      </c>
      <c r="X768" s="16"/>
      <c r="Y768" s="21" t="str">
        <f>IFERROR(VLOOKUP(A768,'[2]19.6.2026'!$A$9:$L$1111,7,0),"")</f>
        <v/>
      </c>
      <c r="Z768" s="16"/>
      <c r="AA768" s="27" t="str">
        <f>IFERROR(VLOOKUP(A768,'[3]DS UPLOAD 2026 (2)'!$A$2:$P$1111,16,0),"")</f>
        <v/>
      </c>
      <c r="AB768" s="27">
        <v>914026628</v>
      </c>
      <c r="AC768" s="28"/>
    </row>
    <row r="769" spans="1:29" ht="15.75" customHeight="1" x14ac:dyDescent="0.3">
      <c r="A769" s="16" t="s">
        <v>3719</v>
      </c>
      <c r="B769" s="38" t="s">
        <v>3720</v>
      </c>
      <c r="C769" s="16" t="s">
        <v>3719</v>
      </c>
      <c r="D769" s="53"/>
      <c r="E769" s="19" t="s">
        <v>3721</v>
      </c>
      <c r="F769" s="16" t="e">
        <f>VLOOKUP(E769,'[1]BẢNG MÃ'!$A$2:$B$69,2,0)</f>
        <v>#N/A</v>
      </c>
      <c r="G769" s="20" t="s">
        <v>3625</v>
      </c>
      <c r="H769" s="20" t="s">
        <v>3626</v>
      </c>
      <c r="I769" s="16" t="s">
        <v>3627</v>
      </c>
      <c r="J769" s="16" t="str">
        <f>VLOOKUP(I769,'[1]BẢNG MÃ'!$C$2:$D$69,2,0)</f>
        <v>KP041</v>
      </c>
      <c r="K769" s="16" t="s">
        <v>43</v>
      </c>
      <c r="L769" s="16">
        <v>0</v>
      </c>
      <c r="M769" s="16" t="s">
        <v>33</v>
      </c>
      <c r="N769" s="21">
        <f ca="1">VLOOKUP(A769,'[1]Bieu 1a'!$A$8:$AW$855,10,0)</f>
        <v>33</v>
      </c>
      <c r="O769" s="22" t="str">
        <f>VLOOKUP(A769,'[1]Bieu 1a'!$A$8:$AW$855,8,0)</f>
        <v>25/12/1992</v>
      </c>
      <c r="P769" s="22">
        <f>VLOOKUP(A769,'[1]Bieu 1a'!$A$8:$AW$855,9,0)</f>
        <v>0</v>
      </c>
      <c r="Q769" s="23" t="s">
        <v>44</v>
      </c>
      <c r="R769" s="24">
        <f>VLOOKUP(A769,'[1]Bieu 1a'!$A$8:$AW$855,23,0)</f>
        <v>44012</v>
      </c>
      <c r="S769" s="25" t="s">
        <v>3722</v>
      </c>
      <c r="T769" s="26" t="s">
        <v>3723</v>
      </c>
      <c r="U769" s="16"/>
      <c r="V769" s="16" t="str">
        <f>IFERROR(VLOOKUP(A769,'[2]19.6.2026'!$A$9:$L$1111,5,0),"")</f>
        <v/>
      </c>
      <c r="W769" s="16" t="str">
        <f>IFERROR(VLOOKUP(A769,'[2]19.6.2026'!$A$9:$L$1111,6,0),"")</f>
        <v/>
      </c>
      <c r="X769" s="16"/>
      <c r="Y769" s="21" t="str">
        <f>IFERROR(VLOOKUP(A769,'[2]19.6.2026'!$A$9:$L$1111,7,0),"")</f>
        <v/>
      </c>
      <c r="Z769" s="16"/>
      <c r="AA769" s="27" t="str">
        <f>IFERROR(VLOOKUP(A769,'[3]DS UPLOAD 2026 (2)'!$A$2:$P$1111,16,0),"")</f>
        <v/>
      </c>
      <c r="AB769" s="27">
        <v>912192665</v>
      </c>
      <c r="AC769" s="28" t="s">
        <v>3724</v>
      </c>
    </row>
    <row r="770" spans="1:29" ht="15.75" customHeight="1" x14ac:dyDescent="0.3">
      <c r="A770" s="17" t="s">
        <v>3725</v>
      </c>
      <c r="B770" s="18" t="s">
        <v>3726</v>
      </c>
      <c r="C770" s="17" t="s">
        <v>3725</v>
      </c>
      <c r="D770" s="19"/>
      <c r="E770" s="16" t="s">
        <v>160</v>
      </c>
      <c r="F770" s="16" t="str">
        <f>VLOOKUP(E770,'[1]BẢNG MÃ'!$A$2:$B$69,2,0)</f>
        <v>TĐ003</v>
      </c>
      <c r="G770" s="20" t="s">
        <v>29</v>
      </c>
      <c r="H770" s="20" t="s">
        <v>29</v>
      </c>
      <c r="I770" s="16" t="s">
        <v>3727</v>
      </c>
      <c r="J770" s="16" t="str">
        <f>VLOOKUP(I770,'[1]BẢNG MÃ'!$C$2:$D$69,2,0)</f>
        <v>KP042</v>
      </c>
      <c r="K770" s="16" t="s">
        <v>31</v>
      </c>
      <c r="L770" s="16" t="s">
        <v>3309</v>
      </c>
      <c r="M770" s="16" t="s">
        <v>33</v>
      </c>
      <c r="N770" s="21">
        <f ca="1">VLOOKUP(A770,'[1]Bieu 1a'!$A$8:$AW$855,10,0)</f>
        <v>38</v>
      </c>
      <c r="O770" s="22">
        <f>VLOOKUP(A770,'[1]Bieu 1a'!$A$8:$AW$855,8,0)</f>
        <v>32058</v>
      </c>
      <c r="P770" s="22">
        <f>VLOOKUP(A770,'[1]Bieu 1a'!$A$8:$AW$855,9,0)</f>
        <v>0</v>
      </c>
      <c r="Q770" s="23" t="s">
        <v>44</v>
      </c>
      <c r="R770" s="24" t="str">
        <f>VLOOKUP(A770,'[1]Bieu 1a'!$A$8:$AW$855,23,0)</f>
        <v>10/6/2013</v>
      </c>
      <c r="S770" s="25" t="s">
        <v>3728</v>
      </c>
      <c r="T770" s="26" t="s">
        <v>3729</v>
      </c>
      <c r="U770" s="16"/>
      <c r="V770" s="16" t="str">
        <f>IFERROR(VLOOKUP(A770,'[2]19.6.2026'!$A$9:$L$1111,5,0),"")</f>
        <v>000851/LS-CCHN</v>
      </c>
      <c r="W770" s="16" t="str">
        <f>IFERROR(VLOOKUP(A770,'[2]19.6.2026'!$A$9:$L$1111,6,0),"")</f>
        <v>11/01/2023</v>
      </c>
      <c r="X770" s="16"/>
      <c r="Y770" s="21" t="str">
        <f>IFERROR(VLOOKUP(A770,'[2]19.6.2026'!$A$9:$L$1111,7,0),"")</f>
        <v>Khám bệnh, chữa bệnh chuyên khoa Nhi khoa</v>
      </c>
      <c r="Z770" s="16"/>
      <c r="AA770" s="27" t="str">
        <f>IFERROR(VLOOKUP(A770,'[3]DS UPLOAD 2026 (2)'!$A$2:$P$1111,16,0),"")</f>
        <v/>
      </c>
      <c r="AB770" s="27" t="s">
        <v>3730</v>
      </c>
      <c r="AC770" s="28"/>
    </row>
    <row r="771" spans="1:29" ht="18" customHeight="1" x14ac:dyDescent="0.3">
      <c r="A771" s="17" t="s">
        <v>3731</v>
      </c>
      <c r="B771" s="18" t="s">
        <v>3732</v>
      </c>
      <c r="C771" s="17" t="s">
        <v>3731</v>
      </c>
      <c r="D771" s="19" t="s">
        <v>38</v>
      </c>
      <c r="E771" s="30" t="s">
        <v>41</v>
      </c>
      <c r="F771" s="16" t="str">
        <f>VLOOKUP(E771,'[1]BẢNG MÃ'!$A$2:$B$69,2,0)</f>
        <v>TĐ011</v>
      </c>
      <c r="G771" s="105" t="s">
        <v>62</v>
      </c>
      <c r="H771" s="105" t="s">
        <v>62</v>
      </c>
      <c r="I771" s="16" t="s">
        <v>3727</v>
      </c>
      <c r="J771" s="16" t="str">
        <f>VLOOKUP(I771,'[1]BẢNG MÃ'!$C$2:$D$69,2,0)</f>
        <v>KP042</v>
      </c>
      <c r="K771" s="16" t="s">
        <v>43</v>
      </c>
      <c r="L771" s="16">
        <v>0</v>
      </c>
      <c r="M771" s="16" t="s">
        <v>33</v>
      </c>
      <c r="N771" s="21">
        <f ca="1">VLOOKUP(A771,'[1]Bieu 1a'!$A$8:$AW$855,10,0)</f>
        <v>37</v>
      </c>
      <c r="O771" s="22">
        <f>VLOOKUP(A771,'[1]Bieu 1a'!$A$8:$AW$855,8,0)</f>
        <v>0</v>
      </c>
      <c r="P771" s="22">
        <f>VLOOKUP(A771,'[1]Bieu 1a'!$A$8:$AW$855,9,0)</f>
        <v>32411</v>
      </c>
      <c r="Q771" s="23" t="s">
        <v>50</v>
      </c>
      <c r="R771" s="24" t="str">
        <f>VLOOKUP(A771,'[1]Bieu 1a'!$A$8:$AW$855,23,0)</f>
        <v>1/12/2010</v>
      </c>
      <c r="S771" s="25" t="s">
        <v>3733</v>
      </c>
      <c r="T771" s="26" t="s">
        <v>3734</v>
      </c>
      <c r="U771" s="16"/>
      <c r="V771" s="16" t="str">
        <f>IFERROR(VLOOKUP(A771,'[2]19.6.2026'!$A$9:$L$1111,5,0),"")</f>
        <v>000945/LS-CCHN</v>
      </c>
      <c r="W771" s="16" t="str">
        <f>IFERROR(VLOOKUP(A771,'[2]19.6.2026'!$A$9:$L$1111,6,0),"")</f>
        <v>11/12/2022</v>
      </c>
      <c r="X771" s="16"/>
      <c r="Y771" s="21" t="str">
        <f>IFERROR(VLOOKUP(A771,'[2]19.6.2026'!$A$9:$L$1111,7,0),"")</f>
        <v>Thực hiện phạm vi hoạt động chuyên môn theo quy định tại Thông tư số 26/2015/TTLT-BYT-BNV ngày 07/10/2015 quy định mã số, tiêu chuẩn chức danh nghề nghiệp điều dưỡng, hộ sinh, kỹ thuật y</v>
      </c>
      <c r="Z771" s="16"/>
      <c r="AA771" s="27" t="str">
        <f>IFERROR(VLOOKUP(A771,'[3]DS UPLOAD 2026 (2)'!$A$2:$P$1111,16,0),"")</f>
        <v/>
      </c>
      <c r="AB771" s="27" t="s">
        <v>3735</v>
      </c>
      <c r="AC771" s="28"/>
    </row>
    <row r="772" spans="1:29" ht="15.75" customHeight="1" x14ac:dyDescent="0.3">
      <c r="A772" s="17" t="s">
        <v>3736</v>
      </c>
      <c r="B772" s="120" t="s">
        <v>3737</v>
      </c>
      <c r="C772" s="17" t="s">
        <v>3736</v>
      </c>
      <c r="D772" s="19" t="s">
        <v>38</v>
      </c>
      <c r="E772" s="19" t="s">
        <v>61</v>
      </c>
      <c r="F772" s="16" t="str">
        <f>VLOOKUP(E772,'[1]BẢNG MÃ'!$A$2:$B$69,2,0)</f>
        <v>TĐ012</v>
      </c>
      <c r="G772" s="20" t="s">
        <v>62</v>
      </c>
      <c r="H772" s="20" t="s">
        <v>62</v>
      </c>
      <c r="I772" s="16" t="s">
        <v>3727</v>
      </c>
      <c r="J772" s="16" t="str">
        <f>VLOOKUP(I772,'[1]BẢNG MÃ'!$C$2:$D$69,2,0)</f>
        <v>KP042</v>
      </c>
      <c r="K772" s="16" t="s">
        <v>43</v>
      </c>
      <c r="L772" s="16">
        <v>0</v>
      </c>
      <c r="M772" s="16" t="s">
        <v>33</v>
      </c>
      <c r="N772" s="21">
        <f ca="1">VLOOKUP(A772,'[1]Bieu 1a'!$A$8:$AW$855,10,0)</f>
        <v>49</v>
      </c>
      <c r="O772" s="22">
        <f>VLOOKUP(A772,'[1]Bieu 1a'!$A$8:$AW$855,8,0)</f>
        <v>0</v>
      </c>
      <c r="P772" s="22">
        <f>VLOOKUP(A772,'[1]Bieu 1a'!$A$8:$AW$855,9,0)</f>
        <v>27959</v>
      </c>
      <c r="Q772" s="23" t="s">
        <v>50</v>
      </c>
      <c r="R772" s="24" t="str">
        <f>VLOOKUP(A772,'[1]Bieu 1a'!$A$8:$AW$855,23,0)</f>
        <v>16/2/2005</v>
      </c>
      <c r="S772" s="25" t="s">
        <v>3738</v>
      </c>
      <c r="T772" s="26" t="s">
        <v>3739</v>
      </c>
      <c r="U772" s="16"/>
      <c r="V772" s="16" t="str">
        <f>IFERROR(VLOOKUP(A772,'[2]19.6.2026'!$A$9:$L$1111,5,0),"")</f>
        <v>001106/LS-CCHN</v>
      </c>
      <c r="W772" s="16" t="str">
        <f>IFERROR(VLOOKUP(A772,'[2]19.6.2026'!$A$9:$L$1111,6,0),"")</f>
        <v>11/12/2022</v>
      </c>
      <c r="X772" s="16"/>
      <c r="Y772" s="21" t="str">
        <f>IFERROR(VLOOKUP(A772,'[2]19.6.2026'!$A$9:$L$1111,7,0),"")</f>
        <v>Thực hiện phạm vi hoạt động chuyên môn theo quy định tại Thông tư số 26/2015/TTLT-BYT-BNV ngày 07/10/2015 quy định mã số, tiêu chuẩn chức danh nghề nghiệp điều dưỡng, hộ sinh, kỹ thuật y</v>
      </c>
      <c r="Z772" s="16"/>
      <c r="AA772" s="27" t="str">
        <f>IFERROR(VLOOKUP(A772,'[3]DS UPLOAD 2026 (2)'!$A$2:$P$1111,16,0),"")</f>
        <v/>
      </c>
      <c r="AB772" s="27" t="s">
        <v>3740</v>
      </c>
      <c r="AC772" s="54"/>
    </row>
    <row r="773" spans="1:29" ht="15.75" customHeight="1" x14ac:dyDescent="0.3">
      <c r="A773" s="17" t="s">
        <v>3741</v>
      </c>
      <c r="B773" s="18" t="s">
        <v>3742</v>
      </c>
      <c r="C773" s="17" t="s">
        <v>3741</v>
      </c>
      <c r="D773" s="19" t="s">
        <v>38</v>
      </c>
      <c r="E773" s="19" t="s">
        <v>3743</v>
      </c>
      <c r="F773" s="16" t="str">
        <f>VLOOKUP(E773,'[1]BẢNG MÃ'!$A$2:$B$69,2,0)</f>
        <v>TĐ026</v>
      </c>
      <c r="G773" s="20" t="s">
        <v>3744</v>
      </c>
      <c r="H773" s="20" t="s">
        <v>3744</v>
      </c>
      <c r="I773" s="16" t="s">
        <v>3727</v>
      </c>
      <c r="J773" s="16" t="str">
        <f>VLOOKUP(I773,'[1]BẢNG MÃ'!$C$2:$D$69,2,0)</f>
        <v>KP042</v>
      </c>
      <c r="K773" s="16" t="s">
        <v>43</v>
      </c>
      <c r="L773" s="16">
        <v>0</v>
      </c>
      <c r="M773" s="16" t="s">
        <v>33</v>
      </c>
      <c r="N773" s="21">
        <f ca="1">VLOOKUP(A773,'[1]Bieu 1a'!$A$8:$AW$855,10,0)</f>
        <v>40</v>
      </c>
      <c r="O773" s="22">
        <f>VLOOKUP(A773,'[1]Bieu 1a'!$A$8:$AW$855,8,0)</f>
        <v>0</v>
      </c>
      <c r="P773" s="22">
        <f>VLOOKUP(A773,'[1]Bieu 1a'!$A$8:$AW$855,9,0)</f>
        <v>31556</v>
      </c>
      <c r="Q773" s="23" t="s">
        <v>44</v>
      </c>
      <c r="R773" s="24" t="str">
        <f>VLOOKUP(A773,'[1]Bieu 1a'!$A$8:$AW$855,23,0)</f>
        <v>15/1/2010</v>
      </c>
      <c r="S773" s="25" t="s">
        <v>3745</v>
      </c>
      <c r="T773" s="26" t="s">
        <v>3746</v>
      </c>
      <c r="U773" s="16"/>
      <c r="V773" s="16" t="str">
        <f>IFERROR(VLOOKUP(A773,'[2]19.6.2026'!$A$9:$L$1111,5,0),"")</f>
        <v/>
      </c>
      <c r="W773" s="16" t="str">
        <f>IFERROR(VLOOKUP(A773,'[2]19.6.2026'!$A$9:$L$1111,6,0),"")</f>
        <v/>
      </c>
      <c r="X773" s="16"/>
      <c r="Y773" s="21" t="str">
        <f>IFERROR(VLOOKUP(A773,'[2]19.6.2026'!$A$9:$L$1111,7,0),"")</f>
        <v/>
      </c>
      <c r="Z773" s="16"/>
      <c r="AA773" s="27" t="str">
        <f>IFERROR(VLOOKUP(A773,'[3]DS UPLOAD 2026 (2)'!$A$2:$P$1111,16,0),"")</f>
        <v/>
      </c>
      <c r="AB773" s="27" t="s">
        <v>3747</v>
      </c>
      <c r="AC773" s="28"/>
    </row>
    <row r="774" spans="1:29" ht="15.75" customHeight="1" x14ac:dyDescent="0.3">
      <c r="A774" s="17" t="s">
        <v>3748</v>
      </c>
      <c r="B774" s="18" t="s">
        <v>3749</v>
      </c>
      <c r="C774" s="17" t="s">
        <v>3748</v>
      </c>
      <c r="D774" s="19" t="s">
        <v>38</v>
      </c>
      <c r="E774" s="19" t="s">
        <v>3743</v>
      </c>
      <c r="F774" s="16" t="str">
        <f>VLOOKUP(E774,'[1]BẢNG MÃ'!$A$2:$B$69,2,0)</f>
        <v>TĐ026</v>
      </c>
      <c r="G774" s="20" t="s">
        <v>3424</v>
      </c>
      <c r="H774" s="20" t="s">
        <v>3425</v>
      </c>
      <c r="I774" s="16" t="s">
        <v>3727</v>
      </c>
      <c r="J774" s="16" t="str">
        <f>VLOOKUP(I774,'[1]BẢNG MÃ'!$C$2:$D$69,2,0)</f>
        <v>KP042</v>
      </c>
      <c r="K774" s="16" t="s">
        <v>43</v>
      </c>
      <c r="L774" s="16">
        <v>0</v>
      </c>
      <c r="M774" s="16" t="s">
        <v>33</v>
      </c>
      <c r="N774" s="21">
        <f ca="1">VLOOKUP(A774,'[1]Bieu 1a'!$A$8:$AW$855,10,0)</f>
        <v>41</v>
      </c>
      <c r="O774" s="22">
        <f>VLOOKUP(A774,'[1]Bieu 1a'!$A$8:$AW$855,8,0)</f>
        <v>0</v>
      </c>
      <c r="P774" s="22">
        <f>VLOOKUP(A774,'[1]Bieu 1a'!$A$8:$AW$855,9,0)</f>
        <v>31041</v>
      </c>
      <c r="Q774" s="23" t="s">
        <v>50</v>
      </c>
      <c r="R774" s="24" t="str">
        <f>VLOOKUP(A774,'[1]Bieu 1a'!$A$8:$AW$855,23,0)</f>
        <v>01/11/2014</v>
      </c>
      <c r="S774" s="25" t="s">
        <v>3750</v>
      </c>
      <c r="T774" s="26" t="s">
        <v>3751</v>
      </c>
      <c r="U774" s="16"/>
      <c r="V774" s="16" t="str">
        <f>IFERROR(VLOOKUP(A774,'[2]19.6.2026'!$A$9:$L$1111,5,0),"")</f>
        <v/>
      </c>
      <c r="W774" s="16" t="str">
        <f>IFERROR(VLOOKUP(A774,'[2]19.6.2026'!$A$9:$L$1111,6,0),"")</f>
        <v/>
      </c>
      <c r="X774" s="16"/>
      <c r="Y774" s="21" t="str">
        <f>IFERROR(VLOOKUP(A774,'[2]19.6.2026'!$A$9:$L$1111,7,0),"")</f>
        <v/>
      </c>
      <c r="Z774" s="16"/>
      <c r="AA774" s="27" t="str">
        <f>IFERROR(VLOOKUP(A774,'[3]DS UPLOAD 2026 (2)'!$A$2:$P$1111,16,0),"")</f>
        <v/>
      </c>
      <c r="AB774" s="27" t="s">
        <v>3752</v>
      </c>
      <c r="AC774" s="28"/>
    </row>
    <row r="775" spans="1:29" ht="21" customHeight="1" x14ac:dyDescent="0.3">
      <c r="A775" s="17" t="s">
        <v>3753</v>
      </c>
      <c r="B775" s="59" t="s">
        <v>3754</v>
      </c>
      <c r="C775" s="17" t="s">
        <v>3753</v>
      </c>
      <c r="D775" s="19"/>
      <c r="E775" s="19" t="s">
        <v>3211</v>
      </c>
      <c r="F775" s="16" t="str">
        <f>VLOOKUP(E775,'[1]BẢNG MÃ'!$A$2:$B$69,2,0)</f>
        <v>TĐ036</v>
      </c>
      <c r="G775" s="20"/>
      <c r="H775" s="16" t="s">
        <v>3212</v>
      </c>
      <c r="I775" s="16" t="s">
        <v>3727</v>
      </c>
      <c r="J775" s="16" t="str">
        <f>VLOOKUP(I775,'[1]BẢNG MÃ'!$C$2:$D$69,2,0)</f>
        <v>KP042</v>
      </c>
      <c r="K775" s="16"/>
      <c r="L775" s="16"/>
      <c r="M775" s="23" t="s">
        <v>33</v>
      </c>
      <c r="N775" s="21">
        <f ca="1">VLOOKUP(A775,'[1]Bieu 1a'!$A$8:$AW$855,10,0)</f>
        <v>34</v>
      </c>
      <c r="O775" s="22">
        <f>VLOOKUP(A775,'[1]Bieu 1a'!$A$8:$AW$855,8,0)</f>
        <v>33674</v>
      </c>
      <c r="P775" s="22">
        <f>VLOOKUP(A775,'[1]Bieu 1a'!$A$8:$AW$855,9,0)</f>
        <v>0</v>
      </c>
      <c r="Q775" s="23" t="s">
        <v>50</v>
      </c>
      <c r="R775" s="24" t="str">
        <f>VLOOKUP(A775,'[1]Bieu 1a'!$A$8:$AW$855,23,0)</f>
        <v xml:space="preserve"> 02/10/2017</v>
      </c>
      <c r="S775" s="25" t="s">
        <v>3755</v>
      </c>
      <c r="T775" s="26">
        <v>0</v>
      </c>
      <c r="U775" s="16"/>
      <c r="V775" s="16" t="str">
        <f>IFERROR(VLOOKUP(A775,'[2]19.6.2026'!$A$9:$L$1111,5,0),"")</f>
        <v/>
      </c>
      <c r="W775" s="16" t="str">
        <f>IFERROR(VLOOKUP(A775,'[2]19.6.2026'!$A$9:$L$1111,6,0),"")</f>
        <v/>
      </c>
      <c r="X775" s="16"/>
      <c r="Y775" s="21" t="str">
        <f>IFERROR(VLOOKUP(A775,'[2]19.6.2026'!$A$9:$L$1111,7,0),"")</f>
        <v/>
      </c>
      <c r="Z775" s="16"/>
      <c r="AA775" s="27" t="str">
        <f>IFERROR(VLOOKUP(A775,'[3]DS UPLOAD 2026 (2)'!$A$2:$P$1111,16,0),"")</f>
        <v/>
      </c>
      <c r="AB775" s="27" t="s">
        <v>3756</v>
      </c>
      <c r="AC775" s="29" t="s">
        <v>681</v>
      </c>
    </row>
    <row r="776" spans="1:29" ht="15.75" customHeight="1" x14ac:dyDescent="0.3">
      <c r="A776" s="17" t="s">
        <v>3757</v>
      </c>
      <c r="B776" s="69" t="s">
        <v>3758</v>
      </c>
      <c r="C776" s="17" t="s">
        <v>3757</v>
      </c>
      <c r="D776" s="39"/>
      <c r="E776" s="19" t="s">
        <v>3211</v>
      </c>
      <c r="F776" s="16" t="str">
        <f>VLOOKUP(E776,'[1]BẢNG MÃ'!$A$2:$B$69,2,0)</f>
        <v>TĐ036</v>
      </c>
      <c r="G776" s="20" t="s">
        <v>3212</v>
      </c>
      <c r="H776" s="20" t="s">
        <v>3212</v>
      </c>
      <c r="I776" s="16" t="s">
        <v>3727</v>
      </c>
      <c r="J776" s="16" t="str">
        <f>VLOOKUP(I776,'[1]BẢNG MÃ'!$C$2:$D$69,2,0)</f>
        <v>KP042</v>
      </c>
      <c r="K776" s="16" t="s">
        <v>43</v>
      </c>
      <c r="L776" s="16">
        <v>0</v>
      </c>
      <c r="M776" s="16" t="s">
        <v>33</v>
      </c>
      <c r="N776" s="21">
        <f ca="1">VLOOKUP(A776,'[1]Bieu 1a'!$A$8:$AW$855,10,0)</f>
        <v>33</v>
      </c>
      <c r="O776" s="22" t="str">
        <f>VLOOKUP(A776,'[1]Bieu 1a'!$A$8:$AW$855,8,0)</f>
        <v>12/9/1992</v>
      </c>
      <c r="P776" s="22">
        <f>VLOOKUP(A776,'[1]Bieu 1a'!$A$8:$AW$855,9,0)</f>
        <v>0</v>
      </c>
      <c r="Q776" s="23" t="s">
        <v>50</v>
      </c>
      <c r="R776" s="24" t="str">
        <f>VLOOKUP(A776,'[1]Bieu 1a'!$A$8:$AW$855,23,0)</f>
        <v>15/01/2016</v>
      </c>
      <c r="S776" s="25" t="s">
        <v>3759</v>
      </c>
      <c r="T776" s="26" t="s">
        <v>3760</v>
      </c>
      <c r="U776" s="16"/>
      <c r="V776" s="16" t="str">
        <f>IFERROR(VLOOKUP(A776,'[2]19.6.2026'!$A$9:$L$1111,5,0),"")</f>
        <v/>
      </c>
      <c r="W776" s="16" t="str">
        <f>IFERROR(VLOOKUP(A776,'[2]19.6.2026'!$A$9:$L$1111,6,0),"")</f>
        <v/>
      </c>
      <c r="X776" s="16"/>
      <c r="Y776" s="21" t="str">
        <f>IFERROR(VLOOKUP(A776,'[2]19.6.2026'!$A$9:$L$1111,7,0),"")</f>
        <v/>
      </c>
      <c r="Z776" s="16"/>
      <c r="AA776" s="27" t="str">
        <f>IFERROR(VLOOKUP(A776,'[3]DS UPLOAD 2026 (2)'!$A$2:$P$1111,16,0),"")</f>
        <v/>
      </c>
      <c r="AB776" s="27" t="s">
        <v>3761</v>
      </c>
      <c r="AC776" s="28"/>
    </row>
    <row r="777" spans="1:29" ht="15.75" customHeight="1" x14ac:dyDescent="0.3">
      <c r="A777" s="17" t="s">
        <v>3762</v>
      </c>
      <c r="B777" s="18" t="s">
        <v>3763</v>
      </c>
      <c r="C777" s="17" t="s">
        <v>3762</v>
      </c>
      <c r="D777" s="19" t="s">
        <v>38</v>
      </c>
      <c r="E777" s="19" t="s">
        <v>3266</v>
      </c>
      <c r="F777" s="16" t="str">
        <f>VLOOKUP(E777,'[1]BẢNG MÃ'!$A$2:$B$69,2,0)</f>
        <v>TĐ051</v>
      </c>
      <c r="G777" s="20"/>
      <c r="H777" s="16" t="s">
        <v>3267</v>
      </c>
      <c r="I777" s="16" t="s">
        <v>3727</v>
      </c>
      <c r="J777" s="16" t="str">
        <f>VLOOKUP(I777,'[1]BẢNG MÃ'!$C$2:$D$69,2,0)</f>
        <v>KP042</v>
      </c>
      <c r="K777" s="16"/>
      <c r="L777" s="16"/>
      <c r="M777" s="23" t="s">
        <v>33</v>
      </c>
      <c r="N777" s="21">
        <f ca="1">VLOOKUP(A777,'[1]Bieu 1a'!$A$8:$AW$855,10,0)</f>
        <v>32</v>
      </c>
      <c r="O777" s="22">
        <f>VLOOKUP(A777,'[1]Bieu 1a'!$A$8:$AW$855,8,0)</f>
        <v>0</v>
      </c>
      <c r="P777" s="22" t="str">
        <f>VLOOKUP(A777,'[1]Bieu 1a'!$A$8:$AW$855,9,0)</f>
        <v>25/8/1993</v>
      </c>
      <c r="Q777" s="23" t="s">
        <v>34</v>
      </c>
      <c r="R777" s="24" t="str">
        <f>VLOOKUP(A777,'[1]Bieu 1a'!$A$8:$AW$855,23,0)</f>
        <v>15/8/2019</v>
      </c>
      <c r="S777" s="25" t="s">
        <v>3764</v>
      </c>
      <c r="T777" s="26" t="s">
        <v>3765</v>
      </c>
      <c r="U777" s="16"/>
      <c r="V777" s="16" t="str">
        <f>IFERROR(VLOOKUP(A777,'[2]19.6.2026'!$A$9:$L$1111,5,0),"")</f>
        <v>004334/LS-CCHN</v>
      </c>
      <c r="W777" s="16" t="str">
        <f>IFERROR(VLOOKUP(A777,'[2]19.6.2026'!$A$9:$L$1111,6,0),"")</f>
        <v>17/8/2021</v>
      </c>
      <c r="X777" s="16"/>
      <c r="Y777" s="21" t="str">
        <f>IFERROR(VLOOKUP(A777,'[2]19.6.2026'!$A$9:$L$1111,7,0),"")</f>
        <v>Phát hiện và xử trí các bệnh thông thường; xử trí ban đầu một số trường hợp cấp cứu tại cộng đồng</v>
      </c>
      <c r="Z777" s="16"/>
      <c r="AA777" s="27" t="str">
        <f>IFERROR(VLOOKUP(A777,'[3]DS UPLOAD 2026 (2)'!$A$2:$P$1111,16,0),"")</f>
        <v/>
      </c>
      <c r="AB777" s="41" t="s">
        <v>3766</v>
      </c>
      <c r="AC777" s="29" t="s">
        <v>3767</v>
      </c>
    </row>
    <row r="778" spans="1:29" ht="18.75" customHeight="1" x14ac:dyDescent="0.3">
      <c r="A778" s="17" t="s">
        <v>3768</v>
      </c>
      <c r="B778" s="18" t="s">
        <v>3769</v>
      </c>
      <c r="C778" s="17" t="s">
        <v>3768</v>
      </c>
      <c r="D778" s="19" t="s">
        <v>38</v>
      </c>
      <c r="E778" s="19" t="s">
        <v>41</v>
      </c>
      <c r="F778" s="16" t="str">
        <f>VLOOKUP(E778,'[1]BẢNG MÃ'!$A$2:$B$69,2,0)</f>
        <v>TĐ011</v>
      </c>
      <c r="G778" s="20" t="s">
        <v>42</v>
      </c>
      <c r="H778" s="20" t="s">
        <v>42</v>
      </c>
      <c r="I778" s="16" t="s">
        <v>3770</v>
      </c>
      <c r="J778" s="16" t="str">
        <f>VLOOKUP(I778,'[1]BẢNG MÃ'!$C$2:$D$69,2,0)</f>
        <v>KP043</v>
      </c>
      <c r="K778" s="16" t="s">
        <v>31</v>
      </c>
      <c r="L778" s="16" t="s">
        <v>3309</v>
      </c>
      <c r="M778" s="16" t="s">
        <v>33</v>
      </c>
      <c r="N778" s="21">
        <f ca="1">VLOOKUP(A778,'[1]Bieu 1a'!$A$8:$AW$855,10,0)</f>
        <v>36</v>
      </c>
      <c r="O778" s="22">
        <f>VLOOKUP(A778,'[1]Bieu 1a'!$A$8:$AW$855,8,0)</f>
        <v>0</v>
      </c>
      <c r="P778" s="22">
        <f>VLOOKUP(A778,'[1]Bieu 1a'!$A$8:$AW$855,9,0)</f>
        <v>32755</v>
      </c>
      <c r="Q778" s="23" t="s">
        <v>44</v>
      </c>
      <c r="R778" s="24" t="str">
        <f>VLOOKUP(A778,'[1]Bieu 1a'!$A$8:$AW$855,23,0)</f>
        <v>1/7/2013</v>
      </c>
      <c r="S778" s="25" t="s">
        <v>3771</v>
      </c>
      <c r="T778" s="26" t="s">
        <v>3772</v>
      </c>
      <c r="U778" s="16"/>
      <c r="V778" s="16" t="str">
        <f>IFERROR(VLOOKUP(A778,'[2]19.6.2026'!$A$9:$L$1111,5,0),"")</f>
        <v>000422/LS-CCHN</v>
      </c>
      <c r="W778" s="16" t="str">
        <f>IFERROR(VLOOKUP(A778,'[2]19.6.2026'!$A$9:$L$1111,6,0),"")</f>
        <v>18/07/2016</v>
      </c>
      <c r="X778" s="16"/>
      <c r="Y778" s="21" t="str">
        <f>IFERROR(VLOOKUP(A778,'[2]19.6.2026'!$A$9:$L$1111,7,0),"")</f>
        <v>Theo quy định tại Quyết định số 41/2005/QĐ-BNV ngày 22/4/2005 của Bộ trưởng Bộ Nội vụ về việc ban hành tiêu chuẩn nghiệp vụ các ngạch viên chức y tế điều dưỡng</v>
      </c>
      <c r="Z778" s="16"/>
      <c r="AA778" s="27" t="str">
        <f>IFERROR(VLOOKUP(A778,'[3]DS UPLOAD 2026 (2)'!$A$2:$P$1111,16,0),"")</f>
        <v/>
      </c>
      <c r="AB778" s="27">
        <v>356256368</v>
      </c>
      <c r="AC778" s="51"/>
    </row>
    <row r="779" spans="1:29" ht="15.75" customHeight="1" x14ac:dyDescent="0.3">
      <c r="A779" s="17" t="s">
        <v>3773</v>
      </c>
      <c r="B779" s="18" t="s">
        <v>3774</v>
      </c>
      <c r="C779" s="17" t="s">
        <v>3773</v>
      </c>
      <c r="D779" s="19" t="s">
        <v>38</v>
      </c>
      <c r="E779" s="30" t="s">
        <v>41</v>
      </c>
      <c r="F779" s="16" t="str">
        <f>VLOOKUP(E779,'[1]BẢNG MÃ'!$A$2:$B$69,2,0)</f>
        <v>TĐ011</v>
      </c>
      <c r="G779" s="31" t="s">
        <v>42</v>
      </c>
      <c r="H779" s="31" t="s">
        <v>42</v>
      </c>
      <c r="I779" s="16" t="s">
        <v>3770</v>
      </c>
      <c r="J779" s="16" t="str">
        <f>VLOOKUP(I779,'[1]BẢNG MÃ'!$C$2:$D$69,2,0)</f>
        <v>KP043</v>
      </c>
      <c r="K779" s="16" t="s">
        <v>43</v>
      </c>
      <c r="L779" s="16">
        <v>0</v>
      </c>
      <c r="M779" s="16" t="s">
        <v>33</v>
      </c>
      <c r="N779" s="21">
        <f ca="1">VLOOKUP(A779,'[1]Bieu 1a'!$A$8:$AW$855,10,0)</f>
        <v>42</v>
      </c>
      <c r="O779" s="22">
        <f>VLOOKUP(A779,'[1]Bieu 1a'!$A$8:$AW$855,8,0)</f>
        <v>0</v>
      </c>
      <c r="P779" s="22">
        <f>VLOOKUP(A779,'[1]Bieu 1a'!$A$8:$AW$855,9,0)</f>
        <v>30834</v>
      </c>
      <c r="Q779" s="23" t="s">
        <v>50</v>
      </c>
      <c r="R779" s="24" t="str">
        <f>VLOOKUP(A779,'[1]Bieu 1a'!$A$8:$AW$855,23,0)</f>
        <v>6/11/2006</v>
      </c>
      <c r="S779" s="25" t="s">
        <v>3775</v>
      </c>
      <c r="T779" s="26" t="s">
        <v>3776</v>
      </c>
      <c r="U779" s="16"/>
      <c r="V779" s="16" t="str">
        <f>IFERROR(VLOOKUP(A779,'[2]19.6.2026'!$A$9:$L$1111,5,0),"")</f>
        <v>000994/LS-CCHN</v>
      </c>
      <c r="W779" s="16" t="str">
        <f>IFERROR(VLOOKUP(A779,'[2]19.6.2026'!$A$9:$L$1111,6,0),"")</f>
        <v>11/01/2023</v>
      </c>
      <c r="X779" s="16"/>
      <c r="Y779" s="21" t="str">
        <f>IFERROR(VLOOKUP(A779,'[2]19.6.2026'!$A$9:$L$1111,7,0),"")</f>
        <v>Thực hiện phạm vi hoạt động chuyên môn theo Thông tư số 26/2015/TTLT-BYT-BNV ngày 07/10/2015 quy định  mã số, tiêu chuẩn chức danh nghề nghiệp, điều dưỡng, hộ sinh, kỹ thuật y</v>
      </c>
      <c r="Z779" s="16"/>
      <c r="AA779" s="27" t="str">
        <f>IFERROR(VLOOKUP(A779,'[3]DS UPLOAD 2026 (2)'!$A$2:$P$1111,16,0),"")</f>
        <v/>
      </c>
      <c r="AB779" s="27">
        <v>984907287</v>
      </c>
      <c r="AC779" s="28"/>
    </row>
    <row r="780" spans="1:29" ht="18" customHeight="1" x14ac:dyDescent="0.3">
      <c r="A780" s="17" t="s">
        <v>3777</v>
      </c>
      <c r="B780" s="18" t="s">
        <v>3778</v>
      </c>
      <c r="C780" s="17" t="s">
        <v>3777</v>
      </c>
      <c r="D780" s="19" t="s">
        <v>38</v>
      </c>
      <c r="E780" s="19" t="s">
        <v>61</v>
      </c>
      <c r="F780" s="16" t="str">
        <f>VLOOKUP(E780,'[1]BẢNG MÃ'!$A$2:$B$69,2,0)</f>
        <v>TĐ012</v>
      </c>
      <c r="G780" s="16" t="s">
        <v>62</v>
      </c>
      <c r="H780" s="16" t="s">
        <v>62</v>
      </c>
      <c r="I780" s="16" t="s">
        <v>3770</v>
      </c>
      <c r="J780" s="16" t="str">
        <f>VLOOKUP(I780,'[1]BẢNG MÃ'!$C$2:$D$69,2,0)</f>
        <v>KP043</v>
      </c>
      <c r="K780" s="16" t="s">
        <v>43</v>
      </c>
      <c r="L780" s="16">
        <v>0</v>
      </c>
      <c r="M780" s="16" t="s">
        <v>33</v>
      </c>
      <c r="N780" s="21">
        <f ca="1">VLOOKUP(A780,'[1]Bieu 1a'!$A$8:$AW$855,10,0)</f>
        <v>37</v>
      </c>
      <c r="O780" s="22">
        <f>VLOOKUP(A780,'[1]Bieu 1a'!$A$8:$AW$855,8,0)</f>
        <v>0</v>
      </c>
      <c r="P780" s="22">
        <f>VLOOKUP(A780,'[1]Bieu 1a'!$A$8:$AW$855,9,0)</f>
        <v>32618</v>
      </c>
      <c r="Q780" s="23" t="s">
        <v>50</v>
      </c>
      <c r="R780" s="24" t="str">
        <f>VLOOKUP(A780,'[1]Bieu 1a'!$A$8:$AW$855,23,0)</f>
        <v>10/6/2013</v>
      </c>
      <c r="S780" s="25" t="s">
        <v>3779</v>
      </c>
      <c r="T780" s="26" t="s">
        <v>3780</v>
      </c>
      <c r="U780" s="16"/>
      <c r="V780" s="16" t="str">
        <f>IFERROR(VLOOKUP(A780,'[2]19.6.2026'!$A$9:$L$1111,5,0),"")</f>
        <v>000431/LS-CCHN</v>
      </c>
      <c r="W780" s="16" t="str">
        <f>IFERROR(VLOOKUP(A780,'[2]19.6.2026'!$A$9:$L$1111,6,0),"")</f>
        <v>11/01/2023</v>
      </c>
      <c r="X780" s="16"/>
      <c r="Y780" s="21" t="str">
        <f>IFERROR(VLOOKUP(A780,'[2]19.6.2026'!$A$9:$L$1111,7,0),"")</f>
        <v>Thực hiện phạm vi hoạt động chuyên môn theo Thông tư số 26/2015/TTLT-BYT-BNV ngày 07/10/2015 quy định  mã số, tiêu chuẩn chức danh nghề nghiệp, điều dưỡng, hộ sinh, kỹ thuật y</v>
      </c>
      <c r="Z780" s="16"/>
      <c r="AA780" s="27" t="str">
        <f>IFERROR(VLOOKUP(A780,'[3]DS UPLOAD 2026 (2)'!$A$2:$P$1111,16,0),"")</f>
        <v/>
      </c>
      <c r="AB780" s="27">
        <v>979427366</v>
      </c>
      <c r="AC780" s="28"/>
    </row>
    <row r="781" spans="1:29" ht="18.75" customHeight="1" x14ac:dyDescent="0.3">
      <c r="A781" s="17" t="s">
        <v>3781</v>
      </c>
      <c r="B781" s="18" t="s">
        <v>3782</v>
      </c>
      <c r="C781" s="17" t="s">
        <v>3781</v>
      </c>
      <c r="D781" s="19" t="s">
        <v>38</v>
      </c>
      <c r="E781" s="19" t="s">
        <v>3211</v>
      </c>
      <c r="F781" s="16" t="str">
        <f>VLOOKUP(E781,'[1]BẢNG MÃ'!$A$2:$B$69,2,0)</f>
        <v>TĐ036</v>
      </c>
      <c r="G781" s="20" t="s">
        <v>3212</v>
      </c>
      <c r="H781" s="20" t="s">
        <v>3212</v>
      </c>
      <c r="I781" s="16" t="s">
        <v>3770</v>
      </c>
      <c r="J781" s="16" t="str">
        <f>VLOOKUP(I781,'[1]BẢNG MÃ'!$C$2:$D$69,2,0)</f>
        <v>KP043</v>
      </c>
      <c r="K781" s="16" t="s">
        <v>43</v>
      </c>
      <c r="L781" s="16">
        <v>0</v>
      </c>
      <c r="M781" s="16" t="s">
        <v>33</v>
      </c>
      <c r="N781" s="21" t="str">
        <f>VLOOKUP(A781,'[1]Bieu 1a'!$A$8:$AW$855,10,0)</f>
        <v>Đang công tác tại Nội Thận</v>
      </c>
      <c r="O781" s="22">
        <f>VLOOKUP(A781,'[1]Bieu 1a'!$A$8:$AW$855,8,0)</f>
        <v>0</v>
      </c>
      <c r="P781" s="22">
        <f>VLOOKUP(A781,'[1]Bieu 1a'!$A$8:$AW$855,9,0)</f>
        <v>31417</v>
      </c>
      <c r="Q781" s="23" t="s">
        <v>44</v>
      </c>
      <c r="R781" s="24" t="str">
        <f>VLOOKUP(A781,'[1]Bieu 1a'!$A$8:$AW$855,23,0)</f>
        <v>1/12/2008</v>
      </c>
      <c r="S781" s="25" t="s">
        <v>3783</v>
      </c>
      <c r="T781" s="26" t="s">
        <v>3784</v>
      </c>
      <c r="U781" s="16"/>
      <c r="V781" s="16" t="str">
        <f>IFERROR(VLOOKUP(A781,'[2]19.6.2026'!$A$9:$L$1111,5,0),"")</f>
        <v>000779/LS-CCHN</v>
      </c>
      <c r="W781" s="16" t="str">
        <f>IFERROR(VLOOKUP(A781,'[2]19.6.2026'!$A$9:$L$1111,6,0),"")</f>
        <v>24/06/2013</v>
      </c>
      <c r="X781" s="16"/>
      <c r="Y781" s="21" t="str">
        <f>IFERROR(VLOOKUP(A781,'[2]19.6.2026'!$A$9:$L$1111,7,0),"")</f>
        <v>Theo quy định tại Quyết định số 41/2005/QĐ-BNV ngày 22/4/2005 của Bộ trưởng Bộ Nội vụ về việc ban hành tiêu chuẩn nghiệp vụ các ngạch viên chức y tế điều dưỡng</v>
      </c>
      <c r="Z781" s="16"/>
      <c r="AA781" s="27" t="str">
        <f>IFERROR(VLOOKUP(A781,'[3]DS UPLOAD 2026 (2)'!$A$2:$P$1111,16,0),"")</f>
        <v/>
      </c>
      <c r="AB781" s="27" t="s">
        <v>3785</v>
      </c>
      <c r="AC781" s="28"/>
    </row>
    <row r="782" spans="1:29" ht="15.75" customHeight="1" x14ac:dyDescent="0.3">
      <c r="A782" s="17" t="s">
        <v>3786</v>
      </c>
      <c r="B782" s="36" t="s">
        <v>3787</v>
      </c>
      <c r="C782" s="17" t="s">
        <v>3786</v>
      </c>
      <c r="D782" s="19" t="s">
        <v>38</v>
      </c>
      <c r="E782" s="16" t="s">
        <v>3788</v>
      </c>
      <c r="F782" s="16" t="str">
        <f>VLOOKUP(E782,'[1]BẢNG MÃ'!$A$2:$B$69,2,0)</f>
        <v>TĐ037</v>
      </c>
      <c r="G782" s="16" t="s">
        <v>3424</v>
      </c>
      <c r="H782" s="16" t="s">
        <v>3789</v>
      </c>
      <c r="I782" s="16" t="s">
        <v>3770</v>
      </c>
      <c r="J782" s="16" t="str">
        <f>VLOOKUP(I782,'[1]BẢNG MÃ'!$C$2:$D$69,2,0)</f>
        <v>KP043</v>
      </c>
      <c r="K782" s="16" t="s">
        <v>43</v>
      </c>
      <c r="L782" s="16">
        <v>0</v>
      </c>
      <c r="M782" s="16" t="s">
        <v>33</v>
      </c>
      <c r="N782" s="21">
        <f ca="1">VLOOKUP(A782,'[1]Bieu 1a'!$A$8:$AW$855,10,0)</f>
        <v>32</v>
      </c>
      <c r="O782" s="22">
        <f>VLOOKUP(A782,'[1]Bieu 1a'!$A$8:$AW$855,8,0)</f>
        <v>0</v>
      </c>
      <c r="P782" s="22" t="str">
        <f>VLOOKUP(A782,'[1]Bieu 1a'!$A$8:$AW$855,9,0)</f>
        <v>08/12/1993</v>
      </c>
      <c r="Q782" s="23" t="s">
        <v>34</v>
      </c>
      <c r="R782" s="24" t="str">
        <f>VLOOKUP(A782,'[1]Bieu 1a'!$A$8:$AW$855,23,0)</f>
        <v>20/3/2018</v>
      </c>
      <c r="S782" s="25" t="s">
        <v>3790</v>
      </c>
      <c r="T782" s="26" t="s">
        <v>3791</v>
      </c>
      <c r="U782" s="16"/>
      <c r="V782" s="16" t="str">
        <f>IFERROR(VLOOKUP(A782,'[2]19.6.2026'!$A$9:$L$1111,5,0),"")</f>
        <v/>
      </c>
      <c r="W782" s="16" t="str">
        <f>IFERROR(VLOOKUP(A782,'[2]19.6.2026'!$A$9:$L$1111,6,0),"")</f>
        <v/>
      </c>
      <c r="X782" s="16"/>
      <c r="Y782" s="21" t="str">
        <f>IFERROR(VLOOKUP(A782,'[2]19.6.2026'!$A$9:$L$1111,7,0),"")</f>
        <v/>
      </c>
      <c r="Z782" s="16"/>
      <c r="AA782" s="27" t="str">
        <f>IFERROR(VLOOKUP(A782,'[3]DS UPLOAD 2026 (2)'!$A$2:$P$1111,16,0),"")</f>
        <v/>
      </c>
      <c r="AB782" s="27">
        <v>363548372</v>
      </c>
      <c r="AC782" s="28" t="s">
        <v>374</v>
      </c>
    </row>
    <row r="783" spans="1:29" ht="15.75" customHeight="1" x14ac:dyDescent="0.3">
      <c r="A783" s="17" t="s">
        <v>3792</v>
      </c>
      <c r="B783" s="36" t="s">
        <v>3793</v>
      </c>
      <c r="C783" s="17" t="s">
        <v>3792</v>
      </c>
      <c r="D783" s="19" t="s">
        <v>38</v>
      </c>
      <c r="E783" s="19" t="s">
        <v>3794</v>
      </c>
      <c r="F783" s="16" t="str">
        <f>VLOOKUP(E783,'[1]BẢNG MÃ'!$A$2:$B$69,2,0)</f>
        <v>TĐ039</v>
      </c>
      <c r="G783" s="16" t="s">
        <v>3424</v>
      </c>
      <c r="H783" s="16" t="s">
        <v>3789</v>
      </c>
      <c r="I783" s="16" t="s">
        <v>3770</v>
      </c>
      <c r="J783" s="16" t="str">
        <f>VLOOKUP(I783,'[1]BẢNG MÃ'!$C$2:$D$69,2,0)</f>
        <v>KP043</v>
      </c>
      <c r="K783" s="16" t="s">
        <v>43</v>
      </c>
      <c r="L783" s="16">
        <v>0</v>
      </c>
      <c r="M783" s="16" t="s">
        <v>33</v>
      </c>
      <c r="N783" s="21">
        <f ca="1">VLOOKUP(A783,'[1]Bieu 1a'!$A$8:$AW$855,10,0)</f>
        <v>32</v>
      </c>
      <c r="O783" s="22">
        <f>VLOOKUP(A783,'[1]Bieu 1a'!$A$8:$AW$855,8,0)</f>
        <v>0</v>
      </c>
      <c r="P783" s="22">
        <f>VLOOKUP(A783,'[1]Bieu 1a'!$A$8:$AW$855,9,0)</f>
        <v>34165</v>
      </c>
      <c r="Q783" s="23" t="s">
        <v>34</v>
      </c>
      <c r="R783" s="24" t="str">
        <f>VLOOKUP(A783,'[1]Bieu 1a'!$A$8:$AW$855,23,0)</f>
        <v>20/3/2018</v>
      </c>
      <c r="S783" s="25" t="s">
        <v>3795</v>
      </c>
      <c r="T783" s="26" t="s">
        <v>3796</v>
      </c>
      <c r="U783" s="16"/>
      <c r="V783" s="16" t="str">
        <f>IFERROR(VLOOKUP(A783,'[2]19.6.2026'!$A$9:$L$1111,5,0),"")</f>
        <v/>
      </c>
      <c r="W783" s="16" t="str">
        <f>IFERROR(VLOOKUP(A783,'[2]19.6.2026'!$A$9:$L$1111,6,0),"")</f>
        <v/>
      </c>
      <c r="X783" s="16"/>
      <c r="Y783" s="21" t="str">
        <f>IFERROR(VLOOKUP(A783,'[2]19.6.2026'!$A$9:$L$1111,7,0),"")</f>
        <v/>
      </c>
      <c r="Z783" s="16"/>
      <c r="AA783" s="27" t="str">
        <f>IFERROR(VLOOKUP(A783,'[3]DS UPLOAD 2026 (2)'!$A$2:$P$1111,16,0),"")</f>
        <v/>
      </c>
      <c r="AB783" s="27">
        <v>834560093</v>
      </c>
      <c r="AC783" s="28" t="s">
        <v>374</v>
      </c>
    </row>
    <row r="784" spans="1:29" ht="16.5" customHeight="1" x14ac:dyDescent="0.35">
      <c r="A784" s="17" t="s">
        <v>3797</v>
      </c>
      <c r="B784" s="29" t="s">
        <v>3798</v>
      </c>
      <c r="C784" s="17" t="s">
        <v>3797</v>
      </c>
      <c r="D784" s="19"/>
      <c r="E784" s="19" t="s">
        <v>479</v>
      </c>
      <c r="F784" s="16" t="str">
        <f>VLOOKUP(E784,'[1]BẢNG MÃ'!$A$2:$B$69,2,0)</f>
        <v>TĐ004</v>
      </c>
      <c r="G784" s="20" t="s">
        <v>29</v>
      </c>
      <c r="H784" s="20" t="s">
        <v>29</v>
      </c>
      <c r="I784" s="16" t="s">
        <v>3799</v>
      </c>
      <c r="J784" s="16" t="str">
        <f>VLOOKUP(I784,'[1]BẢNG MÃ'!$C$2:$D$69,2,0)</f>
        <v>KP044</v>
      </c>
      <c r="K784" s="16" t="s">
        <v>31</v>
      </c>
      <c r="L784" s="16" t="s">
        <v>3309</v>
      </c>
      <c r="M784" s="16" t="s">
        <v>33</v>
      </c>
      <c r="N784" s="21">
        <f ca="1">VLOOKUP(A784,'[1]Bieu 1a'!$A$8:$AW$855,10,0)</f>
        <v>49</v>
      </c>
      <c r="O784" s="22" t="str">
        <f>VLOOKUP(A784,'[1]Bieu 1a'!$A$8:$AW$855,8,0)</f>
        <v>01/02/1977</v>
      </c>
      <c r="P784" s="22">
        <f>VLOOKUP(A784,'[1]Bieu 1a'!$A$8:$AW$855,9,0)</f>
        <v>0</v>
      </c>
      <c r="Q784" s="23" t="s">
        <v>50</v>
      </c>
      <c r="R784" s="24" t="str">
        <f>VLOOKUP(A784,'[1]Bieu 1a'!$A$8:$AW$855,23,0)</f>
        <v>25/5/2009</v>
      </c>
      <c r="S784" s="25" t="s">
        <v>3800</v>
      </c>
      <c r="T784" s="26" t="s">
        <v>3801</v>
      </c>
      <c r="U784" s="143"/>
      <c r="V784" s="16" t="str">
        <f>IFERROR(VLOOKUP(A784,'[2]19.6.2026'!$A$9:$L$1111,5,0),"")</f>
        <v>000500/LS-CCHN</v>
      </c>
      <c r="W784" s="16" t="str">
        <f>IFERROR(VLOOKUP(A784,'[2]19.6.2026'!$A$9:$L$1111,6,0),"")</f>
        <v>24/08/2016</v>
      </c>
      <c r="X784" s="16"/>
      <c r="Y784" s="21" t="str">
        <f>IFERROR(VLOOKUP(A784,'[2]19.6.2026'!$A$9:$L$1111,7,0),"")</f>
        <v>Khám bệnh, chữa bệnh Ngoại khoa</v>
      </c>
      <c r="Z784" s="16"/>
      <c r="AA784" s="27" t="str">
        <f>IFERROR(VLOOKUP(A784,'[3]DS UPLOAD 2026 (2)'!$A$2:$P$1111,16,0),"")</f>
        <v/>
      </c>
      <c r="AB784" s="27" t="s">
        <v>3802</v>
      </c>
      <c r="AC784" s="28"/>
    </row>
    <row r="785" spans="1:29" ht="16.5" customHeight="1" x14ac:dyDescent="0.3">
      <c r="A785" s="17" t="s">
        <v>3803</v>
      </c>
      <c r="B785" s="120" t="s">
        <v>3804</v>
      </c>
      <c r="C785" s="17" t="s">
        <v>3803</v>
      </c>
      <c r="D785" s="19" t="s">
        <v>38</v>
      </c>
      <c r="E785" s="19" t="s">
        <v>61</v>
      </c>
      <c r="F785" s="16" t="str">
        <f>VLOOKUP(E785,'[1]BẢNG MÃ'!$A$2:$B$69,2,0)</f>
        <v>TĐ012</v>
      </c>
      <c r="G785" s="16" t="s">
        <v>62</v>
      </c>
      <c r="H785" s="16" t="s">
        <v>62</v>
      </c>
      <c r="I785" s="16" t="s">
        <v>3799</v>
      </c>
      <c r="J785" s="16" t="str">
        <f>VLOOKUP(I785,'[1]BẢNG MÃ'!$C$2:$D$69,2,0)</f>
        <v>KP044</v>
      </c>
      <c r="K785" s="16" t="s">
        <v>43</v>
      </c>
      <c r="L785" s="16">
        <v>0</v>
      </c>
      <c r="M785" s="16" t="s">
        <v>33</v>
      </c>
      <c r="N785" s="21">
        <f ca="1">VLOOKUP(A785,'[1]Bieu 1a'!$A$8:$AW$855,10,0)</f>
        <v>53</v>
      </c>
      <c r="O785" s="22">
        <f>VLOOKUP(A785,'[1]Bieu 1a'!$A$8:$AW$855,8,0)</f>
        <v>0</v>
      </c>
      <c r="P785" s="22">
        <f>VLOOKUP(A785,'[1]Bieu 1a'!$A$8:$AW$855,9,0)</f>
        <v>26825</v>
      </c>
      <c r="Q785" s="23" t="s">
        <v>34</v>
      </c>
      <c r="R785" s="24" t="str">
        <f>VLOOKUP(A785,'[1]Bieu 1a'!$A$8:$AW$855,23,0)</f>
        <v>1/11/2003</v>
      </c>
      <c r="S785" s="25" t="s">
        <v>3805</v>
      </c>
      <c r="T785" s="26" t="s">
        <v>3806</v>
      </c>
      <c r="U785" s="16"/>
      <c r="V785" s="16" t="str">
        <f>IFERROR(VLOOKUP(A785,'[2]19.6.2026'!$A$9:$L$1111,5,0),"")</f>
        <v>001105/LS-CCHN</v>
      </c>
      <c r="W785" s="16" t="str">
        <f>IFERROR(VLOOKUP(A785,'[2]19.6.2026'!$A$9:$L$1111,6,0),"")</f>
        <v>11/01/2023</v>
      </c>
      <c r="X785" s="16"/>
      <c r="Y785" s="21" t="str">
        <f>IFERROR(VLOOKUP(A785,'[2]19.6.2026'!$A$9:$L$1111,7,0),"")</f>
        <v>Thực hiện phạm vi hoạt động chuyên môn theo Thông tư số 26/2015/TTLT-BYT-BNV ngày 07/10/2015 quy định  mã số, tiêu chuẩn chức danh nghề nghiệp, điều dưỡng, hộ sinh, kỹ thuật y</v>
      </c>
      <c r="Z785" s="16"/>
      <c r="AA785" s="27" t="str">
        <f>IFERROR(VLOOKUP(A785,'[3]DS UPLOAD 2026 (2)'!$A$2:$P$1111,16,0),"")</f>
        <v/>
      </c>
      <c r="AB785" s="27" t="s">
        <v>3807</v>
      </c>
      <c r="AC785" s="54"/>
    </row>
    <row r="786" spans="1:29" ht="16.5" customHeight="1" x14ac:dyDescent="0.3">
      <c r="A786" s="17" t="s">
        <v>3808</v>
      </c>
      <c r="B786" s="18" t="s">
        <v>3809</v>
      </c>
      <c r="C786" s="17" t="s">
        <v>3808</v>
      </c>
      <c r="D786" s="19" t="s">
        <v>38</v>
      </c>
      <c r="E786" s="19" t="s">
        <v>3211</v>
      </c>
      <c r="F786" s="16" t="str">
        <f>VLOOKUP(E786,'[1]BẢNG MÃ'!$A$2:$B$69,2,0)</f>
        <v>TĐ036</v>
      </c>
      <c r="G786" s="20"/>
      <c r="H786" s="16" t="s">
        <v>3212</v>
      </c>
      <c r="I786" s="16" t="s">
        <v>3799</v>
      </c>
      <c r="J786" s="16" t="str">
        <f>VLOOKUP(I786,'[1]BẢNG MÃ'!$C$2:$D$69,2,0)</f>
        <v>KP044</v>
      </c>
      <c r="K786" s="16"/>
      <c r="L786" s="16"/>
      <c r="M786" s="16" t="s">
        <v>33</v>
      </c>
      <c r="N786" s="21">
        <f ca="1">VLOOKUP(A786,'[1]Bieu 1a'!$A$8:$AW$855,10,0)</f>
        <v>28</v>
      </c>
      <c r="O786" s="22">
        <f>VLOOKUP(A786,'[1]Bieu 1a'!$A$8:$AW$855,8,0)</f>
        <v>0</v>
      </c>
      <c r="P786" s="22" t="str">
        <f>VLOOKUP(A786,'[1]Bieu 1a'!$A$8:$AW$855,9,0)</f>
        <v>08/8/1997</v>
      </c>
      <c r="Q786" s="23" t="s">
        <v>34</v>
      </c>
      <c r="R786" s="24" t="str">
        <f>VLOOKUP(A786,'[1]Bieu 1a'!$A$8:$AW$855,23,0)</f>
        <v>15/8/2019</v>
      </c>
      <c r="S786" s="25" t="s">
        <v>3810</v>
      </c>
      <c r="T786" s="26" t="s">
        <v>3811</v>
      </c>
      <c r="U786" s="16"/>
      <c r="V786" s="16" t="str">
        <f>IFERROR(VLOOKUP(A786,'[2]19.6.2026'!$A$9:$L$1111,5,0),"")</f>
        <v/>
      </c>
      <c r="W786" s="16" t="str">
        <f>IFERROR(VLOOKUP(A786,'[2]19.6.2026'!$A$9:$L$1111,6,0),"")</f>
        <v/>
      </c>
      <c r="X786" s="16"/>
      <c r="Y786" s="21" t="str">
        <f>IFERROR(VLOOKUP(A786,'[2]19.6.2026'!$A$9:$L$1111,7,0),"")</f>
        <v/>
      </c>
      <c r="Z786" s="16"/>
      <c r="AA786" s="27" t="str">
        <f>IFERROR(VLOOKUP(A786,'[3]DS UPLOAD 2026 (2)'!$A$2:$P$1111,16,0),"")</f>
        <v/>
      </c>
      <c r="AB786" s="41">
        <v>962161223</v>
      </c>
      <c r="AC786" s="29" t="s">
        <v>3812</v>
      </c>
    </row>
    <row r="787" spans="1:29" ht="15.75" customHeight="1" x14ac:dyDescent="0.3">
      <c r="A787" s="17" t="s">
        <v>3813</v>
      </c>
      <c r="B787" s="29" t="s">
        <v>3814</v>
      </c>
      <c r="C787" s="17" t="s">
        <v>3813</v>
      </c>
      <c r="D787" s="19" t="s">
        <v>38</v>
      </c>
      <c r="E787" s="16" t="s">
        <v>160</v>
      </c>
      <c r="F787" s="16" t="str">
        <f>VLOOKUP(E787,'[1]BẢNG MÃ'!$A$2:$B$69,2,0)</f>
        <v>TĐ003</v>
      </c>
      <c r="G787" s="20" t="s">
        <v>29</v>
      </c>
      <c r="H787" s="20" t="s">
        <v>29</v>
      </c>
      <c r="I787" s="16" t="s">
        <v>3815</v>
      </c>
      <c r="J787" s="16" t="str">
        <f>VLOOKUP(I787,'[1]BẢNG MÃ'!$C$2:$D$69,2,0)</f>
        <v>KP045</v>
      </c>
      <c r="K787" s="16" t="s">
        <v>31</v>
      </c>
      <c r="L787" s="16" t="s">
        <v>3309</v>
      </c>
      <c r="M787" s="16" t="s">
        <v>33</v>
      </c>
      <c r="N787" s="21">
        <f ca="1">VLOOKUP(A787,'[1]Bieu 1a'!$A$8:$AW$855,10,0)</f>
        <v>40</v>
      </c>
      <c r="O787" s="22">
        <f>VLOOKUP(A787,'[1]Bieu 1a'!$A$8:$AW$855,8,0)</f>
        <v>0</v>
      </c>
      <c r="P787" s="22">
        <f>VLOOKUP(A787,'[1]Bieu 1a'!$A$8:$AW$855,9,0)</f>
        <v>31358</v>
      </c>
      <c r="Q787" s="23" t="s">
        <v>34</v>
      </c>
      <c r="R787" s="24" t="str">
        <f>VLOOKUP(A787,'[1]Bieu 1a'!$A$8:$AW$855,23,0)</f>
        <v>10/06/2013</v>
      </c>
      <c r="S787" s="25" t="s">
        <v>3816</v>
      </c>
      <c r="T787" s="26" t="s">
        <v>3817</v>
      </c>
      <c r="U787" s="16"/>
      <c r="V787" s="16" t="str">
        <f>IFERROR(VLOOKUP(A787,'[2]19.6.2026'!$A$9:$L$1111,5,0),"")</f>
        <v>000374/LS-CCHN</v>
      </c>
      <c r="W787" s="16" t="str">
        <f>IFERROR(VLOOKUP(A787,'[2]19.6.2026'!$A$9:$L$1111,6,0),"")</f>
        <v>11/01/2023</v>
      </c>
      <c r="X787" s="16"/>
      <c r="Y787" s="21" t="str">
        <f>IFERROR(VLOOKUP(A787,'[2]19.6.2026'!$A$9:$L$1111,7,0),"")</f>
        <v>Khám chữa bệnh chuyên khoa Phụ sản</v>
      </c>
      <c r="Z787" s="16"/>
      <c r="AA787" s="27" t="str">
        <f>IFERROR(VLOOKUP(A787,'[3]DS UPLOAD 2026 (2)'!$A$2:$P$1111,16,0),"")</f>
        <v/>
      </c>
      <c r="AB787" s="27">
        <v>987244718</v>
      </c>
      <c r="AC787" s="28"/>
    </row>
    <row r="788" spans="1:29" ht="15.75" customHeight="1" x14ac:dyDescent="0.3">
      <c r="A788" s="17" t="s">
        <v>3818</v>
      </c>
      <c r="B788" s="38" t="s">
        <v>3819</v>
      </c>
      <c r="C788" s="17" t="s">
        <v>3818</v>
      </c>
      <c r="D788" s="19"/>
      <c r="E788" s="19" t="s">
        <v>3211</v>
      </c>
      <c r="F788" s="16" t="str">
        <f>VLOOKUP(E788,'[1]BẢNG MÃ'!$A$2:$B$69,2,0)</f>
        <v>TĐ036</v>
      </c>
      <c r="G788" s="20" t="s">
        <v>3212</v>
      </c>
      <c r="H788" s="20" t="s">
        <v>3212</v>
      </c>
      <c r="I788" s="16" t="s">
        <v>3815</v>
      </c>
      <c r="J788" s="16" t="str">
        <f>VLOOKUP(I788,'[1]BẢNG MÃ'!$C$2:$D$69,2,0)</f>
        <v>KP045</v>
      </c>
      <c r="K788" s="16" t="s">
        <v>43</v>
      </c>
      <c r="L788" s="16">
        <v>0</v>
      </c>
      <c r="M788" s="16" t="s">
        <v>33</v>
      </c>
      <c r="N788" s="21">
        <f ca="1">VLOOKUP(A788,'[1]Bieu 1a'!$A$8:$AW$855,10,0)</f>
        <v>33</v>
      </c>
      <c r="O788" s="22" t="str">
        <f>VLOOKUP(A788,'[1]Bieu 1a'!$A$8:$AW$855,8,0)</f>
        <v>08/5/1993</v>
      </c>
      <c r="P788" s="22">
        <f>VLOOKUP(A788,'[1]Bieu 1a'!$A$8:$AW$855,9,0)</f>
        <v>0</v>
      </c>
      <c r="Q788" s="23" t="s">
        <v>44</v>
      </c>
      <c r="R788" s="24" t="str">
        <f>VLOOKUP(A788,'[1]Bieu 1a'!$A$8:$AW$855,23,0)</f>
        <v>01/02/2017</v>
      </c>
      <c r="S788" s="25" t="s">
        <v>3820</v>
      </c>
      <c r="T788" s="26" t="s">
        <v>3821</v>
      </c>
      <c r="U788" s="16"/>
      <c r="V788" s="16" t="str">
        <f>IFERROR(VLOOKUP(A788,'[2]19.6.2026'!$A$9:$L$1111,5,0),"")</f>
        <v/>
      </c>
      <c r="W788" s="16" t="str">
        <f>IFERROR(VLOOKUP(A788,'[2]19.6.2026'!$A$9:$L$1111,6,0),"")</f>
        <v/>
      </c>
      <c r="X788" s="16"/>
      <c r="Y788" s="21" t="str">
        <f>IFERROR(VLOOKUP(A788,'[2]19.6.2026'!$A$9:$L$1111,7,0),"")</f>
        <v/>
      </c>
      <c r="Z788" s="16"/>
      <c r="AA788" s="27" t="str">
        <f>IFERROR(VLOOKUP(A788,'[3]DS UPLOAD 2026 (2)'!$A$2:$P$1111,16,0),"")</f>
        <v/>
      </c>
      <c r="AB788" s="27">
        <v>989586334</v>
      </c>
      <c r="AC788" s="28" t="s">
        <v>3822</v>
      </c>
    </row>
    <row r="789" spans="1:29" ht="15.75" customHeight="1" x14ac:dyDescent="0.3">
      <c r="A789" s="17" t="s">
        <v>3823</v>
      </c>
      <c r="B789" s="40" t="s">
        <v>3824</v>
      </c>
      <c r="C789" s="17" t="s">
        <v>3823</v>
      </c>
      <c r="D789" s="19" t="s">
        <v>38</v>
      </c>
      <c r="E789" s="19" t="s">
        <v>3211</v>
      </c>
      <c r="F789" s="16" t="str">
        <f>VLOOKUP(E789,'[1]BẢNG MÃ'!$A$2:$B$69,2,0)</f>
        <v>TĐ036</v>
      </c>
      <c r="G789" s="20" t="s">
        <v>3212</v>
      </c>
      <c r="H789" s="20" t="s">
        <v>3212</v>
      </c>
      <c r="I789" s="16" t="s">
        <v>3815</v>
      </c>
      <c r="J789" s="16" t="str">
        <f>VLOOKUP(I789,'[1]BẢNG MÃ'!$C$2:$D$69,2,0)</f>
        <v>KP045</v>
      </c>
      <c r="K789" s="16" t="s">
        <v>43</v>
      </c>
      <c r="L789" s="16">
        <v>0</v>
      </c>
      <c r="M789" s="16" t="s">
        <v>33</v>
      </c>
      <c r="N789" s="21">
        <f ca="1">VLOOKUP(A789,'[1]Bieu 1a'!$A$8:$AW$855,10,0)</f>
        <v>34</v>
      </c>
      <c r="O789" s="22">
        <f>VLOOKUP(A789,'[1]Bieu 1a'!$A$8:$AW$855,8,0)</f>
        <v>0</v>
      </c>
      <c r="P789" s="22" t="str">
        <f>VLOOKUP(A789,'[1]Bieu 1a'!$A$8:$AW$855,9,0)</f>
        <v>20/8/1991</v>
      </c>
      <c r="Q789" s="23" t="s">
        <v>44</v>
      </c>
      <c r="R789" s="24" t="str">
        <f>VLOOKUP(A789,'[1]Bieu 1a'!$A$8:$AW$855,23,0)</f>
        <v>08/01/2016</v>
      </c>
      <c r="S789" s="25" t="s">
        <v>3825</v>
      </c>
      <c r="T789" s="26" t="s">
        <v>935</v>
      </c>
      <c r="U789" s="16"/>
      <c r="V789" s="16" t="str">
        <f>IFERROR(VLOOKUP(A789,'[2]19.6.2026'!$A$9:$L$1111,5,0),"")</f>
        <v/>
      </c>
      <c r="W789" s="16" t="str">
        <f>IFERROR(VLOOKUP(A789,'[2]19.6.2026'!$A$9:$L$1111,6,0),"")</f>
        <v/>
      </c>
      <c r="X789" s="16"/>
      <c r="Y789" s="21" t="str">
        <f>IFERROR(VLOOKUP(A789,'[2]19.6.2026'!$A$9:$L$1111,7,0),"")</f>
        <v/>
      </c>
      <c r="Z789" s="16"/>
      <c r="AA789" s="27" t="str">
        <f>IFERROR(VLOOKUP(A789,'[3]DS UPLOAD 2026 (2)'!$A$2:$P$1111,16,0),"")</f>
        <v/>
      </c>
      <c r="AB789" s="27">
        <v>866880286</v>
      </c>
      <c r="AC789" s="36"/>
    </row>
    <row r="790" spans="1:29" ht="15.75" customHeight="1" x14ac:dyDescent="0.3">
      <c r="A790" s="17" t="s">
        <v>3826</v>
      </c>
      <c r="B790" s="18" t="s">
        <v>3827</v>
      </c>
      <c r="C790" s="17" t="s">
        <v>3826</v>
      </c>
      <c r="D790" s="19" t="s">
        <v>38</v>
      </c>
      <c r="E790" s="19" t="s">
        <v>3211</v>
      </c>
      <c r="F790" s="16" t="str">
        <f>VLOOKUP(E790,'[1]BẢNG MÃ'!$A$2:$B$69,2,0)</f>
        <v>TĐ036</v>
      </c>
      <c r="G790" s="20" t="s">
        <v>3212</v>
      </c>
      <c r="H790" s="20" t="s">
        <v>3212</v>
      </c>
      <c r="I790" s="16" t="s">
        <v>3815</v>
      </c>
      <c r="J790" s="16" t="str">
        <f>VLOOKUP(I790,'[1]BẢNG MÃ'!$C$2:$D$69,2,0)</f>
        <v>KP045</v>
      </c>
      <c r="K790" s="16" t="s">
        <v>43</v>
      </c>
      <c r="L790" s="16">
        <v>0</v>
      </c>
      <c r="M790" s="16" t="s">
        <v>33</v>
      </c>
      <c r="N790" s="21">
        <f ca="1">VLOOKUP(A790,'[1]Bieu 1a'!$A$8:$AW$855,10,0)</f>
        <v>38</v>
      </c>
      <c r="O790" s="22">
        <f>VLOOKUP(A790,'[1]Bieu 1a'!$A$8:$AW$855,8,0)</f>
        <v>0</v>
      </c>
      <c r="P790" s="22">
        <f>VLOOKUP(A790,'[1]Bieu 1a'!$A$8:$AW$855,9,0)</f>
        <v>32160</v>
      </c>
      <c r="Q790" s="23" t="s">
        <v>50</v>
      </c>
      <c r="R790" s="24" t="str">
        <f>VLOOKUP(A790,'[1]Bieu 1a'!$A$8:$AW$855,23,0)</f>
        <v>15/1/2010</v>
      </c>
      <c r="S790" s="25" t="s">
        <v>3828</v>
      </c>
      <c r="T790" s="26" t="s">
        <v>984</v>
      </c>
      <c r="U790" s="16"/>
      <c r="V790" s="16" t="str">
        <f>IFERROR(VLOOKUP(A790,'[2]19.6.2026'!$A$9:$L$1111,5,0),"")</f>
        <v>000941/LS-CCHN</v>
      </c>
      <c r="W790" s="16" t="str">
        <f>IFERROR(VLOOKUP(A790,'[2]19.6.2026'!$A$9:$L$1111,6,0),"")</f>
        <v>24/06/2013</v>
      </c>
      <c r="X790" s="16"/>
      <c r="Y790" s="21" t="str">
        <f>IFERROR(VLOOKUP(A790,'[2]19.6.2026'!$A$9:$L$1111,7,0),"")</f>
        <v>Theo quy định tại Quyết định số 41/2005/QĐ-BNV ngày 22/4/2005 của Bộ trưởng Bộ Nội vụ về việc ban hành tiêu chuẩn nghiệp vụ các ngạch viên chức y tế điều dưỡng</v>
      </c>
      <c r="Z790" s="16"/>
      <c r="AA790" s="27" t="str">
        <f>IFERROR(VLOOKUP(A790,'[3]DS UPLOAD 2026 (2)'!$A$2:$P$1111,16,0),"")</f>
        <v/>
      </c>
      <c r="AB790" s="27">
        <v>333013138</v>
      </c>
      <c r="AC790" s="28"/>
    </row>
    <row r="791" spans="1:29" ht="15.75" customHeight="1" x14ac:dyDescent="0.3">
      <c r="A791" s="17" t="s">
        <v>3829</v>
      </c>
      <c r="B791" s="59" t="s">
        <v>3830</v>
      </c>
      <c r="C791" s="17" t="s">
        <v>3829</v>
      </c>
      <c r="D791" s="19"/>
      <c r="E791" s="39" t="s">
        <v>3211</v>
      </c>
      <c r="F791" s="16" t="str">
        <f>VLOOKUP(E791,'[1]BẢNG MÃ'!$A$2:$B$69,2,0)</f>
        <v>TĐ036</v>
      </c>
      <c r="G791" s="20"/>
      <c r="H791" s="16" t="s">
        <v>3212</v>
      </c>
      <c r="I791" s="16" t="s">
        <v>3815</v>
      </c>
      <c r="J791" s="16" t="str">
        <f>VLOOKUP(I791,'[1]BẢNG MÃ'!$C$2:$D$69,2,0)</f>
        <v>KP045</v>
      </c>
      <c r="K791" s="16"/>
      <c r="L791" s="16"/>
      <c r="M791" s="23" t="s">
        <v>33</v>
      </c>
      <c r="N791" s="21">
        <f ca="1">VLOOKUP(A791,'[1]Bieu 1a'!$A$8:$AW$855,10,0)</f>
        <v>31</v>
      </c>
      <c r="O791" s="22" t="str">
        <f>VLOOKUP(A791,'[1]Bieu 1a'!$A$8:$AW$855,8,0)</f>
        <v>21/8/1994</v>
      </c>
      <c r="P791" s="22">
        <f>VLOOKUP(A791,'[1]Bieu 1a'!$A$8:$AW$855,9,0)</f>
        <v>0</v>
      </c>
      <c r="Q791" s="23" t="s">
        <v>50</v>
      </c>
      <c r="R791" s="24" t="str">
        <f>VLOOKUP(A791,'[1]Bieu 1a'!$A$8:$AW$855,23,0)</f>
        <v xml:space="preserve"> 02/10/2017</v>
      </c>
      <c r="S791" s="25" t="s">
        <v>3831</v>
      </c>
      <c r="T791" s="26" t="s">
        <v>3832</v>
      </c>
      <c r="U791" s="16"/>
      <c r="V791" s="16" t="str">
        <f>IFERROR(VLOOKUP(A791,'[2]19.6.2026'!$A$9:$L$1111,5,0),"")</f>
        <v/>
      </c>
      <c r="W791" s="16" t="str">
        <f>IFERROR(VLOOKUP(A791,'[2]19.6.2026'!$A$9:$L$1111,6,0),"")</f>
        <v/>
      </c>
      <c r="X791" s="16"/>
      <c r="Y791" s="21" t="str">
        <f>IFERROR(VLOOKUP(A791,'[2]19.6.2026'!$A$9:$L$1111,7,0),"")</f>
        <v/>
      </c>
      <c r="Z791" s="16"/>
      <c r="AA791" s="27" t="str">
        <f>IFERROR(VLOOKUP(A791,'[3]DS UPLOAD 2026 (2)'!$A$2:$P$1111,16,0),"")</f>
        <v/>
      </c>
      <c r="AB791" s="27">
        <v>815678861</v>
      </c>
      <c r="AC791" s="29" t="s">
        <v>3833</v>
      </c>
    </row>
    <row r="792" spans="1:29" ht="15.75" customHeight="1" x14ac:dyDescent="0.3">
      <c r="A792" s="17" t="s">
        <v>3834</v>
      </c>
      <c r="B792" s="38" t="s">
        <v>3835</v>
      </c>
      <c r="C792" s="17" t="s">
        <v>3834</v>
      </c>
      <c r="D792" s="53" t="s">
        <v>38</v>
      </c>
      <c r="E792" s="19" t="s">
        <v>3624</v>
      </c>
      <c r="F792" s="16" t="str">
        <f>VLOOKUP(E792,'[1]BẢNG MÃ'!$A$2:$B$69,2,0)</f>
        <v>TĐ021</v>
      </c>
      <c r="G792" s="20"/>
      <c r="H792" s="20" t="s">
        <v>3626</v>
      </c>
      <c r="I792" s="16" t="s">
        <v>3836</v>
      </c>
      <c r="J792" s="16" t="str">
        <f>VLOOKUP(I792,'[1]BẢNG MÃ'!$C$2:$D$69,2,0)</f>
        <v>KP046</v>
      </c>
      <c r="K792" s="16"/>
      <c r="L792" s="16"/>
      <c r="M792" s="16" t="s">
        <v>33</v>
      </c>
      <c r="N792" s="21">
        <f ca="1">VLOOKUP(A792,'[1]Bieu 1a'!$A$8:$AW$855,10,0)</f>
        <v>42</v>
      </c>
      <c r="O792" s="22">
        <f>VLOOKUP(A792,'[1]Bieu 1a'!$A$8:$AW$855,8,0)</f>
        <v>0</v>
      </c>
      <c r="P792" s="22">
        <f>VLOOKUP(A792,'[1]Bieu 1a'!$A$8:$AW$855,9,0)</f>
        <v>30826</v>
      </c>
      <c r="Q792" s="23" t="s">
        <v>34</v>
      </c>
      <c r="R792" s="24" t="str">
        <f>VLOOKUP(A792,'[1]Bieu 1a'!$A$8:$AW$855,23,0)</f>
        <v xml:space="preserve">09/9/2020 </v>
      </c>
      <c r="S792" s="25" t="s">
        <v>3837</v>
      </c>
      <c r="T792" s="26" t="s">
        <v>3838</v>
      </c>
      <c r="U792" s="16"/>
      <c r="V792" s="16" t="str">
        <f>IFERROR(VLOOKUP(A792,'[2]19.6.2026'!$A$9:$L$1111,5,0),"")</f>
        <v/>
      </c>
      <c r="W792" s="16" t="str">
        <f>IFERROR(VLOOKUP(A792,'[2]19.6.2026'!$A$9:$L$1111,6,0),"")</f>
        <v/>
      </c>
      <c r="X792" s="16"/>
      <c r="Y792" s="21" t="str">
        <f>IFERROR(VLOOKUP(A792,'[2]19.6.2026'!$A$9:$L$1111,7,0),"")</f>
        <v/>
      </c>
      <c r="Z792" s="16"/>
      <c r="AA792" s="27" t="str">
        <f>IFERROR(VLOOKUP(A792,'[3]DS UPLOAD 2026 (2)'!$A$2:$P$1111,16,0),"")</f>
        <v/>
      </c>
      <c r="AB792" s="50" t="s">
        <v>3839</v>
      </c>
      <c r="AC792" s="29" t="s">
        <v>3840</v>
      </c>
    </row>
    <row r="793" spans="1:29" ht="15.75" customHeight="1" x14ac:dyDescent="0.3">
      <c r="A793" s="17" t="s">
        <v>3841</v>
      </c>
      <c r="B793" s="18" t="s">
        <v>3842</v>
      </c>
      <c r="C793" s="17" t="s">
        <v>3841</v>
      </c>
      <c r="D793" s="19"/>
      <c r="E793" s="19" t="s">
        <v>3843</v>
      </c>
      <c r="F793" s="16" t="e">
        <f>VLOOKUP(E793,'[1]BẢNG MÃ'!$A$2:$B$69,2,0)</f>
        <v>#N/A</v>
      </c>
      <c r="G793" s="20" t="s">
        <v>3744</v>
      </c>
      <c r="H793" s="20" t="s">
        <v>3744</v>
      </c>
      <c r="I793" s="16" t="s">
        <v>3836</v>
      </c>
      <c r="J793" s="16" t="str">
        <f>VLOOKUP(I793,'[1]BẢNG MÃ'!$C$2:$D$69,2,0)</f>
        <v>KP046</v>
      </c>
      <c r="K793" s="16" t="s">
        <v>31</v>
      </c>
      <c r="L793" s="16" t="s">
        <v>3326</v>
      </c>
      <c r="M793" s="16" t="s">
        <v>33</v>
      </c>
      <c r="N793" s="21">
        <f ca="1">VLOOKUP(A793,'[1]Bieu 1a'!$A$8:$AW$855,10,0)</f>
        <v>42</v>
      </c>
      <c r="O793" s="22">
        <f>VLOOKUP(A793,'[1]Bieu 1a'!$A$8:$AW$855,8,0)</f>
        <v>30792</v>
      </c>
      <c r="P793" s="22">
        <f>VLOOKUP(A793,'[1]Bieu 1a'!$A$8:$AW$855,9,0)</f>
        <v>0</v>
      </c>
      <c r="Q793" s="23" t="s">
        <v>34</v>
      </c>
      <c r="R793" s="24" t="str">
        <f>VLOOKUP(A793,'[1]Bieu 1a'!$A$8:$AW$855,23,0)</f>
        <v>10/6/2013</v>
      </c>
      <c r="S793" s="25" t="s">
        <v>3844</v>
      </c>
      <c r="T793" s="26" t="s">
        <v>3845</v>
      </c>
      <c r="U793" s="16"/>
      <c r="V793" s="16" t="str">
        <f>IFERROR(VLOOKUP(A793,'[2]19.6.2026'!$A$9:$L$1111,5,0),"")</f>
        <v/>
      </c>
      <c r="W793" s="16" t="str">
        <f>IFERROR(VLOOKUP(A793,'[2]19.6.2026'!$A$9:$L$1111,6,0),"")</f>
        <v/>
      </c>
      <c r="X793" s="16"/>
      <c r="Y793" s="21" t="str">
        <f>IFERROR(VLOOKUP(A793,'[2]19.6.2026'!$A$9:$L$1111,7,0),"")</f>
        <v/>
      </c>
      <c r="Z793" s="16"/>
      <c r="AA793" s="27" t="str">
        <f>IFERROR(VLOOKUP(A793,'[3]DS UPLOAD 2026 (2)'!$A$2:$P$1111,16,0),"")</f>
        <v/>
      </c>
      <c r="AB793" s="27">
        <v>936607983</v>
      </c>
      <c r="AC793" s="28"/>
    </row>
    <row r="794" spans="1:29" ht="15.75" customHeight="1" x14ac:dyDescent="0.3">
      <c r="A794" s="17" t="s">
        <v>3846</v>
      </c>
      <c r="B794" s="18" t="s">
        <v>3847</v>
      </c>
      <c r="C794" s="17" t="s">
        <v>3846</v>
      </c>
      <c r="D794" s="19"/>
      <c r="E794" s="19" t="s">
        <v>3743</v>
      </c>
      <c r="F794" s="16" t="str">
        <f>VLOOKUP(E794,'[1]BẢNG MÃ'!$A$2:$B$69,2,0)</f>
        <v>TĐ026</v>
      </c>
      <c r="G794" s="20" t="s">
        <v>3744</v>
      </c>
      <c r="H794" s="20" t="s">
        <v>3744</v>
      </c>
      <c r="I794" s="16" t="s">
        <v>3836</v>
      </c>
      <c r="J794" s="16" t="str">
        <f>VLOOKUP(I794,'[1]BẢNG MÃ'!$C$2:$D$69,2,0)</f>
        <v>KP046</v>
      </c>
      <c r="K794" s="16" t="s">
        <v>43</v>
      </c>
      <c r="L794" s="16">
        <v>0</v>
      </c>
      <c r="M794" s="16" t="s">
        <v>33</v>
      </c>
      <c r="N794" s="21">
        <f ca="1">VLOOKUP(A794,'[1]Bieu 1a'!$A$8:$AW$855,10,0)</f>
        <v>43</v>
      </c>
      <c r="O794" s="22">
        <f>VLOOKUP(A794,'[1]Bieu 1a'!$A$8:$AW$855,8,0)</f>
        <v>30188</v>
      </c>
      <c r="P794" s="22">
        <f>VLOOKUP(A794,'[1]Bieu 1a'!$A$8:$AW$855,9,0)</f>
        <v>0</v>
      </c>
      <c r="Q794" s="23" t="s">
        <v>50</v>
      </c>
      <c r="R794" s="24" t="str">
        <f>VLOOKUP(A794,'[1]Bieu 1a'!$A$8:$AW$855,23,0)</f>
        <v>15/1/2010</v>
      </c>
      <c r="S794" s="25" t="s">
        <v>3848</v>
      </c>
      <c r="T794" s="26" t="s">
        <v>3849</v>
      </c>
      <c r="U794" s="16"/>
      <c r="V794" s="16" t="str">
        <f>IFERROR(VLOOKUP(A794,'[2]19.6.2026'!$A$9:$L$1111,5,0),"")</f>
        <v/>
      </c>
      <c r="W794" s="16" t="str">
        <f>IFERROR(VLOOKUP(A794,'[2]19.6.2026'!$A$9:$L$1111,6,0),"")</f>
        <v/>
      </c>
      <c r="X794" s="16"/>
      <c r="Y794" s="21" t="str">
        <f>IFERROR(VLOOKUP(A794,'[2]19.6.2026'!$A$9:$L$1111,7,0),"")</f>
        <v/>
      </c>
      <c r="Z794" s="16"/>
      <c r="AA794" s="27" t="str">
        <f>IFERROR(VLOOKUP(A794,'[3]DS UPLOAD 2026 (2)'!$A$2:$P$1111,16,0),"")</f>
        <v/>
      </c>
      <c r="AB794" s="27" t="s">
        <v>3850</v>
      </c>
      <c r="AC794" s="28"/>
    </row>
    <row r="795" spans="1:29" ht="15.75" customHeight="1" x14ac:dyDescent="0.3">
      <c r="A795" s="17" t="s">
        <v>3851</v>
      </c>
      <c r="B795" s="18" t="s">
        <v>3852</v>
      </c>
      <c r="C795" s="17" t="s">
        <v>3851</v>
      </c>
      <c r="D795" s="19"/>
      <c r="E795" s="19" t="s">
        <v>3743</v>
      </c>
      <c r="F795" s="16" t="str">
        <f>VLOOKUP(E795,'[1]BẢNG MÃ'!$A$2:$B$69,2,0)</f>
        <v>TĐ026</v>
      </c>
      <c r="G795" s="20" t="s">
        <v>3744</v>
      </c>
      <c r="H795" s="20" t="s">
        <v>3744</v>
      </c>
      <c r="I795" s="16" t="s">
        <v>3836</v>
      </c>
      <c r="J795" s="16" t="str">
        <f>VLOOKUP(I795,'[1]BẢNG MÃ'!$C$2:$D$69,2,0)</f>
        <v>KP046</v>
      </c>
      <c r="K795" s="16" t="s">
        <v>43</v>
      </c>
      <c r="L795" s="16">
        <v>0</v>
      </c>
      <c r="M795" s="16" t="s">
        <v>33</v>
      </c>
      <c r="N795" s="21">
        <f ca="1">VLOOKUP(A795,'[1]Bieu 1a'!$A$8:$AW$855,10,0)</f>
        <v>40</v>
      </c>
      <c r="O795" s="22">
        <f>VLOOKUP(A795,'[1]Bieu 1a'!$A$8:$AW$855,8,0)</f>
        <v>31280</v>
      </c>
      <c r="P795" s="22">
        <f>VLOOKUP(A795,'[1]Bieu 1a'!$A$8:$AW$855,9,0)</f>
        <v>0</v>
      </c>
      <c r="Q795" s="23" t="s">
        <v>50</v>
      </c>
      <c r="R795" s="24" t="str">
        <f>VLOOKUP(A795,'[1]Bieu 1a'!$A$8:$AW$855,23,0)</f>
        <v>1/12/2010</v>
      </c>
      <c r="S795" s="25" t="s">
        <v>3853</v>
      </c>
      <c r="T795" s="26" t="s">
        <v>3845</v>
      </c>
      <c r="U795" s="16"/>
      <c r="V795" s="16" t="str">
        <f>IFERROR(VLOOKUP(A795,'[2]19.6.2026'!$A$9:$L$1111,5,0),"")</f>
        <v/>
      </c>
      <c r="W795" s="16" t="str">
        <f>IFERROR(VLOOKUP(A795,'[2]19.6.2026'!$A$9:$L$1111,6,0),"")</f>
        <v/>
      </c>
      <c r="X795" s="16"/>
      <c r="Y795" s="21" t="str">
        <f>IFERROR(VLOOKUP(A795,'[2]19.6.2026'!$A$9:$L$1111,7,0),"")</f>
        <v/>
      </c>
      <c r="Z795" s="16"/>
      <c r="AA795" s="27" t="str">
        <f>IFERROR(VLOOKUP(A795,'[3]DS UPLOAD 2026 (2)'!$A$2:$P$1111,16,0),"")</f>
        <v/>
      </c>
      <c r="AB795" s="27">
        <v>919486696</v>
      </c>
      <c r="AC795" s="28"/>
    </row>
    <row r="796" spans="1:29" ht="15.75" customHeight="1" x14ac:dyDescent="0.3">
      <c r="A796" s="17" t="s">
        <v>3854</v>
      </c>
      <c r="B796" s="29" t="s">
        <v>3855</v>
      </c>
      <c r="C796" s="17" t="s">
        <v>3854</v>
      </c>
      <c r="D796" s="19"/>
      <c r="E796" s="19" t="s">
        <v>3743</v>
      </c>
      <c r="F796" s="16" t="str">
        <f>VLOOKUP(E796,'[1]BẢNG MÃ'!$A$2:$B$69,2,0)</f>
        <v>TĐ026</v>
      </c>
      <c r="G796" s="16" t="s">
        <v>3744</v>
      </c>
      <c r="H796" s="16" t="s">
        <v>3744</v>
      </c>
      <c r="I796" s="16" t="s">
        <v>3836</v>
      </c>
      <c r="J796" s="16" t="str">
        <f>VLOOKUP(I796,'[1]BẢNG MÃ'!$C$2:$D$69,2,0)</f>
        <v>KP046</v>
      </c>
      <c r="K796" s="16" t="s">
        <v>43</v>
      </c>
      <c r="L796" s="16">
        <v>0</v>
      </c>
      <c r="M796" s="16" t="s">
        <v>33</v>
      </c>
      <c r="N796" s="21">
        <f ca="1">VLOOKUP(A796,'[1]Bieu 1a'!$A$8:$AW$855,10,0)</f>
        <v>38</v>
      </c>
      <c r="O796" s="22">
        <f>VLOOKUP(A796,'[1]Bieu 1a'!$A$8:$AW$855,8,0)</f>
        <v>32014</v>
      </c>
      <c r="P796" s="22">
        <f>VLOOKUP(A796,'[1]Bieu 1a'!$A$8:$AW$855,9,0)</f>
        <v>0</v>
      </c>
      <c r="Q796" s="23" t="s">
        <v>50</v>
      </c>
      <c r="R796" s="24">
        <f>VLOOKUP(A796,'[1]Bieu 1a'!$A$8:$AW$855,23,0)</f>
        <v>42372</v>
      </c>
      <c r="S796" s="25" t="s">
        <v>3856</v>
      </c>
      <c r="T796" s="26" t="s">
        <v>3857</v>
      </c>
      <c r="U796" s="16"/>
      <c r="V796" s="16" t="str">
        <f>IFERROR(VLOOKUP(A796,'[2]19.6.2026'!$A$9:$L$1111,5,0),"")</f>
        <v/>
      </c>
      <c r="W796" s="16" t="str">
        <f>IFERROR(VLOOKUP(A796,'[2]19.6.2026'!$A$9:$L$1111,6,0),"")</f>
        <v/>
      </c>
      <c r="X796" s="16"/>
      <c r="Y796" s="21" t="str">
        <f>IFERROR(VLOOKUP(A796,'[2]19.6.2026'!$A$9:$L$1111,7,0),"")</f>
        <v/>
      </c>
      <c r="Z796" s="16"/>
      <c r="AA796" s="27" t="str">
        <f>IFERROR(VLOOKUP(A796,'[3]DS UPLOAD 2026 (2)'!$A$2:$P$1111,16,0),"")</f>
        <v/>
      </c>
      <c r="AB796" s="27">
        <v>843365858</v>
      </c>
      <c r="AC796" s="73" t="s">
        <v>3858</v>
      </c>
    </row>
    <row r="797" spans="1:29" ht="22.5" customHeight="1" x14ac:dyDescent="0.3">
      <c r="A797" s="17" t="s">
        <v>3859</v>
      </c>
      <c r="B797" s="29" t="s">
        <v>3860</v>
      </c>
      <c r="C797" s="17" t="s">
        <v>3859</v>
      </c>
      <c r="D797" s="19"/>
      <c r="E797" s="19" t="s">
        <v>3743</v>
      </c>
      <c r="F797" s="16" t="str">
        <f>VLOOKUP(E797,'[1]BẢNG MÃ'!$A$2:$B$69,2,0)</f>
        <v>TĐ026</v>
      </c>
      <c r="G797" s="16" t="s">
        <v>3744</v>
      </c>
      <c r="H797" s="16" t="s">
        <v>3744</v>
      </c>
      <c r="I797" s="16" t="s">
        <v>3836</v>
      </c>
      <c r="J797" s="16" t="str">
        <f>VLOOKUP(I797,'[1]BẢNG MÃ'!$C$2:$D$69,2,0)</f>
        <v>KP046</v>
      </c>
      <c r="K797" s="16" t="s">
        <v>43</v>
      </c>
      <c r="L797" s="16">
        <v>0</v>
      </c>
      <c r="M797" s="16" t="s">
        <v>33</v>
      </c>
      <c r="N797" s="21">
        <f ca="1">VLOOKUP(A797,'[1]Bieu 1a'!$A$8:$AW$855,10,0)</f>
        <v>44</v>
      </c>
      <c r="O797" s="22" t="str">
        <f>VLOOKUP(A797,'[1]Bieu 1a'!$A$8:$AW$855,8,0)</f>
        <v>25/4/1982</v>
      </c>
      <c r="P797" s="22">
        <f>VLOOKUP(A797,'[1]Bieu 1a'!$A$8:$AW$855,9,0)</f>
        <v>0</v>
      </c>
      <c r="Q797" s="23" t="s">
        <v>34</v>
      </c>
      <c r="R797" s="24" t="str">
        <f>VLOOKUP(A797,'[1]Bieu 1a'!$A$8:$AW$855,23,0)</f>
        <v>10/06/2013</v>
      </c>
      <c r="S797" s="25" t="s">
        <v>3861</v>
      </c>
      <c r="T797" s="26" t="s">
        <v>3862</v>
      </c>
      <c r="U797" s="16"/>
      <c r="V797" s="16" t="str">
        <f>IFERROR(VLOOKUP(A797,'[2]19.6.2026'!$A$9:$L$1111,5,0),"")</f>
        <v/>
      </c>
      <c r="W797" s="16" t="str">
        <f>IFERROR(VLOOKUP(A797,'[2]19.6.2026'!$A$9:$L$1111,6,0),"")</f>
        <v/>
      </c>
      <c r="X797" s="16"/>
      <c r="Y797" s="21" t="str">
        <f>IFERROR(VLOOKUP(A797,'[2]19.6.2026'!$A$9:$L$1111,7,0),"")</f>
        <v/>
      </c>
      <c r="Z797" s="16"/>
      <c r="AA797" s="27" t="str">
        <f>IFERROR(VLOOKUP(A797,'[3]DS UPLOAD 2026 (2)'!$A$2:$P$1111,16,0),"")</f>
        <v/>
      </c>
      <c r="AB797" s="27">
        <v>982626986</v>
      </c>
      <c r="AC797" s="28" t="s">
        <v>3863</v>
      </c>
    </row>
    <row r="798" spans="1:29" ht="22.5" customHeight="1" x14ac:dyDescent="0.3">
      <c r="A798" s="17" t="s">
        <v>3864</v>
      </c>
      <c r="B798" s="18" t="s">
        <v>3865</v>
      </c>
      <c r="C798" s="17" t="s">
        <v>3864</v>
      </c>
      <c r="D798" s="19"/>
      <c r="E798" s="19" t="s">
        <v>3743</v>
      </c>
      <c r="F798" s="16" t="str">
        <f>VLOOKUP(E798,'[1]BẢNG MÃ'!$A$2:$B$69,2,0)</f>
        <v>TĐ026</v>
      </c>
      <c r="G798" s="99" t="s">
        <v>3424</v>
      </c>
      <c r="H798" s="144" t="s">
        <v>3425</v>
      </c>
      <c r="I798" s="16" t="s">
        <v>3836</v>
      </c>
      <c r="J798" s="16" t="str">
        <f>VLOOKUP(I798,'[1]BẢNG MÃ'!$C$2:$D$69,2,0)</f>
        <v>KP046</v>
      </c>
      <c r="K798" s="16" t="s">
        <v>43</v>
      </c>
      <c r="L798" s="16">
        <v>0</v>
      </c>
      <c r="M798" s="16" t="s">
        <v>33</v>
      </c>
      <c r="N798" s="21">
        <f ca="1">VLOOKUP(A798,'[1]Bieu 1a'!$A$8:$AW$855,10,0)</f>
        <v>41</v>
      </c>
      <c r="O798" s="22">
        <f>VLOOKUP(A798,'[1]Bieu 1a'!$A$8:$AW$855,8,0)</f>
        <v>31191</v>
      </c>
      <c r="P798" s="22">
        <f>VLOOKUP(A798,'[1]Bieu 1a'!$A$8:$AW$855,9,0)</f>
        <v>0</v>
      </c>
      <c r="Q798" s="23" t="s">
        <v>44</v>
      </c>
      <c r="R798" s="24" t="str">
        <f>VLOOKUP(A798,'[1]Bieu 1a'!$A$8:$AW$855,23,0)</f>
        <v>01/01/2011</v>
      </c>
      <c r="S798" s="25" t="s">
        <v>3866</v>
      </c>
      <c r="T798" s="26" t="s">
        <v>3867</v>
      </c>
      <c r="U798" s="16"/>
      <c r="V798" s="16" t="str">
        <f>IFERROR(VLOOKUP(A798,'[2]19.6.2026'!$A$9:$L$1111,5,0),"")</f>
        <v/>
      </c>
      <c r="W798" s="16" t="str">
        <f>IFERROR(VLOOKUP(A798,'[2]19.6.2026'!$A$9:$L$1111,6,0),"")</f>
        <v/>
      </c>
      <c r="X798" s="16"/>
      <c r="Y798" s="21" t="str">
        <f>IFERROR(VLOOKUP(A798,'[2]19.6.2026'!$A$9:$L$1111,7,0),"")</f>
        <v/>
      </c>
      <c r="Z798" s="16"/>
      <c r="AA798" s="27" t="str">
        <f>IFERROR(VLOOKUP(A798,'[3]DS UPLOAD 2026 (2)'!$A$2:$P$1111,16,0),"")</f>
        <v/>
      </c>
      <c r="AB798" s="27">
        <v>975633666</v>
      </c>
      <c r="AC798" s="28"/>
    </row>
    <row r="799" spans="1:29" ht="22.5" customHeight="1" x14ac:dyDescent="0.3">
      <c r="A799" s="17" t="s">
        <v>3868</v>
      </c>
      <c r="B799" s="18" t="s">
        <v>3869</v>
      </c>
      <c r="C799" s="17" t="s">
        <v>3868</v>
      </c>
      <c r="D799" s="19"/>
      <c r="E799" s="19" t="s">
        <v>3843</v>
      </c>
      <c r="F799" s="16" t="e">
        <f>VLOOKUP(E799,'[1]BẢNG MÃ'!$A$2:$B$69,2,0)</f>
        <v>#N/A</v>
      </c>
      <c r="G799" s="16" t="s">
        <v>3744</v>
      </c>
      <c r="H799" s="16" t="s">
        <v>3744</v>
      </c>
      <c r="I799" s="16" t="s">
        <v>3836</v>
      </c>
      <c r="J799" s="16" t="str">
        <f>VLOOKUP(I799,'[1]BẢNG MÃ'!$C$2:$D$69,2,0)</f>
        <v>KP046</v>
      </c>
      <c r="K799" s="16" t="s">
        <v>31</v>
      </c>
      <c r="L799" s="16" t="s">
        <v>3309</v>
      </c>
      <c r="M799" s="16" t="s">
        <v>33</v>
      </c>
      <c r="N799" s="21">
        <f ca="1">VLOOKUP(A799,'[1]Bieu 1a'!$A$8:$AW$855,10,0)</f>
        <v>51</v>
      </c>
      <c r="O799" s="22">
        <f>VLOOKUP(A799,'[1]Bieu 1a'!$A$8:$AW$855,8,0)</f>
        <v>27453</v>
      </c>
      <c r="P799" s="22">
        <f>VLOOKUP(A799,'[1]Bieu 1a'!$A$8:$AW$855,9,0)</f>
        <v>0</v>
      </c>
      <c r="Q799" s="23" t="s">
        <v>44</v>
      </c>
      <c r="R799" s="24" t="str">
        <f>VLOOKUP(A799,'[1]Bieu 1a'!$A$8:$AW$855,23,0)</f>
        <v>1/12/2008</v>
      </c>
      <c r="S799" s="25" t="s">
        <v>3870</v>
      </c>
      <c r="T799" s="26" t="s">
        <v>3871</v>
      </c>
      <c r="U799" s="16"/>
      <c r="V799" s="16" t="str">
        <f>IFERROR(VLOOKUP(A799,'[2]19.6.2026'!$A$9:$L$1111,5,0),"")</f>
        <v/>
      </c>
      <c r="W799" s="16" t="str">
        <f>IFERROR(VLOOKUP(A799,'[2]19.6.2026'!$A$9:$L$1111,6,0),"")</f>
        <v/>
      </c>
      <c r="X799" s="16"/>
      <c r="Y799" s="21" t="str">
        <f>IFERROR(VLOOKUP(A799,'[2]19.6.2026'!$A$9:$L$1111,7,0),"")</f>
        <v/>
      </c>
      <c r="Z799" s="16"/>
      <c r="AA799" s="27" t="str">
        <f>IFERROR(VLOOKUP(A799,'[3]DS UPLOAD 2026 (2)'!$A$2:$P$1111,16,0),"")</f>
        <v/>
      </c>
      <c r="AB799" s="27">
        <v>913560828</v>
      </c>
      <c r="AC799" s="28"/>
    </row>
    <row r="800" spans="1:29" ht="22.5" customHeight="1" x14ac:dyDescent="0.3">
      <c r="A800" s="43" t="s">
        <v>3872</v>
      </c>
      <c r="B800" s="28" t="s">
        <v>3873</v>
      </c>
      <c r="C800" s="45" t="s">
        <v>3872</v>
      </c>
      <c r="D800" s="23" t="s">
        <v>38</v>
      </c>
      <c r="E800" s="23" t="s">
        <v>128</v>
      </c>
      <c r="F800" s="16" t="str">
        <f>VLOOKUP(E800,'[1]BẢNG MÃ'!$A$2:$B$69,2,0)</f>
        <v>TĐ047</v>
      </c>
      <c r="G800" s="23"/>
      <c r="H800" s="19" t="s">
        <v>3232</v>
      </c>
      <c r="I800" s="19" t="s">
        <v>2776</v>
      </c>
      <c r="J800" s="16" t="str">
        <f>VLOOKUP(I800,'[1]BẢNG MÃ'!$C$2:$D$69,2,0)</f>
        <v>KP036</v>
      </c>
      <c r="K800" s="23"/>
      <c r="L800" s="23"/>
      <c r="M800" s="16" t="s">
        <v>136</v>
      </c>
      <c r="N800" s="21">
        <f ca="1">VLOOKUP(A800,'[1]Bieu 1a'!$A$8:$AW$855,10,0)</f>
        <v>43</v>
      </c>
      <c r="O800" s="22">
        <f>VLOOKUP(A800,'[1]Bieu 1a'!$A$8:$AW$855,8,0)</f>
        <v>0</v>
      </c>
      <c r="P800" s="22" t="str">
        <f>VLOOKUP(A800,'[1]Bieu 1a'!$A$8:$AW$855,9,0)</f>
        <v>17/10/1982</v>
      </c>
      <c r="Q800" s="23" t="s">
        <v>34</v>
      </c>
      <c r="R800" s="24">
        <f>VLOOKUP(A800,'[1]Bieu 1a'!$A$8:$AW$855,23,0)</f>
        <v>45770</v>
      </c>
      <c r="S800" s="25" t="s">
        <v>3874</v>
      </c>
      <c r="T800" s="26" t="s">
        <v>3875</v>
      </c>
      <c r="U800" s="23"/>
      <c r="V800" s="16" t="str">
        <f>IFERROR(VLOOKUP(A800,'[2]19.6.2026'!$A$9:$L$1111,5,0),"")</f>
        <v/>
      </c>
      <c r="W800" s="16" t="str">
        <f>IFERROR(VLOOKUP(A800,'[2]19.6.2026'!$A$9:$L$1111,6,0),"")</f>
        <v/>
      </c>
      <c r="X800" s="19"/>
      <c r="Y800" s="21" t="str">
        <f>IFERROR(VLOOKUP(A800,'[2]19.6.2026'!$A$9:$L$1111,7,0),"")</f>
        <v/>
      </c>
      <c r="Z800" s="16"/>
      <c r="AA800" s="27" t="str">
        <f>IFERROR(VLOOKUP(A800,'[3]DS UPLOAD 2026 (2)'!$A$2:$P$1111,16,0),"")</f>
        <v/>
      </c>
      <c r="AB800" s="23"/>
      <c r="AC800" s="51" t="s">
        <v>3876</v>
      </c>
    </row>
    <row r="801" spans="1:29" ht="22.5" customHeight="1" x14ac:dyDescent="0.3">
      <c r="A801" s="46" t="s">
        <v>3877</v>
      </c>
      <c r="B801" s="28" t="s">
        <v>3878</v>
      </c>
      <c r="C801" s="47" t="s">
        <v>3877</v>
      </c>
      <c r="D801" s="23" t="s">
        <v>38</v>
      </c>
      <c r="E801" s="23" t="s">
        <v>3434</v>
      </c>
      <c r="F801" s="16" t="str">
        <f>VLOOKUP(E801,'[1]BẢNG MÃ'!$A$2:$B$69,2,0)</f>
        <v>TĐ033</v>
      </c>
      <c r="G801" s="23"/>
      <c r="H801" s="16" t="s">
        <v>3435</v>
      </c>
      <c r="I801" s="19" t="s">
        <v>3456</v>
      </c>
      <c r="J801" s="16" t="str">
        <f>VLOOKUP(I801,'[1]BẢNG MÃ'!$C$2:$D$69,2,0)</f>
        <v>KP040</v>
      </c>
      <c r="K801" s="23"/>
      <c r="L801" s="23"/>
      <c r="M801" s="16" t="s">
        <v>136</v>
      </c>
      <c r="N801" s="21">
        <f ca="1">VLOOKUP(A801,'[1]Bieu 1a'!$A$8:$AW$855,10,0)</f>
        <v>31</v>
      </c>
      <c r="O801" s="22">
        <f>VLOOKUP(A801,'[1]Bieu 1a'!$A$8:$AW$855,8,0)</f>
        <v>0</v>
      </c>
      <c r="P801" s="22" t="str">
        <f>VLOOKUP(A801,'[1]Bieu 1a'!$A$8:$AW$855,9,0)</f>
        <v>21/4/1995</v>
      </c>
      <c r="Q801" s="23" t="s">
        <v>34</v>
      </c>
      <c r="R801" s="24">
        <f>VLOOKUP(A801,'[1]Bieu 1a'!$A$8:$AW$855,23,0)</f>
        <v>45839</v>
      </c>
      <c r="S801" s="25" t="s">
        <v>3879</v>
      </c>
      <c r="T801" s="26" t="s">
        <v>3880</v>
      </c>
      <c r="U801" s="23"/>
      <c r="V801" s="16" t="str">
        <f>IFERROR(VLOOKUP(A801,'[2]19.6.2026'!$A$9:$L$1111,5,0),"")</f>
        <v/>
      </c>
      <c r="W801" s="16" t="str">
        <f>IFERROR(VLOOKUP(A801,'[2]19.6.2026'!$A$9:$L$1111,6,0),"")</f>
        <v/>
      </c>
      <c r="X801" s="19"/>
      <c r="Y801" s="21" t="str">
        <f>IFERROR(VLOOKUP(A801,'[2]19.6.2026'!$A$9:$L$1111,7,0),"")</f>
        <v/>
      </c>
      <c r="Z801" s="16"/>
      <c r="AA801" s="27" t="str">
        <f>IFERROR(VLOOKUP(A801,'[3]DS UPLOAD 2026 (2)'!$A$2:$P$1111,16,0),"")</f>
        <v/>
      </c>
      <c r="AB801" s="23"/>
      <c r="AC801" s="51" t="s">
        <v>3881</v>
      </c>
    </row>
    <row r="802" spans="1:29" ht="20.25" customHeight="1" x14ac:dyDescent="0.3">
      <c r="A802" s="46" t="s">
        <v>3882</v>
      </c>
      <c r="B802" s="28" t="s">
        <v>3883</v>
      </c>
      <c r="C802" s="47" t="s">
        <v>3882</v>
      </c>
      <c r="D802" s="23"/>
      <c r="E802" s="19" t="s">
        <v>61</v>
      </c>
      <c r="F802" s="16" t="str">
        <f>VLOOKUP(E802,'[1]BẢNG MÃ'!$A$2:$B$69,2,0)</f>
        <v>TĐ012</v>
      </c>
      <c r="G802" s="23"/>
      <c r="H802" s="16" t="s">
        <v>62</v>
      </c>
      <c r="I802" s="19" t="s">
        <v>525</v>
      </c>
      <c r="J802" s="16" t="str">
        <f>VLOOKUP(I802,'[1]BẢNG MÃ'!$C$2:$D$69,2,0)</f>
        <v>KP006</v>
      </c>
      <c r="K802" s="23"/>
      <c r="L802" s="23"/>
      <c r="M802" s="16" t="s">
        <v>33</v>
      </c>
      <c r="N802" s="21">
        <f ca="1">VLOOKUP(A802,'[1]Bieu 1a'!$A$8:$AW$855,10,0)</f>
        <v>29</v>
      </c>
      <c r="O802" s="22" t="str">
        <f>VLOOKUP(A802,'[1]Bieu 1a'!$A$8:$AW$855,8,0)</f>
        <v>06/03/1997</v>
      </c>
      <c r="P802" s="22">
        <f>VLOOKUP(A802,'[1]Bieu 1a'!$A$8:$AW$855,9,0)</f>
        <v>0</v>
      </c>
      <c r="Q802" s="23" t="s">
        <v>34</v>
      </c>
      <c r="R802" s="24">
        <f>VLOOKUP(A802,'[1]Bieu 1a'!$A$8:$AW$855,23,0)</f>
        <v>45854</v>
      </c>
      <c r="S802" s="25" t="s">
        <v>3884</v>
      </c>
      <c r="T802" s="26" t="s">
        <v>3885</v>
      </c>
      <c r="U802" s="23"/>
      <c r="V802" s="16" t="str">
        <f>IFERROR(VLOOKUP(A802,'[2]19.6.2026'!$A$9:$L$1111,5,0),"")</f>
        <v>000306</v>
      </c>
      <c r="W802" s="16">
        <f>IFERROR(VLOOKUP(A802,'[2]19.6.2026'!$A$9:$L$1111,6,0),"")</f>
        <v>45849</v>
      </c>
      <c r="X802" s="19"/>
      <c r="Y802" s="21" t="str">
        <f>IFERROR(VLOOKUP(A802,'[2]19.6.2026'!$A$9:$L$1111,7,0),"")</f>
        <v>Điều dưỡng</v>
      </c>
      <c r="Z802" s="16"/>
      <c r="AA802" s="27" t="str">
        <f>IFERROR(VLOOKUP(A802,'[3]DS UPLOAD 2026 (2)'!$A$2:$P$1111,16,0),"")</f>
        <v/>
      </c>
      <c r="AB802" s="23"/>
      <c r="AC802" s="29" t="s">
        <v>3886</v>
      </c>
    </row>
    <row r="803" spans="1:29" ht="22.5" customHeight="1" x14ac:dyDescent="0.3">
      <c r="A803" s="43" t="s">
        <v>3887</v>
      </c>
      <c r="B803" s="28" t="s">
        <v>3888</v>
      </c>
      <c r="C803" s="45" t="s">
        <v>3887</v>
      </c>
      <c r="D803" s="23" t="s">
        <v>38</v>
      </c>
      <c r="E803" s="23" t="s">
        <v>61</v>
      </c>
      <c r="F803" s="16" t="str">
        <f>VLOOKUP(E803,'[1]BẢNG MÃ'!$A$2:$B$69,2,0)</f>
        <v>TĐ012</v>
      </c>
      <c r="G803" s="23"/>
      <c r="H803" s="16" t="s">
        <v>62</v>
      </c>
      <c r="I803" s="16" t="s">
        <v>468</v>
      </c>
      <c r="J803" s="16" t="str">
        <f>VLOOKUP(I803,'[1]BẢNG MÃ'!$C$2:$D$69,2,0)</f>
        <v>KP004</v>
      </c>
      <c r="K803" s="23"/>
      <c r="L803" s="23"/>
      <c r="M803" s="16" t="s">
        <v>33</v>
      </c>
      <c r="N803" s="21">
        <f ca="1">VLOOKUP(A803,'[1]Bieu 1a'!$A$8:$AW$855,10,0)</f>
        <v>25</v>
      </c>
      <c r="O803" s="22">
        <f>VLOOKUP(A803,'[1]Bieu 1a'!$A$8:$AW$855,8,0)</f>
        <v>0</v>
      </c>
      <c r="P803" s="22" t="str">
        <f>VLOOKUP(A803,'[1]Bieu 1a'!$A$8:$AW$855,9,0)</f>
        <v>28/5/2001</v>
      </c>
      <c r="Q803" s="23" t="s">
        <v>44</v>
      </c>
      <c r="R803" s="24">
        <f>VLOOKUP(A803,'[1]Bieu 1a'!$A$8:$AW$855,23,0)</f>
        <v>45894</v>
      </c>
      <c r="S803" s="25" t="s">
        <v>3889</v>
      </c>
      <c r="T803" s="26" t="s">
        <v>470</v>
      </c>
      <c r="U803" s="23"/>
      <c r="V803" s="16" t="str">
        <f>IFERROR(VLOOKUP(A803,'[2]19.6.2026'!$A$9:$L$1111,5,0),"")</f>
        <v>000270/LS-GPHN</v>
      </c>
      <c r="W803" s="16">
        <f>IFERROR(VLOOKUP(A803,'[2]19.6.2026'!$A$9:$L$1111,6,0),"")</f>
        <v>45796</v>
      </c>
      <c r="X803" s="19"/>
      <c r="Y803" s="21" t="str">
        <f>IFERROR(VLOOKUP(A803,'[2]19.6.2026'!$A$9:$L$1111,7,0),"")</f>
        <v>Điều dưỡng</v>
      </c>
      <c r="Z803" s="16"/>
      <c r="AA803" s="27" t="str">
        <f>IFERROR(VLOOKUP(A803,'[3]DS UPLOAD 2026 (2)'!$A$2:$P$1111,16,0),"")</f>
        <v/>
      </c>
      <c r="AB803" s="23"/>
      <c r="AC803" s="29" t="s">
        <v>3890</v>
      </c>
    </row>
    <row r="804" spans="1:29" ht="22.5" customHeight="1" x14ac:dyDescent="0.3">
      <c r="A804" s="43" t="s">
        <v>3891</v>
      </c>
      <c r="B804" s="28" t="s">
        <v>3892</v>
      </c>
      <c r="C804" s="45" t="s">
        <v>3891</v>
      </c>
      <c r="D804" s="23"/>
      <c r="E804" s="23" t="s">
        <v>61</v>
      </c>
      <c r="F804" s="16" t="str">
        <f>VLOOKUP(E804,'[1]BẢNG MÃ'!$A$2:$B$69,2,0)</f>
        <v>TĐ012</v>
      </c>
      <c r="G804" s="23"/>
      <c r="H804" s="16" t="s">
        <v>62</v>
      </c>
      <c r="I804" s="19" t="s">
        <v>1191</v>
      </c>
      <c r="J804" s="16" t="str">
        <f>VLOOKUP(I804,'[1]BẢNG MÃ'!$C$2:$D$69,2,0)</f>
        <v>KP013</v>
      </c>
      <c r="K804" s="23"/>
      <c r="L804" s="23"/>
      <c r="M804" s="16" t="s">
        <v>33</v>
      </c>
      <c r="N804" s="21">
        <f ca="1">VLOOKUP(A804,'[1]Bieu 1a'!$A$8:$AW$855,10,0)</f>
        <v>39</v>
      </c>
      <c r="O804" s="22" t="str">
        <f>VLOOKUP(A804,'[1]Bieu 1a'!$A$8:$AW$855,8,0)</f>
        <v>26/4/1987</v>
      </c>
      <c r="P804" s="22">
        <f>VLOOKUP(A804,'[1]Bieu 1a'!$A$8:$AW$855,9,0)</f>
        <v>0</v>
      </c>
      <c r="Q804" s="23" t="s">
        <v>44</v>
      </c>
      <c r="R804" s="24">
        <f>VLOOKUP(A804,'[1]Bieu 1a'!$A$8:$AW$855,23,0)</f>
        <v>45915</v>
      </c>
      <c r="S804" s="25" t="s">
        <v>3893</v>
      </c>
      <c r="T804" s="26" t="s">
        <v>3894</v>
      </c>
      <c r="U804" s="23"/>
      <c r="V804" s="16" t="str">
        <f>IFERROR(VLOOKUP(A804,'[2]19.6.2026'!$A$9:$L$1111,5,0),"")</f>
        <v/>
      </c>
      <c r="W804" s="16" t="str">
        <f>IFERROR(VLOOKUP(A804,'[2]19.6.2026'!$A$9:$L$1111,6,0),"")</f>
        <v/>
      </c>
      <c r="X804" s="19"/>
      <c r="Y804" s="21" t="str">
        <f>IFERROR(VLOOKUP(A804,'[2]19.6.2026'!$A$9:$L$1111,7,0),"")</f>
        <v/>
      </c>
      <c r="Z804" s="16"/>
      <c r="AA804" s="27" t="str">
        <f>IFERROR(VLOOKUP(A804,'[3]DS UPLOAD 2026 (2)'!$A$2:$P$1111,16,0),"")</f>
        <v/>
      </c>
      <c r="AB804" s="23"/>
      <c r="AC804" s="29" t="s">
        <v>3895</v>
      </c>
    </row>
    <row r="805" spans="1:29" ht="22.5" customHeight="1" x14ac:dyDescent="0.3">
      <c r="A805" s="43" t="s">
        <v>3896</v>
      </c>
      <c r="B805" s="28" t="s">
        <v>3897</v>
      </c>
      <c r="C805" s="45" t="s">
        <v>3896</v>
      </c>
      <c r="D805" s="23"/>
      <c r="E805" s="23" t="s">
        <v>3545</v>
      </c>
      <c r="F805" s="16" t="str">
        <f>VLOOKUP(E805,'[1]BẢNG MÃ'!$A$2:$B$69,2,0)</f>
        <v>TĐ044</v>
      </c>
      <c r="G805" s="23"/>
      <c r="H805" s="19" t="s">
        <v>3546</v>
      </c>
      <c r="I805" s="19" t="s">
        <v>3456</v>
      </c>
      <c r="J805" s="16" t="str">
        <f>VLOOKUP(I805,'[1]BẢNG MÃ'!$C$2:$D$69,2,0)</f>
        <v>KP040</v>
      </c>
      <c r="K805" s="23"/>
      <c r="L805" s="23"/>
      <c r="M805" s="23" t="s">
        <v>136</v>
      </c>
      <c r="N805" s="21">
        <f ca="1">VLOOKUP(A805,'[1]Bieu 1a'!$A$8:$AW$855,10,0)</f>
        <v>56</v>
      </c>
      <c r="O805" s="22">
        <f>VLOOKUP(A805,'[1]Bieu 1a'!$A$8:$AW$855,8,0)</f>
        <v>25492</v>
      </c>
      <c r="P805" s="22">
        <f>VLOOKUP(A805,'[1]Bieu 1a'!$A$8:$AW$855,9,0)</f>
        <v>0</v>
      </c>
      <c r="Q805" s="23" t="s">
        <v>50</v>
      </c>
      <c r="R805" s="24">
        <f>VLOOKUP(A805,'[1]Bieu 1a'!$A$8:$AW$855,23,0)</f>
        <v>45919</v>
      </c>
      <c r="S805" s="25" t="s">
        <v>3898</v>
      </c>
      <c r="T805" s="26">
        <v>0</v>
      </c>
      <c r="U805" s="23"/>
      <c r="V805" s="16" t="str">
        <f>IFERROR(VLOOKUP(A805,'[2]19.6.2026'!$A$9:$L$1111,5,0),"")</f>
        <v/>
      </c>
      <c r="W805" s="16" t="str">
        <f>IFERROR(VLOOKUP(A805,'[2]19.6.2026'!$A$9:$L$1111,6,0),"")</f>
        <v/>
      </c>
      <c r="X805" s="19"/>
      <c r="Y805" s="21" t="str">
        <f>IFERROR(VLOOKUP(A805,'[2]19.6.2026'!$A$9:$L$1111,7,0),"")</f>
        <v/>
      </c>
      <c r="Z805" s="16"/>
      <c r="AA805" s="27" t="str">
        <f>IFERROR(VLOOKUP(A805,'[3]DS UPLOAD 2026 (2)'!$A$2:$P$1111,16,0),"")</f>
        <v/>
      </c>
      <c r="AB805" s="23"/>
      <c r="AC805" s="51" t="s">
        <v>3899</v>
      </c>
    </row>
    <row r="806" spans="1:29" ht="25.5" customHeight="1" x14ac:dyDescent="0.3">
      <c r="A806" s="43" t="s">
        <v>3900</v>
      </c>
      <c r="B806" s="28" t="s">
        <v>3901</v>
      </c>
      <c r="C806" s="45" t="s">
        <v>3900</v>
      </c>
      <c r="D806" s="23" t="s">
        <v>38</v>
      </c>
      <c r="E806" s="23" t="s">
        <v>61</v>
      </c>
      <c r="F806" s="16" t="str">
        <f>VLOOKUP(E806,'[1]BẢNG MÃ'!$A$2:$B$69,2,0)</f>
        <v>TĐ012</v>
      </c>
      <c r="G806" s="23"/>
      <c r="H806" s="16" t="s">
        <v>62</v>
      </c>
      <c r="I806" s="19" t="s">
        <v>933</v>
      </c>
      <c r="J806" s="16" t="str">
        <f>VLOOKUP(I806,'[1]BẢNG MÃ'!$C$2:$D$69,2,0)</f>
        <v>KP010</v>
      </c>
      <c r="K806" s="23"/>
      <c r="L806" s="23"/>
      <c r="M806" s="23" t="s">
        <v>136</v>
      </c>
      <c r="N806" s="21">
        <f ca="1">VLOOKUP(A806,'[1]Bieu 1a'!$A$8:$AW$855,10,0)</f>
        <v>23</v>
      </c>
      <c r="O806" s="22">
        <f>VLOOKUP(A806,'[1]Bieu 1a'!$A$8:$AW$855,8,0)</f>
        <v>0</v>
      </c>
      <c r="P806" s="22" t="str">
        <f>VLOOKUP(A806,'[1]Bieu 1a'!$A$8:$AW$855,9,0)</f>
        <v>12/4/2003</v>
      </c>
      <c r="Q806" s="23" t="s">
        <v>44</v>
      </c>
      <c r="R806" s="24">
        <f>VLOOKUP(A806,'[1]Bieu 1a'!$A$8:$AW$855,23,0)</f>
        <v>45922</v>
      </c>
      <c r="S806" s="25" t="s">
        <v>3902</v>
      </c>
      <c r="T806" s="26" t="s">
        <v>3903</v>
      </c>
      <c r="U806" s="23"/>
      <c r="V806" s="16" t="str">
        <f>IFERROR(VLOOKUP(A806,'[2]19.6.2026'!$A$9:$L$1111,5,0),"")</f>
        <v>000343/LS-GPHN</v>
      </c>
      <c r="W806" s="16">
        <f>IFERROR(VLOOKUP(A806,'[2]19.6.2026'!$A$9:$L$1111,6,0),"")</f>
        <v>47731</v>
      </c>
      <c r="X806" s="19"/>
      <c r="Y806" s="21" t="str">
        <f>IFERROR(VLOOKUP(A806,'[2]19.6.2026'!$A$9:$L$1111,7,0),"")</f>
        <v>Điều dưỡng</v>
      </c>
      <c r="Z806" s="16"/>
      <c r="AA806" s="27" t="str">
        <f>IFERROR(VLOOKUP(A806,'[3]DS UPLOAD 2026 (2)'!$A$2:$P$1111,16,0),"")</f>
        <v/>
      </c>
      <c r="AB806" s="23"/>
      <c r="AC806" s="51" t="s">
        <v>3904</v>
      </c>
    </row>
    <row r="807" spans="1:29" ht="25.5" customHeight="1" x14ac:dyDescent="0.3">
      <c r="A807" s="43" t="s">
        <v>3905</v>
      </c>
      <c r="B807" s="28" t="s">
        <v>492</v>
      </c>
      <c r="C807" s="45" t="s">
        <v>3905</v>
      </c>
      <c r="D807" s="23" t="s">
        <v>38</v>
      </c>
      <c r="E807" s="23" t="s">
        <v>2337</v>
      </c>
      <c r="F807" s="16" t="str">
        <f>VLOOKUP(E807,'[1]BẢNG MÃ'!$A$2:$B$69,2,0)</f>
        <v>TĐ014</v>
      </c>
      <c r="G807" s="23"/>
      <c r="H807" s="23" t="s">
        <v>2338</v>
      </c>
      <c r="I807" s="19" t="s">
        <v>2852</v>
      </c>
      <c r="J807" s="16" t="str">
        <f>VLOOKUP(I807,'[1]BẢNG MÃ'!$C$2:$D$69,2,0)</f>
        <v>KP030</v>
      </c>
      <c r="K807" s="23"/>
      <c r="L807" s="23"/>
      <c r="M807" s="16" t="s">
        <v>33</v>
      </c>
      <c r="N807" s="21">
        <f ca="1">VLOOKUP(A807,'[1]Bieu 1a'!$A$8:$AW$855,10,0)</f>
        <v>32</v>
      </c>
      <c r="O807" s="22">
        <f>VLOOKUP(A807,'[1]Bieu 1a'!$A$8:$AW$855,8,0)</f>
        <v>0</v>
      </c>
      <c r="P807" s="22" t="str">
        <f>VLOOKUP(A807,'[1]Bieu 1a'!$A$8:$AW$855,9,0)</f>
        <v>12/02/1994</v>
      </c>
      <c r="Q807" s="23" t="s">
        <v>50</v>
      </c>
      <c r="R807" s="24">
        <f>VLOOKUP(A807,'[1]Bieu 1a'!$A$8:$AW$855,23,0)</f>
        <v>45931</v>
      </c>
      <c r="S807" s="25" t="s">
        <v>3906</v>
      </c>
      <c r="T807" s="26" t="s">
        <v>3907</v>
      </c>
      <c r="U807" s="23"/>
      <c r="V807" s="16" t="str">
        <f>IFERROR(VLOOKUP(A807,'[2]19.6.2026'!$A$9:$L$1111,5,0),"")</f>
        <v>002868/HNO-GPHN</v>
      </c>
      <c r="W807" s="16">
        <f>IFERROR(VLOOKUP(A807,'[2]19.6.2026'!$A$9:$L$1111,6,0),"")</f>
        <v>45602</v>
      </c>
      <c r="X807" s="19"/>
      <c r="Y807" s="21" t="str">
        <f>IFERROR(VLOOKUP(A807,'[2]19.6.2026'!$A$9:$L$1111,7,0),"")</f>
        <v>Xét nghiệm y học</v>
      </c>
      <c r="Z807" s="16"/>
      <c r="AA807" s="27" t="str">
        <f>IFERROR(VLOOKUP(A807,'[3]DS UPLOAD 2026 (2)'!$A$2:$P$1111,16,0),"")</f>
        <v/>
      </c>
      <c r="AB807" s="23"/>
      <c r="AC807" s="29" t="s">
        <v>3908</v>
      </c>
    </row>
    <row r="808" spans="1:29" ht="25.5" customHeight="1" x14ac:dyDescent="0.3">
      <c r="A808" s="43" t="s">
        <v>3909</v>
      </c>
      <c r="B808" s="28" t="s">
        <v>3910</v>
      </c>
      <c r="C808" s="45" t="s">
        <v>3909</v>
      </c>
      <c r="D808" s="23" t="s">
        <v>38</v>
      </c>
      <c r="E808" s="23" t="s">
        <v>41</v>
      </c>
      <c r="F808" s="16" t="str">
        <f>VLOOKUP(E808,'[1]BẢNG MÃ'!$A$2:$B$69,2,0)</f>
        <v>TĐ011</v>
      </c>
      <c r="G808" s="23"/>
      <c r="H808" s="23" t="s">
        <v>42</v>
      </c>
      <c r="I808" s="19" t="s">
        <v>306</v>
      </c>
      <c r="J808" s="16" t="str">
        <f>VLOOKUP(I808,'[1]BẢNG MÃ'!$C$2:$D$69,2,0)</f>
        <v>KP003</v>
      </c>
      <c r="K808" s="23"/>
      <c r="L808" s="23"/>
      <c r="M808" s="16" t="s">
        <v>33</v>
      </c>
      <c r="N808" s="21">
        <f ca="1">VLOOKUP(A808,'[1]Bieu 1a'!$A$8:$AW$855,10,0)</f>
        <v>23</v>
      </c>
      <c r="O808" s="22">
        <f>VLOOKUP(A808,'[1]Bieu 1a'!$A$8:$AW$855,8,0)</f>
        <v>0</v>
      </c>
      <c r="P808" s="22" t="str">
        <f>VLOOKUP(A808,'[1]Bieu 1a'!$A$8:$AW$855,9,0)</f>
        <v>20/4/2003</v>
      </c>
      <c r="Q808" s="23" t="s">
        <v>635</v>
      </c>
      <c r="R808" s="24">
        <f>VLOOKUP(A808,'[1]Bieu 1a'!$A$8:$AW$855,23,0)</f>
        <v>45931</v>
      </c>
      <c r="S808" s="25" t="s">
        <v>3911</v>
      </c>
      <c r="T808" s="26" t="s">
        <v>3912</v>
      </c>
      <c r="U808" s="23"/>
      <c r="V808" s="16" t="str">
        <f>IFERROR(VLOOKUP(A808,'[2]19.6.2026'!$A$9:$L$1111,5,0),"")</f>
        <v/>
      </c>
      <c r="W808" s="16" t="str">
        <f>IFERROR(VLOOKUP(A808,'[2]19.6.2026'!$A$9:$L$1111,6,0),"")</f>
        <v/>
      </c>
      <c r="X808" s="19"/>
      <c r="Y808" s="21" t="str">
        <f>IFERROR(VLOOKUP(A808,'[2]19.6.2026'!$A$9:$L$1111,7,0),"")</f>
        <v/>
      </c>
      <c r="Z808" s="16"/>
      <c r="AA808" s="27" t="str">
        <f>IFERROR(VLOOKUP(A808,'[3]DS UPLOAD 2026 (2)'!$A$2:$P$1111,16,0),"")</f>
        <v/>
      </c>
      <c r="AB808" s="145" t="s">
        <v>3913</v>
      </c>
      <c r="AC808" s="29" t="s">
        <v>3908</v>
      </c>
    </row>
    <row r="809" spans="1:29" ht="25.5" customHeight="1" x14ac:dyDescent="0.3">
      <c r="A809" s="43" t="s">
        <v>3914</v>
      </c>
      <c r="B809" s="28" t="s">
        <v>3915</v>
      </c>
      <c r="C809" s="45" t="s">
        <v>3914</v>
      </c>
      <c r="D809" s="23" t="s">
        <v>38</v>
      </c>
      <c r="E809" s="23" t="s">
        <v>61</v>
      </c>
      <c r="F809" s="16" t="str">
        <f>VLOOKUP(E809,'[1]BẢNG MÃ'!$A$2:$B$69,2,0)</f>
        <v>TĐ012</v>
      </c>
      <c r="G809" s="23"/>
      <c r="H809" s="16" t="s">
        <v>62</v>
      </c>
      <c r="I809" s="19" t="s">
        <v>162</v>
      </c>
      <c r="J809" s="16" t="str">
        <f>VLOOKUP(I809,'[1]BẢNG MÃ'!$C$2:$D$69,2,0)</f>
        <v>KP008</v>
      </c>
      <c r="K809" s="23"/>
      <c r="L809" s="23"/>
      <c r="M809" s="16" t="s">
        <v>33</v>
      </c>
      <c r="N809" s="21">
        <f ca="1">VLOOKUP(A809,'[1]Bieu 1a'!$A$8:$AW$855,10,0)</f>
        <v>28</v>
      </c>
      <c r="O809" s="22">
        <f>VLOOKUP(A809,'[1]Bieu 1a'!$A$8:$AW$855,8,0)</f>
        <v>0</v>
      </c>
      <c r="P809" s="22" t="str">
        <f>VLOOKUP(A809,'[1]Bieu 1a'!$A$8:$AW$855,9,0)</f>
        <v>29/05/1998</v>
      </c>
      <c r="Q809" s="23" t="s">
        <v>44</v>
      </c>
      <c r="R809" s="24">
        <f>VLOOKUP(A809,'[1]Bieu 1a'!$A$8:$AW$855,23,0)</f>
        <v>45931</v>
      </c>
      <c r="S809" s="25" t="s">
        <v>3916</v>
      </c>
      <c r="T809" s="26" t="s">
        <v>3917</v>
      </c>
      <c r="U809" s="23"/>
      <c r="V809" s="16" t="str">
        <f>IFERROR(VLOOKUP(A809,'[2]19.6.2026'!$A$9:$L$1111,5,0),"")</f>
        <v/>
      </c>
      <c r="W809" s="16" t="str">
        <f>IFERROR(VLOOKUP(A809,'[2]19.6.2026'!$A$9:$L$1111,6,0),"")</f>
        <v/>
      </c>
      <c r="X809" s="19"/>
      <c r="Y809" s="21" t="str">
        <f>IFERROR(VLOOKUP(A809,'[2]19.6.2026'!$A$9:$L$1111,7,0),"")</f>
        <v/>
      </c>
      <c r="Z809" s="16"/>
      <c r="AA809" s="27" t="str">
        <f>IFERROR(VLOOKUP(A809,'[3]DS UPLOAD 2026 (2)'!$A$2:$P$1111,16,0),"")</f>
        <v/>
      </c>
      <c r="AB809" s="145" t="s">
        <v>3918</v>
      </c>
      <c r="AC809" s="29" t="s">
        <v>3908</v>
      </c>
    </row>
    <row r="810" spans="1:29" ht="25.5" customHeight="1" x14ac:dyDescent="0.3">
      <c r="A810" s="43" t="s">
        <v>3919</v>
      </c>
      <c r="B810" s="28" t="s">
        <v>3920</v>
      </c>
      <c r="C810" s="45" t="s">
        <v>3919</v>
      </c>
      <c r="D810" s="23"/>
      <c r="E810" s="23" t="s">
        <v>3204</v>
      </c>
      <c r="F810" s="16" t="str">
        <f>VLOOKUP(E810,'[1]BẢNG MÃ'!$A$2:$B$69,2,0)</f>
        <v>TĐ029</v>
      </c>
      <c r="G810" s="23"/>
      <c r="H810" s="23" t="s">
        <v>3205</v>
      </c>
      <c r="I810" s="19" t="s">
        <v>3456</v>
      </c>
      <c r="J810" s="16" t="str">
        <f>VLOOKUP(I810,'[1]BẢNG MÃ'!$C$2:$D$69,2,0)</f>
        <v>KP040</v>
      </c>
      <c r="K810" s="23"/>
      <c r="L810" s="23"/>
      <c r="M810" s="23" t="s">
        <v>136</v>
      </c>
      <c r="N810" s="21">
        <f ca="1">VLOOKUP(A810,'[1]Bieu 1a'!$A$8:$AW$855,10,0)</f>
        <v>47</v>
      </c>
      <c r="O810" s="22" t="str">
        <f>VLOOKUP(A810,'[1]Bieu 1a'!$A$8:$AW$855,8,0)</f>
        <v>21/7/1978</v>
      </c>
      <c r="P810" s="22">
        <f>VLOOKUP(A810,'[1]Bieu 1a'!$A$8:$AW$855,9,0)</f>
        <v>0</v>
      </c>
      <c r="Q810" s="23" t="s">
        <v>50</v>
      </c>
      <c r="R810" s="24">
        <f>VLOOKUP(A810,'[1]Bieu 1a'!$A$8:$AW$855,23,0)</f>
        <v>45938</v>
      </c>
      <c r="S810" s="25" t="s">
        <v>3921</v>
      </c>
      <c r="T810" s="26">
        <v>0</v>
      </c>
      <c r="U810" s="23"/>
      <c r="V810" s="16" t="str">
        <f>IFERROR(VLOOKUP(A810,'[2]19.6.2026'!$A$9:$L$1111,5,0),"")</f>
        <v/>
      </c>
      <c r="W810" s="16" t="str">
        <f>IFERROR(VLOOKUP(A810,'[2]19.6.2026'!$A$9:$L$1111,6,0),"")</f>
        <v/>
      </c>
      <c r="X810" s="19"/>
      <c r="Y810" s="21" t="str">
        <f>IFERROR(VLOOKUP(A810,'[2]19.6.2026'!$A$9:$L$1111,7,0),"")</f>
        <v/>
      </c>
      <c r="Z810" s="16"/>
      <c r="AA810" s="27" t="str">
        <f>IFERROR(VLOOKUP(A810,'[3]DS UPLOAD 2026 (2)'!$A$2:$P$1111,16,0),"")</f>
        <v/>
      </c>
      <c r="AB810" s="23">
        <v>888939829</v>
      </c>
      <c r="AC810" s="51" t="s">
        <v>3922</v>
      </c>
    </row>
    <row r="811" spans="1:29" ht="25.5" customHeight="1" x14ac:dyDescent="0.3">
      <c r="A811" s="146" t="s">
        <v>3923</v>
      </c>
      <c r="B811" s="28" t="s">
        <v>3924</v>
      </c>
      <c r="C811" s="147" t="s">
        <v>3923</v>
      </c>
      <c r="D811" s="23"/>
      <c r="E811" s="23" t="s">
        <v>3545</v>
      </c>
      <c r="F811" s="16" t="str">
        <f>VLOOKUP(E811,'[1]BẢNG MÃ'!$A$2:$B$69,2,0)</f>
        <v>TĐ044</v>
      </c>
      <c r="G811" s="23"/>
      <c r="H811" s="19" t="s">
        <v>3546</v>
      </c>
      <c r="I811" s="19" t="s">
        <v>3456</v>
      </c>
      <c r="J811" s="16" t="str">
        <f>VLOOKUP(I811,'[1]BẢNG MÃ'!$C$2:$D$69,2,0)</f>
        <v>KP040</v>
      </c>
      <c r="K811" s="23"/>
      <c r="L811" s="23"/>
      <c r="M811" s="23" t="s">
        <v>136</v>
      </c>
      <c r="N811" s="21">
        <f ca="1">VLOOKUP(A811,'[1]Bieu 1a'!$A$8:$AW$855,10,0)</f>
        <v>57</v>
      </c>
      <c r="O811" s="22" t="str">
        <f>VLOOKUP(A811,'[1]Bieu 1a'!$A$8:$AW$855,8,0)</f>
        <v>15/10/1968</v>
      </c>
      <c r="P811" s="22">
        <f>VLOOKUP(A811,'[1]Bieu 1a'!$A$8:$AW$855,9,0)</f>
        <v>0</v>
      </c>
      <c r="Q811" s="23" t="s">
        <v>50</v>
      </c>
      <c r="R811" s="24">
        <f>VLOOKUP(A811,'[1]Bieu 1a'!$A$8:$AW$855,23,0)</f>
        <v>45962</v>
      </c>
      <c r="S811" s="25" t="s">
        <v>3925</v>
      </c>
      <c r="T811" s="26">
        <v>0</v>
      </c>
      <c r="U811" s="23"/>
      <c r="V811" s="16" t="str">
        <f>IFERROR(VLOOKUP(A811,'[2]19.6.2026'!$A$9:$L$1111,5,0),"")</f>
        <v/>
      </c>
      <c r="W811" s="16" t="str">
        <f>IFERROR(VLOOKUP(A811,'[2]19.6.2026'!$A$9:$L$1111,6,0),"")</f>
        <v/>
      </c>
      <c r="X811" s="19"/>
      <c r="Y811" s="21" t="str">
        <f>IFERROR(VLOOKUP(A811,'[2]19.6.2026'!$A$9:$L$1111,7,0),"")</f>
        <v/>
      </c>
      <c r="Z811" s="16"/>
      <c r="AA811" s="27" t="str">
        <f>IFERROR(VLOOKUP(A811,'[3]DS UPLOAD 2026 (2)'!$A$2:$P$1111,16,0),"")</f>
        <v/>
      </c>
      <c r="AB811" s="23"/>
      <c r="AC811" s="51" t="s">
        <v>3926</v>
      </c>
    </row>
    <row r="812" spans="1:29" ht="26.25" customHeight="1" x14ac:dyDescent="0.3">
      <c r="A812" s="146" t="s">
        <v>3927</v>
      </c>
      <c r="B812" s="120" t="s">
        <v>3928</v>
      </c>
      <c r="C812" s="147" t="s">
        <v>3927</v>
      </c>
      <c r="D812" s="23"/>
      <c r="E812" s="23" t="s">
        <v>173</v>
      </c>
      <c r="F812" s="16" t="str">
        <f>VLOOKUP(E812,'[1]BẢNG MÃ'!$A$2:$B$69,2,0)</f>
        <v>TĐ005</v>
      </c>
      <c r="G812" s="23"/>
      <c r="H812" s="23" t="s">
        <v>161</v>
      </c>
      <c r="I812" s="19" t="s">
        <v>147</v>
      </c>
      <c r="J812" s="16" t="str">
        <f>VLOOKUP(I812,'[1]BẢNG MÃ'!$C$2:$D$69,2,0)</f>
        <v>KP002</v>
      </c>
      <c r="K812" s="23"/>
      <c r="L812" s="23"/>
      <c r="M812" s="16" t="s">
        <v>33</v>
      </c>
      <c r="N812" s="21">
        <f ca="1">VLOOKUP(A812,'[1]Bieu 1a'!$A$8:$AW$855,10,0)</f>
        <v>25</v>
      </c>
      <c r="O812" s="22" t="str">
        <f>VLOOKUP(A812,'[1]Bieu 1a'!$A$8:$AW$855,8,0)</f>
        <v>24/9/2000</v>
      </c>
      <c r="P812" s="22">
        <f>VLOOKUP(A812,'[1]Bieu 1a'!$A$8:$AW$855,9,0)</f>
        <v>0</v>
      </c>
      <c r="Q812" s="23" t="s">
        <v>44</v>
      </c>
      <c r="R812" s="24">
        <f>VLOOKUP(A812,'[1]Bieu 1a'!$A$8:$AW$855,23,0)</f>
        <v>45964</v>
      </c>
      <c r="S812" s="25" t="s">
        <v>3929</v>
      </c>
      <c r="T812" s="26">
        <v>0</v>
      </c>
      <c r="U812" s="23"/>
      <c r="V812" s="16" t="str">
        <f>IFERROR(VLOOKUP(A812,'[2]19.6.2026'!$A$9:$L$1111,5,0),"")</f>
        <v>000371/LS-GPHN</v>
      </c>
      <c r="W812" s="16">
        <f>IFERROR(VLOOKUP(A812,'[2]19.6.2026'!$A$9:$L$1111,6,0),"")</f>
        <v>47752</v>
      </c>
      <c r="X812" s="19"/>
      <c r="Y812" s="21" t="str">
        <f>IFERROR(VLOOKUP(A812,'[2]19.6.2026'!$A$9:$L$1111,7,0),"")</f>
        <v>Y khoa</v>
      </c>
      <c r="Z812" s="16"/>
      <c r="AA812" s="27" t="str">
        <f>IFERROR(VLOOKUP(A812,'[3]DS UPLOAD 2026 (2)'!$A$2:$P$1111,16,0),"")</f>
        <v/>
      </c>
      <c r="AB812" s="116" t="s">
        <v>3930</v>
      </c>
      <c r="AC812" s="29" t="s">
        <v>3931</v>
      </c>
    </row>
    <row r="813" spans="1:29" ht="26.25" customHeight="1" x14ac:dyDescent="0.3">
      <c r="A813" s="146" t="s">
        <v>3932</v>
      </c>
      <c r="B813" s="120" t="s">
        <v>3933</v>
      </c>
      <c r="C813" s="147" t="s">
        <v>3932</v>
      </c>
      <c r="D813" s="23"/>
      <c r="E813" s="23" t="s">
        <v>173</v>
      </c>
      <c r="F813" s="16" t="str">
        <f>VLOOKUP(E813,'[1]BẢNG MÃ'!$A$2:$B$69,2,0)</f>
        <v>TĐ005</v>
      </c>
      <c r="G813" s="23"/>
      <c r="H813" s="23" t="s">
        <v>161</v>
      </c>
      <c r="I813" s="19" t="s">
        <v>1256</v>
      </c>
      <c r="J813" s="16" t="str">
        <f>VLOOKUP(I813,'[1]BẢNG MÃ'!$C$2:$D$69,2,0)</f>
        <v>KP015</v>
      </c>
      <c r="K813" s="23"/>
      <c r="L813" s="23"/>
      <c r="M813" s="23" t="s">
        <v>136</v>
      </c>
      <c r="N813" s="21">
        <f ca="1">VLOOKUP(A813,'[1]Bieu 1a'!$A$8:$AW$855,10,0)</f>
        <v>29</v>
      </c>
      <c r="O813" s="22" t="str">
        <f>VLOOKUP(A813,'[1]Bieu 1a'!$A$8:$AW$855,8,0)</f>
        <v>15/5/1997</v>
      </c>
      <c r="P813" s="22">
        <f>VLOOKUP(A813,'[1]Bieu 1a'!$A$8:$AW$855,9,0)</f>
        <v>0</v>
      </c>
      <c r="Q813" s="23" t="s">
        <v>44</v>
      </c>
      <c r="R813" s="24">
        <f>VLOOKUP(A813,'[1]Bieu 1a'!$A$8:$AW$855,23,0)</f>
        <v>45964</v>
      </c>
      <c r="S813" s="25" t="s">
        <v>3934</v>
      </c>
      <c r="T813" s="26" t="s">
        <v>3935</v>
      </c>
      <c r="U813" s="23"/>
      <c r="V813" s="16" t="str">
        <f>IFERROR(VLOOKUP(A813,'[2]19.6.2026'!$A$9:$L$1111,5,0),"")</f>
        <v>000358/LS-GPHN</v>
      </c>
      <c r="W813" s="16">
        <f>IFERROR(VLOOKUP(A813,'[2]19.6.2026'!$A$9:$L$1111,6,0),"")</f>
        <v>45917</v>
      </c>
      <c r="X813" s="19"/>
      <c r="Y813" s="21" t="str">
        <f>IFERROR(VLOOKUP(A813,'[2]19.6.2026'!$A$9:$L$1111,7,0),"")</f>
        <v>Y khoa</v>
      </c>
      <c r="Z813" s="16"/>
      <c r="AA813" s="27" t="str">
        <f>IFERROR(VLOOKUP(A813,'[3]DS UPLOAD 2026 (2)'!$A$2:$P$1111,16,0),"")</f>
        <v/>
      </c>
      <c r="AB813" s="116" t="s">
        <v>3936</v>
      </c>
      <c r="AC813" s="51" t="s">
        <v>3926</v>
      </c>
    </row>
    <row r="814" spans="1:29" ht="26.25" customHeight="1" x14ac:dyDescent="0.3">
      <c r="A814" s="146" t="s">
        <v>3937</v>
      </c>
      <c r="B814" s="120" t="s">
        <v>3938</v>
      </c>
      <c r="C814" s="147" t="s">
        <v>3937</v>
      </c>
      <c r="D814" s="23"/>
      <c r="E814" s="23" t="s">
        <v>173</v>
      </c>
      <c r="F814" s="16" t="str">
        <f>VLOOKUP(E814,'[1]BẢNG MÃ'!$A$2:$B$69,2,0)</f>
        <v>TĐ005</v>
      </c>
      <c r="G814" s="23"/>
      <c r="H814" s="23" t="s">
        <v>161</v>
      </c>
      <c r="I814" s="19" t="s">
        <v>1883</v>
      </c>
      <c r="J814" s="16" t="str">
        <f>VLOOKUP(I814,'[1]BẢNG MÃ'!$C$2:$D$69,2,0)</f>
        <v>KP017</v>
      </c>
      <c r="K814" s="23"/>
      <c r="L814" s="23"/>
      <c r="M814" s="23" t="s">
        <v>136</v>
      </c>
      <c r="N814" s="21">
        <f ca="1">VLOOKUP(A814,'[1]Bieu 1a'!$A$8:$AW$855,10,0)</f>
        <v>27</v>
      </c>
      <c r="O814" s="22" t="str">
        <f>VLOOKUP(A814,'[1]Bieu 1a'!$A$8:$AW$855,8,0)</f>
        <v>15/10/1998</v>
      </c>
      <c r="P814" s="22">
        <f>VLOOKUP(A814,'[1]Bieu 1a'!$A$8:$AW$855,9,0)</f>
        <v>0</v>
      </c>
      <c r="Q814" s="23" t="s">
        <v>34</v>
      </c>
      <c r="R814" s="24">
        <f>VLOOKUP(A814,'[1]Bieu 1a'!$A$8:$AW$855,23,0)</f>
        <v>45964</v>
      </c>
      <c r="S814" s="25" t="s">
        <v>3939</v>
      </c>
      <c r="T814" s="26" t="s">
        <v>3940</v>
      </c>
      <c r="U814" s="23"/>
      <c r="V814" s="16" t="str">
        <f>IFERROR(VLOOKUP(A814,'[2]19.6.2026'!$A$9:$L$1111,5,0),"")</f>
        <v>000526/BN-GPHN</v>
      </c>
      <c r="W814" s="16">
        <f>IFERROR(VLOOKUP(A814,'[2]19.6.2026'!$A$9:$L$1111,6,0),"")</f>
        <v>45847</v>
      </c>
      <c r="X814" s="19"/>
      <c r="Y814" s="21" t="str">
        <f>IFERROR(VLOOKUP(A814,'[2]19.6.2026'!$A$9:$L$1111,7,0),"")</f>
        <v>Chuyên khoa Nhi khoa</v>
      </c>
      <c r="Z814" s="16"/>
      <c r="AA814" s="27" t="str">
        <f>IFERROR(VLOOKUP(A814,'[3]DS UPLOAD 2026 (2)'!$A$2:$P$1111,16,0),"")</f>
        <v/>
      </c>
      <c r="AB814" s="116" t="s">
        <v>3941</v>
      </c>
      <c r="AC814" s="51" t="s">
        <v>3926</v>
      </c>
    </row>
    <row r="815" spans="1:29" ht="26.25" customHeight="1" x14ac:dyDescent="0.3">
      <c r="A815" s="146" t="s">
        <v>3942</v>
      </c>
      <c r="B815" s="120" t="s">
        <v>3943</v>
      </c>
      <c r="C815" s="147" t="s">
        <v>3942</v>
      </c>
      <c r="D815" s="23" t="s">
        <v>38</v>
      </c>
      <c r="E815" s="23" t="s">
        <v>173</v>
      </c>
      <c r="F815" s="16" t="str">
        <f>VLOOKUP(E815,'[1]BẢNG MÃ'!$A$2:$B$69,2,0)</f>
        <v>TĐ005</v>
      </c>
      <c r="G815" s="23"/>
      <c r="H815" s="23" t="s">
        <v>161</v>
      </c>
      <c r="I815" s="19" t="s">
        <v>355</v>
      </c>
      <c r="J815" s="16" t="str">
        <f>VLOOKUP(I815,'[1]BẢNG MÃ'!$C$2:$D$69,2,0)</f>
        <v>KP007</v>
      </c>
      <c r="K815" s="23"/>
      <c r="L815" s="23"/>
      <c r="M815" s="16" t="s">
        <v>33</v>
      </c>
      <c r="N815" s="21">
        <f ca="1">VLOOKUP(A815,'[1]Bieu 1a'!$A$8:$AW$855,10,0)</f>
        <v>27</v>
      </c>
      <c r="O815" s="22">
        <f>VLOOKUP(A815,'[1]Bieu 1a'!$A$8:$AW$855,8,0)</f>
        <v>0</v>
      </c>
      <c r="P815" s="22" t="str">
        <f>VLOOKUP(A815,'[1]Bieu 1a'!$A$8:$AW$855,9,0)</f>
        <v>7/2/1999</v>
      </c>
      <c r="Q815" s="23" t="s">
        <v>356</v>
      </c>
      <c r="R815" s="24">
        <f>VLOOKUP(A815,'[1]Bieu 1a'!$A$8:$AW$855,23,0)</f>
        <v>45964</v>
      </c>
      <c r="S815" s="25" t="s">
        <v>3944</v>
      </c>
      <c r="T815" s="26" t="s">
        <v>3945</v>
      </c>
      <c r="U815" s="23"/>
      <c r="V815" s="16" t="str">
        <f>IFERROR(VLOOKUP(A815,'[2]19.6.2026'!$A$9:$L$1111,5,0),"")</f>
        <v>000381/LS-GPHN</v>
      </c>
      <c r="W815" s="16">
        <f>IFERROR(VLOOKUP(A815,'[2]19.6.2026'!$A$9:$L$1111,6,0),"")</f>
        <v>45940</v>
      </c>
      <c r="X815" s="19"/>
      <c r="Y815" s="21" t="str">
        <f>IFERROR(VLOOKUP(A815,'[2]19.6.2026'!$A$9:$L$1111,7,0),"")</f>
        <v>Y khoa</v>
      </c>
      <c r="Z815" s="16"/>
      <c r="AA815" s="27" t="str">
        <f>IFERROR(VLOOKUP(A815,'[3]DS UPLOAD 2026 (2)'!$A$2:$P$1111,16,0),"")</f>
        <v/>
      </c>
      <c r="AB815" s="116" t="s">
        <v>3946</v>
      </c>
      <c r="AC815" s="29" t="s">
        <v>3931</v>
      </c>
    </row>
    <row r="816" spans="1:29" ht="26.25" customHeight="1" x14ac:dyDescent="0.3">
      <c r="A816" s="146" t="s">
        <v>3947</v>
      </c>
      <c r="B816" s="120" t="s">
        <v>3948</v>
      </c>
      <c r="C816" s="147" t="s">
        <v>3947</v>
      </c>
      <c r="D816" s="23"/>
      <c r="E816" s="23" t="s">
        <v>173</v>
      </c>
      <c r="F816" s="16" t="str">
        <f>VLOOKUP(E816,'[1]BẢNG MÃ'!$A$2:$B$69,2,0)</f>
        <v>TĐ005</v>
      </c>
      <c r="G816" s="23"/>
      <c r="H816" s="23" t="s">
        <v>161</v>
      </c>
      <c r="I816" s="19" t="s">
        <v>194</v>
      </c>
      <c r="J816" s="16" t="str">
        <f>VLOOKUP(I816,'[1]BẢNG MÃ'!$C$2:$D$69,2,0)</f>
        <v>KP014</v>
      </c>
      <c r="K816" s="23"/>
      <c r="L816" s="23"/>
      <c r="M816" s="23" t="s">
        <v>136</v>
      </c>
      <c r="N816" s="21">
        <f ca="1">VLOOKUP(A816,'[1]Bieu 1a'!$A$8:$AW$855,10,0)</f>
        <v>30</v>
      </c>
      <c r="O816" s="22">
        <f>VLOOKUP(A816,'[1]Bieu 1a'!$A$8:$AW$855,8,0)</f>
        <v>0</v>
      </c>
      <c r="P816" s="22" t="str">
        <f>VLOOKUP(A816,'[1]Bieu 1a'!$A$8:$AW$855,9,0)</f>
        <v>28/02/1996</v>
      </c>
      <c r="Q816" s="23" t="s">
        <v>44</v>
      </c>
      <c r="R816" s="24">
        <f>VLOOKUP(A816,'[1]Bieu 1a'!$A$8:$AW$855,23,0)</f>
        <v>45964</v>
      </c>
      <c r="S816" s="25" t="s">
        <v>3949</v>
      </c>
      <c r="T816" s="26" t="s">
        <v>3950</v>
      </c>
      <c r="U816" s="23"/>
      <c r="V816" s="16" t="str">
        <f>IFERROR(VLOOKUP(A816,'[2]19.6.2026'!$A$9:$L$1111,5,0),"")</f>
        <v>000372/LS-GPHN</v>
      </c>
      <c r="W816" s="16">
        <f>IFERROR(VLOOKUP(A816,'[2]19.6.2026'!$A$9:$L$1111,6,0),"")</f>
        <v>45926</v>
      </c>
      <c r="X816" s="19"/>
      <c r="Y816" s="21" t="str">
        <f>IFERROR(VLOOKUP(A816,'[2]19.6.2026'!$A$9:$L$1111,7,0),"")</f>
        <v>Y khoa</v>
      </c>
      <c r="Z816" s="16"/>
      <c r="AA816" s="27" t="str">
        <f>IFERROR(VLOOKUP(A816,'[3]DS UPLOAD 2026 (2)'!$A$2:$P$1111,16,0),"")</f>
        <v/>
      </c>
      <c r="AB816" s="116" t="s">
        <v>3951</v>
      </c>
      <c r="AC816" s="51" t="s">
        <v>3926</v>
      </c>
    </row>
    <row r="817" spans="1:29" ht="26.25" customHeight="1" x14ac:dyDescent="0.3">
      <c r="A817" s="146" t="s">
        <v>3952</v>
      </c>
      <c r="B817" s="120" t="s">
        <v>3953</v>
      </c>
      <c r="C817" s="147" t="s">
        <v>3952</v>
      </c>
      <c r="D817" s="16" t="s">
        <v>38</v>
      </c>
      <c r="E817" s="23" t="s">
        <v>61</v>
      </c>
      <c r="F817" s="16" t="str">
        <f>VLOOKUP(E817,'[1]BẢNG MÃ'!$A$2:$B$69,2,0)</f>
        <v>TĐ012</v>
      </c>
      <c r="G817" s="23"/>
      <c r="H817" s="16" t="s">
        <v>62</v>
      </c>
      <c r="I817" s="19" t="s">
        <v>1191</v>
      </c>
      <c r="J817" s="16" t="str">
        <f>VLOOKUP(I817,'[1]BẢNG MÃ'!$C$2:$D$69,2,0)</f>
        <v>KP013</v>
      </c>
      <c r="K817" s="23"/>
      <c r="L817" s="23"/>
      <c r="M817" s="16" t="s">
        <v>33</v>
      </c>
      <c r="N817" s="21">
        <f ca="1">VLOOKUP(A817,'[1]Bieu 1a'!$A$8:$AW$855,10,0)</f>
        <v>26</v>
      </c>
      <c r="O817" s="22">
        <f>VLOOKUP(A817,'[1]Bieu 1a'!$A$8:$AW$855,8,0)</f>
        <v>0</v>
      </c>
      <c r="P817" s="22" t="str">
        <f>VLOOKUP(A817,'[1]Bieu 1a'!$A$8:$AW$855,9,0)</f>
        <v>02/02/2000</v>
      </c>
      <c r="Q817" s="23" t="s">
        <v>50</v>
      </c>
      <c r="R817" s="24">
        <f>VLOOKUP(A817,'[1]Bieu 1a'!$A$8:$AW$855,23,0)</f>
        <v>45964</v>
      </c>
      <c r="S817" s="25" t="s">
        <v>3954</v>
      </c>
      <c r="T817" s="26" t="s">
        <v>3955</v>
      </c>
      <c r="U817" s="23"/>
      <c r="V817" s="16" t="str">
        <f>IFERROR(VLOOKUP(A817,'[2]19.6.2026'!$A$9:$L$1111,5,0),"")</f>
        <v/>
      </c>
      <c r="W817" s="16" t="str">
        <f>IFERROR(VLOOKUP(A817,'[2]19.6.2026'!$A$9:$L$1111,6,0),"")</f>
        <v/>
      </c>
      <c r="X817" s="19"/>
      <c r="Y817" s="21" t="str">
        <f>IFERROR(VLOOKUP(A817,'[2]19.6.2026'!$A$9:$L$1111,7,0),"")</f>
        <v/>
      </c>
      <c r="Z817" s="16"/>
      <c r="AA817" s="27" t="str">
        <f>IFERROR(VLOOKUP(A817,'[3]DS UPLOAD 2026 (2)'!$A$2:$P$1111,16,0),"")</f>
        <v/>
      </c>
      <c r="AB817" s="16">
        <v>356881103</v>
      </c>
      <c r="AC817" s="29" t="s">
        <v>3931</v>
      </c>
    </row>
    <row r="818" spans="1:29" ht="26.25" customHeight="1" x14ac:dyDescent="0.3">
      <c r="A818" s="146" t="s">
        <v>3956</v>
      </c>
      <c r="B818" s="120" t="s">
        <v>3957</v>
      </c>
      <c r="C818" s="147" t="s">
        <v>3956</v>
      </c>
      <c r="D818" s="16" t="s">
        <v>38</v>
      </c>
      <c r="E818" s="23" t="s">
        <v>61</v>
      </c>
      <c r="F818" s="16" t="str">
        <f>VLOOKUP(E818,'[1]BẢNG MÃ'!$A$2:$B$69,2,0)</f>
        <v>TĐ012</v>
      </c>
      <c r="G818" s="23"/>
      <c r="H818" s="16" t="s">
        <v>62</v>
      </c>
      <c r="I818" s="19" t="s">
        <v>194</v>
      </c>
      <c r="J818" s="16" t="str">
        <f>VLOOKUP(I818,'[1]BẢNG MÃ'!$C$2:$D$69,2,0)</f>
        <v>KP014</v>
      </c>
      <c r="K818" s="23"/>
      <c r="L818" s="23"/>
      <c r="M818" s="23" t="s">
        <v>136</v>
      </c>
      <c r="N818" s="21">
        <f ca="1">VLOOKUP(A818,'[1]Bieu 1a'!$A$8:$AW$855,10,0)</f>
        <v>21</v>
      </c>
      <c r="O818" s="22">
        <f>VLOOKUP(A818,'[1]Bieu 1a'!$A$8:$AW$855,8,0)</f>
        <v>0</v>
      </c>
      <c r="P818" s="22" t="str">
        <f>VLOOKUP(A818,'[1]Bieu 1a'!$A$8:$AW$855,9,0)</f>
        <v>08/10/2004</v>
      </c>
      <c r="Q818" s="23" t="s">
        <v>50</v>
      </c>
      <c r="R818" s="24">
        <f>VLOOKUP(A818,'[1]Bieu 1a'!$A$8:$AW$855,23,0)</f>
        <v>45964</v>
      </c>
      <c r="S818" s="25" t="s">
        <v>3958</v>
      </c>
      <c r="T818" s="26" t="s">
        <v>3959</v>
      </c>
      <c r="U818" s="23"/>
      <c r="V818" s="16" t="str">
        <f>IFERROR(VLOOKUP(A818,'[2]19.6.2026'!$A$9:$L$1111,5,0),"")</f>
        <v/>
      </c>
      <c r="W818" s="16" t="str">
        <f>IFERROR(VLOOKUP(A818,'[2]19.6.2026'!$A$9:$L$1111,6,0),"")</f>
        <v/>
      </c>
      <c r="X818" s="19"/>
      <c r="Y818" s="21" t="str">
        <f>IFERROR(VLOOKUP(A818,'[2]19.6.2026'!$A$9:$L$1111,7,0),"")</f>
        <v/>
      </c>
      <c r="Z818" s="16"/>
      <c r="AA818" s="27" t="str">
        <f>IFERROR(VLOOKUP(A818,'[3]DS UPLOAD 2026 (2)'!$A$2:$P$1111,16,0),"")</f>
        <v/>
      </c>
      <c r="AB818" s="148" t="s">
        <v>3960</v>
      </c>
      <c r="AC818" s="51" t="s">
        <v>3926</v>
      </c>
    </row>
    <row r="819" spans="1:29" ht="26.25" customHeight="1" x14ac:dyDescent="0.3">
      <c r="A819" s="146" t="s">
        <v>3961</v>
      </c>
      <c r="B819" s="120" t="s">
        <v>3962</v>
      </c>
      <c r="C819" s="147" t="s">
        <v>3961</v>
      </c>
      <c r="D819" s="16" t="s">
        <v>38</v>
      </c>
      <c r="E819" s="23" t="s">
        <v>61</v>
      </c>
      <c r="F819" s="16" t="str">
        <f>VLOOKUP(E819,'[1]BẢNG MÃ'!$A$2:$B$69,2,0)</f>
        <v>TĐ012</v>
      </c>
      <c r="G819" s="23"/>
      <c r="H819" s="16" t="s">
        <v>62</v>
      </c>
      <c r="I819" s="19" t="s">
        <v>194</v>
      </c>
      <c r="J819" s="16" t="str">
        <f>VLOOKUP(I819,'[1]BẢNG MÃ'!$C$2:$D$69,2,0)</f>
        <v>KP014</v>
      </c>
      <c r="K819" s="23"/>
      <c r="L819" s="23"/>
      <c r="M819" s="16" t="s">
        <v>33</v>
      </c>
      <c r="N819" s="21">
        <f ca="1">VLOOKUP(A819,'[1]Bieu 1a'!$A$8:$AW$855,10,0)</f>
        <v>22</v>
      </c>
      <c r="O819" s="22">
        <f>VLOOKUP(A819,'[1]Bieu 1a'!$A$8:$AW$855,8,0)</f>
        <v>0</v>
      </c>
      <c r="P819" s="22" t="str">
        <f>VLOOKUP(A819,'[1]Bieu 1a'!$A$8:$AW$855,9,0)</f>
        <v>25/01/2004</v>
      </c>
      <c r="Q819" s="23" t="s">
        <v>50</v>
      </c>
      <c r="R819" s="24">
        <f>VLOOKUP(A819,'[1]Bieu 1a'!$A$8:$AW$855,23,0)</f>
        <v>45964</v>
      </c>
      <c r="S819" s="25" t="s">
        <v>3963</v>
      </c>
      <c r="T819" s="26" t="s">
        <v>3964</v>
      </c>
      <c r="U819" s="23"/>
      <c r="V819" s="16" t="str">
        <f>IFERROR(VLOOKUP(A819,'[2]19.6.2026'!$A$9:$L$1111,5,0),"")</f>
        <v/>
      </c>
      <c r="W819" s="16" t="str">
        <f>IFERROR(VLOOKUP(A819,'[2]19.6.2026'!$A$9:$L$1111,6,0),"")</f>
        <v/>
      </c>
      <c r="X819" s="19"/>
      <c r="Y819" s="21" t="str">
        <f>IFERROR(VLOOKUP(A819,'[2]19.6.2026'!$A$9:$L$1111,7,0),"")</f>
        <v/>
      </c>
      <c r="Z819" s="16"/>
      <c r="AA819" s="27" t="str">
        <f>IFERROR(VLOOKUP(A819,'[3]DS UPLOAD 2026 (2)'!$A$2:$P$1111,16,0),"")</f>
        <v/>
      </c>
      <c r="AB819" s="16">
        <v>375114797</v>
      </c>
      <c r="AC819" s="29" t="s">
        <v>3931</v>
      </c>
    </row>
    <row r="820" spans="1:29" ht="26.25" customHeight="1" x14ac:dyDescent="0.3">
      <c r="A820" s="146" t="s">
        <v>3965</v>
      </c>
      <c r="B820" s="120" t="s">
        <v>2735</v>
      </c>
      <c r="C820" s="147" t="s">
        <v>3965</v>
      </c>
      <c r="D820" s="16" t="s">
        <v>38</v>
      </c>
      <c r="E820" s="23" t="s">
        <v>61</v>
      </c>
      <c r="F820" s="16" t="str">
        <f>VLOOKUP(E820,'[1]BẢNG MÃ'!$A$2:$B$69,2,0)</f>
        <v>TĐ012</v>
      </c>
      <c r="G820" s="23"/>
      <c r="H820" s="16" t="s">
        <v>62</v>
      </c>
      <c r="I820" s="16" t="s">
        <v>468</v>
      </c>
      <c r="J820" s="16" t="str">
        <f>VLOOKUP(I820,'[1]BẢNG MÃ'!$C$2:$D$69,2,0)</f>
        <v>KP004</v>
      </c>
      <c r="K820" s="23"/>
      <c r="L820" s="23"/>
      <c r="M820" s="23" t="s">
        <v>136</v>
      </c>
      <c r="N820" s="21">
        <f ca="1">VLOOKUP(A820,'[1]Bieu 1a'!$A$8:$AW$855,10,0)</f>
        <v>21</v>
      </c>
      <c r="O820" s="22">
        <f>VLOOKUP(A820,'[1]Bieu 1a'!$A$8:$AW$855,8,0)</f>
        <v>0</v>
      </c>
      <c r="P820" s="22" t="str">
        <f>VLOOKUP(A820,'[1]Bieu 1a'!$A$8:$AW$855,9,0)</f>
        <v>11/12/2004</v>
      </c>
      <c r="Q820" s="23" t="s">
        <v>44</v>
      </c>
      <c r="R820" s="24">
        <f>VLOOKUP(A820,'[1]Bieu 1a'!$A$8:$AW$855,23,0)</f>
        <v>45964</v>
      </c>
      <c r="S820" s="25" t="s">
        <v>3966</v>
      </c>
      <c r="T820" s="26" t="s">
        <v>3967</v>
      </c>
      <c r="U820" s="23"/>
      <c r="V820" s="16" t="str">
        <f>IFERROR(VLOOKUP(A820,'[2]19.6.2026'!$A$9:$L$1111,5,0),"")</f>
        <v/>
      </c>
      <c r="W820" s="16" t="str">
        <f>IFERROR(VLOOKUP(A820,'[2]19.6.2026'!$A$9:$L$1111,6,0),"")</f>
        <v/>
      </c>
      <c r="X820" s="19"/>
      <c r="Y820" s="21" t="str">
        <f>IFERROR(VLOOKUP(A820,'[2]19.6.2026'!$A$9:$L$1111,7,0),"")</f>
        <v/>
      </c>
      <c r="Z820" s="16"/>
      <c r="AA820" s="27" t="str">
        <f>IFERROR(VLOOKUP(A820,'[3]DS UPLOAD 2026 (2)'!$A$2:$P$1111,16,0),"")</f>
        <v/>
      </c>
      <c r="AB820" s="16">
        <v>367034380</v>
      </c>
      <c r="AC820" s="51" t="s">
        <v>3926</v>
      </c>
    </row>
    <row r="821" spans="1:29" ht="26.25" customHeight="1" x14ac:dyDescent="0.3">
      <c r="A821" s="146" t="s">
        <v>3968</v>
      </c>
      <c r="B821" s="120" t="s">
        <v>3969</v>
      </c>
      <c r="C821" s="147" t="s">
        <v>3968</v>
      </c>
      <c r="D821" s="16" t="s">
        <v>38</v>
      </c>
      <c r="E821" s="23" t="s">
        <v>61</v>
      </c>
      <c r="F821" s="16" t="str">
        <f>VLOOKUP(E821,'[1]BẢNG MÃ'!$A$2:$B$69,2,0)</f>
        <v>TĐ012</v>
      </c>
      <c r="G821" s="23"/>
      <c r="H821" s="16" t="s">
        <v>62</v>
      </c>
      <c r="I821" s="19" t="s">
        <v>306</v>
      </c>
      <c r="J821" s="16" t="str">
        <f>VLOOKUP(I821,'[1]BẢNG MÃ'!$C$2:$D$69,2,0)</f>
        <v>KP003</v>
      </c>
      <c r="K821" s="23"/>
      <c r="L821" s="23"/>
      <c r="M821" s="23" t="s">
        <v>136</v>
      </c>
      <c r="N821" s="21">
        <f ca="1">VLOOKUP(A821,'[1]Bieu 1a'!$A$8:$AW$855,10,0)</f>
        <v>22</v>
      </c>
      <c r="O821" s="22">
        <f>VLOOKUP(A821,'[1]Bieu 1a'!$A$8:$AW$855,8,0)</f>
        <v>0</v>
      </c>
      <c r="P821" s="22" t="str">
        <f>VLOOKUP(A821,'[1]Bieu 1a'!$A$8:$AW$855,9,0)</f>
        <v>04/03/2004</v>
      </c>
      <c r="Q821" s="23" t="s">
        <v>50</v>
      </c>
      <c r="R821" s="24">
        <f>VLOOKUP(A821,'[1]Bieu 1a'!$A$8:$AW$855,23,0)</f>
        <v>45964</v>
      </c>
      <c r="S821" s="25" t="s">
        <v>3970</v>
      </c>
      <c r="T821" s="26" t="s">
        <v>3971</v>
      </c>
      <c r="U821" s="23"/>
      <c r="V821" s="16" t="str">
        <f>IFERROR(VLOOKUP(A821,'[2]19.6.2026'!$A$9:$L$1111,5,0),"")</f>
        <v/>
      </c>
      <c r="W821" s="16" t="str">
        <f>IFERROR(VLOOKUP(A821,'[2]19.6.2026'!$A$9:$L$1111,6,0),"")</f>
        <v/>
      </c>
      <c r="X821" s="19"/>
      <c r="Y821" s="21" t="str">
        <f>IFERROR(VLOOKUP(A821,'[2]19.6.2026'!$A$9:$L$1111,7,0),"")</f>
        <v/>
      </c>
      <c r="Z821" s="16"/>
      <c r="AA821" s="27" t="str">
        <f>IFERROR(VLOOKUP(A821,'[3]DS UPLOAD 2026 (2)'!$A$2:$P$1111,16,0),"")</f>
        <v/>
      </c>
      <c r="AB821" s="16">
        <v>352819504</v>
      </c>
      <c r="AC821" s="51" t="s">
        <v>3926</v>
      </c>
    </row>
    <row r="822" spans="1:29" ht="26.25" customHeight="1" x14ac:dyDescent="0.3">
      <c r="A822" s="146" t="s">
        <v>3972</v>
      </c>
      <c r="B822" s="120" t="s">
        <v>3973</v>
      </c>
      <c r="C822" s="147" t="s">
        <v>3972</v>
      </c>
      <c r="D822" s="16"/>
      <c r="E822" s="23" t="s">
        <v>61</v>
      </c>
      <c r="F822" s="16" t="str">
        <f>VLOOKUP(E822,'[1]BẢNG MÃ'!$A$2:$B$69,2,0)</f>
        <v>TĐ012</v>
      </c>
      <c r="G822" s="23"/>
      <c r="H822" s="16" t="s">
        <v>62</v>
      </c>
      <c r="I822" s="19" t="s">
        <v>147</v>
      </c>
      <c r="J822" s="16" t="str">
        <f>VLOOKUP(I822,'[1]BẢNG MÃ'!$C$2:$D$69,2,0)</f>
        <v>KP002</v>
      </c>
      <c r="K822" s="23"/>
      <c r="L822" s="23"/>
      <c r="M822" s="16" t="s">
        <v>33</v>
      </c>
      <c r="N822" s="21">
        <f ca="1">VLOOKUP(A822,'[1]Bieu 1a'!$A$8:$AW$855,10,0)</f>
        <v>23</v>
      </c>
      <c r="O822" s="22">
        <f>VLOOKUP(A822,'[1]Bieu 1a'!$A$8:$AW$855,8,0)</f>
        <v>0</v>
      </c>
      <c r="P822" s="22" t="str">
        <f>VLOOKUP(A822,'[1]Bieu 1a'!$A$8:$AW$855,9,0)</f>
        <v>07/11/2002</v>
      </c>
      <c r="Q822" s="23" t="s">
        <v>50</v>
      </c>
      <c r="R822" s="24">
        <f>VLOOKUP(A822,'[1]Bieu 1a'!$A$8:$AW$855,23,0)</f>
        <v>45964</v>
      </c>
      <c r="S822" s="25" t="s">
        <v>3974</v>
      </c>
      <c r="T822" s="26">
        <v>0</v>
      </c>
      <c r="U822" s="23"/>
      <c r="V822" s="16" t="str">
        <f>IFERROR(VLOOKUP(A822,'[2]19.6.2026'!$A$9:$L$1111,5,0),"")</f>
        <v/>
      </c>
      <c r="W822" s="16" t="str">
        <f>IFERROR(VLOOKUP(A822,'[2]19.6.2026'!$A$9:$L$1111,6,0),"")</f>
        <v/>
      </c>
      <c r="X822" s="19"/>
      <c r="Y822" s="21" t="str">
        <f>IFERROR(VLOOKUP(A822,'[2]19.6.2026'!$A$9:$L$1111,7,0),"")</f>
        <v/>
      </c>
      <c r="Z822" s="16"/>
      <c r="AA822" s="27" t="str">
        <f>IFERROR(VLOOKUP(A822,'[3]DS UPLOAD 2026 (2)'!$A$2:$P$1111,16,0),"")</f>
        <v/>
      </c>
      <c r="AB822" s="16">
        <v>352564336</v>
      </c>
      <c r="AC822" s="29" t="s">
        <v>3931</v>
      </c>
    </row>
    <row r="823" spans="1:29" ht="26.25" customHeight="1" x14ac:dyDescent="0.3">
      <c r="A823" s="146" t="s">
        <v>3975</v>
      </c>
      <c r="B823" s="120" t="s">
        <v>3976</v>
      </c>
      <c r="C823" s="147" t="s">
        <v>3975</v>
      </c>
      <c r="D823" s="16"/>
      <c r="E823" s="23" t="s">
        <v>61</v>
      </c>
      <c r="F823" s="16" t="str">
        <f>VLOOKUP(E823,'[1]BẢNG MÃ'!$A$2:$B$69,2,0)</f>
        <v>TĐ012</v>
      </c>
      <c r="G823" s="23"/>
      <c r="H823" s="16" t="s">
        <v>62</v>
      </c>
      <c r="I823" s="19" t="s">
        <v>306</v>
      </c>
      <c r="J823" s="16" t="str">
        <f>VLOOKUP(I823,'[1]BẢNG MÃ'!$C$2:$D$69,2,0)</f>
        <v>KP003</v>
      </c>
      <c r="K823" s="23"/>
      <c r="L823" s="23"/>
      <c r="M823" s="16" t="s">
        <v>33</v>
      </c>
      <c r="N823" s="21">
        <f ca="1">VLOOKUP(A823,'[1]Bieu 1a'!$A$8:$AW$855,10,0)</f>
        <v>22</v>
      </c>
      <c r="O823" s="22" t="str">
        <f>VLOOKUP(A823,'[1]Bieu 1a'!$A$8:$AW$855,8,0)</f>
        <v>11/3/2004</v>
      </c>
      <c r="P823" s="22">
        <f>VLOOKUP(A823,'[1]Bieu 1a'!$A$8:$AW$855,9,0)</f>
        <v>0</v>
      </c>
      <c r="Q823" s="23" t="s">
        <v>34</v>
      </c>
      <c r="R823" s="24">
        <f>VLOOKUP(A823,'[1]Bieu 1a'!$A$8:$AW$855,23,0)</f>
        <v>45964</v>
      </c>
      <c r="S823" s="25" t="s">
        <v>3977</v>
      </c>
      <c r="T823" s="26" t="s">
        <v>3978</v>
      </c>
      <c r="U823" s="23"/>
      <c r="V823" s="16" t="str">
        <f>IFERROR(VLOOKUP(A823,'[2]19.6.2026'!$A$9:$L$1111,5,0),"")</f>
        <v/>
      </c>
      <c r="W823" s="16" t="str">
        <f>IFERROR(VLOOKUP(A823,'[2]19.6.2026'!$A$9:$L$1111,6,0),"")</f>
        <v/>
      </c>
      <c r="X823" s="19"/>
      <c r="Y823" s="21" t="str">
        <f>IFERROR(VLOOKUP(A823,'[2]19.6.2026'!$A$9:$L$1111,7,0),"")</f>
        <v/>
      </c>
      <c r="Z823" s="16"/>
      <c r="AA823" s="27" t="str">
        <f>IFERROR(VLOOKUP(A823,'[3]DS UPLOAD 2026 (2)'!$A$2:$P$1111,16,0),"")</f>
        <v/>
      </c>
      <c r="AB823" s="16">
        <v>389014757</v>
      </c>
      <c r="AC823" s="29" t="s">
        <v>3931</v>
      </c>
    </row>
    <row r="824" spans="1:29" ht="26.25" customHeight="1" x14ac:dyDescent="0.3">
      <c r="A824" s="146" t="s">
        <v>3979</v>
      </c>
      <c r="B824" s="147" t="s">
        <v>3980</v>
      </c>
      <c r="C824" s="147" t="s">
        <v>3979</v>
      </c>
      <c r="D824" s="23" t="s">
        <v>38</v>
      </c>
      <c r="E824" s="23" t="s">
        <v>61</v>
      </c>
      <c r="F824" s="16" t="str">
        <f>VLOOKUP(E824,'[1]BẢNG MÃ'!$A$2:$B$69,2,0)</f>
        <v>TĐ012</v>
      </c>
      <c r="G824" s="23"/>
      <c r="H824" s="16" t="s">
        <v>62</v>
      </c>
      <c r="I824" s="19" t="s">
        <v>194</v>
      </c>
      <c r="J824" s="16" t="str">
        <f>VLOOKUP(I824,'[1]BẢNG MÃ'!$C$2:$D$69,2,0)</f>
        <v>KP014</v>
      </c>
      <c r="K824" s="23"/>
      <c r="L824" s="23"/>
      <c r="M824" s="23" t="s">
        <v>136</v>
      </c>
      <c r="N824" s="21">
        <f ca="1">VLOOKUP(A824,'[1]Bieu 1a'!$A$8:$AW$855,10,0)</f>
        <v>21</v>
      </c>
      <c r="O824" s="22">
        <f>VLOOKUP(A824,'[1]Bieu 1a'!$A$8:$AW$855,8,0)</f>
        <v>0</v>
      </c>
      <c r="P824" s="22" t="str">
        <f>VLOOKUP(A824,'[1]Bieu 1a'!$A$8:$AW$855,9,0)</f>
        <v>24/9/2004</v>
      </c>
      <c r="Q824" s="23" t="s">
        <v>44</v>
      </c>
      <c r="R824" s="24">
        <f>VLOOKUP(A824,'[1]Bieu 1a'!$A$8:$AW$855,23,0)</f>
        <v>45964</v>
      </c>
      <c r="S824" s="25" t="s">
        <v>3981</v>
      </c>
      <c r="T824" s="26" t="s">
        <v>3982</v>
      </c>
      <c r="U824" s="23"/>
      <c r="V824" s="16" t="str">
        <f>IFERROR(VLOOKUP(A824,'[2]19.6.2026'!$A$9:$L$1111,5,0),"")</f>
        <v/>
      </c>
      <c r="W824" s="16" t="str">
        <f>IFERROR(VLOOKUP(A824,'[2]19.6.2026'!$A$9:$L$1111,6,0),"")</f>
        <v/>
      </c>
      <c r="X824" s="19"/>
      <c r="Y824" s="21" t="str">
        <f>IFERROR(VLOOKUP(A824,'[2]19.6.2026'!$A$9:$L$1111,7,0),"")</f>
        <v/>
      </c>
      <c r="Z824" s="16"/>
      <c r="AA824" s="27" t="str">
        <f>IFERROR(VLOOKUP(A824,'[3]DS UPLOAD 2026 (2)'!$A$2:$P$1111,16,0),"")</f>
        <v/>
      </c>
      <c r="AB824" s="23" t="s">
        <v>3983</v>
      </c>
      <c r="AC824" s="51" t="s">
        <v>3926</v>
      </c>
    </row>
    <row r="825" spans="1:29" ht="26.25" customHeight="1" x14ac:dyDescent="0.3">
      <c r="A825" s="146" t="s">
        <v>3984</v>
      </c>
      <c r="B825" s="28" t="s">
        <v>3985</v>
      </c>
      <c r="C825" s="147" t="s">
        <v>3984</v>
      </c>
      <c r="D825" s="23" t="s">
        <v>38</v>
      </c>
      <c r="E825" s="23" t="s">
        <v>173</v>
      </c>
      <c r="F825" s="16" t="str">
        <f>VLOOKUP(E825,'[1]BẢNG MÃ'!$A$2:$B$69,2,0)</f>
        <v>TĐ005</v>
      </c>
      <c r="G825" s="23"/>
      <c r="H825" s="23" t="s">
        <v>161</v>
      </c>
      <c r="I825" s="19" t="s">
        <v>306</v>
      </c>
      <c r="J825" s="16" t="str">
        <f>VLOOKUP(I825,'[1]BẢNG MÃ'!$C$2:$D$69,2,0)</f>
        <v>KP003</v>
      </c>
      <c r="K825" s="23"/>
      <c r="L825" s="23"/>
      <c r="M825" s="16" t="s">
        <v>33</v>
      </c>
      <c r="N825" s="21">
        <f ca="1">VLOOKUP(A825,'[1]Bieu 1a'!$A$8:$AW$855,10,0)</f>
        <v>25</v>
      </c>
      <c r="O825" s="22">
        <f>VLOOKUP(A825,'[1]Bieu 1a'!$A$8:$AW$855,8,0)</f>
        <v>0</v>
      </c>
      <c r="P825" s="22" t="str">
        <f>VLOOKUP(A825,'[1]Bieu 1a'!$A$8:$AW$855,9,0)</f>
        <v>16/11/2000</v>
      </c>
      <c r="Q825" s="23" t="s">
        <v>50</v>
      </c>
      <c r="R825" s="24">
        <f>VLOOKUP(A825,'[1]Bieu 1a'!$A$8:$AW$855,23,0)</f>
        <v>45971</v>
      </c>
      <c r="S825" s="25" t="s">
        <v>3986</v>
      </c>
      <c r="T825" s="26" t="s">
        <v>3987</v>
      </c>
      <c r="U825" s="23"/>
      <c r="V825" s="16" t="str">
        <f>IFERROR(VLOOKUP(A825,'[2]19.6.2026'!$A$9:$L$1111,5,0),"")</f>
        <v>000399/LS-GPHN</v>
      </c>
      <c r="W825" s="16">
        <f>IFERROR(VLOOKUP(A825,'[2]19.6.2026'!$A$9:$L$1111,6,0),"")</f>
        <v>45964</v>
      </c>
      <c r="X825" s="19"/>
      <c r="Y825" s="21" t="str">
        <f>IFERROR(VLOOKUP(A825,'[2]19.6.2026'!$A$9:$L$1111,7,0),"")</f>
        <v>Y khoa</v>
      </c>
      <c r="Z825" s="16"/>
      <c r="AA825" s="27" t="str">
        <f>IFERROR(VLOOKUP(A825,'[3]DS UPLOAD 2026 (2)'!$A$2:$P$1111,16,0),"")</f>
        <v/>
      </c>
      <c r="AB825" s="23"/>
      <c r="AC825" s="29" t="s">
        <v>3988</v>
      </c>
    </row>
    <row r="826" spans="1:29" ht="26.25" customHeight="1" x14ac:dyDescent="0.3">
      <c r="A826" s="146" t="s">
        <v>3989</v>
      </c>
      <c r="B826" s="28" t="s">
        <v>3990</v>
      </c>
      <c r="C826" s="147" t="s">
        <v>3989</v>
      </c>
      <c r="D826" s="23" t="s">
        <v>38</v>
      </c>
      <c r="E826" s="23" t="s">
        <v>41</v>
      </c>
      <c r="F826" s="16" t="str">
        <f>VLOOKUP(E826,'[1]BẢNG MÃ'!$A$2:$B$69,2,0)</f>
        <v>TĐ011</v>
      </c>
      <c r="G826" s="48"/>
      <c r="H826" s="16" t="s">
        <v>42</v>
      </c>
      <c r="I826" s="19" t="s">
        <v>306</v>
      </c>
      <c r="J826" s="16" t="str">
        <f>VLOOKUP(I826,'[1]BẢNG MÃ'!$C$2:$D$69,2,0)</f>
        <v>KP003</v>
      </c>
      <c r="K826" s="23"/>
      <c r="L826" s="23"/>
      <c r="M826" s="23" t="s">
        <v>136</v>
      </c>
      <c r="N826" s="21">
        <f ca="1">VLOOKUP(A826,'[1]Bieu 1a'!$A$8:$AW$855,10,0)</f>
        <v>24</v>
      </c>
      <c r="O826" s="22">
        <f>VLOOKUP(A826,'[1]Bieu 1a'!$A$8:$AW$855,8,0)</f>
        <v>0</v>
      </c>
      <c r="P826" s="22" t="str">
        <f>VLOOKUP(A826,'[1]Bieu 1a'!$A$8:$AW$855,9,0)</f>
        <v>01/03/2002</v>
      </c>
      <c r="Q826" s="23" t="s">
        <v>50</v>
      </c>
      <c r="R826" s="24">
        <f>VLOOKUP(A826,'[1]Bieu 1a'!$A$8:$AW$855,23,0)</f>
        <v>45972</v>
      </c>
      <c r="S826" s="25" t="s">
        <v>3991</v>
      </c>
      <c r="T826" s="26" t="s">
        <v>3992</v>
      </c>
      <c r="U826" s="23"/>
      <c r="V826" s="16" t="str">
        <f>IFERROR(VLOOKUP(A826,'[2]19.6.2026'!$A$9:$L$1111,5,0),"")</f>
        <v/>
      </c>
      <c r="W826" s="16" t="str">
        <f>IFERROR(VLOOKUP(A826,'[2]19.6.2026'!$A$9:$L$1111,6,0),"")</f>
        <v/>
      </c>
      <c r="X826" s="19"/>
      <c r="Y826" s="21" t="str">
        <f>IFERROR(VLOOKUP(A826,'[2]19.6.2026'!$A$9:$L$1111,7,0),"")</f>
        <v/>
      </c>
      <c r="Z826" s="16"/>
      <c r="AA826" s="27" t="str">
        <f>IFERROR(VLOOKUP(A826,'[3]DS UPLOAD 2026 (2)'!$A$2:$P$1111,16,0),"")</f>
        <v/>
      </c>
      <c r="AB826" s="23"/>
      <c r="AC826" s="51" t="s">
        <v>3993</v>
      </c>
    </row>
    <row r="827" spans="1:29" ht="19.5" customHeight="1" x14ac:dyDescent="0.3">
      <c r="A827" s="146" t="s">
        <v>3994</v>
      </c>
      <c r="B827" s="28" t="s">
        <v>1717</v>
      </c>
      <c r="C827" s="147" t="s">
        <v>3994</v>
      </c>
      <c r="D827" s="23" t="s">
        <v>38</v>
      </c>
      <c r="E827" s="23" t="s">
        <v>61</v>
      </c>
      <c r="F827" s="16" t="str">
        <f>VLOOKUP(E827,'[1]BẢNG MÃ'!$A$2:$B$69,2,0)</f>
        <v>TĐ012</v>
      </c>
      <c r="G827" s="48"/>
      <c r="H827" s="16" t="s">
        <v>62</v>
      </c>
      <c r="I827" s="19" t="s">
        <v>147</v>
      </c>
      <c r="J827" s="16" t="str">
        <f>VLOOKUP(I827,'[1]BẢNG MÃ'!$C$2:$D$69,2,0)</f>
        <v>KP002</v>
      </c>
      <c r="K827" s="23"/>
      <c r="L827" s="23"/>
      <c r="M827" s="16" t="s">
        <v>33</v>
      </c>
      <c r="N827" s="21">
        <f ca="1">VLOOKUP(A827,'[1]Bieu 1a'!$A$8:$AW$855,10,0)</f>
        <v>30</v>
      </c>
      <c r="O827" s="22">
        <f>VLOOKUP(A827,'[1]Bieu 1a'!$A$8:$AW$855,8,0)</f>
        <v>0</v>
      </c>
      <c r="P827" s="22" t="str">
        <f>VLOOKUP(A827,'[1]Bieu 1a'!$A$8:$AW$855,9,0)</f>
        <v>23/10/1995</v>
      </c>
      <c r="Q827" s="23" t="s">
        <v>34</v>
      </c>
      <c r="R827" s="24">
        <f>VLOOKUP(A827,'[1]Bieu 1a'!$A$8:$AW$855,23,0)</f>
        <v>45972</v>
      </c>
      <c r="S827" s="25" t="s">
        <v>3995</v>
      </c>
      <c r="T827" s="26" t="s">
        <v>3996</v>
      </c>
      <c r="U827" s="23"/>
      <c r="V827" s="16" t="str">
        <f>IFERROR(VLOOKUP(A827,'[2]19.6.2026'!$A$9:$L$1111,5,0),"")</f>
        <v/>
      </c>
      <c r="W827" s="16" t="str">
        <f>IFERROR(VLOOKUP(A827,'[2]19.6.2026'!$A$9:$L$1111,6,0),"")</f>
        <v/>
      </c>
      <c r="X827" s="19"/>
      <c r="Y827" s="21" t="str">
        <f>IFERROR(VLOOKUP(A827,'[2]19.6.2026'!$A$9:$L$1111,7,0),"")</f>
        <v/>
      </c>
      <c r="Z827" s="16"/>
      <c r="AA827" s="27" t="str">
        <f>IFERROR(VLOOKUP(A827,'[3]DS UPLOAD 2026 (2)'!$A$2:$P$1111,16,0),"")</f>
        <v/>
      </c>
      <c r="AB827" s="23"/>
      <c r="AC827" s="29" t="s">
        <v>3997</v>
      </c>
    </row>
    <row r="828" spans="1:29" ht="19.5" customHeight="1" x14ac:dyDescent="0.3">
      <c r="A828" s="146" t="s">
        <v>3998</v>
      </c>
      <c r="B828" s="28" t="s">
        <v>3999</v>
      </c>
      <c r="C828" s="147" t="s">
        <v>3998</v>
      </c>
      <c r="D828" s="23"/>
      <c r="E828" s="23" t="s">
        <v>173</v>
      </c>
      <c r="F828" s="16" t="str">
        <f>VLOOKUP(E828,'[1]BẢNG MÃ'!$A$2:$B$69,2,0)</f>
        <v>TĐ005</v>
      </c>
      <c r="G828" s="23"/>
      <c r="H828" s="23" t="s">
        <v>161</v>
      </c>
      <c r="I828" s="19" t="s">
        <v>1883</v>
      </c>
      <c r="J828" s="16" t="str">
        <f>VLOOKUP(I828,'[1]BẢNG MÃ'!$C$2:$D$69,2,0)</f>
        <v>KP017</v>
      </c>
      <c r="K828" s="23"/>
      <c r="L828" s="23"/>
      <c r="M828" s="16" t="s">
        <v>33</v>
      </c>
      <c r="N828" s="21">
        <f ca="1">VLOOKUP(A828,'[1]Bieu 1a'!$A$8:$AW$855,10,0)</f>
        <v>26</v>
      </c>
      <c r="O828" s="22" t="str">
        <f>VLOOKUP(A828,'[1]Bieu 1a'!$A$8:$AW$855,8,0)</f>
        <v>30/5/2000</v>
      </c>
      <c r="P828" s="22">
        <f>VLOOKUP(A828,'[1]Bieu 1a'!$A$8:$AW$855,9,0)</f>
        <v>0</v>
      </c>
      <c r="Q828" s="23" t="s">
        <v>50</v>
      </c>
      <c r="R828" s="24">
        <f>VLOOKUP(A828,'[1]Bieu 1a'!$A$8:$AW$855,23,0)</f>
        <v>45978</v>
      </c>
      <c r="S828" s="25" t="s">
        <v>4000</v>
      </c>
      <c r="T828" s="26" t="s">
        <v>950</v>
      </c>
      <c r="U828" s="23"/>
      <c r="V828" s="16" t="str">
        <f>IFERROR(VLOOKUP(A828,'[2]19.6.2026'!$A$9:$L$1111,5,0),"")</f>
        <v>000423/LS-GPHN</v>
      </c>
      <c r="W828" s="16">
        <f>IFERROR(VLOOKUP(A828,'[2]19.6.2026'!$A$9:$L$1111,6,0),"")</f>
        <v>45994</v>
      </c>
      <c r="X828" s="19"/>
      <c r="Y828" s="21" t="str">
        <f>IFERROR(VLOOKUP(A828,'[2]19.6.2026'!$A$9:$L$1111,7,0),"")</f>
        <v>Y khoa</v>
      </c>
      <c r="Z828" s="16"/>
      <c r="AA828" s="27" t="str">
        <f>IFERROR(VLOOKUP(A828,'[3]DS UPLOAD 2026 (2)'!$A$2:$P$1111,16,0),"")</f>
        <v/>
      </c>
      <c r="AB828" s="23">
        <v>918253288</v>
      </c>
      <c r="AC828" s="29" t="s">
        <v>4001</v>
      </c>
    </row>
    <row r="829" spans="1:29" ht="19.5" customHeight="1" x14ac:dyDescent="0.3">
      <c r="A829" s="146" t="s">
        <v>4002</v>
      </c>
      <c r="B829" s="28" t="s">
        <v>4003</v>
      </c>
      <c r="C829" s="147" t="s">
        <v>4002</v>
      </c>
      <c r="D829" s="23" t="s">
        <v>38</v>
      </c>
      <c r="E829" s="23" t="s">
        <v>61</v>
      </c>
      <c r="F829" s="16" t="str">
        <f>VLOOKUP(E829,'[1]BẢNG MÃ'!$A$2:$B$69,2,0)</f>
        <v>TĐ012</v>
      </c>
      <c r="G829" s="48"/>
      <c r="H829" s="16" t="s">
        <v>62</v>
      </c>
      <c r="I829" s="19" t="s">
        <v>147</v>
      </c>
      <c r="J829" s="16" t="str">
        <f>VLOOKUP(I829,'[1]BẢNG MÃ'!$C$2:$D$69,2,0)</f>
        <v>KP002</v>
      </c>
      <c r="K829" s="23"/>
      <c r="L829" s="23"/>
      <c r="M829" s="23" t="s">
        <v>136</v>
      </c>
      <c r="N829" s="21">
        <f ca="1">VLOOKUP(A829,'[1]Bieu 1a'!$A$8:$AW$855,10,0)</f>
        <v>22</v>
      </c>
      <c r="O829" s="22">
        <f>VLOOKUP(A829,'[1]Bieu 1a'!$A$8:$AW$855,8,0)</f>
        <v>0</v>
      </c>
      <c r="P829" s="22" t="str">
        <f>VLOOKUP(A829,'[1]Bieu 1a'!$A$8:$AW$855,9,0)</f>
        <v>26/12/2003</v>
      </c>
      <c r="Q829" s="23" t="s">
        <v>635</v>
      </c>
      <c r="R829" s="24">
        <f>VLOOKUP(A829,'[1]Bieu 1a'!$A$8:$AW$855,23,0)</f>
        <v>45985</v>
      </c>
      <c r="S829" s="25" t="s">
        <v>4004</v>
      </c>
      <c r="T829" s="26" t="s">
        <v>4005</v>
      </c>
      <c r="U829" s="23"/>
      <c r="V829" s="16" t="str">
        <f>IFERROR(VLOOKUP(A829,'[2]19.6.2026'!$A$9:$L$1111,5,0),"")</f>
        <v/>
      </c>
      <c r="W829" s="16" t="str">
        <f>IFERROR(VLOOKUP(A829,'[2]19.6.2026'!$A$9:$L$1111,6,0),"")</f>
        <v/>
      </c>
      <c r="X829" s="19"/>
      <c r="Y829" s="21" t="str">
        <f>IFERROR(VLOOKUP(A829,'[2]19.6.2026'!$A$9:$L$1111,7,0),"")</f>
        <v/>
      </c>
      <c r="Z829" s="16"/>
      <c r="AA829" s="27" t="str">
        <f>IFERROR(VLOOKUP(A829,'[3]DS UPLOAD 2026 (2)'!$A$2:$P$1111,16,0),"")</f>
        <v/>
      </c>
      <c r="AB829" s="23">
        <v>705608172</v>
      </c>
      <c r="AC829" s="51" t="s">
        <v>4006</v>
      </c>
    </row>
    <row r="830" spans="1:29" ht="19.5" customHeight="1" x14ac:dyDescent="0.3">
      <c r="A830" s="146" t="s">
        <v>4007</v>
      </c>
      <c r="B830" s="28" t="s">
        <v>4008</v>
      </c>
      <c r="C830" s="147" t="s">
        <v>4007</v>
      </c>
      <c r="D830" s="23" t="s">
        <v>38</v>
      </c>
      <c r="E830" s="23" t="s">
        <v>2693</v>
      </c>
      <c r="F830" s="16" t="str">
        <f>VLOOKUP(E830,'[1]BẢNG MÃ'!$A$2:$B$69,2,0)</f>
        <v>TĐ008</v>
      </c>
      <c r="G830" s="48"/>
      <c r="H830" s="20" t="s">
        <v>2679</v>
      </c>
      <c r="I830" s="19" t="s">
        <v>2680</v>
      </c>
      <c r="J830" s="16" t="str">
        <f>VLOOKUP(I830,'[1]BẢNG MÃ'!$C$2:$D$69,2,0)</f>
        <v>KP028</v>
      </c>
      <c r="K830" s="23"/>
      <c r="L830" s="23"/>
      <c r="M830" s="16" t="s">
        <v>33</v>
      </c>
      <c r="N830" s="21">
        <f ca="1">VLOOKUP(A830,'[1]Bieu 1a'!$A$8:$AW$855,10,0)</f>
        <v>23</v>
      </c>
      <c r="O830" s="22">
        <f>VLOOKUP(A830,'[1]Bieu 1a'!$A$8:$AW$855,8,0)</f>
        <v>0</v>
      </c>
      <c r="P830" s="22" t="str">
        <f>VLOOKUP(A830,'[1]Bieu 1a'!$A$8:$AW$855,9,0)</f>
        <v>09/08/2002</v>
      </c>
      <c r="Q830" s="23" t="s">
        <v>50</v>
      </c>
      <c r="R830" s="24">
        <f>VLOOKUP(A830,'[1]Bieu 1a'!$A$8:$AW$855,23,0)</f>
        <v>45992</v>
      </c>
      <c r="S830" s="25" t="s">
        <v>4009</v>
      </c>
      <c r="T830" s="26" t="s">
        <v>4010</v>
      </c>
      <c r="U830" s="23"/>
      <c r="V830" s="16" t="str">
        <f>IFERROR(VLOOKUP(A830,'[2]19.6.2026'!$A$9:$L$1111,5,0),"")</f>
        <v/>
      </c>
      <c r="W830" s="16" t="str">
        <f>IFERROR(VLOOKUP(A830,'[2]19.6.2026'!$A$9:$L$1111,6,0),"")</f>
        <v/>
      </c>
      <c r="X830" s="19"/>
      <c r="Y830" s="21" t="str">
        <f>IFERROR(VLOOKUP(A830,'[2]19.6.2026'!$A$9:$L$1111,7,0),"")</f>
        <v/>
      </c>
      <c r="Z830" s="16"/>
      <c r="AA830" s="27" t="str">
        <f>IFERROR(VLOOKUP(A830,'[3]DS UPLOAD 2026 (2)'!$A$2:$P$1111,16,0),"")</f>
        <v/>
      </c>
      <c r="AB830" s="23" t="s">
        <v>4011</v>
      </c>
      <c r="AC830" s="29" t="s">
        <v>4012</v>
      </c>
    </row>
    <row r="831" spans="1:29" ht="19.5" customHeight="1" x14ac:dyDescent="0.3">
      <c r="A831" s="146" t="s">
        <v>4013</v>
      </c>
      <c r="B831" s="28" t="s">
        <v>4014</v>
      </c>
      <c r="C831" s="147" t="s">
        <v>4013</v>
      </c>
      <c r="D831" s="23" t="s">
        <v>38</v>
      </c>
      <c r="E831" s="23" t="s">
        <v>2736</v>
      </c>
      <c r="F831" s="16" t="str">
        <f>VLOOKUP(E831,'[1]BẢNG MÃ'!$A$2:$B$69,2,0)</f>
        <v>TĐ009</v>
      </c>
      <c r="G831" s="48"/>
      <c r="H831" s="20" t="s">
        <v>2737</v>
      </c>
      <c r="I831" s="19" t="s">
        <v>2680</v>
      </c>
      <c r="J831" s="16" t="str">
        <f>VLOOKUP(I831,'[1]BẢNG MÃ'!$C$2:$D$69,2,0)</f>
        <v>KP028</v>
      </c>
      <c r="K831" s="23"/>
      <c r="L831" s="23"/>
      <c r="M831" s="16" t="s">
        <v>33</v>
      </c>
      <c r="N831" s="21">
        <f ca="1">VLOOKUP(A831,'[1]Bieu 1a'!$A$8:$AW$855,10,0)</f>
        <v>34</v>
      </c>
      <c r="O831" s="22">
        <f>VLOOKUP(A831,'[1]Bieu 1a'!$A$8:$AW$855,8,0)</f>
        <v>0</v>
      </c>
      <c r="P831" s="22" t="str">
        <f>VLOOKUP(A831,'[1]Bieu 1a'!$A$8:$AW$855,9,0)</f>
        <v>24/11/1991</v>
      </c>
      <c r="Q831" s="23" t="s">
        <v>809</v>
      </c>
      <c r="R831" s="24">
        <f>VLOOKUP(A831,'[1]Bieu 1a'!$A$8:$AW$855,23,0)</f>
        <v>45992</v>
      </c>
      <c r="S831" s="25" t="s">
        <v>4015</v>
      </c>
      <c r="T831" s="26" t="s">
        <v>4016</v>
      </c>
      <c r="U831" s="23"/>
      <c r="V831" s="16" t="str">
        <f>IFERROR(VLOOKUP(A831,'[2]19.6.2026'!$A$9:$L$1111,5,0),"")</f>
        <v/>
      </c>
      <c r="W831" s="16" t="str">
        <f>IFERROR(VLOOKUP(A831,'[2]19.6.2026'!$A$9:$L$1111,6,0),"")</f>
        <v/>
      </c>
      <c r="X831" s="19"/>
      <c r="Y831" s="21" t="str">
        <f>IFERROR(VLOOKUP(A831,'[2]19.6.2026'!$A$9:$L$1111,7,0),"")</f>
        <v/>
      </c>
      <c r="Z831" s="16"/>
      <c r="AA831" s="27" t="str">
        <f>IFERROR(VLOOKUP(A831,'[3]DS UPLOAD 2026 (2)'!$A$2:$P$1111,16,0),"")</f>
        <v/>
      </c>
      <c r="AB831" s="23" t="s">
        <v>4017</v>
      </c>
      <c r="AC831" s="29" t="s">
        <v>4012</v>
      </c>
    </row>
    <row r="832" spans="1:29" ht="19.5" customHeight="1" x14ac:dyDescent="0.3">
      <c r="A832" s="146" t="s">
        <v>4018</v>
      </c>
      <c r="B832" s="28" t="s">
        <v>4019</v>
      </c>
      <c r="C832" s="147" t="s">
        <v>4018</v>
      </c>
      <c r="D832" s="23"/>
      <c r="E832" s="23" t="s">
        <v>61</v>
      </c>
      <c r="F832" s="16" t="str">
        <f>VLOOKUP(E832,'[1]BẢNG MÃ'!$A$2:$B$69,2,0)</f>
        <v>TĐ012</v>
      </c>
      <c r="G832" s="48"/>
      <c r="H832" s="16" t="s">
        <v>62</v>
      </c>
      <c r="I832" s="19" t="s">
        <v>147</v>
      </c>
      <c r="J832" s="16" t="str">
        <f>VLOOKUP(I832,'[1]BẢNG MÃ'!$C$2:$D$69,2,0)</f>
        <v>KP002</v>
      </c>
      <c r="K832" s="23"/>
      <c r="L832" s="23"/>
      <c r="M832" s="23" t="s">
        <v>136</v>
      </c>
      <c r="N832" s="23"/>
      <c r="O832" s="23"/>
      <c r="P832" s="23"/>
      <c r="Q832" s="23" t="s">
        <v>50</v>
      </c>
      <c r="R832" s="24">
        <v>46034</v>
      </c>
      <c r="S832" s="25" t="s">
        <v>4020</v>
      </c>
      <c r="T832" s="26" t="s">
        <v>4021</v>
      </c>
      <c r="U832" s="23"/>
      <c r="V832" s="16" t="str">
        <f>IFERROR(VLOOKUP(A832,'[2]19.6.2026'!$A$9:$L$1111,5,0),"")</f>
        <v/>
      </c>
      <c r="W832" s="16" t="str">
        <f>IFERROR(VLOOKUP(A832,'[2]19.6.2026'!$A$9:$L$1111,6,0),"")</f>
        <v/>
      </c>
      <c r="X832" s="19"/>
      <c r="Y832" s="21" t="str">
        <f>IFERROR(VLOOKUP(A832,'[2]19.6.2026'!$A$9:$L$1111,7,0),"")</f>
        <v/>
      </c>
      <c r="Z832" s="16"/>
      <c r="AA832" s="27" t="str">
        <f>IFERROR(VLOOKUP(A832,'[3]DS UPLOAD 2026 (2)'!$A$2:$P$1111,16,0),"")</f>
        <v/>
      </c>
      <c r="AB832" s="23">
        <v>346133541</v>
      </c>
      <c r="AC832" s="51" t="s">
        <v>4022</v>
      </c>
    </row>
    <row r="833" spans="1:29" ht="19.5" customHeight="1" x14ac:dyDescent="0.3">
      <c r="A833" s="146" t="s">
        <v>4023</v>
      </c>
      <c r="B833" s="28" t="s">
        <v>4024</v>
      </c>
      <c r="C833" s="147" t="s">
        <v>4023</v>
      </c>
      <c r="D833" s="23" t="s">
        <v>38</v>
      </c>
      <c r="E833" s="23" t="s">
        <v>173</v>
      </c>
      <c r="F833" s="16" t="str">
        <f>VLOOKUP(E833,'[1]BẢNG MÃ'!$A$2:$B$69,2,0)</f>
        <v>TĐ005</v>
      </c>
      <c r="G833" s="48" t="s">
        <v>161</v>
      </c>
      <c r="H833" s="23" t="s">
        <v>161</v>
      </c>
      <c r="I833" s="19" t="s">
        <v>468</v>
      </c>
      <c r="J833" s="16" t="str">
        <f>VLOOKUP(I833,'[1]BẢNG MÃ'!$C$2:$D$69,2,0)</f>
        <v>KP004</v>
      </c>
      <c r="K833" s="23"/>
      <c r="L833" s="23"/>
      <c r="M833" s="23" t="s">
        <v>33</v>
      </c>
      <c r="N833" s="23"/>
      <c r="O833" s="23"/>
      <c r="P833" s="149">
        <v>34881</v>
      </c>
      <c r="Q833" s="23" t="e">
        <v>#N/A</v>
      </c>
      <c r="R833" s="24">
        <v>45017</v>
      </c>
      <c r="S833" s="25" t="s">
        <v>4025</v>
      </c>
      <c r="T833" s="26" t="e">
        <v>#N/A</v>
      </c>
      <c r="U833" s="23"/>
      <c r="V833" s="16" t="str">
        <f>IFERROR(VLOOKUP(A833,'[2]19.6.2026'!$A$9:$L$1111,5,0),"")</f>
        <v>000028/LS-GPHN</v>
      </c>
      <c r="W833" s="16">
        <f>IFERROR(VLOOKUP(A833,'[2]19.6.2026'!$A$9:$L$1111,6,0),"")</f>
        <v>45457</v>
      </c>
      <c r="X833" s="19"/>
      <c r="Y833" s="21" t="str">
        <f>IFERROR(VLOOKUP(A833,'[2]19.6.2026'!$A$9:$L$1111,7,0),"")</f>
        <v>Y khoa</v>
      </c>
      <c r="Z833" s="16"/>
      <c r="AA833" s="27" t="str">
        <f>IFERROR(VLOOKUP(A833,'[3]DS UPLOAD 2026 (2)'!$A$2:$P$1111,16,0),"")</f>
        <v/>
      </c>
      <c r="AB833" s="23"/>
      <c r="AC833" s="51" t="s">
        <v>4026</v>
      </c>
    </row>
    <row r="834" spans="1:29" ht="19.5" customHeight="1" x14ac:dyDescent="0.3">
      <c r="A834" s="46" t="s">
        <v>4027</v>
      </c>
      <c r="B834" s="28" t="s">
        <v>4028</v>
      </c>
      <c r="C834" s="47" t="s">
        <v>4027</v>
      </c>
      <c r="D834" s="23" t="s">
        <v>38</v>
      </c>
      <c r="E834" s="23" t="s">
        <v>3624</v>
      </c>
      <c r="F834" s="16" t="str">
        <f>VLOOKUP(E834,'[1]BẢNG MÃ'!$A$2:$B$69,2,0)</f>
        <v>TĐ021</v>
      </c>
      <c r="G834" s="48" t="s">
        <v>3625</v>
      </c>
      <c r="H834" s="20" t="s">
        <v>3626</v>
      </c>
      <c r="I834" s="19" t="s">
        <v>3627</v>
      </c>
      <c r="J834" s="16" t="str">
        <f>VLOOKUP(I834,'[1]BẢNG MÃ'!$C$2:$D$69,2,0)</f>
        <v>KP041</v>
      </c>
      <c r="K834" s="23"/>
      <c r="L834" s="23"/>
      <c r="M834" s="23" t="s">
        <v>33</v>
      </c>
      <c r="N834" s="23"/>
      <c r="O834" s="23"/>
      <c r="P834" s="23"/>
      <c r="Q834" s="23" t="e">
        <v>#N/A</v>
      </c>
      <c r="R834" s="24">
        <v>45671</v>
      </c>
      <c r="S834" s="25" t="s">
        <v>4029</v>
      </c>
      <c r="T834" s="26" t="e">
        <v>#N/A</v>
      </c>
      <c r="U834" s="23"/>
      <c r="V834" s="16" t="str">
        <f>IFERROR(VLOOKUP(A834,'[2]19.6.2026'!$A$9:$L$1111,5,0),"")</f>
        <v/>
      </c>
      <c r="W834" s="16" t="str">
        <f>IFERROR(VLOOKUP(A834,'[2]19.6.2026'!$A$9:$L$1111,6,0),"")</f>
        <v/>
      </c>
      <c r="X834" s="19"/>
      <c r="Y834" s="21" t="str">
        <f>IFERROR(VLOOKUP(A834,'[2]19.6.2026'!$A$9:$L$1111,7,0),"")</f>
        <v/>
      </c>
      <c r="Z834" s="16"/>
      <c r="AA834" s="27" t="str">
        <f>IFERROR(VLOOKUP(A834,'[3]DS UPLOAD 2026 (2)'!$A$2:$P$1111,16,0),"")</f>
        <v/>
      </c>
      <c r="AB834" s="23"/>
      <c r="AC834" s="51" t="s">
        <v>4030</v>
      </c>
    </row>
    <row r="835" spans="1:29" ht="19.5" customHeight="1" x14ac:dyDescent="0.3">
      <c r="A835" s="46" t="s">
        <v>4031</v>
      </c>
      <c r="B835" s="28" t="s">
        <v>4032</v>
      </c>
      <c r="C835" s="47" t="s">
        <v>4031</v>
      </c>
      <c r="D835" s="23"/>
      <c r="E835" s="23" t="s">
        <v>3545</v>
      </c>
      <c r="F835" s="16" t="str">
        <f>VLOOKUP(E835,'[1]BẢNG MÃ'!$A$2:$B$69,2,0)</f>
        <v>TĐ044</v>
      </c>
      <c r="G835" s="48"/>
      <c r="H835" s="48" t="s">
        <v>3546</v>
      </c>
      <c r="I835" s="19" t="s">
        <v>3456</v>
      </c>
      <c r="J835" s="16" t="str">
        <f>VLOOKUP(I835,'[1]BẢNG MÃ'!$C$2:$D$69,2,0)</f>
        <v>KP040</v>
      </c>
      <c r="K835" s="23"/>
      <c r="L835" s="23"/>
      <c r="M835" s="23" t="s">
        <v>136</v>
      </c>
      <c r="N835" s="23"/>
      <c r="O835" s="23"/>
      <c r="P835" s="23"/>
      <c r="Q835" s="23" t="s">
        <v>44</v>
      </c>
      <c r="R835" s="24">
        <v>46039</v>
      </c>
      <c r="S835" s="25" t="s">
        <v>4033</v>
      </c>
      <c r="T835" s="26">
        <v>0</v>
      </c>
      <c r="U835" s="23"/>
      <c r="V835" s="16" t="str">
        <f>IFERROR(VLOOKUP(A835,'[2]19.6.2026'!$A$9:$L$1111,5,0),"")</f>
        <v/>
      </c>
      <c r="W835" s="16" t="str">
        <f>IFERROR(VLOOKUP(A835,'[2]19.6.2026'!$A$9:$L$1111,6,0),"")</f>
        <v/>
      </c>
      <c r="X835" s="19"/>
      <c r="Y835" s="21" t="str">
        <f>IFERROR(VLOOKUP(A835,'[2]19.6.2026'!$A$9:$L$1111,7,0),"")</f>
        <v/>
      </c>
      <c r="Z835" s="16"/>
      <c r="AA835" s="27" t="str">
        <f>IFERROR(VLOOKUP(A835,'[3]DS UPLOAD 2026 (2)'!$A$2:$P$1111,16,0),"")</f>
        <v/>
      </c>
      <c r="AB835" s="23"/>
      <c r="AC835" s="51" t="s">
        <v>4034</v>
      </c>
    </row>
    <row r="836" spans="1:29" ht="19.5" customHeight="1" x14ac:dyDescent="0.3">
      <c r="A836" s="150" t="s">
        <v>4035</v>
      </c>
      <c r="B836" s="151" t="s">
        <v>4036</v>
      </c>
      <c r="C836" s="150" t="s">
        <v>4035</v>
      </c>
      <c r="D836" s="152" t="s">
        <v>38</v>
      </c>
      <c r="E836" s="19" t="s">
        <v>3266</v>
      </c>
      <c r="F836" s="16" t="str">
        <f>VLOOKUP(E836,'[1]BẢNG MÃ'!$A$2:$B$69,2,0)</f>
        <v>TĐ051</v>
      </c>
      <c r="G836" s="20"/>
      <c r="H836" s="16" t="s">
        <v>3267</v>
      </c>
      <c r="I836" s="153" t="s">
        <v>3799</v>
      </c>
      <c r="J836" s="16" t="str">
        <f>VLOOKUP(I836,'[1]BẢNG MÃ'!$C$2:$D$69,2,0)</f>
        <v>KP044</v>
      </c>
      <c r="K836" s="153"/>
      <c r="L836" s="153"/>
      <c r="M836" s="154" t="s">
        <v>33</v>
      </c>
      <c r="N836" s="153"/>
      <c r="O836" s="155"/>
      <c r="P836" s="155"/>
      <c r="Q836" s="156" t="s">
        <v>4037</v>
      </c>
      <c r="R836" s="155">
        <v>43563</v>
      </c>
      <c r="S836" s="157" t="s">
        <v>4038</v>
      </c>
      <c r="T836" s="153"/>
      <c r="U836" s="153" t="e">
        <f>VLOOKUP(A836,'[1]Bieu 1a'!$A$8:$BD$951,51,0)</f>
        <v>#N/A</v>
      </c>
      <c r="V836" s="16" t="str">
        <f>IFERROR(VLOOKUP(A836,'[2]19.6.2026'!$A$9:$L$1111,5,0),"")</f>
        <v>004124/LS-CCHN</v>
      </c>
      <c r="W836" s="16">
        <f>IFERROR(VLOOKUP(A836,'[2]19.6.2026'!$A$9:$L$1111,6,0),"")</f>
        <v>44235</v>
      </c>
      <c r="X836" s="153"/>
      <c r="Y836" s="21" t="str">
        <f>IFERROR(VLOOKUP(A836,'[2]19.6.2026'!$A$9:$L$1111,7,0),"")</f>
        <v>Phát hiện và xử trí các bệnh thông thường; xử trí ban đầu một số trường hợp cấp cứu tại cộng đồng</v>
      </c>
      <c r="Z836" s="16"/>
      <c r="AA836" s="27" t="str">
        <f>IFERROR(VLOOKUP(A836,'[3]DS UPLOAD 2026 (2)'!$A$2:$P$1111,16,0),"")</f>
        <v/>
      </c>
      <c r="AB836" s="153" t="s">
        <v>4039</v>
      </c>
      <c r="AC836" s="158" t="s">
        <v>4040</v>
      </c>
    </row>
    <row r="837" spans="1:29" ht="20.25" customHeight="1" x14ac:dyDescent="0.3">
      <c r="A837" s="150" t="s">
        <v>4041</v>
      </c>
      <c r="B837" s="159" t="s">
        <v>4042</v>
      </c>
      <c r="C837" s="150" t="s">
        <v>4041</v>
      </c>
      <c r="D837" s="152" t="s">
        <v>38</v>
      </c>
      <c r="E837" s="152" t="s">
        <v>61</v>
      </c>
      <c r="F837" s="16" t="str">
        <f>VLOOKUP(E837,'[1]BẢNG MÃ'!$A$2:$B$69,2,0)</f>
        <v>TĐ012</v>
      </c>
      <c r="G837" s="160"/>
      <c r="H837" s="99" t="s">
        <v>62</v>
      </c>
      <c r="I837" s="161" t="s">
        <v>306</v>
      </c>
      <c r="J837" s="16" t="str">
        <f>VLOOKUP(I837,'[1]BẢNG MÃ'!$C$2:$D$69,2,0)</f>
        <v>KP003</v>
      </c>
      <c r="K837" s="162"/>
      <c r="L837" s="162"/>
      <c r="M837" s="154" t="s">
        <v>33</v>
      </c>
      <c r="N837" s="153"/>
      <c r="O837" s="155"/>
      <c r="P837" s="155"/>
      <c r="Q837" s="163">
        <v>43416</v>
      </c>
      <c r="R837" s="155">
        <v>43424</v>
      </c>
      <c r="S837" s="157" t="s">
        <v>4043</v>
      </c>
      <c r="T837" s="153"/>
      <c r="U837" s="153" t="e">
        <f>VLOOKUP(A837,'[1]Bieu 1a'!$A$8:$BD$951,51,0)</f>
        <v>#N/A</v>
      </c>
      <c r="V837" s="16" t="str">
        <f>IFERROR(VLOOKUP(A837,'[2]19.6.2026'!$A$9:$L$1111,5,0),"")</f>
        <v>003345/LS-CCHN</v>
      </c>
      <c r="W837" s="16">
        <f>IFERROR(VLOOKUP(A837,'[2]19.6.2026'!$A$9:$L$1111,6,0),"")</f>
        <v>43329</v>
      </c>
      <c r="X837" s="153"/>
      <c r="Y837" s="21" t="str">
        <f>IFERROR(VLOOKUP(A837,'[2]19.6.2026'!$A$9:$L$1111,7,0),"")</f>
        <v>Điều dưỡng</v>
      </c>
      <c r="Z837" s="16"/>
      <c r="AA837" s="27" t="str">
        <f>IFERROR(VLOOKUP(A837,'[3]DS UPLOAD 2026 (2)'!$A$2:$P$1111,16,0),"")</f>
        <v/>
      </c>
      <c r="AB837" s="153">
        <v>388909868</v>
      </c>
      <c r="AC837" s="158" t="s">
        <v>4044</v>
      </c>
    </row>
    <row r="838" spans="1:29" s="28" customFormat="1" ht="21.75" customHeight="1" x14ac:dyDescent="0.3">
      <c r="A838" s="28" t="s">
        <v>4045</v>
      </c>
      <c r="B838" s="28" t="s">
        <v>4046</v>
      </c>
      <c r="C838" s="28" t="s">
        <v>4045</v>
      </c>
      <c r="D838" s="23" t="s">
        <v>38</v>
      </c>
      <c r="E838" s="23" t="s">
        <v>3232</v>
      </c>
      <c r="F838" s="16" t="str">
        <f>VLOOKUP(E838,'[1]BẢNG MÃ'!$A$2:$B$69,2,0)</f>
        <v>TĐ048</v>
      </c>
      <c r="H838" s="23" t="s">
        <v>3232</v>
      </c>
      <c r="I838" s="23" t="s">
        <v>2776</v>
      </c>
      <c r="J838" s="16" t="str">
        <f>VLOOKUP(I838,'[1]BẢNG MÃ'!$C$2:$D$69,2,0)</f>
        <v>KP036</v>
      </c>
      <c r="M838" s="23" t="s">
        <v>136</v>
      </c>
      <c r="V838" s="16" t="str">
        <f>IFERROR(VLOOKUP(A838,'[2]19.6.2026'!$A$9:$L$1111,5,0),"")</f>
        <v/>
      </c>
      <c r="W838" s="16" t="str">
        <f>IFERROR(VLOOKUP(A838,'[2]19.6.2026'!$A$9:$L$1111,6,0),"")</f>
        <v/>
      </c>
      <c r="Y838" s="21" t="str">
        <f>IFERROR(VLOOKUP(A838,'[2]19.6.2026'!$A$9:$L$1111,7,0),"")</f>
        <v/>
      </c>
      <c r="Z838" s="16"/>
      <c r="AA838" s="27" t="str">
        <f>IFERROR(VLOOKUP(A838,'[3]DS UPLOAD 2026 (2)'!$A$2:$P$1111,16,0),"")</f>
        <v/>
      </c>
      <c r="AC838" s="28" t="s">
        <v>4047</v>
      </c>
    </row>
    <row r="839" spans="1:29" s="170" customFormat="1" ht="19.5" customHeight="1" x14ac:dyDescent="0.3">
      <c r="A839" s="164" t="s">
        <v>4048</v>
      </c>
      <c r="B839" s="164" t="s">
        <v>4049</v>
      </c>
      <c r="C839" s="164" t="s">
        <v>4048</v>
      </c>
      <c r="D839" s="165"/>
      <c r="E839" s="23" t="s">
        <v>173</v>
      </c>
      <c r="F839" s="16" t="str">
        <f>VLOOKUP(E839,'[1]BẢNG MÃ'!$A$2:$B$69,2,0)</f>
        <v>TĐ005</v>
      </c>
      <c r="G839" s="56" t="s">
        <v>161</v>
      </c>
      <c r="H839" s="56" t="s">
        <v>161</v>
      </c>
      <c r="I839" s="19" t="s">
        <v>306</v>
      </c>
      <c r="J839" s="16" t="str">
        <f>VLOOKUP(I839,'[1]BẢNG MÃ'!$C$2:$D$69,2,0)</f>
        <v>KP003</v>
      </c>
      <c r="K839" s="165"/>
      <c r="L839" s="165"/>
      <c r="M839" s="56" t="s">
        <v>33</v>
      </c>
      <c r="N839" s="166"/>
      <c r="O839" s="167" t="s">
        <v>4050</v>
      </c>
      <c r="P839" s="166"/>
      <c r="Q839" s="165"/>
      <c r="R839" s="165"/>
      <c r="S839" s="168" t="s">
        <v>4051</v>
      </c>
      <c r="T839" s="165"/>
      <c r="U839" s="165"/>
      <c r="V839" s="16" t="str">
        <f>IFERROR(VLOOKUP(A839,'[2]19.6.2026'!$A$9:$L$1111,5,0),"")</f>
        <v>000005/LS-GPHN</v>
      </c>
      <c r="W839" s="16">
        <f>IFERROR(VLOOKUP(A839,'[2]19.6.2026'!$A$9:$L$1111,6,0),"")</f>
        <v>45443</v>
      </c>
      <c r="X839" s="165"/>
      <c r="Y839" s="21" t="str">
        <f>IFERROR(VLOOKUP(A839,'[2]19.6.2026'!$A$9:$L$1111,7,0),"")</f>
        <v>Y khoa</v>
      </c>
      <c r="Z839" s="16"/>
      <c r="AA839" s="27" t="str">
        <f>IFERROR(VLOOKUP(A839,'[3]DS UPLOAD 2026 (2)'!$A$2:$P$1111,16,0),"")</f>
        <v/>
      </c>
      <c r="AB839" s="168" t="s">
        <v>4052</v>
      </c>
      <c r="AC839" s="169" t="s">
        <v>1658</v>
      </c>
    </row>
    <row r="840" spans="1:29" s="170" customFormat="1" ht="19.5" customHeight="1" x14ac:dyDescent="0.3">
      <c r="A840" s="164" t="s">
        <v>4053</v>
      </c>
      <c r="B840" s="164" t="s">
        <v>4054</v>
      </c>
      <c r="C840" s="164" t="s">
        <v>4053</v>
      </c>
      <c r="D840" s="165"/>
      <c r="E840" s="23" t="s">
        <v>173</v>
      </c>
      <c r="F840" s="16" t="str">
        <f>VLOOKUP(E840,'[1]BẢNG MÃ'!$A$2:$B$69,2,0)</f>
        <v>TĐ005</v>
      </c>
      <c r="G840" s="56" t="s">
        <v>161</v>
      </c>
      <c r="H840" s="56" t="s">
        <v>161</v>
      </c>
      <c r="I840" s="56" t="s">
        <v>194</v>
      </c>
      <c r="J840" s="16" t="str">
        <f>VLOOKUP(I840,'[1]BẢNG MÃ'!$C$2:$D$69,2,0)</f>
        <v>KP014</v>
      </c>
      <c r="K840" s="165"/>
      <c r="L840" s="165"/>
      <c r="M840" s="56" t="s">
        <v>33</v>
      </c>
      <c r="N840" s="166"/>
      <c r="O840" s="167" t="s">
        <v>4055</v>
      </c>
      <c r="P840" s="166"/>
      <c r="Q840" s="165"/>
      <c r="R840" s="165"/>
      <c r="S840" s="168" t="s">
        <v>4056</v>
      </c>
      <c r="T840" s="165"/>
      <c r="U840" s="165"/>
      <c r="V840" s="16" t="str">
        <f>IFERROR(VLOOKUP(A840,'[2]19.6.2026'!$A$9:$L$1111,5,0),"")</f>
        <v/>
      </c>
      <c r="W840" s="16" t="str">
        <f>IFERROR(VLOOKUP(A840,'[2]19.6.2026'!$A$9:$L$1111,6,0),"")</f>
        <v/>
      </c>
      <c r="X840" s="165"/>
      <c r="Y840" s="21" t="str">
        <f>IFERROR(VLOOKUP(A840,'[2]19.6.2026'!$A$9:$L$1111,7,0),"")</f>
        <v/>
      </c>
      <c r="Z840" s="16"/>
      <c r="AA840" s="27" t="str">
        <f>IFERROR(VLOOKUP(A840,'[3]DS UPLOAD 2026 (2)'!$A$2:$P$1111,16,0),"")</f>
        <v/>
      </c>
      <c r="AB840" s="168" t="s">
        <v>4057</v>
      </c>
      <c r="AC840" s="169" t="s">
        <v>1658</v>
      </c>
    </row>
    <row r="841" spans="1:29" s="170" customFormat="1" ht="19.5" customHeight="1" x14ac:dyDescent="0.3">
      <c r="A841" s="164" t="s">
        <v>4058</v>
      </c>
      <c r="B841" s="164" t="s">
        <v>4059</v>
      </c>
      <c r="C841" s="164" t="s">
        <v>4058</v>
      </c>
      <c r="D841" s="23" t="s">
        <v>38</v>
      </c>
      <c r="E841" s="23" t="s">
        <v>173</v>
      </c>
      <c r="F841" s="16" t="str">
        <f>VLOOKUP(E841,'[1]BẢNG MÃ'!$A$2:$B$69,2,0)</f>
        <v>TĐ005</v>
      </c>
      <c r="G841" s="56" t="s">
        <v>161</v>
      </c>
      <c r="H841" s="56" t="s">
        <v>161</v>
      </c>
      <c r="I841" s="56" t="s">
        <v>153</v>
      </c>
      <c r="J841" s="16" t="str">
        <f>VLOOKUP(I841,'[1]BẢNG MÃ'!$C$2:$D$69,2,0)</f>
        <v>KP012</v>
      </c>
      <c r="K841" s="165"/>
      <c r="L841" s="165"/>
      <c r="M841" s="56" t="s">
        <v>33</v>
      </c>
      <c r="N841" s="166"/>
      <c r="O841" s="166"/>
      <c r="P841" s="167" t="s">
        <v>4060</v>
      </c>
      <c r="Q841" s="165"/>
      <c r="R841" s="165"/>
      <c r="S841" s="168" t="s">
        <v>4061</v>
      </c>
      <c r="T841" s="165"/>
      <c r="U841" s="165"/>
      <c r="V841" s="16" t="str">
        <f>IFERROR(VLOOKUP(A841,'[2]19.6.2026'!$A$9:$L$1111,5,0),"")</f>
        <v/>
      </c>
      <c r="W841" s="16" t="str">
        <f>IFERROR(VLOOKUP(A841,'[2]19.6.2026'!$A$9:$L$1111,6,0),"")</f>
        <v/>
      </c>
      <c r="X841" s="165"/>
      <c r="Y841" s="21" t="str">
        <f>IFERROR(VLOOKUP(A841,'[2]19.6.2026'!$A$9:$L$1111,7,0),"")</f>
        <v/>
      </c>
      <c r="Z841" s="16"/>
      <c r="AA841" s="27" t="str">
        <f>IFERROR(VLOOKUP(A841,'[3]DS UPLOAD 2026 (2)'!$A$2:$P$1111,16,0),"")</f>
        <v/>
      </c>
      <c r="AB841" s="168" t="s">
        <v>4062</v>
      </c>
      <c r="AC841" s="169" t="s">
        <v>1658</v>
      </c>
    </row>
    <row r="842" spans="1:29" s="170" customFormat="1" ht="19.5" customHeight="1" x14ac:dyDescent="0.3">
      <c r="A842" s="164" t="s">
        <v>4063</v>
      </c>
      <c r="B842" s="164" t="s">
        <v>4064</v>
      </c>
      <c r="C842" s="164" t="s">
        <v>4063</v>
      </c>
      <c r="D842" s="23" t="s">
        <v>38</v>
      </c>
      <c r="E842" s="23" t="s">
        <v>173</v>
      </c>
      <c r="F842" s="16" t="str">
        <f>VLOOKUP(E842,'[1]BẢNG MÃ'!$A$2:$B$69,2,0)</f>
        <v>TĐ005</v>
      </c>
      <c r="G842" s="56" t="s">
        <v>161</v>
      </c>
      <c r="H842" s="56" t="s">
        <v>161</v>
      </c>
      <c r="I842" s="56" t="s">
        <v>355</v>
      </c>
      <c r="J842" s="16" t="str">
        <f>VLOOKUP(I842,'[1]BẢNG MÃ'!$C$2:$D$69,2,0)</f>
        <v>KP007</v>
      </c>
      <c r="K842" s="165"/>
      <c r="L842" s="165"/>
      <c r="M842" s="56" t="s">
        <v>33</v>
      </c>
      <c r="N842" s="166"/>
      <c r="O842" s="166"/>
      <c r="P842" s="167" t="s">
        <v>4065</v>
      </c>
      <c r="Q842" s="165"/>
      <c r="R842" s="165"/>
      <c r="S842" s="168" t="s">
        <v>4066</v>
      </c>
      <c r="T842" s="165"/>
      <c r="U842" s="165"/>
      <c r="V842" s="16" t="str">
        <f>IFERROR(VLOOKUP(A842,'[2]19.6.2026'!$A$9:$L$1111,5,0),"")</f>
        <v/>
      </c>
      <c r="W842" s="16" t="str">
        <f>IFERROR(VLOOKUP(A842,'[2]19.6.2026'!$A$9:$L$1111,6,0),"")</f>
        <v/>
      </c>
      <c r="X842" s="165"/>
      <c r="Y842" s="21" t="str">
        <f>IFERROR(VLOOKUP(A842,'[2]19.6.2026'!$A$9:$L$1111,7,0),"")</f>
        <v/>
      </c>
      <c r="Z842" s="16"/>
      <c r="AA842" s="27" t="str">
        <f>IFERROR(VLOOKUP(A842,'[3]DS UPLOAD 2026 (2)'!$A$2:$P$1111,16,0),"")</f>
        <v/>
      </c>
      <c r="AB842" s="168" t="s">
        <v>4067</v>
      </c>
      <c r="AC842" s="169" t="s">
        <v>1658</v>
      </c>
    </row>
    <row r="843" spans="1:29" s="170" customFormat="1" ht="19.5" customHeight="1" x14ac:dyDescent="0.3">
      <c r="A843" s="164" t="s">
        <v>4068</v>
      </c>
      <c r="B843" s="164" t="s">
        <v>4069</v>
      </c>
      <c r="C843" s="164" t="s">
        <v>4068</v>
      </c>
      <c r="D843" s="23" t="s">
        <v>38</v>
      </c>
      <c r="E843" s="23" t="s">
        <v>173</v>
      </c>
      <c r="F843" s="16" t="str">
        <f>VLOOKUP(E843,'[1]BẢNG MÃ'!$A$2:$B$69,2,0)</f>
        <v>TĐ005</v>
      </c>
      <c r="G843" s="56" t="s">
        <v>161</v>
      </c>
      <c r="H843" s="56" t="s">
        <v>161</v>
      </c>
      <c r="I843" s="56" t="s">
        <v>2852</v>
      </c>
      <c r="J843" s="16" t="str">
        <f>VLOOKUP(I843,'[1]BẢNG MÃ'!$C$2:$D$69,2,0)</f>
        <v>KP030</v>
      </c>
      <c r="K843" s="165"/>
      <c r="L843" s="165"/>
      <c r="M843" s="56" t="s">
        <v>33</v>
      </c>
      <c r="N843" s="166"/>
      <c r="O843" s="166"/>
      <c r="P843" s="167" t="s">
        <v>4070</v>
      </c>
      <c r="Q843" s="165"/>
      <c r="R843" s="165"/>
      <c r="S843" s="168" t="s">
        <v>4071</v>
      </c>
      <c r="T843" s="165"/>
      <c r="U843" s="165"/>
      <c r="V843" s="16" t="str">
        <f>IFERROR(VLOOKUP(A843,'[2]19.6.2026'!$A$9:$L$1111,5,0),"")</f>
        <v/>
      </c>
      <c r="W843" s="16" t="str">
        <f>IFERROR(VLOOKUP(A843,'[2]19.6.2026'!$A$9:$L$1111,6,0),"")</f>
        <v/>
      </c>
      <c r="X843" s="165"/>
      <c r="Y843" s="21" t="str">
        <f>IFERROR(VLOOKUP(A843,'[2]19.6.2026'!$A$9:$L$1111,7,0),"")</f>
        <v/>
      </c>
      <c r="Z843" s="16"/>
      <c r="AA843" s="27" t="str">
        <f>IFERROR(VLOOKUP(A843,'[3]DS UPLOAD 2026 (2)'!$A$2:$P$1111,16,0),"")</f>
        <v/>
      </c>
      <c r="AB843" s="168" t="s">
        <v>4072</v>
      </c>
      <c r="AC843" s="169" t="s">
        <v>1658</v>
      </c>
    </row>
    <row r="844" spans="1:29" s="170" customFormat="1" ht="19.5" customHeight="1" x14ac:dyDescent="0.3">
      <c r="A844" s="164" t="s">
        <v>4073</v>
      </c>
      <c r="B844" s="164" t="s">
        <v>4074</v>
      </c>
      <c r="C844" s="164" t="s">
        <v>4073</v>
      </c>
      <c r="D844" s="23" t="s">
        <v>38</v>
      </c>
      <c r="E844" s="23" t="s">
        <v>173</v>
      </c>
      <c r="F844" s="16" t="str">
        <f>VLOOKUP(E844,'[1]BẢNG MÃ'!$A$2:$B$69,2,0)</f>
        <v>TĐ005</v>
      </c>
      <c r="G844" s="56" t="s">
        <v>161</v>
      </c>
      <c r="H844" s="56" t="s">
        <v>161</v>
      </c>
      <c r="I844" s="56" t="s">
        <v>1604</v>
      </c>
      <c r="J844" s="16" t="str">
        <f>VLOOKUP(I844,'[1]BẢNG MÃ'!$C$2:$D$69,2,0)</f>
        <v>KP016</v>
      </c>
      <c r="K844" s="165"/>
      <c r="L844" s="165"/>
      <c r="M844" s="56" t="s">
        <v>33</v>
      </c>
      <c r="N844" s="166"/>
      <c r="O844" s="166"/>
      <c r="P844" s="167" t="s">
        <v>4075</v>
      </c>
      <c r="Q844" s="165"/>
      <c r="R844" s="165"/>
      <c r="S844" s="168" t="s">
        <v>4076</v>
      </c>
      <c r="T844" s="165"/>
      <c r="U844" s="165"/>
      <c r="V844" s="16" t="str">
        <f>IFERROR(VLOOKUP(A844,'[2]19.6.2026'!$A$9:$L$1111,5,0),"")</f>
        <v/>
      </c>
      <c r="W844" s="16" t="str">
        <f>IFERROR(VLOOKUP(A844,'[2]19.6.2026'!$A$9:$L$1111,6,0),"")</f>
        <v/>
      </c>
      <c r="X844" s="165"/>
      <c r="Y844" s="21" t="str">
        <f>IFERROR(VLOOKUP(A844,'[2]19.6.2026'!$A$9:$L$1111,7,0),"")</f>
        <v/>
      </c>
      <c r="Z844" s="16"/>
      <c r="AA844" s="27" t="str">
        <f>IFERROR(VLOOKUP(A844,'[3]DS UPLOAD 2026 (2)'!$A$2:$P$1111,16,0),"")</f>
        <v/>
      </c>
      <c r="AB844" s="168" t="s">
        <v>4077</v>
      </c>
      <c r="AC844" s="169" t="s">
        <v>1658</v>
      </c>
    </row>
    <row r="845" spans="1:29" s="170" customFormat="1" ht="19.5" customHeight="1" x14ac:dyDescent="0.3">
      <c r="A845" s="164" t="s">
        <v>4078</v>
      </c>
      <c r="B845" s="164" t="s">
        <v>4079</v>
      </c>
      <c r="C845" s="164" t="s">
        <v>4078</v>
      </c>
      <c r="D845" s="23" t="s">
        <v>38</v>
      </c>
      <c r="E845" s="23" t="s">
        <v>173</v>
      </c>
      <c r="F845" s="16" t="str">
        <f>VLOOKUP(E845,'[1]BẢNG MÃ'!$A$2:$B$69,2,0)</f>
        <v>TĐ005</v>
      </c>
      <c r="G845" s="56" t="s">
        <v>161</v>
      </c>
      <c r="H845" s="56" t="s">
        <v>161</v>
      </c>
      <c r="I845" s="19" t="s">
        <v>306</v>
      </c>
      <c r="J845" s="16" t="str">
        <f>VLOOKUP(I845,'[1]BẢNG MÃ'!$C$2:$D$69,2,0)</f>
        <v>KP003</v>
      </c>
      <c r="K845" s="165"/>
      <c r="L845" s="165"/>
      <c r="M845" s="56" t="s">
        <v>33</v>
      </c>
      <c r="N845" s="166"/>
      <c r="O845" s="166"/>
      <c r="P845" s="167" t="s">
        <v>4080</v>
      </c>
      <c r="Q845" s="165"/>
      <c r="R845" s="165"/>
      <c r="S845" s="168" t="s">
        <v>4081</v>
      </c>
      <c r="T845" s="165"/>
      <c r="U845" s="165"/>
      <c r="V845" s="16" t="str">
        <f>IFERROR(VLOOKUP(A845,'[2]19.6.2026'!$A$9:$L$1111,5,0),"")</f>
        <v/>
      </c>
      <c r="W845" s="16" t="str">
        <f>IFERROR(VLOOKUP(A845,'[2]19.6.2026'!$A$9:$L$1111,6,0),"")</f>
        <v/>
      </c>
      <c r="X845" s="165"/>
      <c r="Y845" s="21" t="str">
        <f>IFERROR(VLOOKUP(A845,'[2]19.6.2026'!$A$9:$L$1111,7,0),"")</f>
        <v/>
      </c>
      <c r="Z845" s="16"/>
      <c r="AA845" s="27" t="str">
        <f>IFERROR(VLOOKUP(A845,'[3]DS UPLOAD 2026 (2)'!$A$2:$P$1111,16,0),"")</f>
        <v/>
      </c>
      <c r="AB845" s="168" t="s">
        <v>4082</v>
      </c>
      <c r="AC845" s="169" t="s">
        <v>1658</v>
      </c>
    </row>
    <row r="846" spans="1:29" s="170" customFormat="1" ht="19.5" customHeight="1" x14ac:dyDescent="0.3">
      <c r="A846" s="164" t="s">
        <v>4083</v>
      </c>
      <c r="B846" s="164" t="s">
        <v>4084</v>
      </c>
      <c r="C846" s="164" t="s">
        <v>4083</v>
      </c>
      <c r="D846" s="23" t="s">
        <v>38</v>
      </c>
      <c r="E846" s="23" t="s">
        <v>173</v>
      </c>
      <c r="F846" s="16" t="str">
        <f>VLOOKUP(E846,'[1]BẢNG MÃ'!$A$2:$B$69,2,0)</f>
        <v>TĐ005</v>
      </c>
      <c r="G846" s="56" t="s">
        <v>161</v>
      </c>
      <c r="H846" s="56" t="s">
        <v>161</v>
      </c>
      <c r="I846" s="56" t="s">
        <v>162</v>
      </c>
      <c r="J846" s="16" t="str">
        <f>VLOOKUP(I846,'[1]BẢNG MÃ'!$C$2:$D$69,2,0)</f>
        <v>KP008</v>
      </c>
      <c r="K846" s="165"/>
      <c r="L846" s="165"/>
      <c r="M846" s="56" t="s">
        <v>33</v>
      </c>
      <c r="N846" s="166"/>
      <c r="O846" s="166"/>
      <c r="P846" s="167" t="s">
        <v>4085</v>
      </c>
      <c r="Q846" s="165"/>
      <c r="R846" s="165"/>
      <c r="S846" s="168" t="s">
        <v>4086</v>
      </c>
      <c r="T846" s="165"/>
      <c r="U846" s="165"/>
      <c r="V846" s="16" t="str">
        <f>IFERROR(VLOOKUP(A846,'[2]19.6.2026'!$A$9:$L$1111,5,0),"")</f>
        <v/>
      </c>
      <c r="W846" s="16" t="str">
        <f>IFERROR(VLOOKUP(A846,'[2]19.6.2026'!$A$9:$L$1111,6,0),"")</f>
        <v/>
      </c>
      <c r="X846" s="165"/>
      <c r="Y846" s="21" t="str">
        <f>IFERROR(VLOOKUP(A846,'[2]19.6.2026'!$A$9:$L$1111,7,0),"")</f>
        <v/>
      </c>
      <c r="Z846" s="16"/>
      <c r="AA846" s="27" t="str">
        <f>IFERROR(VLOOKUP(A846,'[3]DS UPLOAD 2026 (2)'!$A$2:$P$1111,16,0),"")</f>
        <v/>
      </c>
      <c r="AB846" s="168" t="s">
        <v>4087</v>
      </c>
      <c r="AC846" s="169" t="s">
        <v>1658</v>
      </c>
    </row>
    <row r="847" spans="1:29" s="170" customFormat="1" ht="19.5" customHeight="1" x14ac:dyDescent="0.3">
      <c r="A847" s="164" t="s">
        <v>4088</v>
      </c>
      <c r="B847" s="164" t="s">
        <v>4089</v>
      </c>
      <c r="C847" s="164" t="s">
        <v>4088</v>
      </c>
      <c r="D847" s="23" t="s">
        <v>38</v>
      </c>
      <c r="E847" s="23" t="s">
        <v>173</v>
      </c>
      <c r="F847" s="16" t="str">
        <f>VLOOKUP(E847,'[1]BẢNG MÃ'!$A$2:$B$69,2,0)</f>
        <v>TĐ005</v>
      </c>
      <c r="G847" s="56" t="s">
        <v>161</v>
      </c>
      <c r="H847" s="56" t="s">
        <v>161</v>
      </c>
      <c r="I847" s="56" t="s">
        <v>2927</v>
      </c>
      <c r="J847" s="16" t="str">
        <f>VLOOKUP(I847,'[1]BẢNG MÃ'!$C$2:$D$69,2,0)</f>
        <v>KP033</v>
      </c>
      <c r="K847" s="165"/>
      <c r="L847" s="165"/>
      <c r="M847" s="56" t="s">
        <v>33</v>
      </c>
      <c r="N847" s="166"/>
      <c r="O847" s="166"/>
      <c r="P847" s="167" t="s">
        <v>4090</v>
      </c>
      <c r="Q847" s="165"/>
      <c r="R847" s="165"/>
      <c r="S847" s="168" t="s">
        <v>4091</v>
      </c>
      <c r="T847" s="165"/>
      <c r="U847" s="165"/>
      <c r="V847" s="16" t="str">
        <f>IFERROR(VLOOKUP(A847,'[2]19.6.2026'!$A$9:$L$1111,5,0),"")</f>
        <v>000414/LS-GPHN</v>
      </c>
      <c r="W847" s="16">
        <f>IFERROR(VLOOKUP(A847,'[2]19.6.2026'!$A$9:$L$1111,6,0),"")</f>
        <v>45994</v>
      </c>
      <c r="X847" s="165"/>
      <c r="Y847" s="21" t="str">
        <f>IFERROR(VLOOKUP(A847,'[2]19.6.2026'!$A$9:$L$1111,7,0),"")</f>
        <v>Y khoa</v>
      </c>
      <c r="Z847" s="16"/>
      <c r="AA847" s="27" t="str">
        <f>IFERROR(VLOOKUP(A847,'[3]DS UPLOAD 2026 (2)'!$A$2:$P$1111,16,0),"")</f>
        <v/>
      </c>
      <c r="AB847" s="168" t="s">
        <v>4092</v>
      </c>
      <c r="AC847" s="169" t="s">
        <v>1658</v>
      </c>
    </row>
    <row r="848" spans="1:29" s="170" customFormat="1" ht="19.5" customHeight="1" x14ac:dyDescent="0.3">
      <c r="A848" s="164" t="s">
        <v>4093</v>
      </c>
      <c r="B848" s="164" t="s">
        <v>4094</v>
      </c>
      <c r="C848" s="164" t="s">
        <v>4093</v>
      </c>
      <c r="D848" s="23" t="s">
        <v>38</v>
      </c>
      <c r="E848" s="23" t="s">
        <v>173</v>
      </c>
      <c r="F848" s="16" t="str">
        <f>VLOOKUP(E848,'[1]BẢNG MÃ'!$A$2:$B$69,2,0)</f>
        <v>TĐ005</v>
      </c>
      <c r="G848" s="56" t="s">
        <v>161</v>
      </c>
      <c r="H848" s="56" t="s">
        <v>161</v>
      </c>
      <c r="I848" s="56" t="s">
        <v>147</v>
      </c>
      <c r="J848" s="16" t="str">
        <f>VLOOKUP(I848,'[1]BẢNG MÃ'!$C$2:$D$69,2,0)</f>
        <v>KP002</v>
      </c>
      <c r="K848" s="165"/>
      <c r="L848" s="165"/>
      <c r="M848" s="56" t="s">
        <v>33</v>
      </c>
      <c r="N848" s="166"/>
      <c r="O848" s="166"/>
      <c r="P848" s="167" t="s">
        <v>4095</v>
      </c>
      <c r="Q848" s="165"/>
      <c r="R848" s="165"/>
      <c r="S848" s="168" t="s">
        <v>4096</v>
      </c>
      <c r="T848" s="165"/>
      <c r="U848" s="165"/>
      <c r="V848" s="16" t="str">
        <f>IFERROR(VLOOKUP(A848,'[2]19.6.2026'!$A$9:$L$1111,5,0),"")</f>
        <v/>
      </c>
      <c r="W848" s="16" t="str">
        <f>IFERROR(VLOOKUP(A848,'[2]19.6.2026'!$A$9:$L$1111,6,0),"")</f>
        <v/>
      </c>
      <c r="X848" s="165"/>
      <c r="Y848" s="21" t="str">
        <f>IFERROR(VLOOKUP(A848,'[2]19.6.2026'!$A$9:$L$1111,7,0),"")</f>
        <v/>
      </c>
      <c r="Z848" s="16"/>
      <c r="AA848" s="27" t="str">
        <f>IFERROR(VLOOKUP(A848,'[3]DS UPLOAD 2026 (2)'!$A$2:$P$1111,16,0),"")</f>
        <v/>
      </c>
      <c r="AB848" s="168" t="s">
        <v>4097</v>
      </c>
      <c r="AC848" s="169" t="s">
        <v>1658</v>
      </c>
    </row>
    <row r="849" spans="1:29" s="170" customFormat="1" ht="19.5" customHeight="1" x14ac:dyDescent="0.3">
      <c r="A849" s="164" t="s">
        <v>4098</v>
      </c>
      <c r="B849" s="164" t="s">
        <v>4099</v>
      </c>
      <c r="C849" s="164" t="s">
        <v>4098</v>
      </c>
      <c r="D849" s="23" t="s">
        <v>38</v>
      </c>
      <c r="E849" s="23" t="s">
        <v>173</v>
      </c>
      <c r="F849" s="16" t="str">
        <f>VLOOKUP(E849,'[1]BẢNG MÃ'!$A$2:$B$69,2,0)</f>
        <v>TĐ005</v>
      </c>
      <c r="G849" s="56" t="s">
        <v>161</v>
      </c>
      <c r="H849" s="56" t="s">
        <v>161</v>
      </c>
      <c r="I849" s="56" t="s">
        <v>147</v>
      </c>
      <c r="J849" s="16" t="str">
        <f>VLOOKUP(I849,'[1]BẢNG MÃ'!$C$2:$D$69,2,0)</f>
        <v>KP002</v>
      </c>
      <c r="K849" s="165"/>
      <c r="L849" s="165"/>
      <c r="M849" s="56" t="s">
        <v>33</v>
      </c>
      <c r="N849" s="166"/>
      <c r="O849" s="166"/>
      <c r="P849" s="167" t="s">
        <v>4100</v>
      </c>
      <c r="Q849" s="165"/>
      <c r="R849" s="165"/>
      <c r="S849" s="168" t="s">
        <v>4101</v>
      </c>
      <c r="T849" s="165"/>
      <c r="U849" s="165"/>
      <c r="V849" s="16" t="str">
        <f>IFERROR(VLOOKUP(A849,'[2]19.6.2026'!$A$9:$L$1111,5,0),"")</f>
        <v/>
      </c>
      <c r="W849" s="16" t="str">
        <f>IFERROR(VLOOKUP(A849,'[2]19.6.2026'!$A$9:$L$1111,6,0),"")</f>
        <v/>
      </c>
      <c r="X849" s="165"/>
      <c r="Y849" s="21" t="str">
        <f>IFERROR(VLOOKUP(A849,'[2]19.6.2026'!$A$9:$L$1111,7,0),"")</f>
        <v/>
      </c>
      <c r="Z849" s="16"/>
      <c r="AA849" s="27" t="str">
        <f>IFERROR(VLOOKUP(A849,'[3]DS UPLOAD 2026 (2)'!$A$2:$P$1111,16,0),"")</f>
        <v/>
      </c>
      <c r="AB849" s="168" t="s">
        <v>4102</v>
      </c>
      <c r="AC849" s="169" t="s">
        <v>1658</v>
      </c>
    </row>
    <row r="850" spans="1:29" s="170" customFormat="1" ht="19.5" customHeight="1" x14ac:dyDescent="0.3">
      <c r="A850" s="164" t="s">
        <v>4103</v>
      </c>
      <c r="B850" s="164" t="s">
        <v>4104</v>
      </c>
      <c r="C850" s="164" t="s">
        <v>4103</v>
      </c>
      <c r="D850" s="23" t="s">
        <v>38</v>
      </c>
      <c r="E850" s="23" t="s">
        <v>173</v>
      </c>
      <c r="F850" s="16" t="str">
        <f>VLOOKUP(E850,'[1]BẢNG MÃ'!$A$2:$B$69,2,0)</f>
        <v>TĐ005</v>
      </c>
      <c r="G850" s="56" t="s">
        <v>161</v>
      </c>
      <c r="H850" s="56" t="s">
        <v>161</v>
      </c>
      <c r="I850" s="56" t="s">
        <v>355</v>
      </c>
      <c r="J850" s="16" t="str">
        <f>VLOOKUP(I850,'[1]BẢNG MÃ'!$C$2:$D$69,2,0)</f>
        <v>KP007</v>
      </c>
      <c r="K850" s="165"/>
      <c r="L850" s="165"/>
      <c r="M850" s="56" t="s">
        <v>33</v>
      </c>
      <c r="N850" s="166"/>
      <c r="O850" s="166"/>
      <c r="P850" s="167" t="s">
        <v>4105</v>
      </c>
      <c r="Q850" s="165"/>
      <c r="R850" s="165"/>
      <c r="S850" s="168" t="s">
        <v>4106</v>
      </c>
      <c r="T850" s="165"/>
      <c r="U850" s="165"/>
      <c r="V850" s="16" t="str">
        <f>IFERROR(VLOOKUP(A850,'[2]19.6.2026'!$A$9:$L$1111,5,0),"")</f>
        <v>004499/LS-CCHN</v>
      </c>
      <c r="W850" s="16">
        <f>IFERROR(VLOOKUP(A850,'[2]19.6.2026'!$A$9:$L$1111,6,0),"")</f>
        <v>44657</v>
      </c>
      <c r="X850" s="165"/>
      <c r="Y850" s="21" t="str">
        <f>IFERROR(VLOOKUP(A850,'[2]19.6.2026'!$A$9:$L$1111,7,0),"")</f>
        <v>Khám bệnh, chữa bệnh Nội khoa</v>
      </c>
      <c r="Z850" s="16"/>
      <c r="AA850" s="27" t="str">
        <f>IFERROR(VLOOKUP(A850,'[3]DS UPLOAD 2026 (2)'!$A$2:$P$1111,16,0),"")</f>
        <v/>
      </c>
      <c r="AB850" s="168" t="s">
        <v>4107</v>
      </c>
      <c r="AC850" s="169" t="s">
        <v>1658</v>
      </c>
    </row>
    <row r="851" spans="1:29" s="170" customFormat="1" ht="19.5" customHeight="1" x14ac:dyDescent="0.3">
      <c r="A851" s="164" t="s">
        <v>4108</v>
      </c>
      <c r="B851" s="164" t="s">
        <v>4109</v>
      </c>
      <c r="C851" s="164" t="s">
        <v>4108</v>
      </c>
      <c r="D851" s="23" t="s">
        <v>38</v>
      </c>
      <c r="E851" s="23" t="s">
        <v>173</v>
      </c>
      <c r="F851" s="16" t="str">
        <f>VLOOKUP(E851,'[1]BẢNG MÃ'!$A$2:$B$69,2,0)</f>
        <v>TĐ005</v>
      </c>
      <c r="G851" s="56" t="s">
        <v>161</v>
      </c>
      <c r="H851" s="56" t="s">
        <v>161</v>
      </c>
      <c r="I851" s="56" t="s">
        <v>468</v>
      </c>
      <c r="J851" s="16" t="str">
        <f>VLOOKUP(I851,'[1]BẢNG MÃ'!$C$2:$D$69,2,0)</f>
        <v>KP004</v>
      </c>
      <c r="K851" s="165"/>
      <c r="L851" s="165"/>
      <c r="M851" s="56" t="s">
        <v>33</v>
      </c>
      <c r="N851" s="166"/>
      <c r="O851" s="166"/>
      <c r="P851" s="167" t="s">
        <v>4110</v>
      </c>
      <c r="Q851" s="165"/>
      <c r="R851" s="165"/>
      <c r="S851" s="168" t="s">
        <v>4111</v>
      </c>
      <c r="T851" s="165"/>
      <c r="U851" s="165"/>
      <c r="V851" s="16" t="str">
        <f>IFERROR(VLOOKUP(A851,'[2]19.6.2026'!$A$9:$L$1111,5,0),"")</f>
        <v/>
      </c>
      <c r="W851" s="16" t="str">
        <f>IFERROR(VLOOKUP(A851,'[2]19.6.2026'!$A$9:$L$1111,6,0),"")</f>
        <v/>
      </c>
      <c r="X851" s="165"/>
      <c r="Y851" s="21" t="str">
        <f>IFERROR(VLOOKUP(A851,'[2]19.6.2026'!$A$9:$L$1111,7,0),"")</f>
        <v/>
      </c>
      <c r="Z851" s="16"/>
      <c r="AA851" s="27" t="str">
        <f>IFERROR(VLOOKUP(A851,'[3]DS UPLOAD 2026 (2)'!$A$2:$P$1111,16,0),"")</f>
        <v/>
      </c>
      <c r="AB851" s="168" t="s">
        <v>4112</v>
      </c>
      <c r="AC851" s="169" t="s">
        <v>1658</v>
      </c>
    </row>
    <row r="852" spans="1:29" s="170" customFormat="1" ht="19.5" customHeight="1" x14ac:dyDescent="0.3">
      <c r="A852" s="164" t="s">
        <v>4113</v>
      </c>
      <c r="B852" s="164" t="s">
        <v>4114</v>
      </c>
      <c r="C852" s="164" t="s">
        <v>4113</v>
      </c>
      <c r="D852" s="165"/>
      <c r="E852" s="23" t="s">
        <v>173</v>
      </c>
      <c r="F852" s="16" t="str">
        <f>VLOOKUP(E852,'[1]BẢNG MÃ'!$A$2:$B$69,2,0)</f>
        <v>TĐ005</v>
      </c>
      <c r="G852" s="56" t="s">
        <v>161</v>
      </c>
      <c r="H852" s="56" t="s">
        <v>161</v>
      </c>
      <c r="I852" s="56" t="s">
        <v>525</v>
      </c>
      <c r="J852" s="16" t="str">
        <f>VLOOKUP(I852,'[1]BẢNG MÃ'!$C$2:$D$69,2,0)</f>
        <v>KP006</v>
      </c>
      <c r="K852" s="165"/>
      <c r="L852" s="165"/>
      <c r="M852" s="56" t="s">
        <v>33</v>
      </c>
      <c r="N852" s="166"/>
      <c r="O852" s="171" t="s">
        <v>4115</v>
      </c>
      <c r="P852" s="166"/>
      <c r="Q852" s="165"/>
      <c r="R852" s="165"/>
      <c r="S852" s="168" t="s">
        <v>4116</v>
      </c>
      <c r="T852" s="165"/>
      <c r="U852" s="165"/>
      <c r="V852" s="16" t="str">
        <f>IFERROR(VLOOKUP(A852,'[2]19.6.2026'!$A$9:$L$1111,5,0),"")</f>
        <v>000540/LS-GPHN</v>
      </c>
      <c r="W852" s="16">
        <f>IFERROR(VLOOKUP(A852,'[2]19.6.2026'!$A$9:$L$1111,6,0),"")</f>
        <v>46135</v>
      </c>
      <c r="X852" s="165"/>
      <c r="Y852" s="21" t="str">
        <f>IFERROR(VLOOKUP(A852,'[2]19.6.2026'!$A$9:$L$1111,7,0),"")</f>
        <v>Y khoa</v>
      </c>
      <c r="Z852" s="16"/>
      <c r="AA852" s="27" t="str">
        <f>IFERROR(VLOOKUP(A852,'[3]DS UPLOAD 2026 (2)'!$A$2:$P$1111,16,0),"")</f>
        <v/>
      </c>
      <c r="AB852" s="168" t="s">
        <v>4117</v>
      </c>
      <c r="AC852" s="169" t="s">
        <v>1658</v>
      </c>
    </row>
    <row r="853" spans="1:29" s="170" customFormat="1" ht="19.5" customHeight="1" x14ac:dyDescent="0.3">
      <c r="A853" s="164" t="s">
        <v>4118</v>
      </c>
      <c r="B853" s="164" t="s">
        <v>4119</v>
      </c>
      <c r="C853" s="164" t="s">
        <v>4118</v>
      </c>
      <c r="D853" s="23" t="s">
        <v>38</v>
      </c>
      <c r="E853" s="23" t="s">
        <v>173</v>
      </c>
      <c r="F853" s="16" t="str">
        <f>VLOOKUP(E853,'[1]BẢNG MÃ'!$A$2:$B$69,2,0)</f>
        <v>TĐ005</v>
      </c>
      <c r="G853" s="56" t="s">
        <v>161</v>
      </c>
      <c r="H853" s="56" t="s">
        <v>161</v>
      </c>
      <c r="I853" s="56" t="s">
        <v>933</v>
      </c>
      <c r="J853" s="16" t="str">
        <f>VLOOKUP(I853,'[1]BẢNG MÃ'!$C$2:$D$69,2,0)</f>
        <v>KP010</v>
      </c>
      <c r="K853" s="165"/>
      <c r="L853" s="165"/>
      <c r="M853" s="56" t="s">
        <v>33</v>
      </c>
      <c r="N853" s="166"/>
      <c r="O853" s="166"/>
      <c r="P853" s="167" t="s">
        <v>4120</v>
      </c>
      <c r="Q853" s="165"/>
      <c r="R853" s="165"/>
      <c r="S853" s="168" t="s">
        <v>4121</v>
      </c>
      <c r="T853" s="165"/>
      <c r="U853" s="165"/>
      <c r="V853" s="16" t="str">
        <f>IFERROR(VLOOKUP(A853,'[2]19.6.2026'!$A$9:$L$1111,5,0),"")</f>
        <v/>
      </c>
      <c r="W853" s="16" t="str">
        <f>IFERROR(VLOOKUP(A853,'[2]19.6.2026'!$A$9:$L$1111,6,0),"")</f>
        <v/>
      </c>
      <c r="X853" s="165"/>
      <c r="Y853" s="21" t="str">
        <f>IFERROR(VLOOKUP(A853,'[2]19.6.2026'!$A$9:$L$1111,7,0),"")</f>
        <v/>
      </c>
      <c r="Z853" s="16"/>
      <c r="AA853" s="27" t="str">
        <f>IFERROR(VLOOKUP(A853,'[3]DS UPLOAD 2026 (2)'!$A$2:$P$1111,16,0),"")</f>
        <v/>
      </c>
      <c r="AB853" s="168" t="s">
        <v>4122</v>
      </c>
      <c r="AC853" s="169" t="s">
        <v>1658</v>
      </c>
    </row>
    <row r="854" spans="1:29" s="170" customFormat="1" ht="19.5" customHeight="1" x14ac:dyDescent="0.3">
      <c r="A854" s="164" t="s">
        <v>4123</v>
      </c>
      <c r="B854" s="164" t="s">
        <v>4124</v>
      </c>
      <c r="C854" s="164" t="s">
        <v>4123</v>
      </c>
      <c r="D854" s="23" t="s">
        <v>38</v>
      </c>
      <c r="E854" s="172" t="s">
        <v>4125</v>
      </c>
      <c r="F854" s="16" t="s">
        <v>4126</v>
      </c>
      <c r="G854" s="56" t="s">
        <v>3424</v>
      </c>
      <c r="H854" s="56" t="s">
        <v>3424</v>
      </c>
      <c r="I854" s="56" t="s">
        <v>3627</v>
      </c>
      <c r="J854" s="16" t="str">
        <f>VLOOKUP(I854,'[1]BẢNG MÃ'!$C$2:$D$69,2,0)</f>
        <v>KP041</v>
      </c>
      <c r="K854" s="165"/>
      <c r="L854" s="165"/>
      <c r="M854" s="56" t="s">
        <v>33</v>
      </c>
      <c r="N854" s="166"/>
      <c r="O854" s="166"/>
      <c r="P854" s="173" t="s">
        <v>4127</v>
      </c>
      <c r="Q854" s="165"/>
      <c r="R854" s="165"/>
      <c r="S854" s="168" t="s">
        <v>4128</v>
      </c>
      <c r="T854" s="165"/>
      <c r="U854" s="165"/>
      <c r="V854" s="16" t="str">
        <f>IFERROR(VLOOKUP(A854,'[2]19.6.2026'!$A$9:$L$1111,5,0),"")</f>
        <v/>
      </c>
      <c r="W854" s="16" t="str">
        <f>IFERROR(VLOOKUP(A854,'[2]19.6.2026'!$A$9:$L$1111,6,0),"")</f>
        <v/>
      </c>
      <c r="X854" s="165"/>
      <c r="Y854" s="21" t="str">
        <f>IFERROR(VLOOKUP(A854,'[2]19.6.2026'!$A$9:$L$1111,7,0),"")</f>
        <v/>
      </c>
      <c r="Z854" s="16"/>
      <c r="AA854" s="27" t="str">
        <f>IFERROR(VLOOKUP(A854,'[3]DS UPLOAD 2026 (2)'!$A$2:$P$1111,16,0),"")</f>
        <v/>
      </c>
      <c r="AB854" s="168" t="s">
        <v>4129</v>
      </c>
      <c r="AC854" s="169" t="s">
        <v>1658</v>
      </c>
    </row>
    <row r="855" spans="1:29" s="170" customFormat="1" ht="19.5" customHeight="1" x14ac:dyDescent="0.3">
      <c r="A855" s="164" t="s">
        <v>4130</v>
      </c>
      <c r="B855" s="164" t="s">
        <v>4131</v>
      </c>
      <c r="C855" s="164" t="s">
        <v>4130</v>
      </c>
      <c r="D855" s="23" t="s">
        <v>38</v>
      </c>
      <c r="E855" s="56" t="s">
        <v>2736</v>
      </c>
      <c r="F855" s="16" t="str">
        <f>VLOOKUP(E855,'[1]BẢNG MÃ'!$A$2:$B$69,2,0)</f>
        <v>TĐ009</v>
      </c>
      <c r="G855" s="16" t="s">
        <v>2737</v>
      </c>
      <c r="H855" s="16" t="s">
        <v>2737</v>
      </c>
      <c r="I855" s="56" t="s">
        <v>2680</v>
      </c>
      <c r="J855" s="16" t="str">
        <f>VLOOKUP(I855,'[1]BẢNG MÃ'!$C$2:$D$69,2,0)</f>
        <v>KP028</v>
      </c>
      <c r="K855" s="165"/>
      <c r="L855" s="165"/>
      <c r="M855" s="56" t="s">
        <v>33</v>
      </c>
      <c r="N855" s="166"/>
      <c r="O855" s="166"/>
      <c r="P855" s="174" t="s">
        <v>4132</v>
      </c>
      <c r="Q855" s="165"/>
      <c r="R855" s="165"/>
      <c r="S855" s="168" t="s">
        <v>4133</v>
      </c>
      <c r="T855" s="165"/>
      <c r="U855" s="165"/>
      <c r="V855" s="16" t="str">
        <f>IFERROR(VLOOKUP(A855,'[2]19.6.2026'!$A$9:$L$1111,5,0),"")</f>
        <v/>
      </c>
      <c r="W855" s="16" t="str">
        <f>IFERROR(VLOOKUP(A855,'[2]19.6.2026'!$A$9:$L$1111,6,0),"")</f>
        <v/>
      </c>
      <c r="X855" s="165"/>
      <c r="Y855" s="21" t="str">
        <f>IFERROR(VLOOKUP(A855,'[2]19.6.2026'!$A$9:$L$1111,7,0),"")</f>
        <v/>
      </c>
      <c r="Z855" s="16"/>
      <c r="AA855" s="27" t="str">
        <f>IFERROR(VLOOKUP(A855,'[3]DS UPLOAD 2026 (2)'!$A$2:$P$1111,16,0),"")</f>
        <v/>
      </c>
      <c r="AB855" s="168" t="s">
        <v>4134</v>
      </c>
      <c r="AC855" s="169" t="s">
        <v>1658</v>
      </c>
    </row>
    <row r="856" spans="1:29" s="170" customFormat="1" ht="19.5" customHeight="1" x14ac:dyDescent="0.3">
      <c r="A856" s="164" t="s">
        <v>4135</v>
      </c>
      <c r="B856" s="164" t="s">
        <v>4136</v>
      </c>
      <c r="C856" s="164" t="s">
        <v>4135</v>
      </c>
      <c r="D856" s="23" t="s">
        <v>38</v>
      </c>
      <c r="E856" s="56" t="s">
        <v>2736</v>
      </c>
      <c r="F856" s="16" t="str">
        <f>VLOOKUP(E856,'[1]BẢNG MÃ'!$A$2:$B$69,2,0)</f>
        <v>TĐ009</v>
      </c>
      <c r="G856" s="16" t="s">
        <v>2737</v>
      </c>
      <c r="H856" s="16" t="s">
        <v>2737</v>
      </c>
      <c r="I856" s="56" t="s">
        <v>2680</v>
      </c>
      <c r="J856" s="16" t="str">
        <f>VLOOKUP(I856,'[1]BẢNG MÃ'!$C$2:$D$69,2,0)</f>
        <v>KP028</v>
      </c>
      <c r="K856" s="165"/>
      <c r="L856" s="165"/>
      <c r="M856" s="56" t="s">
        <v>33</v>
      </c>
      <c r="N856" s="166"/>
      <c r="O856" s="166"/>
      <c r="P856" s="174" t="s">
        <v>4137</v>
      </c>
      <c r="Q856" s="165"/>
      <c r="R856" s="165"/>
      <c r="S856" s="168" t="s">
        <v>4138</v>
      </c>
      <c r="T856" s="165"/>
      <c r="U856" s="165"/>
      <c r="V856" s="16" t="str">
        <f>IFERROR(VLOOKUP(A856,'[2]19.6.2026'!$A$9:$L$1111,5,0),"")</f>
        <v/>
      </c>
      <c r="W856" s="16" t="str">
        <f>IFERROR(VLOOKUP(A856,'[2]19.6.2026'!$A$9:$L$1111,6,0),"")</f>
        <v/>
      </c>
      <c r="X856" s="165"/>
      <c r="Y856" s="21" t="str">
        <f>IFERROR(VLOOKUP(A856,'[2]19.6.2026'!$A$9:$L$1111,7,0),"")</f>
        <v/>
      </c>
      <c r="Z856" s="16"/>
      <c r="AA856" s="27" t="str">
        <f>IFERROR(VLOOKUP(A856,'[3]DS UPLOAD 2026 (2)'!$A$2:$P$1111,16,0),"")</f>
        <v/>
      </c>
      <c r="AB856" s="168" t="s">
        <v>4139</v>
      </c>
      <c r="AC856" s="169" t="s">
        <v>1658</v>
      </c>
    </row>
    <row r="857" spans="1:29" s="170" customFormat="1" ht="19.5" customHeight="1" x14ac:dyDescent="0.3">
      <c r="A857" s="164" t="s">
        <v>4140</v>
      </c>
      <c r="B857" s="164" t="s">
        <v>4141</v>
      </c>
      <c r="C857" s="164" t="s">
        <v>4140</v>
      </c>
      <c r="D857" s="23" t="s">
        <v>38</v>
      </c>
      <c r="E857" s="56" t="s">
        <v>2736</v>
      </c>
      <c r="F857" s="16" t="str">
        <f>VLOOKUP(E857,'[1]BẢNG MÃ'!$A$2:$B$69,2,0)</f>
        <v>TĐ009</v>
      </c>
      <c r="G857" s="16" t="s">
        <v>2737</v>
      </c>
      <c r="H857" s="16" t="s">
        <v>2737</v>
      </c>
      <c r="I857" s="56" t="s">
        <v>2680</v>
      </c>
      <c r="J857" s="16" t="str">
        <f>VLOOKUP(I857,'[1]BẢNG MÃ'!$C$2:$D$69,2,0)</f>
        <v>KP028</v>
      </c>
      <c r="K857" s="165"/>
      <c r="L857" s="165"/>
      <c r="M857" s="56" t="s">
        <v>33</v>
      </c>
      <c r="N857" s="166"/>
      <c r="O857" s="166"/>
      <c r="P857" s="174" t="s">
        <v>4142</v>
      </c>
      <c r="Q857" s="165"/>
      <c r="R857" s="165"/>
      <c r="S857" s="168" t="s">
        <v>4143</v>
      </c>
      <c r="T857" s="165"/>
      <c r="U857" s="165"/>
      <c r="V857" s="16" t="str">
        <f>IFERROR(VLOOKUP(A857,'[2]19.6.2026'!$A$9:$L$1111,5,0),"")</f>
        <v/>
      </c>
      <c r="W857" s="16" t="str">
        <f>IFERROR(VLOOKUP(A857,'[2]19.6.2026'!$A$9:$L$1111,6,0),"")</f>
        <v/>
      </c>
      <c r="X857" s="165"/>
      <c r="Y857" s="21" t="str">
        <f>IFERROR(VLOOKUP(A857,'[2]19.6.2026'!$A$9:$L$1111,7,0),"")</f>
        <v/>
      </c>
      <c r="Z857" s="16"/>
      <c r="AA857" s="27" t="str">
        <f>IFERROR(VLOOKUP(A857,'[3]DS UPLOAD 2026 (2)'!$A$2:$P$1111,16,0),"")</f>
        <v/>
      </c>
      <c r="AB857" s="168" t="s">
        <v>4144</v>
      </c>
      <c r="AC857" s="169" t="s">
        <v>1658</v>
      </c>
    </row>
    <row r="858" spans="1:29" s="170" customFormat="1" ht="19.5" customHeight="1" x14ac:dyDescent="0.3">
      <c r="A858" s="164" t="s">
        <v>4145</v>
      </c>
      <c r="B858" s="164" t="s">
        <v>4146</v>
      </c>
      <c r="C858" s="164" t="s">
        <v>4145</v>
      </c>
      <c r="D858" s="23" t="s">
        <v>38</v>
      </c>
      <c r="E858" s="56" t="s">
        <v>2693</v>
      </c>
      <c r="F858" s="16" t="str">
        <f>VLOOKUP(E858,'[1]BẢNG MÃ'!$A$2:$B$69,2,0)</f>
        <v>TĐ008</v>
      </c>
      <c r="G858" s="16" t="s">
        <v>2679</v>
      </c>
      <c r="H858" s="16" t="s">
        <v>2679</v>
      </c>
      <c r="I858" s="56" t="s">
        <v>2680</v>
      </c>
      <c r="J858" s="16" t="str">
        <f>VLOOKUP(I858,'[1]BẢNG MÃ'!$C$2:$D$69,2,0)</f>
        <v>KP028</v>
      </c>
      <c r="K858" s="165"/>
      <c r="L858" s="165"/>
      <c r="M858" s="56" t="s">
        <v>33</v>
      </c>
      <c r="N858" s="166"/>
      <c r="O858" s="166"/>
      <c r="P858" s="175">
        <v>32633</v>
      </c>
      <c r="Q858" s="165"/>
      <c r="R858" s="165"/>
      <c r="S858" s="168" t="s">
        <v>4147</v>
      </c>
      <c r="T858" s="165"/>
      <c r="U858" s="165"/>
      <c r="V858" s="16" t="str">
        <f>IFERROR(VLOOKUP(A858,'[2]19.6.2026'!$A$9:$L$1111,5,0),"")</f>
        <v/>
      </c>
      <c r="W858" s="16" t="str">
        <f>IFERROR(VLOOKUP(A858,'[2]19.6.2026'!$A$9:$L$1111,6,0),"")</f>
        <v/>
      </c>
      <c r="X858" s="165"/>
      <c r="Y858" s="21" t="str">
        <f>IFERROR(VLOOKUP(A858,'[2]19.6.2026'!$A$9:$L$1111,7,0),"")</f>
        <v/>
      </c>
      <c r="Z858" s="16"/>
      <c r="AA858" s="27" t="str">
        <f>IFERROR(VLOOKUP(A858,'[3]DS UPLOAD 2026 (2)'!$A$2:$P$1111,16,0),"")</f>
        <v/>
      </c>
      <c r="AB858" s="168" t="s">
        <v>4148</v>
      </c>
      <c r="AC858" s="169" t="s">
        <v>1658</v>
      </c>
    </row>
    <row r="859" spans="1:29" s="170" customFormat="1" ht="19.5" customHeight="1" x14ac:dyDescent="0.3">
      <c r="A859" s="164" t="s">
        <v>4149</v>
      </c>
      <c r="B859" s="164" t="s">
        <v>4150</v>
      </c>
      <c r="C859" s="164" t="s">
        <v>4149</v>
      </c>
      <c r="D859" s="23" t="s">
        <v>38</v>
      </c>
      <c r="E859" s="176" t="s">
        <v>41</v>
      </c>
      <c r="F859" s="16" t="str">
        <f>VLOOKUP(E859,'[1]BẢNG MÃ'!$A$2:$B$69,2,0)</f>
        <v>TĐ011</v>
      </c>
      <c r="G859" s="177" t="s">
        <v>42</v>
      </c>
      <c r="H859" s="177" t="s">
        <v>42</v>
      </c>
      <c r="I859" s="19" t="s">
        <v>306</v>
      </c>
      <c r="J859" s="16" t="str">
        <f>VLOOKUP(I859,'[1]BẢNG MÃ'!$C$2:$D$69,2,0)</f>
        <v>KP003</v>
      </c>
      <c r="K859" s="165"/>
      <c r="L859" s="165"/>
      <c r="M859" s="56" t="s">
        <v>33</v>
      </c>
      <c r="N859" s="166"/>
      <c r="O859" s="166"/>
      <c r="P859" s="173" t="s">
        <v>4151</v>
      </c>
      <c r="Q859" s="165"/>
      <c r="R859" s="165"/>
      <c r="S859" s="168" t="s">
        <v>4152</v>
      </c>
      <c r="T859" s="165"/>
      <c r="U859" s="165"/>
      <c r="V859" s="16" t="str">
        <f>IFERROR(VLOOKUP(A859,'[2]19.6.2026'!$A$9:$L$1111,5,0),"")</f>
        <v>000481/LS-GPHN</v>
      </c>
      <c r="W859" s="16">
        <f>IFERROR(VLOOKUP(A859,'[2]19.6.2026'!$A$9:$L$1111,6,0),"")</f>
        <v>46066</v>
      </c>
      <c r="X859" s="165"/>
      <c r="Y859" s="21" t="str">
        <f>IFERROR(VLOOKUP(A859,'[2]19.6.2026'!$A$9:$L$1111,7,0),"")</f>
        <v>Điều dưỡng</v>
      </c>
      <c r="Z859" s="16"/>
      <c r="AA859" s="27" t="str">
        <f>IFERROR(VLOOKUP(A859,'[3]DS UPLOAD 2026 (2)'!$A$2:$P$1111,16,0),"")</f>
        <v/>
      </c>
      <c r="AB859" s="168" t="s">
        <v>4153</v>
      </c>
      <c r="AC859" s="169" t="s">
        <v>1658</v>
      </c>
    </row>
    <row r="860" spans="1:29" s="170" customFormat="1" ht="19.5" customHeight="1" x14ac:dyDescent="0.3">
      <c r="A860" s="164" t="s">
        <v>4154</v>
      </c>
      <c r="B860" s="164" t="s">
        <v>520</v>
      </c>
      <c r="C860" s="164" t="s">
        <v>4154</v>
      </c>
      <c r="D860" s="23" t="s">
        <v>38</v>
      </c>
      <c r="E860" s="176" t="s">
        <v>41</v>
      </c>
      <c r="F860" s="16" t="str">
        <f>VLOOKUP(E860,'[1]BẢNG MÃ'!$A$2:$B$69,2,0)</f>
        <v>TĐ011</v>
      </c>
      <c r="G860" s="177" t="s">
        <v>42</v>
      </c>
      <c r="H860" s="177" t="s">
        <v>42</v>
      </c>
      <c r="I860" s="56" t="s">
        <v>147</v>
      </c>
      <c r="J860" s="16" t="str">
        <f>VLOOKUP(I860,'[1]BẢNG MÃ'!$C$2:$D$69,2,0)</f>
        <v>KP002</v>
      </c>
      <c r="K860" s="165"/>
      <c r="L860" s="165"/>
      <c r="M860" s="56" t="s">
        <v>33</v>
      </c>
      <c r="N860" s="166"/>
      <c r="O860" s="166"/>
      <c r="P860" s="173" t="s">
        <v>4155</v>
      </c>
      <c r="Q860" s="165"/>
      <c r="R860" s="165"/>
      <c r="S860" s="168" t="s">
        <v>4156</v>
      </c>
      <c r="T860" s="165"/>
      <c r="U860" s="165"/>
      <c r="V860" s="16" t="str">
        <f>IFERROR(VLOOKUP(A860,'[2]19.6.2026'!$A$9:$L$1111,5,0),"")</f>
        <v>000391/LS-GPHN</v>
      </c>
      <c r="W860" s="16">
        <f>IFERROR(VLOOKUP(A860,'[2]19.6.2026'!$A$9:$L$1111,6,0),"")</f>
        <v>45554</v>
      </c>
      <c r="X860" s="165"/>
      <c r="Y860" s="21" t="str">
        <f>IFERROR(VLOOKUP(A860,'[2]19.6.2026'!$A$9:$L$1111,7,0),"")</f>
        <v>Điều dưỡng</v>
      </c>
      <c r="Z860" s="16"/>
      <c r="AA860" s="27" t="str">
        <f>IFERROR(VLOOKUP(A860,'[3]DS UPLOAD 2026 (2)'!$A$2:$P$1111,16,0),"")</f>
        <v/>
      </c>
      <c r="AB860" s="168" t="s">
        <v>4157</v>
      </c>
      <c r="AC860" s="169" t="s">
        <v>1658</v>
      </c>
    </row>
    <row r="861" spans="1:29" s="170" customFormat="1" ht="19.5" customHeight="1" x14ac:dyDescent="0.3">
      <c r="A861" s="164" t="s">
        <v>4158</v>
      </c>
      <c r="B861" s="164" t="s">
        <v>4159</v>
      </c>
      <c r="C861" s="164" t="s">
        <v>4158</v>
      </c>
      <c r="D861" s="23" t="s">
        <v>38</v>
      </c>
      <c r="E861" s="176" t="s">
        <v>41</v>
      </c>
      <c r="F861" s="16" t="str">
        <f>VLOOKUP(E861,'[1]BẢNG MÃ'!$A$2:$B$69,2,0)</f>
        <v>TĐ011</v>
      </c>
      <c r="G861" s="177" t="s">
        <v>42</v>
      </c>
      <c r="H861" s="177" t="s">
        <v>42</v>
      </c>
      <c r="I861" s="19" t="s">
        <v>306</v>
      </c>
      <c r="J861" s="16" t="str">
        <f>VLOOKUP(I861,'[1]BẢNG MÃ'!$C$2:$D$69,2,0)</f>
        <v>KP003</v>
      </c>
      <c r="K861" s="165"/>
      <c r="L861" s="165"/>
      <c r="M861" s="56" t="s">
        <v>33</v>
      </c>
      <c r="N861" s="166"/>
      <c r="O861" s="166"/>
      <c r="P861" s="178" t="s">
        <v>4160</v>
      </c>
      <c r="Q861" s="165"/>
      <c r="R861" s="165"/>
      <c r="S861" s="168" t="s">
        <v>4161</v>
      </c>
      <c r="T861" s="165"/>
      <c r="U861" s="165"/>
      <c r="V861" s="16" t="str">
        <f>IFERROR(VLOOKUP(A861,'[2]19.6.2026'!$A$9:$L$1111,5,0),"")</f>
        <v>001524/TNG-GPHN</v>
      </c>
      <c r="W861" s="16">
        <f>IFERROR(VLOOKUP(A861,'[2]19.6.2026'!$A$9:$L$1111,6,0),"")</f>
        <v>46122</v>
      </c>
      <c r="X861" s="165"/>
      <c r="Y861" s="21" t="str">
        <f>IFERROR(VLOOKUP(A861,'[2]19.6.2026'!$A$9:$L$1111,7,0),"")</f>
        <v>Điều dưỡng</v>
      </c>
      <c r="Z861" s="16"/>
      <c r="AA861" s="27" t="str">
        <f>IFERROR(VLOOKUP(A861,'[3]DS UPLOAD 2026 (2)'!$A$2:$P$1111,16,0),"")</f>
        <v/>
      </c>
      <c r="AB861" s="168" t="s">
        <v>4162</v>
      </c>
      <c r="AC861" s="169" t="s">
        <v>1658</v>
      </c>
    </row>
    <row r="862" spans="1:29" s="170" customFormat="1" ht="19.5" customHeight="1" x14ac:dyDescent="0.3">
      <c r="A862" s="164" t="s">
        <v>4163</v>
      </c>
      <c r="B862" s="164" t="s">
        <v>4164</v>
      </c>
      <c r="C862" s="164" t="s">
        <v>4163</v>
      </c>
      <c r="D862" s="23" t="s">
        <v>38</v>
      </c>
      <c r="E862" s="176" t="s">
        <v>41</v>
      </c>
      <c r="F862" s="16" t="str">
        <f>VLOOKUP(E862,'[1]BẢNG MÃ'!$A$2:$B$69,2,0)</f>
        <v>TĐ011</v>
      </c>
      <c r="G862" s="177" t="s">
        <v>42</v>
      </c>
      <c r="H862" s="177" t="s">
        <v>42</v>
      </c>
      <c r="I862" s="19" t="s">
        <v>306</v>
      </c>
      <c r="J862" s="16" t="str">
        <f>VLOOKUP(I862,'[1]BẢNG MÃ'!$C$2:$D$69,2,0)</f>
        <v>KP003</v>
      </c>
      <c r="K862" s="165"/>
      <c r="L862" s="165"/>
      <c r="M862" s="56" t="s">
        <v>33</v>
      </c>
      <c r="N862" s="166"/>
      <c r="O862" s="166"/>
      <c r="P862" s="173" t="s">
        <v>4165</v>
      </c>
      <c r="Q862" s="165"/>
      <c r="R862" s="165"/>
      <c r="S862" s="168" t="s">
        <v>4166</v>
      </c>
      <c r="T862" s="165"/>
      <c r="U862" s="165"/>
      <c r="V862" s="16" t="str">
        <f>IFERROR(VLOOKUP(A862,'[2]19.6.2026'!$A$9:$L$1111,5,0),"")</f>
        <v>000527/LS-GPHN</v>
      </c>
      <c r="W862" s="16">
        <f>IFERROR(VLOOKUP(A862,'[2]19.6.2026'!$A$9:$L$1111,6,0),"")</f>
        <v>46135</v>
      </c>
      <c r="X862" s="165"/>
      <c r="Y862" s="21" t="str">
        <f>IFERROR(VLOOKUP(A862,'[2]19.6.2026'!$A$9:$L$1111,7,0),"")</f>
        <v>Điều dưỡng</v>
      </c>
      <c r="Z862" s="16"/>
      <c r="AA862" s="27" t="str">
        <f>IFERROR(VLOOKUP(A862,'[3]DS UPLOAD 2026 (2)'!$A$2:$P$1111,16,0),"")</f>
        <v/>
      </c>
      <c r="AB862" s="168" t="s">
        <v>4167</v>
      </c>
      <c r="AC862" s="169" t="s">
        <v>1658</v>
      </c>
    </row>
    <row r="863" spans="1:29" s="170" customFormat="1" ht="19.5" customHeight="1" x14ac:dyDescent="0.3">
      <c r="A863" s="164" t="s">
        <v>4168</v>
      </c>
      <c r="B863" s="164" t="s">
        <v>3990</v>
      </c>
      <c r="C863" s="164" t="s">
        <v>4168</v>
      </c>
      <c r="D863" s="23" t="s">
        <v>38</v>
      </c>
      <c r="E863" s="176" t="s">
        <v>61</v>
      </c>
      <c r="F863" s="16" t="str">
        <f>VLOOKUP(E863,'[1]BẢNG MÃ'!$A$2:$B$69,2,0)</f>
        <v>TĐ012</v>
      </c>
      <c r="G863" s="16" t="s">
        <v>62</v>
      </c>
      <c r="H863" s="16" t="s">
        <v>62</v>
      </c>
      <c r="I863" s="19" t="s">
        <v>306</v>
      </c>
      <c r="J863" s="16" t="str">
        <f>VLOOKUP(I863,'[1]BẢNG MÃ'!$C$2:$D$69,2,0)</f>
        <v>KP003</v>
      </c>
      <c r="K863" s="165"/>
      <c r="L863" s="165"/>
      <c r="M863" s="56" t="s">
        <v>33</v>
      </c>
      <c r="N863" s="166"/>
      <c r="O863" s="166"/>
      <c r="P863" s="178" t="s">
        <v>4169</v>
      </c>
      <c r="Q863" s="165"/>
      <c r="R863" s="165"/>
      <c r="S863" s="168" t="s">
        <v>4170</v>
      </c>
      <c r="T863" s="165"/>
      <c r="U863" s="165"/>
      <c r="V863" s="16" t="str">
        <f>IFERROR(VLOOKUP(A863,'[2]19.6.2026'!$A$9:$L$1111,5,0),"")</f>
        <v>000432/LS-GPHN</v>
      </c>
      <c r="W863" s="16">
        <f>IFERROR(VLOOKUP(A863,'[2]19.6.2026'!$A$9:$L$1111,6,0),"")</f>
        <v>46002</v>
      </c>
      <c r="X863" s="165"/>
      <c r="Y863" s="21" t="str">
        <f>IFERROR(VLOOKUP(A863,'[2]19.6.2026'!$A$9:$L$1111,7,0),"")</f>
        <v>Điều dưỡng</v>
      </c>
      <c r="Z863" s="16"/>
      <c r="AA863" s="27" t="str">
        <f>IFERROR(VLOOKUP(A863,'[3]DS UPLOAD 2026 (2)'!$A$2:$P$1111,16,0),"")</f>
        <v/>
      </c>
      <c r="AB863" s="168" t="s">
        <v>4171</v>
      </c>
      <c r="AC863" s="169" t="s">
        <v>1658</v>
      </c>
    </row>
    <row r="864" spans="1:29" s="170" customFormat="1" ht="19.5" customHeight="1" x14ac:dyDescent="0.3">
      <c r="A864" s="164" t="s">
        <v>4172</v>
      </c>
      <c r="B864" s="164" t="s">
        <v>4173</v>
      </c>
      <c r="C864" s="164" t="s">
        <v>4172</v>
      </c>
      <c r="D864" s="23" t="s">
        <v>38</v>
      </c>
      <c r="E864" s="176" t="s">
        <v>61</v>
      </c>
      <c r="F864" s="16" t="str">
        <f>VLOOKUP(E864,'[1]BẢNG MÃ'!$A$2:$B$69,2,0)</f>
        <v>TĐ012</v>
      </c>
      <c r="G864" s="16" t="s">
        <v>62</v>
      </c>
      <c r="H864" s="16" t="s">
        <v>62</v>
      </c>
      <c r="I864" s="56" t="s">
        <v>355</v>
      </c>
      <c r="J864" s="16" t="str">
        <f>VLOOKUP(I864,'[1]BẢNG MÃ'!$C$2:$D$69,2,0)</f>
        <v>KP007</v>
      </c>
      <c r="K864" s="165"/>
      <c r="L864" s="165"/>
      <c r="M864" s="56" t="s">
        <v>33</v>
      </c>
      <c r="N864" s="166"/>
      <c r="O864" s="166"/>
      <c r="P864" s="178" t="s">
        <v>4174</v>
      </c>
      <c r="Q864" s="165"/>
      <c r="R864" s="165"/>
      <c r="S864" s="168" t="s">
        <v>4175</v>
      </c>
      <c r="T864" s="165"/>
      <c r="U864" s="165"/>
      <c r="V864" s="16" t="str">
        <f>IFERROR(VLOOKUP(A864,'[2]19.6.2026'!$A$9:$L$1111,5,0),"")</f>
        <v>003578/LS-CCHN</v>
      </c>
      <c r="W864" s="16">
        <f>IFERROR(VLOOKUP(A864,'[2]19.6.2026'!$A$9:$L$1111,6,0),"")</f>
        <v>43497</v>
      </c>
      <c r="X864" s="165"/>
      <c r="Y864" s="21" t="str">
        <f>IFERROR(VLOOKUP(A864,'[2]19.6.2026'!$A$9:$L$1111,7,0),"")</f>
        <v>Thực hiện phạm vi hoạt động chuyên môn theo quy định tại thông tư số 26/2015/TTLT-BYT-BNV ngày 07 tháng 10 năm 2015 quy định mã số, tiêu chuẩn chức danh nghề nghiệp Điều dưỡng, Hộ sinh, Kỹ thuật viên</v>
      </c>
      <c r="Z864" s="16"/>
      <c r="AA864" s="27" t="str">
        <f>IFERROR(VLOOKUP(A864,'[3]DS UPLOAD 2026 (2)'!$A$2:$P$1111,16,0),"")</f>
        <v/>
      </c>
      <c r="AB864" s="168" t="s">
        <v>4176</v>
      </c>
      <c r="AC864" s="169" t="s">
        <v>1658</v>
      </c>
    </row>
    <row r="865" spans="1:29" s="170" customFormat="1" ht="19.5" customHeight="1" x14ac:dyDescent="0.3">
      <c r="A865" s="164" t="s">
        <v>4177</v>
      </c>
      <c r="B865" s="164" t="s">
        <v>4178</v>
      </c>
      <c r="C865" s="164" t="s">
        <v>4177</v>
      </c>
      <c r="D865" s="23" t="s">
        <v>38</v>
      </c>
      <c r="E865" s="176" t="s">
        <v>61</v>
      </c>
      <c r="F865" s="16" t="str">
        <f>VLOOKUP(E865,'[1]BẢNG MÃ'!$A$2:$B$69,2,0)</f>
        <v>TĐ012</v>
      </c>
      <c r="G865" s="16" t="s">
        <v>62</v>
      </c>
      <c r="H865" s="16" t="s">
        <v>62</v>
      </c>
      <c r="I865" s="56" t="s">
        <v>147</v>
      </c>
      <c r="J865" s="16" t="str">
        <f>VLOOKUP(I865,'[1]BẢNG MÃ'!$C$2:$D$69,2,0)</f>
        <v>KP002</v>
      </c>
      <c r="K865" s="165"/>
      <c r="L865" s="165"/>
      <c r="M865" s="56" t="s">
        <v>33</v>
      </c>
      <c r="N865" s="166"/>
      <c r="O865" s="166"/>
      <c r="P865" s="178" t="s">
        <v>4179</v>
      </c>
      <c r="Q865" s="165"/>
      <c r="R865" s="165"/>
      <c r="S865" s="168" t="s">
        <v>4180</v>
      </c>
      <c r="T865" s="165"/>
      <c r="U865" s="165"/>
      <c r="V865" s="16" t="str">
        <f>IFERROR(VLOOKUP(A865,'[2]19.6.2026'!$A$9:$L$1111,5,0),"")</f>
        <v/>
      </c>
      <c r="W865" s="16" t="str">
        <f>IFERROR(VLOOKUP(A865,'[2]19.6.2026'!$A$9:$L$1111,6,0),"")</f>
        <v/>
      </c>
      <c r="X865" s="165"/>
      <c r="Y865" s="21" t="str">
        <f>IFERROR(VLOOKUP(A865,'[2]19.6.2026'!$A$9:$L$1111,7,0),"")</f>
        <v/>
      </c>
      <c r="Z865" s="16"/>
      <c r="AA865" s="27" t="str">
        <f>IFERROR(VLOOKUP(A865,'[3]DS UPLOAD 2026 (2)'!$A$2:$P$1111,16,0),"")</f>
        <v/>
      </c>
      <c r="AB865" s="168" t="s">
        <v>4181</v>
      </c>
      <c r="AC865" s="169" t="s">
        <v>1658</v>
      </c>
    </row>
    <row r="866" spans="1:29" s="170" customFormat="1" ht="19.5" customHeight="1" x14ac:dyDescent="0.3">
      <c r="A866" s="164" t="s">
        <v>4182</v>
      </c>
      <c r="B866" s="164" t="s">
        <v>4183</v>
      </c>
      <c r="C866" s="164" t="s">
        <v>4182</v>
      </c>
      <c r="D866" s="23" t="s">
        <v>38</v>
      </c>
      <c r="E866" s="176" t="s">
        <v>61</v>
      </c>
      <c r="F866" s="16" t="str">
        <f>VLOOKUP(E866,'[1]BẢNG MÃ'!$A$2:$B$69,2,0)</f>
        <v>TĐ012</v>
      </c>
      <c r="G866" s="16" t="s">
        <v>62</v>
      </c>
      <c r="H866" s="16" t="s">
        <v>62</v>
      </c>
      <c r="I866" s="56" t="s">
        <v>4184</v>
      </c>
      <c r="J866" s="16" t="str">
        <f>VLOOKUP(I866,'[1]BẢNG MÃ'!$C$2:$D$69,2,0)</f>
        <v>KP007</v>
      </c>
      <c r="K866" s="165"/>
      <c r="L866" s="165"/>
      <c r="M866" s="56" t="s">
        <v>33</v>
      </c>
      <c r="N866" s="166"/>
      <c r="O866" s="166"/>
      <c r="P866" s="173" t="s">
        <v>4185</v>
      </c>
      <c r="Q866" s="165"/>
      <c r="R866" s="165"/>
      <c r="S866" s="168" t="s">
        <v>4186</v>
      </c>
      <c r="T866" s="165"/>
      <c r="U866" s="165"/>
      <c r="V866" s="16" t="str">
        <f>IFERROR(VLOOKUP(A866,'[2]19.6.2026'!$A$9:$L$1111,5,0),"")</f>
        <v>004304/LS-CCHN</v>
      </c>
      <c r="W866" s="16">
        <f>IFERROR(VLOOKUP(A866,'[2]19.6.2026'!$A$9:$L$1111,6,0),"")</f>
        <v>45301</v>
      </c>
      <c r="X866" s="165"/>
      <c r="Y866" s="21" t="str">
        <f>IFERROR(VLOOKUP(A866,'[2]19.6.2026'!$A$9:$L$1111,7,0),"")</f>
        <v>Theo quy định tại Thông tư số 26/2015/TTLT-BYT-BNV ngày 07 tháng 10 năm 2015 quy định mã số, tiêu chuẩn chức danh nghề nghiệp điều dưỡng, hộ sinh, kỹ thuật y.</v>
      </c>
      <c r="Z866" s="16"/>
      <c r="AA866" s="27" t="str">
        <f>IFERROR(VLOOKUP(A866,'[3]DS UPLOAD 2026 (2)'!$A$2:$P$1111,16,0),"")</f>
        <v/>
      </c>
      <c r="AB866" s="168" t="s">
        <v>4187</v>
      </c>
      <c r="AC866" s="169" t="s">
        <v>1658</v>
      </c>
    </row>
    <row r="867" spans="1:29" s="170" customFormat="1" ht="19.5" customHeight="1" x14ac:dyDescent="0.3">
      <c r="A867" s="164" t="s">
        <v>4188</v>
      </c>
      <c r="B867" s="164" t="s">
        <v>3827</v>
      </c>
      <c r="C867" s="164" t="s">
        <v>4188</v>
      </c>
      <c r="D867" s="23" t="s">
        <v>38</v>
      </c>
      <c r="E867" s="176" t="s">
        <v>61</v>
      </c>
      <c r="F867" s="16" t="str">
        <f>VLOOKUP(E867,'[1]BẢNG MÃ'!$A$2:$B$69,2,0)</f>
        <v>TĐ012</v>
      </c>
      <c r="G867" s="16" t="s">
        <v>62</v>
      </c>
      <c r="H867" s="16" t="s">
        <v>62</v>
      </c>
      <c r="I867" s="19" t="s">
        <v>306</v>
      </c>
      <c r="J867" s="16" t="str">
        <f>VLOOKUP(I867,'[1]BẢNG MÃ'!$C$2:$D$69,2,0)</f>
        <v>KP003</v>
      </c>
      <c r="K867" s="165"/>
      <c r="L867" s="165"/>
      <c r="M867" s="56" t="s">
        <v>33</v>
      </c>
      <c r="N867" s="166"/>
      <c r="O867" s="166"/>
      <c r="P867" s="178" t="s">
        <v>4189</v>
      </c>
      <c r="Q867" s="165"/>
      <c r="R867" s="165"/>
      <c r="S867" s="168" t="s">
        <v>4190</v>
      </c>
      <c r="T867" s="165"/>
      <c r="U867" s="165"/>
      <c r="V867" s="16" t="str">
        <f>IFERROR(VLOOKUP(A867,'[2]19.6.2026'!$A$9:$L$1111,5,0),"")</f>
        <v>000031/BK-GPHN</v>
      </c>
      <c r="W867" s="16">
        <f>IFERROR(VLOOKUP(A867,'[2]19.6.2026'!$A$9:$L$1111,6,0),"")</f>
        <v>45434</v>
      </c>
      <c r="X867" s="165"/>
      <c r="Y867" s="21" t="str">
        <f>IFERROR(VLOOKUP(A867,'[2]19.6.2026'!$A$9:$L$1111,7,0),"")</f>
        <v xml:space="preserve">Điều dưỡng </v>
      </c>
      <c r="Z867" s="16"/>
      <c r="AA867" s="27" t="str">
        <f>IFERROR(VLOOKUP(A867,'[3]DS UPLOAD 2026 (2)'!$A$2:$P$1111,16,0),"")</f>
        <v/>
      </c>
      <c r="AB867" s="168" t="s">
        <v>4191</v>
      </c>
      <c r="AC867" s="169" t="s">
        <v>1658</v>
      </c>
    </row>
    <row r="868" spans="1:29" s="170" customFormat="1" ht="19.5" customHeight="1" x14ac:dyDescent="0.3">
      <c r="A868" s="164" t="s">
        <v>4192</v>
      </c>
      <c r="B868" s="164" t="s">
        <v>4193</v>
      </c>
      <c r="C868" s="164" t="s">
        <v>4192</v>
      </c>
      <c r="D868" s="23" t="s">
        <v>38</v>
      </c>
      <c r="E868" s="176" t="s">
        <v>61</v>
      </c>
      <c r="F868" s="16" t="str">
        <f>VLOOKUP(E868,'[1]BẢNG MÃ'!$A$2:$B$69,2,0)</f>
        <v>TĐ012</v>
      </c>
      <c r="G868" s="16" t="s">
        <v>62</v>
      </c>
      <c r="H868" s="16" t="s">
        <v>62</v>
      </c>
      <c r="I868" s="56" t="s">
        <v>147</v>
      </c>
      <c r="J868" s="16" t="str">
        <f>VLOOKUP(I868,'[1]BẢNG MÃ'!$C$2:$D$69,2,0)</f>
        <v>KP002</v>
      </c>
      <c r="K868" s="165"/>
      <c r="L868" s="165"/>
      <c r="M868" s="56" t="s">
        <v>33</v>
      </c>
      <c r="N868" s="166"/>
      <c r="O868" s="166"/>
      <c r="P868" s="178" t="s">
        <v>4194</v>
      </c>
      <c r="Q868" s="165"/>
      <c r="R868" s="165"/>
      <c r="S868" s="168" t="s">
        <v>4195</v>
      </c>
      <c r="T868" s="165"/>
      <c r="U868" s="165"/>
      <c r="V868" s="16" t="str">
        <f>IFERROR(VLOOKUP(A868,'[2]19.6.2026'!$A$9:$L$1111,5,0),"")</f>
        <v>000121/LS-GPHN</v>
      </c>
      <c r="W868" s="16">
        <f>IFERROR(VLOOKUP(A868,'[2]19.6.2026'!$A$9:$L$1111,6,0),"")</f>
        <v>45521</v>
      </c>
      <c r="X868" s="165"/>
      <c r="Y868" s="21" t="str">
        <f>IFERROR(VLOOKUP(A868,'[2]19.6.2026'!$A$9:$L$1111,7,0),"")</f>
        <v>Điều dưỡng</v>
      </c>
      <c r="Z868" s="16"/>
      <c r="AA868" s="27" t="str">
        <f>IFERROR(VLOOKUP(A868,'[3]DS UPLOAD 2026 (2)'!$A$2:$P$1111,16,0),"")</f>
        <v/>
      </c>
      <c r="AB868" s="168" t="s">
        <v>4196</v>
      </c>
      <c r="AC868" s="169" t="s">
        <v>1658</v>
      </c>
    </row>
    <row r="869" spans="1:29" s="170" customFormat="1" ht="19.5" customHeight="1" x14ac:dyDescent="0.3">
      <c r="A869" s="164" t="s">
        <v>4197</v>
      </c>
      <c r="B869" s="164" t="s">
        <v>4198</v>
      </c>
      <c r="C869" s="164" t="s">
        <v>4197</v>
      </c>
      <c r="D869" s="165"/>
      <c r="E869" s="176" t="s">
        <v>61</v>
      </c>
      <c r="F869" s="16" t="str">
        <f>VLOOKUP(E869,'[1]BẢNG MÃ'!$A$2:$B$69,2,0)</f>
        <v>TĐ012</v>
      </c>
      <c r="G869" s="16" t="s">
        <v>62</v>
      </c>
      <c r="H869" s="16" t="s">
        <v>62</v>
      </c>
      <c r="I869" s="19" t="s">
        <v>306</v>
      </c>
      <c r="J869" s="16" t="str">
        <f>VLOOKUP(I869,'[1]BẢNG MÃ'!$C$2:$D$69,2,0)</f>
        <v>KP003</v>
      </c>
      <c r="K869" s="165"/>
      <c r="L869" s="165"/>
      <c r="M869" s="56" t="s">
        <v>33</v>
      </c>
      <c r="N869" s="166"/>
      <c r="O869" s="178" t="s">
        <v>4199</v>
      </c>
      <c r="P869" s="166"/>
      <c r="Q869" s="165"/>
      <c r="R869" s="165"/>
      <c r="S869" s="168" t="s">
        <v>4200</v>
      </c>
      <c r="T869" s="165"/>
      <c r="U869" s="165"/>
      <c r="V869" s="16" t="str">
        <f>IFERROR(VLOOKUP(A869,'[2]19.6.2026'!$A$9:$L$1111,5,0),"")</f>
        <v>000204/LS-GPHN</v>
      </c>
      <c r="W869" s="16">
        <f>IFERROR(VLOOKUP(A869,'[2]19.6.2026'!$A$9:$L$1111,6,0),"")</f>
        <v>45680</v>
      </c>
      <c r="X869" s="165"/>
      <c r="Y869" s="21" t="str">
        <f>IFERROR(VLOOKUP(A869,'[2]19.6.2026'!$A$9:$L$1111,7,0),"")</f>
        <v>Điều dưỡng</v>
      </c>
      <c r="Z869" s="16"/>
      <c r="AA869" s="27" t="str">
        <f>IFERROR(VLOOKUP(A869,'[3]DS UPLOAD 2026 (2)'!$A$2:$P$1111,16,0),"")</f>
        <v/>
      </c>
      <c r="AB869" s="168" t="s">
        <v>4201</v>
      </c>
      <c r="AC869" s="169" t="s">
        <v>1658</v>
      </c>
    </row>
    <row r="870" spans="1:29" s="170" customFormat="1" ht="19.5" customHeight="1" x14ac:dyDescent="0.3">
      <c r="A870" s="164" t="s">
        <v>4202</v>
      </c>
      <c r="B870" s="164" t="s">
        <v>4203</v>
      </c>
      <c r="C870" s="164" t="s">
        <v>4202</v>
      </c>
      <c r="D870" s="23" t="s">
        <v>38</v>
      </c>
      <c r="E870" s="19" t="s">
        <v>2337</v>
      </c>
      <c r="F870" s="16" t="str">
        <f>VLOOKUP(E870,'[1]BẢNG MÃ'!$A$2:$B$69,2,0)</f>
        <v>TĐ014</v>
      </c>
      <c r="G870" s="16" t="s">
        <v>2338</v>
      </c>
      <c r="H870" s="16" t="s">
        <v>2338</v>
      </c>
      <c r="I870" s="56" t="s">
        <v>2802</v>
      </c>
      <c r="J870" s="16" t="str">
        <f>VLOOKUP(I870,'[1]BẢNG MÃ'!$C$2:$D$69,2,0)</f>
        <v>KP029</v>
      </c>
      <c r="K870" s="165"/>
      <c r="L870" s="165"/>
      <c r="M870" s="56" t="s">
        <v>33</v>
      </c>
      <c r="N870" s="166"/>
      <c r="O870" s="166"/>
      <c r="P870" s="173" t="s">
        <v>4204</v>
      </c>
      <c r="Q870" s="165"/>
      <c r="R870" s="165"/>
      <c r="S870" s="168" t="s">
        <v>4205</v>
      </c>
      <c r="T870" s="165"/>
      <c r="U870" s="165"/>
      <c r="V870" s="16" t="str">
        <f>IFERROR(VLOOKUP(A870,'[2]19.6.2026'!$A$9:$L$1111,5,0),"")</f>
        <v>003587/LS-CCHN</v>
      </c>
      <c r="W870" s="16">
        <f>IFERROR(VLOOKUP(A870,'[2]19.6.2026'!$A$9:$L$1111,6,0),"")</f>
        <v>43728</v>
      </c>
      <c r="X870" s="165"/>
      <c r="Y870" s="21" t="str">
        <f>IFERROR(VLOOKUP(A870,'[2]19.6.2026'!$A$9:$L$1111,7,0),"")</f>
        <v>Chuyên khoa xét nghiệm</v>
      </c>
      <c r="Z870" s="16"/>
      <c r="AA870" s="27" t="str">
        <f>IFERROR(VLOOKUP(A870,'[3]DS UPLOAD 2026 (2)'!$A$2:$P$1111,16,0),"")</f>
        <v/>
      </c>
      <c r="AB870" s="168" t="s">
        <v>4206</v>
      </c>
      <c r="AC870" s="169" t="s">
        <v>1658</v>
      </c>
    </row>
    <row r="871" spans="1:29" s="170" customFormat="1" ht="19.5" customHeight="1" x14ac:dyDescent="0.3">
      <c r="A871" s="164" t="s">
        <v>4207</v>
      </c>
      <c r="B871" s="164" t="s">
        <v>4208</v>
      </c>
      <c r="C871" s="164" t="s">
        <v>4207</v>
      </c>
      <c r="D871" s="23" t="s">
        <v>38</v>
      </c>
      <c r="E871" s="19" t="s">
        <v>2344</v>
      </c>
      <c r="F871" s="16" t="str">
        <f>VLOOKUP(E871,'[1]BẢNG MÃ'!$A$2:$B$69,2,0)</f>
        <v>TĐ015</v>
      </c>
      <c r="G871" s="16" t="s">
        <v>2345</v>
      </c>
      <c r="H871" s="16" t="s">
        <v>2345</v>
      </c>
      <c r="I871" s="56" t="s">
        <v>1090</v>
      </c>
      <c r="J871" s="16" t="str">
        <f>VLOOKUP(I871,'[1]BẢNG MÃ'!$C$2:$D$69,2,0)</f>
        <v>KP034</v>
      </c>
      <c r="K871" s="165"/>
      <c r="L871" s="165"/>
      <c r="M871" s="56" t="s">
        <v>33</v>
      </c>
      <c r="N871" s="166"/>
      <c r="O871" s="166"/>
      <c r="P871" s="173" t="s">
        <v>4209</v>
      </c>
      <c r="Q871" s="165"/>
      <c r="R871" s="165"/>
      <c r="S871" s="168" t="s">
        <v>4210</v>
      </c>
      <c r="T871" s="165"/>
      <c r="U871" s="165"/>
      <c r="V871" s="16" t="str">
        <f>IFERROR(VLOOKUP(A871,'[2]19.6.2026'!$A$9:$L$1111,5,0),"")</f>
        <v/>
      </c>
      <c r="W871" s="16" t="str">
        <f>IFERROR(VLOOKUP(A871,'[2]19.6.2026'!$A$9:$L$1111,6,0),"")</f>
        <v/>
      </c>
      <c r="X871" s="165"/>
      <c r="Y871" s="21" t="str">
        <f>IFERROR(VLOOKUP(A871,'[2]19.6.2026'!$A$9:$L$1111,7,0),"")</f>
        <v/>
      </c>
      <c r="Z871" s="16"/>
      <c r="AA871" s="27" t="str">
        <f>IFERROR(VLOOKUP(A871,'[3]DS UPLOAD 2026 (2)'!$A$2:$P$1111,16,0),"")</f>
        <v/>
      </c>
      <c r="AB871" s="168" t="s">
        <v>4211</v>
      </c>
      <c r="AC871" s="169" t="s">
        <v>1658</v>
      </c>
    </row>
  </sheetData>
  <conditionalFormatting sqref="A1:B1048576">
    <cfRule type="duplicateValues" dxfId="34" priority="2"/>
  </conditionalFormatting>
  <conditionalFormatting sqref="C781">
    <cfRule type="cellIs" dxfId="33" priority="14" operator="between">
      <formula>TODAY()</formula>
      <formula>TODAY()+30</formula>
    </cfRule>
  </conditionalFormatting>
  <conditionalFormatting sqref="C838">
    <cfRule type="duplicateValues" dxfId="32" priority="1"/>
  </conditionalFormatting>
  <conditionalFormatting sqref="C839:C871">
    <cfRule type="duplicateValues" dxfId="31" priority="3"/>
    <cfRule type="duplicateValues" dxfId="30" priority="4"/>
  </conditionalFormatting>
  <conditionalFormatting sqref="D469">
    <cfRule type="cellIs" dxfId="29" priority="15" operator="equal">
      <formula>3.48</formula>
    </cfRule>
  </conditionalFormatting>
  <conditionalFormatting sqref="E477">
    <cfRule type="cellIs" dxfId="28" priority="16" operator="equal">
      <formula>3.48</formula>
    </cfRule>
  </conditionalFormatting>
  <conditionalFormatting sqref="G469:H469">
    <cfRule type="cellIs" dxfId="27" priority="17" operator="equal">
      <formula>3.48</formula>
    </cfRule>
  </conditionalFormatting>
  <conditionalFormatting sqref="K469 M469 U469 AB469:AC469">
    <cfRule type="cellIs" dxfId="26" priority="18" operator="equal">
      <formula>3.48</formula>
    </cfRule>
  </conditionalFormatting>
  <conditionalFormatting sqref="P836:P837">
    <cfRule type="cellIs" dxfId="25" priority="6" operator="between">
      <formula>TODAY()</formula>
      <formula>TODAY()+30</formula>
    </cfRule>
  </conditionalFormatting>
  <conditionalFormatting sqref="S839:S871">
    <cfRule type="duplicateValues" dxfId="24" priority="5"/>
  </conditionalFormatting>
  <conditionalFormatting sqref="AB752:AB755">
    <cfRule type="cellIs" dxfId="23" priority="19" operator="between">
      <formula>TODAY()</formula>
      <formula>TODAY()+30</formula>
    </cfRule>
  </conditionalFormatting>
  <conditionalFormatting sqref="AB757:AB761">
    <cfRule type="cellIs" dxfId="22" priority="20" operator="between">
      <formula>TODAY()</formula>
      <formula>TODAY()+30</formula>
    </cfRule>
  </conditionalFormatting>
  <hyperlinks>
    <hyperlink ref="X1" location="null!A1" display="CDNN trong CCHN" xr:uid="{C2024749-694C-46EB-8294-C480B6AADA59}"/>
    <hyperlink ref="Y1" location="null!A1" display="Phạm vi hành nghề" xr:uid="{39BD2B09-7E75-4E85-A954-CABF3E2A8C1B}"/>
  </hyperlink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 Nguyễn</dc:creator>
  <cp:lastModifiedBy>An Nguyễn</cp:lastModifiedBy>
  <dcterms:created xsi:type="dcterms:W3CDTF">2026-06-27T09:32:50Z</dcterms:created>
  <dcterms:modified xsi:type="dcterms:W3CDTF">2026-06-27T09:47:45Z</dcterms:modified>
</cp:coreProperties>
</file>